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lan/GitHub/Stock_Picker/"/>
    </mc:Choice>
  </mc:AlternateContent>
  <xr:revisionPtr revIDLastSave="0" documentId="13_ncr:1_{E7017059-A689-8043-997B-C97801C0E2D1}" xr6:coauthVersionLast="47" xr6:coauthVersionMax="47" xr10:uidLastSave="{00000000-0000-0000-0000-000000000000}"/>
  <bookViews>
    <workbookView xWindow="0" yWindow="600" windowWidth="23860" windowHeight="15400" tabRatio="500" firstSheet="5" activeTab="6"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Schema Reference"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2" i="16" l="1"/>
  <c r="O32" i="16"/>
  <c r="Q32" i="16" s="1"/>
  <c r="P31" i="16"/>
  <c r="O31" i="16"/>
  <c r="Q31" i="16" s="1"/>
  <c r="P30" i="16"/>
  <c r="O30" i="16"/>
  <c r="Q30" i="16" s="1"/>
  <c r="P29" i="16"/>
  <c r="Q29" i="16" s="1"/>
  <c r="O29" i="16"/>
  <c r="P28" i="16"/>
  <c r="Q28" i="16" s="1"/>
  <c r="O28" i="16"/>
  <c r="Q27" i="16"/>
  <c r="P27" i="16"/>
  <c r="O27" i="16"/>
  <c r="Q26" i="16"/>
  <c r="P26" i="16"/>
  <c r="O26" i="16"/>
  <c r="P25" i="16"/>
  <c r="O25" i="16"/>
  <c r="Q25" i="16" s="1"/>
  <c r="P24" i="16"/>
  <c r="O24" i="16"/>
  <c r="Q24" i="16" s="1"/>
  <c r="P23" i="16"/>
  <c r="O23" i="16"/>
  <c r="Q23" i="16" s="1"/>
  <c r="P22" i="16"/>
  <c r="O22" i="16"/>
  <c r="Q22" i="16" s="1"/>
  <c r="P21" i="16"/>
  <c r="Q21" i="16" s="1"/>
  <c r="O21" i="16"/>
  <c r="P20" i="16"/>
  <c r="Q20" i="16" s="1"/>
  <c r="O20" i="16"/>
  <c r="Q19" i="16"/>
  <c r="P19" i="16"/>
  <c r="O19" i="16"/>
  <c r="Q18" i="16"/>
  <c r="P18" i="16"/>
  <c r="O18" i="16"/>
  <c r="P17" i="16"/>
  <c r="O17" i="16"/>
  <c r="Q17" i="16" s="1"/>
  <c r="P16" i="16"/>
  <c r="O16" i="16"/>
  <c r="Q16" i="16" s="1"/>
  <c r="P15" i="16"/>
  <c r="O15" i="16"/>
  <c r="Q15" i="16" s="1"/>
  <c r="P14" i="16"/>
  <c r="O14" i="16"/>
  <c r="Q14" i="16" s="1"/>
  <c r="P13" i="16"/>
  <c r="Q13" i="16" s="1"/>
  <c r="O13" i="16"/>
  <c r="P12" i="16"/>
  <c r="Q12" i="16" s="1"/>
  <c r="O12" i="16"/>
  <c r="Q11" i="16"/>
  <c r="P11" i="16"/>
  <c r="O11" i="16"/>
  <c r="Q10" i="16"/>
  <c r="P10" i="16"/>
  <c r="O10" i="16"/>
  <c r="P9" i="16"/>
  <c r="O9" i="16"/>
  <c r="Q9" i="16" s="1"/>
  <c r="P8" i="16"/>
  <c r="O8" i="16"/>
  <c r="Q8" i="16" s="1"/>
  <c r="P7" i="16"/>
  <c r="O7" i="16"/>
  <c r="Q7" i="16" s="1"/>
  <c r="P6" i="16"/>
  <c r="O6" i="16"/>
  <c r="Q6" i="16" s="1"/>
  <c r="P5" i="16"/>
  <c r="Q5" i="16" s="1"/>
  <c r="O5" i="16"/>
  <c r="P4" i="16"/>
  <c r="Q4" i="16" s="1"/>
  <c r="O4" i="16"/>
  <c r="Q3" i="16"/>
  <c r="P3" i="16"/>
  <c r="O3" i="16"/>
  <c r="Z23" i="15"/>
  <c r="S23" i="15"/>
  <c r="P23" i="15"/>
  <c r="M23" i="15"/>
  <c r="J23" i="15"/>
  <c r="AB23" i="15" s="1"/>
  <c r="G23" i="15"/>
  <c r="Z22" i="15"/>
  <c r="S22" i="15"/>
  <c r="P22" i="15"/>
  <c r="M22" i="15"/>
  <c r="J22" i="15"/>
  <c r="G22" i="15"/>
  <c r="AB22" i="15" s="1"/>
  <c r="Z21" i="15"/>
  <c r="S21" i="15"/>
  <c r="P21" i="15"/>
  <c r="M21" i="15"/>
  <c r="J21" i="15"/>
  <c r="AB21" i="15" s="1"/>
  <c r="G21" i="15"/>
  <c r="AB20" i="15"/>
  <c r="Z20" i="15"/>
  <c r="S20" i="15"/>
  <c r="P20" i="15"/>
  <c r="M20" i="15"/>
  <c r="J20" i="15"/>
  <c r="G20" i="15"/>
  <c r="Z19" i="15"/>
  <c r="S19" i="15"/>
  <c r="P19" i="15"/>
  <c r="M19" i="15"/>
  <c r="J19" i="15"/>
  <c r="G19" i="15"/>
  <c r="Z18" i="15"/>
  <c r="S18" i="15"/>
  <c r="P18" i="15"/>
  <c r="M18" i="15"/>
  <c r="J18" i="15"/>
  <c r="AB18" i="15" s="1"/>
  <c r="G18" i="15"/>
  <c r="Z17" i="15"/>
  <c r="S17" i="15"/>
  <c r="P17" i="15"/>
  <c r="M17" i="15"/>
  <c r="J17" i="15"/>
  <c r="G17" i="15"/>
  <c r="AB17" i="15" s="1"/>
  <c r="Z16" i="15"/>
  <c r="S16" i="15"/>
  <c r="P16" i="15"/>
  <c r="M16" i="15"/>
  <c r="J16" i="15"/>
  <c r="G16" i="15"/>
  <c r="AB16" i="15" s="1"/>
  <c r="Z15" i="15"/>
  <c r="S15" i="15"/>
  <c r="P15" i="15"/>
  <c r="M15" i="15"/>
  <c r="J15" i="15"/>
  <c r="AB15" i="15" s="1"/>
  <c r="G15" i="15"/>
  <c r="Z14" i="15"/>
  <c r="S14" i="15"/>
  <c r="P14" i="15"/>
  <c r="M14" i="15"/>
  <c r="J14" i="15"/>
  <c r="G14" i="15"/>
  <c r="AB14" i="15" s="1"/>
  <c r="Z13" i="15"/>
  <c r="S13" i="15"/>
  <c r="P13" i="15"/>
  <c r="M13" i="15"/>
  <c r="J13" i="15"/>
  <c r="AB13" i="15" s="1"/>
  <c r="G13" i="15"/>
  <c r="AB12" i="15"/>
  <c r="Z12" i="15"/>
  <c r="S12" i="15"/>
  <c r="P12" i="15"/>
  <c r="M12" i="15"/>
  <c r="J12" i="15"/>
  <c r="G12" i="15"/>
  <c r="Z11" i="15"/>
  <c r="S11" i="15"/>
  <c r="P11" i="15"/>
  <c r="M11" i="15"/>
  <c r="J11" i="15"/>
  <c r="G11" i="15"/>
  <c r="Z10" i="15"/>
  <c r="S10" i="15"/>
  <c r="P10" i="15"/>
  <c r="M10" i="15"/>
  <c r="J10" i="15"/>
  <c r="AB10" i="15" s="1"/>
  <c r="G10" i="15"/>
  <c r="Z9" i="15"/>
  <c r="S9" i="15"/>
  <c r="P9" i="15"/>
  <c r="M9" i="15"/>
  <c r="J9" i="15"/>
  <c r="G9" i="15"/>
  <c r="AB9" i="15" s="1"/>
  <c r="Z8" i="15"/>
  <c r="S8" i="15"/>
  <c r="P8" i="15"/>
  <c r="M8" i="15"/>
  <c r="J8" i="15"/>
  <c r="G8" i="15"/>
  <c r="AB8" i="15" s="1"/>
  <c r="Z7" i="15"/>
  <c r="S7" i="15"/>
  <c r="P7" i="15"/>
  <c r="M7" i="15"/>
  <c r="J7" i="15"/>
  <c r="AB7" i="15" s="1"/>
  <c r="G7" i="15"/>
  <c r="Z6" i="15"/>
  <c r="S6" i="15"/>
  <c r="P6" i="15"/>
  <c r="M6" i="15"/>
  <c r="J6" i="15"/>
  <c r="G6" i="15"/>
  <c r="AB6" i="15" s="1"/>
  <c r="Z5" i="15"/>
  <c r="S5" i="15"/>
  <c r="P5" i="15"/>
  <c r="M5" i="15"/>
  <c r="J5" i="15"/>
  <c r="AB5" i="15" s="1"/>
  <c r="G5" i="15"/>
  <c r="AB4" i="15"/>
  <c r="Z4" i="15"/>
  <c r="S4" i="15"/>
  <c r="P4" i="15"/>
  <c r="M4" i="15"/>
  <c r="J4" i="15"/>
  <c r="G4" i="15"/>
  <c r="U23" i="14"/>
  <c r="T23" i="14"/>
  <c r="L22" i="8" s="1"/>
  <c r="S23" i="14"/>
  <c r="Q23" i="14"/>
  <c r="L23" i="14"/>
  <c r="G23" i="14"/>
  <c r="U22" i="14"/>
  <c r="T22" i="14"/>
  <c r="Q22" i="14"/>
  <c r="L22" i="14"/>
  <c r="G22" i="14"/>
  <c r="S22" i="14" s="1"/>
  <c r="U21" i="14"/>
  <c r="T21" i="14"/>
  <c r="Q21" i="14"/>
  <c r="L21" i="14"/>
  <c r="G21" i="14"/>
  <c r="S21" i="14" s="1"/>
  <c r="U20" i="14"/>
  <c r="T20" i="14"/>
  <c r="S20" i="14"/>
  <c r="Q20" i="14"/>
  <c r="L20" i="14"/>
  <c r="G20" i="14"/>
  <c r="U19" i="14"/>
  <c r="T19" i="14"/>
  <c r="S19" i="14"/>
  <c r="Q19" i="14"/>
  <c r="L19" i="14"/>
  <c r="G19" i="14"/>
  <c r="U18" i="14"/>
  <c r="T18" i="14"/>
  <c r="Q18" i="14"/>
  <c r="L18" i="14"/>
  <c r="G18" i="14"/>
  <c r="S18" i="14" s="1"/>
  <c r="U17" i="14"/>
  <c r="T17" i="14"/>
  <c r="Q17" i="14"/>
  <c r="L17" i="14"/>
  <c r="G17" i="14"/>
  <c r="S17" i="14" s="1"/>
  <c r="U16" i="14"/>
  <c r="T16" i="14"/>
  <c r="S16" i="14"/>
  <c r="Q16" i="14"/>
  <c r="L16" i="14"/>
  <c r="G16" i="14"/>
  <c r="U15" i="14"/>
  <c r="T15" i="14"/>
  <c r="S15" i="14"/>
  <c r="Q15" i="14"/>
  <c r="L15" i="14"/>
  <c r="G15" i="14"/>
  <c r="U14" i="14"/>
  <c r="T14" i="14"/>
  <c r="Q14" i="14"/>
  <c r="L14" i="14"/>
  <c r="G14" i="14"/>
  <c r="S14" i="14" s="1"/>
  <c r="U13" i="14"/>
  <c r="T13" i="14"/>
  <c r="Q13" i="14"/>
  <c r="L13" i="14"/>
  <c r="G13" i="14"/>
  <c r="S13" i="14" s="1"/>
  <c r="U12" i="14"/>
  <c r="T12" i="14"/>
  <c r="S12" i="14"/>
  <c r="Q12" i="14"/>
  <c r="L12" i="14"/>
  <c r="G12" i="14"/>
  <c r="U11" i="14"/>
  <c r="T11" i="14"/>
  <c r="S11" i="14"/>
  <c r="Q11" i="14"/>
  <c r="L11" i="14"/>
  <c r="G11" i="14"/>
  <c r="U10" i="14"/>
  <c r="T10" i="14"/>
  <c r="Q10" i="14"/>
  <c r="L10" i="14"/>
  <c r="G10" i="14"/>
  <c r="S10" i="14" s="1"/>
  <c r="U9" i="14"/>
  <c r="T9" i="14"/>
  <c r="Q9" i="14"/>
  <c r="L9" i="14"/>
  <c r="G9" i="14"/>
  <c r="S9" i="14" s="1"/>
  <c r="U8" i="14"/>
  <c r="T8" i="14"/>
  <c r="S8" i="14"/>
  <c r="Q8" i="14"/>
  <c r="L8" i="14"/>
  <c r="G8" i="14"/>
  <c r="U7" i="14"/>
  <c r="T7" i="14"/>
  <c r="L6" i="8" s="1"/>
  <c r="S7" i="14"/>
  <c r="Q7" i="14"/>
  <c r="L7" i="14"/>
  <c r="G7" i="14"/>
  <c r="U6" i="14"/>
  <c r="T6" i="14"/>
  <c r="Q6" i="14"/>
  <c r="L6" i="14"/>
  <c r="G6" i="14"/>
  <c r="S6" i="14" s="1"/>
  <c r="U5" i="14"/>
  <c r="T5" i="14"/>
  <c r="Q5" i="14"/>
  <c r="L5" i="14"/>
  <c r="G5" i="14"/>
  <c r="S5" i="14" s="1"/>
  <c r="U4" i="14"/>
  <c r="T4" i="14"/>
  <c r="S4" i="14"/>
  <c r="Q4" i="14"/>
  <c r="L4" i="14"/>
  <c r="G4" i="14"/>
  <c r="K22" i="13"/>
  <c r="J22" i="13"/>
  <c r="I22" i="13"/>
  <c r="K21" i="13"/>
  <c r="J21" i="13"/>
  <c r="I21" i="13"/>
  <c r="K20" i="13"/>
  <c r="J20" i="13"/>
  <c r="I20" i="13"/>
  <c r="K19" i="13"/>
  <c r="J19" i="13"/>
  <c r="I19" i="13"/>
  <c r="K18" i="13"/>
  <c r="J18" i="13"/>
  <c r="I18" i="13"/>
  <c r="K17" i="13"/>
  <c r="I17" i="13"/>
  <c r="J17" i="13" s="1"/>
  <c r="K16" i="13"/>
  <c r="I16" i="13"/>
  <c r="J16" i="13" s="1"/>
  <c r="K15" i="13"/>
  <c r="I15" i="13"/>
  <c r="J15" i="13" s="1"/>
  <c r="K14" i="13"/>
  <c r="J14" i="13"/>
  <c r="I14" i="13"/>
  <c r="K13" i="13"/>
  <c r="J13" i="13"/>
  <c r="I13" i="13"/>
  <c r="K12" i="13"/>
  <c r="J12" i="13"/>
  <c r="I12" i="13"/>
  <c r="K11" i="13"/>
  <c r="J11" i="13"/>
  <c r="I11" i="13"/>
  <c r="K10" i="13"/>
  <c r="J10" i="13"/>
  <c r="I10" i="13"/>
  <c r="K9" i="13"/>
  <c r="I9" i="13"/>
  <c r="J9" i="13" s="1"/>
  <c r="K8" i="13"/>
  <c r="I8" i="13"/>
  <c r="J8" i="13" s="1"/>
  <c r="K7" i="13"/>
  <c r="I7" i="13"/>
  <c r="J7" i="13" s="1"/>
  <c r="K6" i="13"/>
  <c r="J6" i="13"/>
  <c r="I6" i="13"/>
  <c r="K5" i="13"/>
  <c r="J5" i="13"/>
  <c r="I5" i="13"/>
  <c r="K4" i="13"/>
  <c r="J4" i="13"/>
  <c r="I4" i="13"/>
  <c r="K3" i="13"/>
  <c r="E5" i="2" s="1"/>
  <c r="J3" i="13"/>
  <c r="I3" i="13"/>
  <c r="D42" i="12"/>
  <c r="E42" i="12" s="1"/>
  <c r="C42" i="12"/>
  <c r="D41" i="12"/>
  <c r="E41" i="12" s="1"/>
  <c r="F41" i="12" s="1"/>
  <c r="C41" i="12"/>
  <c r="D40" i="12"/>
  <c r="E40" i="12" s="1"/>
  <c r="C40" i="12"/>
  <c r="C39" i="12"/>
  <c r="D39" i="12" s="1"/>
  <c r="E39" i="12" s="1"/>
  <c r="C38" i="12"/>
  <c r="D38" i="12" s="1"/>
  <c r="E38" i="12" s="1"/>
  <c r="G38" i="12" s="1"/>
  <c r="C37" i="12"/>
  <c r="D37" i="12" s="1"/>
  <c r="E37" i="12" s="1"/>
  <c r="E36" i="12"/>
  <c r="G36" i="12" s="1"/>
  <c r="D36" i="12"/>
  <c r="C36" i="12"/>
  <c r="E35" i="12"/>
  <c r="D35" i="12"/>
  <c r="C35" i="12"/>
  <c r="D34" i="12"/>
  <c r="E34" i="12" s="1"/>
  <c r="C34" i="12"/>
  <c r="D33" i="12"/>
  <c r="E33" i="12" s="1"/>
  <c r="F33" i="12" s="1"/>
  <c r="C33" i="12"/>
  <c r="D32" i="12"/>
  <c r="E32" i="12" s="1"/>
  <c r="C32" i="12"/>
  <c r="C31" i="12"/>
  <c r="D31" i="12" s="1"/>
  <c r="E31" i="12" s="1"/>
  <c r="C30" i="12"/>
  <c r="D30" i="12" s="1"/>
  <c r="E30" i="12" s="1"/>
  <c r="G30" i="12" s="1"/>
  <c r="C29" i="12"/>
  <c r="D29" i="12" s="1"/>
  <c r="E29" i="12" s="1"/>
  <c r="E28" i="12"/>
  <c r="G28" i="12" s="1"/>
  <c r="D28" i="12"/>
  <c r="C28" i="12"/>
  <c r="E27" i="12"/>
  <c r="D27" i="12"/>
  <c r="C27" i="12"/>
  <c r="D26" i="12"/>
  <c r="E26" i="12" s="1"/>
  <c r="C26" i="12"/>
  <c r="D25" i="12"/>
  <c r="E25" i="12" s="1"/>
  <c r="C25" i="12"/>
  <c r="D24" i="12"/>
  <c r="E24" i="12" s="1"/>
  <c r="C24" i="12"/>
  <c r="C23" i="12"/>
  <c r="D23" i="12" s="1"/>
  <c r="E23" i="12" s="1"/>
  <c r="C22" i="12"/>
  <c r="D22" i="12" s="1"/>
  <c r="E22" i="12" s="1"/>
  <c r="G22" i="12" s="1"/>
  <c r="C21" i="12"/>
  <c r="D21" i="12" s="1"/>
  <c r="E21" i="12" s="1"/>
  <c r="E20" i="12"/>
  <c r="G20" i="12" s="1"/>
  <c r="D20" i="12"/>
  <c r="C20" i="12"/>
  <c r="E19" i="12"/>
  <c r="D19" i="12"/>
  <c r="C19" i="12"/>
  <c r="D18" i="12"/>
  <c r="E18" i="12" s="1"/>
  <c r="C18" i="12"/>
  <c r="G17" i="12"/>
  <c r="D17" i="12"/>
  <c r="E17" i="12" s="1"/>
  <c r="F17" i="12" s="1"/>
  <c r="C17" i="12"/>
  <c r="D16" i="12"/>
  <c r="E16" i="12" s="1"/>
  <c r="C16" i="12"/>
  <c r="C15" i="12"/>
  <c r="D15" i="12" s="1"/>
  <c r="E15" i="12" s="1"/>
  <c r="C14" i="12"/>
  <c r="D14" i="12" s="1"/>
  <c r="E14" i="12" s="1"/>
  <c r="G14" i="12" s="1"/>
  <c r="C13" i="12"/>
  <c r="D13" i="12" s="1"/>
  <c r="E13" i="12" s="1"/>
  <c r="E12" i="12"/>
  <c r="G12" i="12" s="1"/>
  <c r="D12" i="12"/>
  <c r="C12" i="12"/>
  <c r="E11" i="12"/>
  <c r="D11" i="12"/>
  <c r="C11" i="12"/>
  <c r="D10" i="12"/>
  <c r="E10" i="12" s="1"/>
  <c r="C10" i="12"/>
  <c r="D9" i="12"/>
  <c r="E9" i="12" s="1"/>
  <c r="F9" i="12" s="1"/>
  <c r="C9" i="12"/>
  <c r="D8" i="12"/>
  <c r="E8" i="12" s="1"/>
  <c r="C8" i="12"/>
  <c r="C7" i="12"/>
  <c r="D7" i="12" s="1"/>
  <c r="E7" i="12" s="1"/>
  <c r="C6" i="12"/>
  <c r="D6" i="12" s="1"/>
  <c r="E6" i="12" s="1"/>
  <c r="C5" i="12"/>
  <c r="D5" i="12" s="1"/>
  <c r="E5" i="12" s="1"/>
  <c r="E4" i="12"/>
  <c r="G4" i="12" s="1"/>
  <c r="D4" i="12"/>
  <c r="C4" i="12"/>
  <c r="E3" i="12"/>
  <c r="D3" i="12"/>
  <c r="C3" i="12"/>
  <c r="I25" i="11"/>
  <c r="T2" i="11"/>
  <c r="L2" i="11"/>
  <c r="D2" i="11"/>
  <c r="B2" i="11"/>
  <c r="U161" i="10"/>
  <c r="T161" i="10"/>
  <c r="S161" i="10"/>
  <c r="R161" i="10"/>
  <c r="Q161" i="10"/>
  <c r="P161" i="10"/>
  <c r="O161" i="10"/>
  <c r="N161" i="10"/>
  <c r="M161" i="10"/>
  <c r="L161" i="10"/>
  <c r="K161" i="10"/>
  <c r="J161" i="10"/>
  <c r="I161" i="10"/>
  <c r="H161" i="10"/>
  <c r="G161" i="10"/>
  <c r="F161" i="10"/>
  <c r="E161" i="10"/>
  <c r="D161" i="10"/>
  <c r="C161" i="10"/>
  <c r="B161" i="10"/>
  <c r="A161" i="10"/>
  <c r="U160" i="10"/>
  <c r="T160" i="10"/>
  <c r="S160" i="10"/>
  <c r="R160" i="10"/>
  <c r="Q160" i="10"/>
  <c r="P160" i="10"/>
  <c r="O160" i="10"/>
  <c r="N160" i="10"/>
  <c r="M160" i="10"/>
  <c r="L160" i="10"/>
  <c r="K160" i="10"/>
  <c r="J160" i="10"/>
  <c r="I160" i="10"/>
  <c r="H160" i="10"/>
  <c r="G160" i="10"/>
  <c r="F160" i="10"/>
  <c r="E160" i="10"/>
  <c r="D160" i="10"/>
  <c r="C160" i="10"/>
  <c r="B160" i="10"/>
  <c r="A160" i="10"/>
  <c r="U159" i="10"/>
  <c r="T159" i="10"/>
  <c r="S159" i="10"/>
  <c r="R159" i="10"/>
  <c r="Q159" i="10"/>
  <c r="P159" i="10"/>
  <c r="O159" i="10"/>
  <c r="N159" i="10"/>
  <c r="M159" i="10"/>
  <c r="L159" i="10"/>
  <c r="K159" i="10"/>
  <c r="J159" i="10"/>
  <c r="I159" i="10"/>
  <c r="H159" i="10"/>
  <c r="G159" i="10"/>
  <c r="F159" i="10"/>
  <c r="E159" i="10"/>
  <c r="D159" i="10"/>
  <c r="C159" i="10"/>
  <c r="B159" i="10"/>
  <c r="A159" i="10"/>
  <c r="U158" i="10"/>
  <c r="T158" i="10"/>
  <c r="S158" i="10"/>
  <c r="R158" i="10"/>
  <c r="Q158" i="10"/>
  <c r="P158" i="10"/>
  <c r="O158" i="10"/>
  <c r="N158" i="10"/>
  <c r="M158" i="10"/>
  <c r="L158" i="10"/>
  <c r="K158" i="10"/>
  <c r="J158" i="10"/>
  <c r="I158" i="10"/>
  <c r="H158" i="10"/>
  <c r="G158" i="10"/>
  <c r="F158" i="10"/>
  <c r="E158" i="10"/>
  <c r="D158" i="10"/>
  <c r="C158" i="10"/>
  <c r="B158" i="10"/>
  <c r="A158" i="10"/>
  <c r="AN157" i="10"/>
  <c r="AM157" i="10"/>
  <c r="AL157" i="10"/>
  <c r="AK157" i="10"/>
  <c r="AJ157" i="10"/>
  <c r="AI157" i="10"/>
  <c r="AH157" i="10"/>
  <c r="AG157" i="10"/>
  <c r="AF157" i="10"/>
  <c r="AE157" i="10"/>
  <c r="AD157" i="10"/>
  <c r="AC157" i="10"/>
  <c r="AB157" i="10"/>
  <c r="AA157" i="10"/>
  <c r="Z157" i="10"/>
  <c r="Y157" i="10"/>
  <c r="X157" i="10"/>
  <c r="W157" i="10"/>
  <c r="U157" i="10"/>
  <c r="T157" i="10"/>
  <c r="S157" i="10"/>
  <c r="R157" i="10"/>
  <c r="Q157" i="10"/>
  <c r="P157" i="10"/>
  <c r="O157" i="10"/>
  <c r="N157" i="10"/>
  <c r="M157" i="10"/>
  <c r="L157" i="10"/>
  <c r="K157" i="10"/>
  <c r="J157" i="10"/>
  <c r="I157" i="10"/>
  <c r="H157" i="10"/>
  <c r="G157" i="10"/>
  <c r="F157" i="10"/>
  <c r="E157" i="10"/>
  <c r="D157" i="10"/>
  <c r="C157" i="10"/>
  <c r="B157" i="10"/>
  <c r="A157" i="10"/>
  <c r="AN156" i="10"/>
  <c r="AM156" i="10"/>
  <c r="AL156" i="10"/>
  <c r="AK156" i="10"/>
  <c r="AJ156" i="10"/>
  <c r="AI156" i="10"/>
  <c r="AH156" i="10"/>
  <c r="AG156" i="10"/>
  <c r="AF156" i="10"/>
  <c r="AE156" i="10"/>
  <c r="AD156" i="10"/>
  <c r="AC156" i="10"/>
  <c r="AB156" i="10"/>
  <c r="AA156" i="10"/>
  <c r="Z156" i="10"/>
  <c r="Y156" i="10"/>
  <c r="X156" i="10"/>
  <c r="W156" i="10"/>
  <c r="U156" i="10"/>
  <c r="T156" i="10"/>
  <c r="S156" i="10"/>
  <c r="R156" i="10"/>
  <c r="Q156" i="10"/>
  <c r="P156" i="10"/>
  <c r="O156" i="10"/>
  <c r="N156" i="10"/>
  <c r="M156" i="10"/>
  <c r="L156" i="10"/>
  <c r="K156" i="10"/>
  <c r="J156" i="10"/>
  <c r="I156" i="10"/>
  <c r="H156" i="10"/>
  <c r="G156" i="10"/>
  <c r="F156" i="10"/>
  <c r="E156" i="10"/>
  <c r="D156" i="10"/>
  <c r="C156" i="10"/>
  <c r="B156" i="10"/>
  <c r="A156" i="10"/>
  <c r="AN155" i="10"/>
  <c r="AM155" i="10"/>
  <c r="AL155" i="10"/>
  <c r="AK155" i="10"/>
  <c r="AJ155" i="10"/>
  <c r="AI155" i="10"/>
  <c r="AH155" i="10"/>
  <c r="AG155" i="10"/>
  <c r="AF155" i="10"/>
  <c r="AE155" i="10"/>
  <c r="AD155" i="10"/>
  <c r="AC155" i="10"/>
  <c r="AB155" i="10"/>
  <c r="AA155" i="10"/>
  <c r="Z155" i="10"/>
  <c r="Y155" i="10"/>
  <c r="X155" i="10"/>
  <c r="W155" i="10"/>
  <c r="U155" i="10"/>
  <c r="T155" i="10"/>
  <c r="S155" i="10"/>
  <c r="R155" i="10"/>
  <c r="Q155" i="10"/>
  <c r="P155" i="10"/>
  <c r="O155" i="10"/>
  <c r="N155" i="10"/>
  <c r="M155" i="10"/>
  <c r="L155" i="10"/>
  <c r="K155" i="10"/>
  <c r="J155" i="10"/>
  <c r="I155" i="10"/>
  <c r="H155" i="10"/>
  <c r="G155" i="10"/>
  <c r="F155" i="10"/>
  <c r="E155" i="10"/>
  <c r="D155" i="10"/>
  <c r="C155" i="10"/>
  <c r="B155" i="10"/>
  <c r="A155" i="10"/>
  <c r="AN154" i="10"/>
  <c r="AM154" i="10"/>
  <c r="AL154" i="10"/>
  <c r="AK154" i="10"/>
  <c r="AJ154" i="10"/>
  <c r="AI154" i="10"/>
  <c r="AH154" i="10"/>
  <c r="AG154" i="10"/>
  <c r="AF154" i="10"/>
  <c r="AE154" i="10"/>
  <c r="AD154" i="10"/>
  <c r="AC154" i="10"/>
  <c r="AB154" i="10"/>
  <c r="AA154" i="10"/>
  <c r="Z154" i="10"/>
  <c r="Y154" i="10"/>
  <c r="X154" i="10"/>
  <c r="W154" i="10"/>
  <c r="U154" i="10"/>
  <c r="T154" i="10"/>
  <c r="S154" i="10"/>
  <c r="R154" i="10"/>
  <c r="Q154" i="10"/>
  <c r="P154" i="10"/>
  <c r="O154" i="10"/>
  <c r="N154" i="10"/>
  <c r="M154" i="10"/>
  <c r="L154" i="10"/>
  <c r="K154" i="10"/>
  <c r="J154" i="10"/>
  <c r="I154" i="10"/>
  <c r="H154" i="10"/>
  <c r="G154" i="10"/>
  <c r="F154" i="10"/>
  <c r="E154" i="10"/>
  <c r="D154" i="10"/>
  <c r="C154" i="10"/>
  <c r="B154" i="10"/>
  <c r="A154" i="10"/>
  <c r="AN153" i="10"/>
  <c r="AM153" i="10"/>
  <c r="AL153" i="10"/>
  <c r="AK153" i="10"/>
  <c r="AJ153" i="10"/>
  <c r="AI153" i="10"/>
  <c r="AH153" i="10"/>
  <c r="AG153" i="10"/>
  <c r="AF153" i="10"/>
  <c r="AE153" i="10"/>
  <c r="AD153" i="10"/>
  <c r="AC153" i="10"/>
  <c r="AB153" i="10"/>
  <c r="AA153" i="10"/>
  <c r="Z153" i="10"/>
  <c r="Y153" i="10"/>
  <c r="X153" i="10"/>
  <c r="W153" i="10"/>
  <c r="U153" i="10"/>
  <c r="T153" i="10"/>
  <c r="S153" i="10"/>
  <c r="R153" i="10"/>
  <c r="Q153" i="10"/>
  <c r="P153" i="10"/>
  <c r="O153" i="10"/>
  <c r="N153" i="10"/>
  <c r="M153" i="10"/>
  <c r="L153" i="10"/>
  <c r="K153" i="10"/>
  <c r="J153" i="10"/>
  <c r="I153" i="10"/>
  <c r="H153" i="10"/>
  <c r="G153" i="10"/>
  <c r="F153" i="10"/>
  <c r="E153" i="10"/>
  <c r="D153" i="10"/>
  <c r="C153" i="10"/>
  <c r="B153" i="10"/>
  <c r="A153" i="10"/>
  <c r="AN152" i="10"/>
  <c r="AM152" i="10"/>
  <c r="AL152" i="10"/>
  <c r="AK152" i="10"/>
  <c r="AJ152" i="10"/>
  <c r="AI152" i="10"/>
  <c r="AH152" i="10"/>
  <c r="AG152" i="10"/>
  <c r="AF152" i="10"/>
  <c r="AE152" i="10"/>
  <c r="AD152" i="10"/>
  <c r="AC152" i="10"/>
  <c r="AB152" i="10"/>
  <c r="AA152" i="10"/>
  <c r="Z152" i="10"/>
  <c r="Y152" i="10"/>
  <c r="X152" i="10"/>
  <c r="W152" i="10"/>
  <c r="U152" i="10"/>
  <c r="T152" i="10"/>
  <c r="S152" i="10"/>
  <c r="R152" i="10"/>
  <c r="Q152" i="10"/>
  <c r="P152" i="10"/>
  <c r="O152" i="10"/>
  <c r="N152" i="10"/>
  <c r="M152" i="10"/>
  <c r="L152" i="10"/>
  <c r="K152" i="10"/>
  <c r="J152" i="10"/>
  <c r="I152" i="10"/>
  <c r="H152" i="10"/>
  <c r="G152" i="10"/>
  <c r="F152" i="10"/>
  <c r="E152" i="10"/>
  <c r="D152" i="10"/>
  <c r="C152" i="10"/>
  <c r="B152" i="10"/>
  <c r="A152" i="10"/>
  <c r="AN151" i="10"/>
  <c r="AM151" i="10"/>
  <c r="AL151" i="10"/>
  <c r="AK151" i="10"/>
  <c r="AJ151" i="10"/>
  <c r="AI151" i="10"/>
  <c r="AH151" i="10"/>
  <c r="AG151" i="10"/>
  <c r="AF151" i="10"/>
  <c r="AE151" i="10"/>
  <c r="AD151" i="10"/>
  <c r="AC151" i="10"/>
  <c r="AB151" i="10"/>
  <c r="AA151" i="10"/>
  <c r="Z151" i="10"/>
  <c r="Y151" i="10"/>
  <c r="X151" i="10"/>
  <c r="W151" i="10"/>
  <c r="U151" i="10"/>
  <c r="T151" i="10"/>
  <c r="S151" i="10"/>
  <c r="R151" i="10"/>
  <c r="Q151" i="10"/>
  <c r="P151" i="10"/>
  <c r="O151" i="10"/>
  <c r="N151" i="10"/>
  <c r="M151" i="10"/>
  <c r="L151" i="10"/>
  <c r="K151" i="10"/>
  <c r="J151" i="10"/>
  <c r="I151" i="10"/>
  <c r="H151" i="10"/>
  <c r="G151" i="10"/>
  <c r="F151" i="10"/>
  <c r="E151" i="10"/>
  <c r="D151" i="10"/>
  <c r="C151" i="10"/>
  <c r="B151" i="10"/>
  <c r="A151" i="10"/>
  <c r="AN150" i="10"/>
  <c r="AM150" i="10"/>
  <c r="AL150" i="10"/>
  <c r="AK150" i="10"/>
  <c r="AJ150" i="10"/>
  <c r="AI150" i="10"/>
  <c r="AH150" i="10"/>
  <c r="AG150" i="10"/>
  <c r="AF150" i="10"/>
  <c r="AE150" i="10"/>
  <c r="AD150" i="10"/>
  <c r="AC150" i="10"/>
  <c r="AB150" i="10"/>
  <c r="AA150" i="10"/>
  <c r="Z150" i="10"/>
  <c r="Y150" i="10"/>
  <c r="X150" i="10"/>
  <c r="W150" i="10"/>
  <c r="U150" i="10"/>
  <c r="T150" i="10"/>
  <c r="S150" i="10"/>
  <c r="R150" i="10"/>
  <c r="Q150" i="10"/>
  <c r="P150" i="10"/>
  <c r="O150" i="10"/>
  <c r="N150" i="10"/>
  <c r="M150" i="10"/>
  <c r="L150" i="10"/>
  <c r="K150" i="10"/>
  <c r="J150" i="10"/>
  <c r="I150" i="10"/>
  <c r="H150" i="10"/>
  <c r="G150" i="10"/>
  <c r="F150" i="10"/>
  <c r="E150" i="10"/>
  <c r="D150" i="10"/>
  <c r="C150" i="10"/>
  <c r="B150" i="10"/>
  <c r="A150" i="10"/>
  <c r="AN149" i="10"/>
  <c r="AM149" i="10"/>
  <c r="AL149" i="10"/>
  <c r="AK149" i="10"/>
  <c r="AJ149" i="10"/>
  <c r="AI149" i="10"/>
  <c r="AH149" i="10"/>
  <c r="AG149" i="10"/>
  <c r="AF149" i="10"/>
  <c r="AE149" i="10"/>
  <c r="AD149" i="10"/>
  <c r="AC149" i="10"/>
  <c r="AB149" i="10"/>
  <c r="AA149" i="10"/>
  <c r="Z149" i="10"/>
  <c r="Y149" i="10"/>
  <c r="X149" i="10"/>
  <c r="W149" i="10"/>
  <c r="U149" i="10"/>
  <c r="T149" i="10"/>
  <c r="S149" i="10"/>
  <c r="R149" i="10"/>
  <c r="Q149" i="10"/>
  <c r="P149" i="10"/>
  <c r="O149" i="10"/>
  <c r="N149" i="10"/>
  <c r="M149" i="10"/>
  <c r="L149" i="10"/>
  <c r="K149" i="10"/>
  <c r="J149" i="10"/>
  <c r="I149" i="10"/>
  <c r="H149" i="10"/>
  <c r="G149" i="10"/>
  <c r="F149" i="10"/>
  <c r="E149" i="10"/>
  <c r="D149" i="10"/>
  <c r="C149" i="10"/>
  <c r="B149" i="10"/>
  <c r="A149" i="10"/>
  <c r="AN148" i="10"/>
  <c r="AM148" i="10"/>
  <c r="AL148" i="10"/>
  <c r="AK148" i="10"/>
  <c r="AJ148" i="10"/>
  <c r="AI148" i="10"/>
  <c r="AH148" i="10"/>
  <c r="AG148" i="10"/>
  <c r="AF148" i="10"/>
  <c r="AE148" i="10"/>
  <c r="AD148" i="10"/>
  <c r="AC148" i="10"/>
  <c r="AB148" i="10"/>
  <c r="AA148" i="10"/>
  <c r="Z148" i="10"/>
  <c r="Y148" i="10"/>
  <c r="X148" i="10"/>
  <c r="W148" i="10"/>
  <c r="U148" i="10"/>
  <c r="T148" i="10"/>
  <c r="S148" i="10"/>
  <c r="R148" i="10"/>
  <c r="Q148" i="10"/>
  <c r="P148" i="10"/>
  <c r="O148" i="10"/>
  <c r="N148" i="10"/>
  <c r="M148" i="10"/>
  <c r="L148" i="10"/>
  <c r="K148" i="10"/>
  <c r="J148" i="10"/>
  <c r="I148" i="10"/>
  <c r="H148" i="10"/>
  <c r="G148" i="10"/>
  <c r="F148" i="10"/>
  <c r="E148" i="10"/>
  <c r="D148" i="10"/>
  <c r="C148" i="10"/>
  <c r="B148" i="10"/>
  <c r="A148" i="10"/>
  <c r="AN147" i="10"/>
  <c r="AM147" i="10"/>
  <c r="AL147" i="10"/>
  <c r="AK147" i="10"/>
  <c r="AJ147" i="10"/>
  <c r="AI147" i="10"/>
  <c r="AH147" i="10"/>
  <c r="AG147" i="10"/>
  <c r="AF147" i="10"/>
  <c r="AE147" i="10"/>
  <c r="AD147" i="10"/>
  <c r="AC147" i="10"/>
  <c r="AB147" i="10"/>
  <c r="AA147" i="10"/>
  <c r="Z147" i="10"/>
  <c r="Y147" i="10"/>
  <c r="X147" i="10"/>
  <c r="W147" i="10"/>
  <c r="U147" i="10"/>
  <c r="T147" i="10"/>
  <c r="S147" i="10"/>
  <c r="R147" i="10"/>
  <c r="Q147" i="10"/>
  <c r="P147" i="10"/>
  <c r="O147" i="10"/>
  <c r="N147" i="10"/>
  <c r="M147" i="10"/>
  <c r="L147" i="10"/>
  <c r="K147" i="10"/>
  <c r="J147" i="10"/>
  <c r="I147" i="10"/>
  <c r="H147" i="10"/>
  <c r="G147" i="10"/>
  <c r="F147" i="10"/>
  <c r="E147" i="10"/>
  <c r="D147" i="10"/>
  <c r="C147" i="10"/>
  <c r="B147" i="10"/>
  <c r="A147" i="10"/>
  <c r="AN146" i="10"/>
  <c r="AM146" i="10"/>
  <c r="AL146" i="10"/>
  <c r="AK146" i="10"/>
  <c r="AJ146" i="10"/>
  <c r="AI146" i="10"/>
  <c r="AH146" i="10"/>
  <c r="AG146" i="10"/>
  <c r="AF146" i="10"/>
  <c r="AE146" i="10"/>
  <c r="AD146" i="10"/>
  <c r="AC146" i="10"/>
  <c r="AB146" i="10"/>
  <c r="AA146" i="10"/>
  <c r="Z146" i="10"/>
  <c r="Y146" i="10"/>
  <c r="X146" i="10"/>
  <c r="W146" i="10"/>
  <c r="U146" i="10"/>
  <c r="T146" i="10"/>
  <c r="S146" i="10"/>
  <c r="R146" i="10"/>
  <c r="Q146" i="10"/>
  <c r="P146" i="10"/>
  <c r="O146" i="10"/>
  <c r="N146" i="10"/>
  <c r="M146" i="10"/>
  <c r="L146" i="10"/>
  <c r="K146" i="10"/>
  <c r="J146" i="10"/>
  <c r="I146" i="10"/>
  <c r="H146" i="10"/>
  <c r="G146" i="10"/>
  <c r="F146" i="10"/>
  <c r="E146" i="10"/>
  <c r="D146" i="10"/>
  <c r="C146" i="10"/>
  <c r="B146" i="10"/>
  <c r="A146" i="10"/>
  <c r="AN145" i="10"/>
  <c r="AM145" i="10"/>
  <c r="AL145" i="10"/>
  <c r="AK145" i="10"/>
  <c r="AJ145" i="10"/>
  <c r="AI145" i="10"/>
  <c r="AH145" i="10"/>
  <c r="AG145" i="10"/>
  <c r="AF145" i="10"/>
  <c r="AE145" i="10"/>
  <c r="AD145" i="10"/>
  <c r="AC145" i="10"/>
  <c r="AB145" i="10"/>
  <c r="AA145" i="10"/>
  <c r="Z145" i="10"/>
  <c r="Y145" i="10"/>
  <c r="X145" i="10"/>
  <c r="W145" i="10"/>
  <c r="U145" i="10"/>
  <c r="T145" i="10"/>
  <c r="S145" i="10"/>
  <c r="R145" i="10"/>
  <c r="Q145" i="10"/>
  <c r="P145" i="10"/>
  <c r="O145" i="10"/>
  <c r="N145" i="10"/>
  <c r="M145" i="10"/>
  <c r="L145" i="10"/>
  <c r="K145" i="10"/>
  <c r="J145" i="10"/>
  <c r="I145" i="10"/>
  <c r="H145" i="10"/>
  <c r="G145" i="10"/>
  <c r="F145" i="10"/>
  <c r="E145" i="10"/>
  <c r="D145" i="10"/>
  <c r="C145" i="10"/>
  <c r="B145" i="10"/>
  <c r="A145" i="10"/>
  <c r="AN144" i="10"/>
  <c r="AM144" i="10"/>
  <c r="AL144" i="10"/>
  <c r="AK144" i="10"/>
  <c r="AJ144" i="10"/>
  <c r="AI144" i="10"/>
  <c r="AH144" i="10"/>
  <c r="AG144" i="10"/>
  <c r="AF144" i="10"/>
  <c r="AE144" i="10"/>
  <c r="AD144" i="10"/>
  <c r="AC144" i="10"/>
  <c r="AB144" i="10"/>
  <c r="AA144" i="10"/>
  <c r="Z144" i="10"/>
  <c r="Y144" i="10"/>
  <c r="X144" i="10"/>
  <c r="W144" i="10"/>
  <c r="U144" i="10"/>
  <c r="T144" i="10"/>
  <c r="S144" i="10"/>
  <c r="R144" i="10"/>
  <c r="Q144" i="10"/>
  <c r="P144" i="10"/>
  <c r="O144" i="10"/>
  <c r="N144" i="10"/>
  <c r="M144" i="10"/>
  <c r="L144" i="10"/>
  <c r="K144" i="10"/>
  <c r="J144" i="10"/>
  <c r="I144" i="10"/>
  <c r="H144" i="10"/>
  <c r="G144" i="10"/>
  <c r="F144" i="10"/>
  <c r="E144" i="10"/>
  <c r="D144" i="10"/>
  <c r="C144" i="10"/>
  <c r="B144" i="10"/>
  <c r="A144" i="10"/>
  <c r="AN143" i="10"/>
  <c r="AM143" i="10"/>
  <c r="AL143" i="10"/>
  <c r="AK143" i="10"/>
  <c r="AJ143" i="10"/>
  <c r="AI143" i="10"/>
  <c r="AH143" i="10"/>
  <c r="AG143" i="10"/>
  <c r="AF143" i="10"/>
  <c r="AE143" i="10"/>
  <c r="AD143" i="10"/>
  <c r="AC143" i="10"/>
  <c r="AB143" i="10"/>
  <c r="AA143" i="10"/>
  <c r="Z143" i="10"/>
  <c r="Y143" i="10"/>
  <c r="X143" i="10"/>
  <c r="W143" i="10"/>
  <c r="U143" i="10"/>
  <c r="T143" i="10"/>
  <c r="S143" i="10"/>
  <c r="R143" i="10"/>
  <c r="Q143" i="10"/>
  <c r="P143" i="10"/>
  <c r="O143" i="10"/>
  <c r="N143" i="10"/>
  <c r="M143" i="10"/>
  <c r="L143" i="10"/>
  <c r="K143" i="10"/>
  <c r="J143" i="10"/>
  <c r="I143" i="10"/>
  <c r="H143" i="10"/>
  <c r="G143" i="10"/>
  <c r="F143" i="10"/>
  <c r="E143" i="10"/>
  <c r="D143" i="10"/>
  <c r="C143" i="10"/>
  <c r="B143" i="10"/>
  <c r="A143" i="10"/>
  <c r="AN142" i="10"/>
  <c r="AM142" i="10"/>
  <c r="AL142" i="10"/>
  <c r="AK142" i="10"/>
  <c r="AJ142" i="10"/>
  <c r="AI142" i="10"/>
  <c r="AH142" i="10"/>
  <c r="AG142" i="10"/>
  <c r="AF142" i="10"/>
  <c r="AE142" i="10"/>
  <c r="AD142" i="10"/>
  <c r="AC142" i="10"/>
  <c r="AB142" i="10"/>
  <c r="AA142" i="10"/>
  <c r="Z142" i="10"/>
  <c r="Y142" i="10"/>
  <c r="X142" i="10"/>
  <c r="W142" i="10"/>
  <c r="U142" i="10"/>
  <c r="T142" i="10"/>
  <c r="S142" i="10"/>
  <c r="R142" i="10"/>
  <c r="Q142" i="10"/>
  <c r="P142" i="10"/>
  <c r="O142" i="10"/>
  <c r="N142" i="10"/>
  <c r="M142" i="10"/>
  <c r="L142" i="10"/>
  <c r="K142" i="10"/>
  <c r="J142" i="10"/>
  <c r="I142" i="10"/>
  <c r="H142" i="10"/>
  <c r="G142" i="10"/>
  <c r="F142" i="10"/>
  <c r="E142" i="10"/>
  <c r="D142" i="10"/>
  <c r="C142" i="10"/>
  <c r="B142" i="10"/>
  <c r="A142" i="10"/>
  <c r="AN141" i="10"/>
  <c r="AM141" i="10"/>
  <c r="AL141" i="10"/>
  <c r="AK141" i="10"/>
  <c r="AJ141" i="10"/>
  <c r="AI141" i="10"/>
  <c r="AH141" i="10"/>
  <c r="AG141" i="10"/>
  <c r="AF141" i="10"/>
  <c r="AE141" i="10"/>
  <c r="AD141" i="10"/>
  <c r="AC141" i="10"/>
  <c r="AB141" i="10"/>
  <c r="AA141" i="10"/>
  <c r="Z141" i="10"/>
  <c r="Y141" i="10"/>
  <c r="X141" i="10"/>
  <c r="W141" i="10"/>
  <c r="U141" i="10"/>
  <c r="T141" i="10"/>
  <c r="S141" i="10"/>
  <c r="R141" i="10"/>
  <c r="Q141" i="10"/>
  <c r="P141" i="10"/>
  <c r="O141" i="10"/>
  <c r="N141" i="10"/>
  <c r="M141" i="10"/>
  <c r="L141" i="10"/>
  <c r="K141" i="10"/>
  <c r="J141" i="10"/>
  <c r="I141" i="10"/>
  <c r="H141" i="10"/>
  <c r="G141" i="10"/>
  <c r="F141" i="10"/>
  <c r="E141" i="10"/>
  <c r="D141" i="10"/>
  <c r="C141" i="10"/>
  <c r="B141" i="10"/>
  <c r="A141" i="10"/>
  <c r="AN140" i="10"/>
  <c r="AM140" i="10"/>
  <c r="AL140" i="10"/>
  <c r="AK140" i="10"/>
  <c r="AJ140" i="10"/>
  <c r="AI140" i="10"/>
  <c r="AH140" i="10"/>
  <c r="AG140" i="10"/>
  <c r="AF140" i="10"/>
  <c r="AE140" i="10"/>
  <c r="AD140" i="10"/>
  <c r="AC140" i="10"/>
  <c r="AB140" i="10"/>
  <c r="AA140" i="10"/>
  <c r="Z140" i="10"/>
  <c r="Y140" i="10"/>
  <c r="X140" i="10"/>
  <c r="W140" i="10"/>
  <c r="U140" i="10"/>
  <c r="T140" i="10"/>
  <c r="S140" i="10"/>
  <c r="R140" i="10"/>
  <c r="Q140" i="10"/>
  <c r="P140" i="10"/>
  <c r="O140" i="10"/>
  <c r="N140" i="10"/>
  <c r="M140" i="10"/>
  <c r="L140" i="10"/>
  <c r="K140" i="10"/>
  <c r="J140" i="10"/>
  <c r="I140" i="10"/>
  <c r="H140" i="10"/>
  <c r="G140" i="10"/>
  <c r="F140" i="10"/>
  <c r="E140" i="10"/>
  <c r="D140" i="10"/>
  <c r="C140" i="10"/>
  <c r="B140" i="10"/>
  <c r="A140" i="10"/>
  <c r="AN139" i="10"/>
  <c r="AM139" i="10"/>
  <c r="AL139" i="10"/>
  <c r="AK139" i="10"/>
  <c r="AJ139" i="10"/>
  <c r="AI139" i="10"/>
  <c r="AH139" i="10"/>
  <c r="AG139" i="10"/>
  <c r="AF139" i="10"/>
  <c r="AE139" i="10"/>
  <c r="AD139" i="10"/>
  <c r="AC139" i="10"/>
  <c r="AB139" i="10"/>
  <c r="AA139" i="10"/>
  <c r="Z139" i="10"/>
  <c r="Y139" i="10"/>
  <c r="X139" i="10"/>
  <c r="W139" i="10"/>
  <c r="U139" i="10"/>
  <c r="T139" i="10"/>
  <c r="S139" i="10"/>
  <c r="R139" i="10"/>
  <c r="Q139" i="10"/>
  <c r="P139" i="10"/>
  <c r="O139" i="10"/>
  <c r="N139" i="10"/>
  <c r="M139" i="10"/>
  <c r="L139" i="10"/>
  <c r="K139" i="10"/>
  <c r="J139" i="10"/>
  <c r="I139" i="10"/>
  <c r="H139" i="10"/>
  <c r="G139" i="10"/>
  <c r="F139" i="10"/>
  <c r="E139" i="10"/>
  <c r="D139" i="10"/>
  <c r="C139" i="10"/>
  <c r="B139" i="10"/>
  <c r="A139" i="10"/>
  <c r="AN138" i="10"/>
  <c r="AM138" i="10"/>
  <c r="AL138" i="10"/>
  <c r="AK138" i="10"/>
  <c r="AJ138" i="10"/>
  <c r="AI138" i="10"/>
  <c r="AH138" i="10"/>
  <c r="AG138" i="10"/>
  <c r="AF138" i="10"/>
  <c r="AE138" i="10"/>
  <c r="AD138" i="10"/>
  <c r="AC138" i="10"/>
  <c r="AB138" i="10"/>
  <c r="AA138" i="10"/>
  <c r="Z138" i="10"/>
  <c r="Y138" i="10"/>
  <c r="X138" i="10"/>
  <c r="W138" i="10"/>
  <c r="U138" i="10"/>
  <c r="T138" i="10"/>
  <c r="S138" i="10"/>
  <c r="R138" i="10"/>
  <c r="Q138" i="10"/>
  <c r="P138" i="10"/>
  <c r="O138" i="10"/>
  <c r="N138" i="10"/>
  <c r="M138" i="10"/>
  <c r="L138" i="10"/>
  <c r="K138" i="10"/>
  <c r="J138" i="10"/>
  <c r="I138" i="10"/>
  <c r="H138" i="10"/>
  <c r="G138" i="10"/>
  <c r="F138" i="10"/>
  <c r="E138" i="10"/>
  <c r="D138" i="10"/>
  <c r="C138" i="10"/>
  <c r="B138" i="10"/>
  <c r="A138" i="10"/>
  <c r="AN137" i="10"/>
  <c r="AM137" i="10"/>
  <c r="AL137" i="10"/>
  <c r="AK137" i="10"/>
  <c r="AJ137" i="10"/>
  <c r="AI137" i="10"/>
  <c r="AH137" i="10"/>
  <c r="AG137" i="10"/>
  <c r="AF137" i="10"/>
  <c r="AE137" i="10"/>
  <c r="AD137" i="10"/>
  <c r="AC137" i="10"/>
  <c r="AB137" i="10"/>
  <c r="AA137" i="10"/>
  <c r="Z137" i="10"/>
  <c r="Y137" i="10"/>
  <c r="X137" i="10"/>
  <c r="W137" i="10"/>
  <c r="U137" i="10"/>
  <c r="T137" i="10"/>
  <c r="S137" i="10"/>
  <c r="R137" i="10"/>
  <c r="Q137" i="10"/>
  <c r="P137" i="10"/>
  <c r="O137" i="10"/>
  <c r="N137" i="10"/>
  <c r="M137" i="10"/>
  <c r="L137" i="10"/>
  <c r="K137" i="10"/>
  <c r="J137" i="10"/>
  <c r="I137" i="10"/>
  <c r="H137" i="10"/>
  <c r="G137" i="10"/>
  <c r="F137" i="10"/>
  <c r="E137" i="10"/>
  <c r="D137" i="10"/>
  <c r="C137" i="10"/>
  <c r="B137" i="10"/>
  <c r="A137" i="10"/>
  <c r="AN136" i="10"/>
  <c r="AM136" i="10"/>
  <c r="AL136" i="10"/>
  <c r="AK136" i="10"/>
  <c r="AJ136" i="10"/>
  <c r="AI136" i="10"/>
  <c r="AH136" i="10"/>
  <c r="AG136" i="10"/>
  <c r="AF136" i="10"/>
  <c r="AE136" i="10"/>
  <c r="AD136" i="10"/>
  <c r="AC136" i="10"/>
  <c r="AB136" i="10"/>
  <c r="AA136" i="10"/>
  <c r="Z136" i="10"/>
  <c r="Y136" i="10"/>
  <c r="X136" i="10"/>
  <c r="W136" i="10"/>
  <c r="U136" i="10"/>
  <c r="T136" i="10"/>
  <c r="S136" i="10"/>
  <c r="R136" i="10"/>
  <c r="Q136" i="10"/>
  <c r="P136" i="10"/>
  <c r="O136" i="10"/>
  <c r="N136" i="10"/>
  <c r="M136" i="10"/>
  <c r="L136" i="10"/>
  <c r="K136" i="10"/>
  <c r="J136" i="10"/>
  <c r="I136" i="10"/>
  <c r="H136" i="10"/>
  <c r="G136" i="10"/>
  <c r="F136" i="10"/>
  <c r="E136" i="10"/>
  <c r="D136" i="10"/>
  <c r="C136" i="10"/>
  <c r="B136" i="10"/>
  <c r="A136" i="10"/>
  <c r="AN135" i="10"/>
  <c r="AM135" i="10"/>
  <c r="AL135" i="10"/>
  <c r="AK135" i="10"/>
  <c r="AJ135" i="10"/>
  <c r="AI135" i="10"/>
  <c r="AH135" i="10"/>
  <c r="AG135" i="10"/>
  <c r="AF135" i="10"/>
  <c r="AE135" i="10"/>
  <c r="AD135" i="10"/>
  <c r="AC135" i="10"/>
  <c r="AB135" i="10"/>
  <c r="AA135" i="10"/>
  <c r="Z135" i="10"/>
  <c r="Y135" i="10"/>
  <c r="X135" i="10"/>
  <c r="W135" i="10"/>
  <c r="U135" i="10"/>
  <c r="T135" i="10"/>
  <c r="S135" i="10"/>
  <c r="R135" i="10"/>
  <c r="Q135" i="10"/>
  <c r="P135" i="10"/>
  <c r="O135" i="10"/>
  <c r="N135" i="10"/>
  <c r="M135" i="10"/>
  <c r="L135" i="10"/>
  <c r="K135" i="10"/>
  <c r="J135" i="10"/>
  <c r="I135" i="10"/>
  <c r="H135" i="10"/>
  <c r="G135" i="10"/>
  <c r="F135" i="10"/>
  <c r="E135" i="10"/>
  <c r="D135" i="10"/>
  <c r="C135" i="10"/>
  <c r="B135" i="10"/>
  <c r="A135" i="10"/>
  <c r="AN134" i="10"/>
  <c r="AM134" i="10"/>
  <c r="AL134" i="10"/>
  <c r="AK134" i="10"/>
  <c r="AJ134" i="10"/>
  <c r="AI134" i="10"/>
  <c r="AH134" i="10"/>
  <c r="AG134" i="10"/>
  <c r="AF134" i="10"/>
  <c r="AE134" i="10"/>
  <c r="AD134" i="10"/>
  <c r="AC134" i="10"/>
  <c r="AB134" i="10"/>
  <c r="AA134" i="10"/>
  <c r="Z134" i="10"/>
  <c r="Y134" i="10"/>
  <c r="X134" i="10"/>
  <c r="W134" i="10"/>
  <c r="U134" i="10"/>
  <c r="T134" i="10"/>
  <c r="S134" i="10"/>
  <c r="R134" i="10"/>
  <c r="Q134" i="10"/>
  <c r="P134" i="10"/>
  <c r="O134" i="10"/>
  <c r="N134" i="10"/>
  <c r="M134" i="10"/>
  <c r="L134" i="10"/>
  <c r="K134" i="10"/>
  <c r="J134" i="10"/>
  <c r="I134" i="10"/>
  <c r="H134" i="10"/>
  <c r="G134" i="10"/>
  <c r="F134" i="10"/>
  <c r="E134" i="10"/>
  <c r="D134" i="10"/>
  <c r="C134" i="10"/>
  <c r="B134" i="10"/>
  <c r="A134" i="10"/>
  <c r="AN133" i="10"/>
  <c r="AM133" i="10"/>
  <c r="AL133" i="10"/>
  <c r="AK133" i="10"/>
  <c r="AJ133" i="10"/>
  <c r="AI133" i="10"/>
  <c r="AH133" i="10"/>
  <c r="AG133" i="10"/>
  <c r="AF133" i="10"/>
  <c r="AE133" i="10"/>
  <c r="AD133" i="10"/>
  <c r="AC133" i="10"/>
  <c r="AB133" i="10"/>
  <c r="AA133" i="10"/>
  <c r="Z133" i="10"/>
  <c r="Y133" i="10"/>
  <c r="X133" i="10"/>
  <c r="W133" i="10"/>
  <c r="U133" i="10"/>
  <c r="T133" i="10"/>
  <c r="S133" i="10"/>
  <c r="R133" i="10"/>
  <c r="Q133" i="10"/>
  <c r="P133" i="10"/>
  <c r="O133" i="10"/>
  <c r="N133" i="10"/>
  <c r="M133" i="10"/>
  <c r="L133" i="10"/>
  <c r="K133" i="10"/>
  <c r="J133" i="10"/>
  <c r="I133" i="10"/>
  <c r="H133" i="10"/>
  <c r="G133" i="10"/>
  <c r="F133" i="10"/>
  <c r="E133" i="10"/>
  <c r="D133" i="10"/>
  <c r="C133" i="10"/>
  <c r="B133" i="10"/>
  <c r="A133" i="10"/>
  <c r="AN132" i="10"/>
  <c r="AM132" i="10"/>
  <c r="AL132" i="10"/>
  <c r="AK132" i="10"/>
  <c r="AJ132" i="10"/>
  <c r="AI132" i="10"/>
  <c r="AH132" i="10"/>
  <c r="AG132" i="10"/>
  <c r="AF132" i="10"/>
  <c r="AE132" i="10"/>
  <c r="AD132" i="10"/>
  <c r="AC132" i="10"/>
  <c r="AB132" i="10"/>
  <c r="AA132" i="10"/>
  <c r="Z132" i="10"/>
  <c r="Y132" i="10"/>
  <c r="X132" i="10"/>
  <c r="W132" i="10"/>
  <c r="U132" i="10"/>
  <c r="T132" i="10"/>
  <c r="S132" i="10"/>
  <c r="R132" i="10"/>
  <c r="Q132" i="10"/>
  <c r="P132" i="10"/>
  <c r="O132" i="10"/>
  <c r="N132" i="10"/>
  <c r="M132" i="10"/>
  <c r="L132" i="10"/>
  <c r="K132" i="10"/>
  <c r="J132" i="10"/>
  <c r="I132" i="10"/>
  <c r="H132" i="10"/>
  <c r="G132" i="10"/>
  <c r="F132" i="10"/>
  <c r="E132" i="10"/>
  <c r="D132" i="10"/>
  <c r="C132" i="10"/>
  <c r="B132" i="10"/>
  <c r="A132" i="10"/>
  <c r="AN131" i="10"/>
  <c r="AM131" i="10"/>
  <c r="AL131" i="10"/>
  <c r="AK131" i="10"/>
  <c r="AJ131" i="10"/>
  <c r="AI131" i="10"/>
  <c r="AH131" i="10"/>
  <c r="AG131" i="10"/>
  <c r="AF131" i="10"/>
  <c r="AE131" i="10"/>
  <c r="AD131" i="10"/>
  <c r="AC131" i="10"/>
  <c r="AB131" i="10"/>
  <c r="AA131" i="10"/>
  <c r="Z131" i="10"/>
  <c r="Y131" i="10"/>
  <c r="X131" i="10"/>
  <c r="W131" i="10"/>
  <c r="U131" i="10"/>
  <c r="T131" i="10"/>
  <c r="S131" i="10"/>
  <c r="R131" i="10"/>
  <c r="Q131" i="10"/>
  <c r="P131" i="10"/>
  <c r="O131" i="10"/>
  <c r="N131" i="10"/>
  <c r="M131" i="10"/>
  <c r="L131" i="10"/>
  <c r="K131" i="10"/>
  <c r="J131" i="10"/>
  <c r="I131" i="10"/>
  <c r="H131" i="10"/>
  <c r="G131" i="10"/>
  <c r="F131" i="10"/>
  <c r="E131" i="10"/>
  <c r="D131" i="10"/>
  <c r="C131" i="10"/>
  <c r="B131" i="10"/>
  <c r="A131" i="10"/>
  <c r="AN130" i="10"/>
  <c r="AM130" i="10"/>
  <c r="AL130" i="10"/>
  <c r="AK130" i="10"/>
  <c r="AJ130" i="10"/>
  <c r="AI130" i="10"/>
  <c r="AH130" i="10"/>
  <c r="AG130" i="10"/>
  <c r="AF130" i="10"/>
  <c r="AE130" i="10"/>
  <c r="AD130" i="10"/>
  <c r="AC130" i="10"/>
  <c r="AB130" i="10"/>
  <c r="AA130" i="10"/>
  <c r="Z130" i="10"/>
  <c r="Y130" i="10"/>
  <c r="X130" i="10"/>
  <c r="W130" i="10"/>
  <c r="U130" i="10"/>
  <c r="T130" i="10"/>
  <c r="S130" i="10"/>
  <c r="R130" i="10"/>
  <c r="Q130" i="10"/>
  <c r="P130" i="10"/>
  <c r="O130" i="10"/>
  <c r="N130" i="10"/>
  <c r="M130" i="10"/>
  <c r="L130" i="10"/>
  <c r="K130" i="10"/>
  <c r="J130" i="10"/>
  <c r="I130" i="10"/>
  <c r="H130" i="10"/>
  <c r="G130" i="10"/>
  <c r="F130" i="10"/>
  <c r="E130" i="10"/>
  <c r="D130" i="10"/>
  <c r="C130" i="10"/>
  <c r="B130" i="10"/>
  <c r="A130" i="10"/>
  <c r="AN129" i="10"/>
  <c r="AM129" i="10"/>
  <c r="AL129" i="10"/>
  <c r="AK129" i="10"/>
  <c r="AJ129" i="10"/>
  <c r="AI129" i="10"/>
  <c r="AH129" i="10"/>
  <c r="AG129" i="10"/>
  <c r="AF129" i="10"/>
  <c r="AE129" i="10"/>
  <c r="AD129" i="10"/>
  <c r="AC129" i="10"/>
  <c r="AB129" i="10"/>
  <c r="AA129" i="10"/>
  <c r="Z129" i="10"/>
  <c r="Y129" i="10"/>
  <c r="X129" i="10"/>
  <c r="W129" i="10"/>
  <c r="U129" i="10"/>
  <c r="T129" i="10"/>
  <c r="S129" i="10"/>
  <c r="R129" i="10"/>
  <c r="Q129" i="10"/>
  <c r="P129" i="10"/>
  <c r="O129" i="10"/>
  <c r="N129" i="10"/>
  <c r="M129" i="10"/>
  <c r="L129" i="10"/>
  <c r="K129" i="10"/>
  <c r="J129" i="10"/>
  <c r="I129" i="10"/>
  <c r="H129" i="10"/>
  <c r="G129" i="10"/>
  <c r="F129" i="10"/>
  <c r="E129" i="10"/>
  <c r="D129" i="10"/>
  <c r="C129" i="10"/>
  <c r="B129" i="10"/>
  <c r="A129" i="10"/>
  <c r="AN128" i="10"/>
  <c r="AM128" i="10"/>
  <c r="AL128" i="10"/>
  <c r="AK128" i="10"/>
  <c r="AJ128" i="10"/>
  <c r="AI128" i="10"/>
  <c r="AH128" i="10"/>
  <c r="AG128" i="10"/>
  <c r="AF128" i="10"/>
  <c r="AE128" i="10"/>
  <c r="AD128" i="10"/>
  <c r="AC128" i="10"/>
  <c r="AB128" i="10"/>
  <c r="AA128" i="10"/>
  <c r="Z128" i="10"/>
  <c r="Y128" i="10"/>
  <c r="X128" i="10"/>
  <c r="W128" i="10"/>
  <c r="U128" i="10"/>
  <c r="T128" i="10"/>
  <c r="S128" i="10"/>
  <c r="R128" i="10"/>
  <c r="Q128" i="10"/>
  <c r="P128" i="10"/>
  <c r="O128" i="10"/>
  <c r="N128" i="10"/>
  <c r="M128" i="10"/>
  <c r="L128" i="10"/>
  <c r="K128" i="10"/>
  <c r="J128" i="10"/>
  <c r="I128" i="10"/>
  <c r="H128" i="10"/>
  <c r="G128" i="10"/>
  <c r="F128" i="10"/>
  <c r="E128" i="10"/>
  <c r="D128" i="10"/>
  <c r="C128" i="10"/>
  <c r="B128" i="10"/>
  <c r="A128" i="10"/>
  <c r="AN127" i="10"/>
  <c r="AM127" i="10"/>
  <c r="AL127" i="10"/>
  <c r="AK127" i="10"/>
  <c r="AJ127" i="10"/>
  <c r="AI127" i="10"/>
  <c r="AH127" i="10"/>
  <c r="AG127" i="10"/>
  <c r="AF127" i="10"/>
  <c r="AE127" i="10"/>
  <c r="AD127" i="10"/>
  <c r="AC127" i="10"/>
  <c r="AB127" i="10"/>
  <c r="AA127" i="10"/>
  <c r="Z127" i="10"/>
  <c r="Y127" i="10"/>
  <c r="X127" i="10"/>
  <c r="W127" i="10"/>
  <c r="U127" i="10"/>
  <c r="T127" i="10"/>
  <c r="S127" i="10"/>
  <c r="R127" i="10"/>
  <c r="Q127" i="10"/>
  <c r="P127" i="10"/>
  <c r="O127" i="10"/>
  <c r="N127" i="10"/>
  <c r="M127" i="10"/>
  <c r="L127" i="10"/>
  <c r="K127" i="10"/>
  <c r="J127" i="10"/>
  <c r="I127" i="10"/>
  <c r="H127" i="10"/>
  <c r="G127" i="10"/>
  <c r="F127" i="10"/>
  <c r="E127" i="10"/>
  <c r="D127" i="10"/>
  <c r="C127" i="10"/>
  <c r="B127" i="10"/>
  <c r="A127" i="10"/>
  <c r="AN126" i="10"/>
  <c r="AM126" i="10"/>
  <c r="AL126" i="10"/>
  <c r="AK126" i="10"/>
  <c r="AJ126" i="10"/>
  <c r="AI126" i="10"/>
  <c r="AH126" i="10"/>
  <c r="AG126" i="10"/>
  <c r="AF126" i="10"/>
  <c r="AE126" i="10"/>
  <c r="AD126" i="10"/>
  <c r="AC126" i="10"/>
  <c r="AB126" i="10"/>
  <c r="AA126" i="10"/>
  <c r="Z126" i="10"/>
  <c r="Y126" i="10"/>
  <c r="X126" i="10"/>
  <c r="W126" i="10"/>
  <c r="U126" i="10"/>
  <c r="T126" i="10"/>
  <c r="S126" i="10"/>
  <c r="R126" i="10"/>
  <c r="Q126" i="10"/>
  <c r="P126" i="10"/>
  <c r="O126" i="10"/>
  <c r="N126" i="10"/>
  <c r="M126" i="10"/>
  <c r="L126" i="10"/>
  <c r="K126" i="10"/>
  <c r="J126" i="10"/>
  <c r="I126" i="10"/>
  <c r="H126" i="10"/>
  <c r="G126" i="10"/>
  <c r="F126" i="10"/>
  <c r="E126" i="10"/>
  <c r="D126" i="10"/>
  <c r="C126" i="10"/>
  <c r="B126" i="10"/>
  <c r="A126" i="10"/>
  <c r="AN125" i="10"/>
  <c r="AM125" i="10"/>
  <c r="AL125" i="10"/>
  <c r="AK125" i="10"/>
  <c r="AJ125" i="10"/>
  <c r="AI125" i="10"/>
  <c r="AH125" i="10"/>
  <c r="AG125" i="10"/>
  <c r="AF125" i="10"/>
  <c r="AE125" i="10"/>
  <c r="AD125" i="10"/>
  <c r="AC125" i="10"/>
  <c r="AB125" i="10"/>
  <c r="AA125" i="10"/>
  <c r="Z125" i="10"/>
  <c r="Y125" i="10"/>
  <c r="X125" i="10"/>
  <c r="W125" i="10"/>
  <c r="U125" i="10"/>
  <c r="T125" i="10"/>
  <c r="S125" i="10"/>
  <c r="R125" i="10"/>
  <c r="Q125" i="10"/>
  <c r="P125" i="10"/>
  <c r="O125" i="10"/>
  <c r="N125" i="10"/>
  <c r="M125" i="10"/>
  <c r="L125" i="10"/>
  <c r="K125" i="10"/>
  <c r="J125" i="10"/>
  <c r="I125" i="10"/>
  <c r="H125" i="10"/>
  <c r="G125" i="10"/>
  <c r="F125" i="10"/>
  <c r="E125" i="10"/>
  <c r="D125" i="10"/>
  <c r="C125" i="10"/>
  <c r="B125" i="10"/>
  <c r="A125" i="10"/>
  <c r="AN124" i="10"/>
  <c r="AM124" i="10"/>
  <c r="AL124" i="10"/>
  <c r="AK124" i="10"/>
  <c r="AJ124" i="10"/>
  <c r="AI124" i="10"/>
  <c r="AH124" i="10"/>
  <c r="AG124" i="10"/>
  <c r="AF124" i="10"/>
  <c r="AE124" i="10"/>
  <c r="AD124" i="10"/>
  <c r="AC124" i="10"/>
  <c r="AB124" i="10"/>
  <c r="AA124" i="10"/>
  <c r="Z124" i="10"/>
  <c r="Y124" i="10"/>
  <c r="X124" i="10"/>
  <c r="W124" i="10"/>
  <c r="U124" i="10"/>
  <c r="T124" i="10"/>
  <c r="S124" i="10"/>
  <c r="R124" i="10"/>
  <c r="Q124" i="10"/>
  <c r="P124" i="10"/>
  <c r="O124" i="10"/>
  <c r="N124" i="10"/>
  <c r="M124" i="10"/>
  <c r="L124" i="10"/>
  <c r="K124" i="10"/>
  <c r="J124" i="10"/>
  <c r="I124" i="10"/>
  <c r="H124" i="10"/>
  <c r="G124" i="10"/>
  <c r="F124" i="10"/>
  <c r="E124" i="10"/>
  <c r="D124" i="10"/>
  <c r="C124" i="10"/>
  <c r="B124" i="10"/>
  <c r="A124" i="10"/>
  <c r="AN123" i="10"/>
  <c r="AM123" i="10"/>
  <c r="AL123" i="10"/>
  <c r="AK123" i="10"/>
  <c r="AJ123" i="10"/>
  <c r="AI123" i="10"/>
  <c r="AH123" i="10"/>
  <c r="AG123" i="10"/>
  <c r="AF123" i="10"/>
  <c r="AE123" i="10"/>
  <c r="AD123" i="10"/>
  <c r="AC123" i="10"/>
  <c r="AB123" i="10"/>
  <c r="AA123" i="10"/>
  <c r="Z123" i="10"/>
  <c r="Y123" i="10"/>
  <c r="X123" i="10"/>
  <c r="W123" i="10"/>
  <c r="U123" i="10"/>
  <c r="T123" i="10"/>
  <c r="S123" i="10"/>
  <c r="R123" i="10"/>
  <c r="Q123" i="10"/>
  <c r="P123" i="10"/>
  <c r="O123" i="10"/>
  <c r="N123" i="10"/>
  <c r="M123" i="10"/>
  <c r="L123" i="10"/>
  <c r="K123" i="10"/>
  <c r="J123" i="10"/>
  <c r="I123" i="10"/>
  <c r="H123" i="10"/>
  <c r="G123" i="10"/>
  <c r="F123" i="10"/>
  <c r="E123" i="10"/>
  <c r="D123" i="10"/>
  <c r="C123" i="10"/>
  <c r="B123" i="10"/>
  <c r="A123" i="10"/>
  <c r="AN122" i="10"/>
  <c r="AM122" i="10"/>
  <c r="AL122" i="10"/>
  <c r="AK122" i="10"/>
  <c r="AJ122" i="10"/>
  <c r="AI122" i="10"/>
  <c r="AH122" i="10"/>
  <c r="AG122" i="10"/>
  <c r="AF122" i="10"/>
  <c r="AE122" i="10"/>
  <c r="AD122" i="10"/>
  <c r="AC122" i="10"/>
  <c r="AB122" i="10"/>
  <c r="AA122" i="10"/>
  <c r="Z122" i="10"/>
  <c r="Y122" i="10"/>
  <c r="X122" i="10"/>
  <c r="W122" i="10"/>
  <c r="U122" i="10"/>
  <c r="T122" i="10"/>
  <c r="S122" i="10"/>
  <c r="R122" i="10"/>
  <c r="Q122" i="10"/>
  <c r="P122" i="10"/>
  <c r="O122" i="10"/>
  <c r="N122" i="10"/>
  <c r="M122" i="10"/>
  <c r="L122" i="10"/>
  <c r="K122" i="10"/>
  <c r="J122" i="10"/>
  <c r="I122" i="10"/>
  <c r="H122" i="10"/>
  <c r="G122" i="10"/>
  <c r="F122" i="10"/>
  <c r="E122" i="10"/>
  <c r="D122" i="10"/>
  <c r="C122" i="10"/>
  <c r="B122" i="10"/>
  <c r="A122" i="10"/>
  <c r="AN121" i="10"/>
  <c r="AM121" i="10"/>
  <c r="AL121" i="10"/>
  <c r="AK121" i="10"/>
  <c r="AJ121" i="10"/>
  <c r="AI121" i="10"/>
  <c r="AH121" i="10"/>
  <c r="AG121" i="10"/>
  <c r="AF121" i="10"/>
  <c r="AE121" i="10"/>
  <c r="AD121" i="10"/>
  <c r="AC121" i="10"/>
  <c r="AB121" i="10"/>
  <c r="AA121" i="10"/>
  <c r="Z121" i="10"/>
  <c r="Y121" i="10"/>
  <c r="X121" i="10"/>
  <c r="W121" i="10"/>
  <c r="U121" i="10"/>
  <c r="T121" i="10"/>
  <c r="S121" i="10"/>
  <c r="R121" i="10"/>
  <c r="Q121" i="10"/>
  <c r="P121" i="10"/>
  <c r="O121" i="10"/>
  <c r="N121" i="10"/>
  <c r="M121" i="10"/>
  <c r="L121" i="10"/>
  <c r="K121" i="10"/>
  <c r="J121" i="10"/>
  <c r="I121" i="10"/>
  <c r="H121" i="10"/>
  <c r="G121" i="10"/>
  <c r="F121" i="10"/>
  <c r="E121" i="10"/>
  <c r="D121" i="10"/>
  <c r="C121" i="10"/>
  <c r="B121" i="10"/>
  <c r="A121" i="10"/>
  <c r="AN120" i="10"/>
  <c r="AM120" i="10"/>
  <c r="AL120" i="10"/>
  <c r="AK120" i="10"/>
  <c r="AJ120" i="10"/>
  <c r="AI120" i="10"/>
  <c r="AH120" i="10"/>
  <c r="AG120" i="10"/>
  <c r="AF120" i="10"/>
  <c r="AE120" i="10"/>
  <c r="AD120" i="10"/>
  <c r="AC120" i="10"/>
  <c r="AB120" i="10"/>
  <c r="AA120" i="10"/>
  <c r="Z120" i="10"/>
  <c r="Y120" i="10"/>
  <c r="X120" i="10"/>
  <c r="W120" i="10"/>
  <c r="U120" i="10"/>
  <c r="T120" i="10"/>
  <c r="S120" i="10"/>
  <c r="R120" i="10"/>
  <c r="Q120" i="10"/>
  <c r="P120" i="10"/>
  <c r="O120" i="10"/>
  <c r="N120" i="10"/>
  <c r="M120" i="10"/>
  <c r="L120" i="10"/>
  <c r="K120" i="10"/>
  <c r="J120" i="10"/>
  <c r="I120" i="10"/>
  <c r="H120" i="10"/>
  <c r="G120" i="10"/>
  <c r="F120" i="10"/>
  <c r="E120" i="10"/>
  <c r="D120" i="10"/>
  <c r="C120" i="10"/>
  <c r="B120" i="10"/>
  <c r="A120" i="10"/>
  <c r="AN119" i="10"/>
  <c r="AM119" i="10"/>
  <c r="AL119" i="10"/>
  <c r="AK119" i="10"/>
  <c r="AJ119" i="10"/>
  <c r="AI119" i="10"/>
  <c r="AH119" i="10"/>
  <c r="AG119" i="10"/>
  <c r="AF119" i="10"/>
  <c r="AE119" i="10"/>
  <c r="AD119" i="10"/>
  <c r="AC119" i="10"/>
  <c r="AB119" i="10"/>
  <c r="AA119" i="10"/>
  <c r="Z119" i="10"/>
  <c r="Y119" i="10"/>
  <c r="X119" i="10"/>
  <c r="W119" i="10"/>
  <c r="U119" i="10"/>
  <c r="T119" i="10"/>
  <c r="S119" i="10"/>
  <c r="R119" i="10"/>
  <c r="Q119" i="10"/>
  <c r="P119" i="10"/>
  <c r="O119" i="10"/>
  <c r="N119" i="10"/>
  <c r="M119" i="10"/>
  <c r="L119" i="10"/>
  <c r="K119" i="10"/>
  <c r="J119" i="10"/>
  <c r="I119" i="10"/>
  <c r="H119" i="10"/>
  <c r="G119" i="10"/>
  <c r="F119" i="10"/>
  <c r="E119" i="10"/>
  <c r="D119" i="10"/>
  <c r="C119" i="10"/>
  <c r="B119" i="10"/>
  <c r="A119" i="10"/>
  <c r="AN118" i="10"/>
  <c r="AM118" i="10"/>
  <c r="AL118" i="10"/>
  <c r="AK118" i="10"/>
  <c r="AJ118" i="10"/>
  <c r="AI118" i="10"/>
  <c r="AH118" i="10"/>
  <c r="AG118" i="10"/>
  <c r="AF118" i="10"/>
  <c r="AE118" i="10"/>
  <c r="AD118" i="10"/>
  <c r="AC118" i="10"/>
  <c r="AB118" i="10"/>
  <c r="AA118" i="10"/>
  <c r="Z118" i="10"/>
  <c r="Y118" i="10"/>
  <c r="X118" i="10"/>
  <c r="W118" i="10"/>
  <c r="U118" i="10"/>
  <c r="T118" i="10"/>
  <c r="S118" i="10"/>
  <c r="R118" i="10"/>
  <c r="Q118" i="10"/>
  <c r="P118" i="10"/>
  <c r="O118" i="10"/>
  <c r="N118" i="10"/>
  <c r="M118" i="10"/>
  <c r="L118" i="10"/>
  <c r="K118" i="10"/>
  <c r="J118" i="10"/>
  <c r="I118" i="10"/>
  <c r="H118" i="10"/>
  <c r="G118" i="10"/>
  <c r="F118" i="10"/>
  <c r="E118" i="10"/>
  <c r="D118" i="10"/>
  <c r="C118" i="10"/>
  <c r="B118" i="10"/>
  <c r="A118" i="10"/>
  <c r="AN117" i="10"/>
  <c r="AM117" i="10"/>
  <c r="AL117" i="10"/>
  <c r="AK117" i="10"/>
  <c r="AJ117" i="10"/>
  <c r="AI117" i="10"/>
  <c r="AH117" i="10"/>
  <c r="AG117" i="10"/>
  <c r="AF117" i="10"/>
  <c r="AE117" i="10"/>
  <c r="AD117" i="10"/>
  <c r="AC117" i="10"/>
  <c r="AB117" i="10"/>
  <c r="AA117" i="10"/>
  <c r="Z117" i="10"/>
  <c r="Y117" i="10"/>
  <c r="X117" i="10"/>
  <c r="W117" i="10"/>
  <c r="U117" i="10"/>
  <c r="T117" i="10"/>
  <c r="S117" i="10"/>
  <c r="R117" i="10"/>
  <c r="Q117" i="10"/>
  <c r="P117" i="10"/>
  <c r="O117" i="10"/>
  <c r="N117" i="10"/>
  <c r="M117" i="10"/>
  <c r="L117" i="10"/>
  <c r="K117" i="10"/>
  <c r="J117" i="10"/>
  <c r="I117" i="10"/>
  <c r="H117" i="10"/>
  <c r="G117" i="10"/>
  <c r="F117" i="10"/>
  <c r="E117" i="10"/>
  <c r="D117" i="10"/>
  <c r="C117" i="10"/>
  <c r="B117" i="10"/>
  <c r="A117" i="10"/>
  <c r="AN116" i="10"/>
  <c r="AM116" i="10"/>
  <c r="AL116" i="10"/>
  <c r="AK116" i="10"/>
  <c r="AJ116" i="10"/>
  <c r="AI116" i="10"/>
  <c r="AH116" i="10"/>
  <c r="AG116" i="10"/>
  <c r="AF116" i="10"/>
  <c r="AE116" i="10"/>
  <c r="AD116" i="10"/>
  <c r="AC116" i="10"/>
  <c r="AB116" i="10"/>
  <c r="AA116" i="10"/>
  <c r="Z116" i="10"/>
  <c r="Y116" i="10"/>
  <c r="X116" i="10"/>
  <c r="W116" i="10"/>
  <c r="U116" i="10"/>
  <c r="T116" i="10"/>
  <c r="S116" i="10"/>
  <c r="R116" i="10"/>
  <c r="Q116" i="10"/>
  <c r="P116" i="10"/>
  <c r="O116" i="10"/>
  <c r="N116" i="10"/>
  <c r="M116" i="10"/>
  <c r="L116" i="10"/>
  <c r="K116" i="10"/>
  <c r="J116" i="10"/>
  <c r="I116" i="10"/>
  <c r="H116" i="10"/>
  <c r="G116" i="10"/>
  <c r="F116" i="10"/>
  <c r="E116" i="10"/>
  <c r="D116" i="10"/>
  <c r="C116" i="10"/>
  <c r="B116" i="10"/>
  <c r="A116" i="10"/>
  <c r="AN115" i="10"/>
  <c r="AM115" i="10"/>
  <c r="AL115" i="10"/>
  <c r="AK115" i="10"/>
  <c r="AJ115" i="10"/>
  <c r="AI115" i="10"/>
  <c r="AH115" i="10"/>
  <c r="AG115" i="10"/>
  <c r="AF115" i="10"/>
  <c r="AE115" i="10"/>
  <c r="AD115" i="10"/>
  <c r="AC115" i="10"/>
  <c r="AB115" i="10"/>
  <c r="AA115" i="10"/>
  <c r="Z115" i="10"/>
  <c r="Y115" i="10"/>
  <c r="X115" i="10"/>
  <c r="W115" i="10"/>
  <c r="U115" i="10"/>
  <c r="T115" i="10"/>
  <c r="S115" i="10"/>
  <c r="R115" i="10"/>
  <c r="Q115" i="10"/>
  <c r="P115" i="10"/>
  <c r="O115" i="10"/>
  <c r="N115" i="10"/>
  <c r="M115" i="10"/>
  <c r="L115" i="10"/>
  <c r="K115" i="10"/>
  <c r="J115" i="10"/>
  <c r="I115" i="10"/>
  <c r="H115" i="10"/>
  <c r="G115" i="10"/>
  <c r="F115" i="10"/>
  <c r="E115" i="10"/>
  <c r="D115" i="10"/>
  <c r="C115" i="10"/>
  <c r="B115" i="10"/>
  <c r="A115" i="10"/>
  <c r="AN114" i="10"/>
  <c r="AM114" i="10"/>
  <c r="AL114" i="10"/>
  <c r="AK114" i="10"/>
  <c r="AJ114" i="10"/>
  <c r="AI114" i="10"/>
  <c r="AH114" i="10"/>
  <c r="AG114" i="10"/>
  <c r="AF114" i="10"/>
  <c r="AE114" i="10"/>
  <c r="AD114" i="10"/>
  <c r="AC114" i="10"/>
  <c r="AB114" i="10"/>
  <c r="AA114" i="10"/>
  <c r="Z114" i="10"/>
  <c r="Y114" i="10"/>
  <c r="X114" i="10"/>
  <c r="W114" i="10"/>
  <c r="U114" i="10"/>
  <c r="T114" i="10"/>
  <c r="S114" i="10"/>
  <c r="R114" i="10"/>
  <c r="Q114" i="10"/>
  <c r="P114" i="10"/>
  <c r="O114" i="10"/>
  <c r="N114" i="10"/>
  <c r="M114" i="10"/>
  <c r="L114" i="10"/>
  <c r="K114" i="10"/>
  <c r="J114" i="10"/>
  <c r="I114" i="10"/>
  <c r="H114" i="10"/>
  <c r="G114" i="10"/>
  <c r="F114" i="10"/>
  <c r="E114" i="10"/>
  <c r="D114" i="10"/>
  <c r="C114" i="10"/>
  <c r="B114" i="10"/>
  <c r="A114" i="10"/>
  <c r="AN113" i="10"/>
  <c r="AM113" i="10"/>
  <c r="AL113" i="10"/>
  <c r="AK113" i="10"/>
  <c r="AJ113" i="10"/>
  <c r="AI113" i="10"/>
  <c r="AH113" i="10"/>
  <c r="AG113" i="10"/>
  <c r="AF113" i="10"/>
  <c r="AE113" i="10"/>
  <c r="AD113" i="10"/>
  <c r="AC113" i="10"/>
  <c r="AB113" i="10"/>
  <c r="AA113" i="10"/>
  <c r="Z113" i="10"/>
  <c r="Y113" i="10"/>
  <c r="X113" i="10"/>
  <c r="W113" i="10"/>
  <c r="U113" i="10"/>
  <c r="T113" i="10"/>
  <c r="S113" i="10"/>
  <c r="R113" i="10"/>
  <c r="Q113" i="10"/>
  <c r="P113" i="10"/>
  <c r="O113" i="10"/>
  <c r="N113" i="10"/>
  <c r="M113" i="10"/>
  <c r="L113" i="10"/>
  <c r="K113" i="10"/>
  <c r="J113" i="10"/>
  <c r="I113" i="10"/>
  <c r="H113" i="10"/>
  <c r="G113" i="10"/>
  <c r="F113" i="10"/>
  <c r="E113" i="10"/>
  <c r="D113" i="10"/>
  <c r="C113" i="10"/>
  <c r="B113" i="10"/>
  <c r="A113" i="10"/>
  <c r="AN112" i="10"/>
  <c r="AM112" i="10"/>
  <c r="AL112" i="10"/>
  <c r="AK112" i="10"/>
  <c r="AJ112" i="10"/>
  <c r="AI112" i="10"/>
  <c r="AH112" i="10"/>
  <c r="AG112" i="10"/>
  <c r="AF112" i="10"/>
  <c r="AE112" i="10"/>
  <c r="AD112" i="10"/>
  <c r="AC112" i="10"/>
  <c r="AB112" i="10"/>
  <c r="AA112" i="10"/>
  <c r="Z112" i="10"/>
  <c r="Y112" i="10"/>
  <c r="X112" i="10"/>
  <c r="W112" i="10"/>
  <c r="U112" i="10"/>
  <c r="T112" i="10"/>
  <c r="S112" i="10"/>
  <c r="R112" i="10"/>
  <c r="Q112" i="10"/>
  <c r="P112" i="10"/>
  <c r="O112" i="10"/>
  <c r="N112" i="10"/>
  <c r="M112" i="10"/>
  <c r="L112" i="10"/>
  <c r="K112" i="10"/>
  <c r="J112" i="10"/>
  <c r="I112" i="10"/>
  <c r="H112" i="10"/>
  <c r="G112" i="10"/>
  <c r="F112" i="10"/>
  <c r="E112" i="10"/>
  <c r="D112" i="10"/>
  <c r="C112" i="10"/>
  <c r="B112" i="10"/>
  <c r="A112" i="10"/>
  <c r="AN111" i="10"/>
  <c r="AM111" i="10"/>
  <c r="AL111" i="10"/>
  <c r="AK111" i="10"/>
  <c r="AJ111" i="10"/>
  <c r="AI111" i="10"/>
  <c r="AH111" i="10"/>
  <c r="AG111" i="10"/>
  <c r="AF111" i="10"/>
  <c r="AE111" i="10"/>
  <c r="AD111" i="10"/>
  <c r="AC111" i="10"/>
  <c r="AB111" i="10"/>
  <c r="AA111" i="10"/>
  <c r="Z111" i="10"/>
  <c r="Y111" i="10"/>
  <c r="X111" i="10"/>
  <c r="W111" i="10"/>
  <c r="U111" i="10"/>
  <c r="T111" i="10"/>
  <c r="S111" i="10"/>
  <c r="R111" i="10"/>
  <c r="Q111" i="10"/>
  <c r="P111" i="10"/>
  <c r="O111" i="10"/>
  <c r="N111" i="10"/>
  <c r="M111" i="10"/>
  <c r="L111" i="10"/>
  <c r="K111" i="10"/>
  <c r="J111" i="10"/>
  <c r="I111" i="10"/>
  <c r="H111" i="10"/>
  <c r="G111" i="10"/>
  <c r="F111" i="10"/>
  <c r="E111" i="10"/>
  <c r="D111" i="10"/>
  <c r="C111" i="10"/>
  <c r="B111" i="10"/>
  <c r="A111" i="10"/>
  <c r="AN110" i="10"/>
  <c r="AM110" i="10"/>
  <c r="AL110" i="10"/>
  <c r="AK110" i="10"/>
  <c r="AJ110" i="10"/>
  <c r="AI110" i="10"/>
  <c r="AH110" i="10"/>
  <c r="AG110" i="10"/>
  <c r="AF110" i="10"/>
  <c r="AE110" i="10"/>
  <c r="AD110" i="10"/>
  <c r="AC110" i="10"/>
  <c r="AB110" i="10"/>
  <c r="AA110" i="10"/>
  <c r="Z110" i="10"/>
  <c r="Y110" i="10"/>
  <c r="X110" i="10"/>
  <c r="W110" i="10"/>
  <c r="U110" i="10"/>
  <c r="T110" i="10"/>
  <c r="S110" i="10"/>
  <c r="R110" i="10"/>
  <c r="Q110" i="10"/>
  <c r="P110" i="10"/>
  <c r="O110" i="10"/>
  <c r="N110" i="10"/>
  <c r="M110" i="10"/>
  <c r="L110" i="10"/>
  <c r="K110" i="10"/>
  <c r="J110" i="10"/>
  <c r="I110" i="10"/>
  <c r="H110" i="10"/>
  <c r="G110" i="10"/>
  <c r="F110" i="10"/>
  <c r="E110" i="10"/>
  <c r="D110" i="10"/>
  <c r="C110" i="10"/>
  <c r="B110" i="10"/>
  <c r="A110" i="10"/>
  <c r="AN109" i="10"/>
  <c r="AM109" i="10"/>
  <c r="AL109" i="10"/>
  <c r="AK109" i="10"/>
  <c r="AJ109" i="10"/>
  <c r="AI109" i="10"/>
  <c r="AH109" i="10"/>
  <c r="AG109" i="10"/>
  <c r="AF109" i="10"/>
  <c r="AE109" i="10"/>
  <c r="AD109" i="10"/>
  <c r="AC109" i="10"/>
  <c r="AB109" i="10"/>
  <c r="AA109" i="10"/>
  <c r="Z109" i="10"/>
  <c r="Y109" i="10"/>
  <c r="X109" i="10"/>
  <c r="W109" i="10"/>
  <c r="U109" i="10"/>
  <c r="T109" i="10"/>
  <c r="S109" i="10"/>
  <c r="R109" i="10"/>
  <c r="Q109" i="10"/>
  <c r="P109" i="10"/>
  <c r="O109" i="10"/>
  <c r="N109" i="10"/>
  <c r="M109" i="10"/>
  <c r="L109" i="10"/>
  <c r="K109" i="10"/>
  <c r="J109" i="10"/>
  <c r="I109" i="10"/>
  <c r="H109" i="10"/>
  <c r="G109" i="10"/>
  <c r="F109" i="10"/>
  <c r="E109" i="10"/>
  <c r="D109" i="10"/>
  <c r="C109" i="10"/>
  <c r="B109" i="10"/>
  <c r="A109" i="10"/>
  <c r="AN108" i="10"/>
  <c r="AM108" i="10"/>
  <c r="AL108" i="10"/>
  <c r="AK108" i="10"/>
  <c r="AJ108" i="10"/>
  <c r="AI108" i="10"/>
  <c r="AH108" i="10"/>
  <c r="AG108" i="10"/>
  <c r="AF108" i="10"/>
  <c r="AE108" i="10"/>
  <c r="AD108" i="10"/>
  <c r="AC108" i="10"/>
  <c r="AB108" i="10"/>
  <c r="AA108" i="10"/>
  <c r="Z108" i="10"/>
  <c r="Y108" i="10"/>
  <c r="X108" i="10"/>
  <c r="W108" i="10"/>
  <c r="U108" i="10"/>
  <c r="T108" i="10"/>
  <c r="S108" i="10"/>
  <c r="R108" i="10"/>
  <c r="Q108" i="10"/>
  <c r="P108" i="10"/>
  <c r="O108" i="10"/>
  <c r="N108" i="10"/>
  <c r="M108" i="10"/>
  <c r="L108" i="10"/>
  <c r="K108" i="10"/>
  <c r="J108" i="10"/>
  <c r="I108" i="10"/>
  <c r="H108" i="10"/>
  <c r="G108" i="10"/>
  <c r="F108" i="10"/>
  <c r="E108" i="10"/>
  <c r="D108" i="10"/>
  <c r="C108" i="10"/>
  <c r="B108" i="10"/>
  <c r="A108" i="10"/>
  <c r="AN107" i="10"/>
  <c r="AM107" i="10"/>
  <c r="AL107" i="10"/>
  <c r="AK107" i="10"/>
  <c r="AJ107" i="10"/>
  <c r="AI107" i="10"/>
  <c r="AH107" i="10"/>
  <c r="AG107" i="10"/>
  <c r="AF107" i="10"/>
  <c r="AE107" i="10"/>
  <c r="AD107" i="10"/>
  <c r="AC107" i="10"/>
  <c r="AB107" i="10"/>
  <c r="AA107" i="10"/>
  <c r="Z107" i="10"/>
  <c r="Y107" i="10"/>
  <c r="X107" i="10"/>
  <c r="W107" i="10"/>
  <c r="U107" i="10"/>
  <c r="T107" i="10"/>
  <c r="S107" i="10"/>
  <c r="R107" i="10"/>
  <c r="Q107" i="10"/>
  <c r="P107" i="10"/>
  <c r="O107" i="10"/>
  <c r="N107" i="10"/>
  <c r="M107" i="10"/>
  <c r="L107" i="10"/>
  <c r="K107" i="10"/>
  <c r="J107" i="10"/>
  <c r="I107" i="10"/>
  <c r="H107" i="10"/>
  <c r="G107" i="10"/>
  <c r="F107" i="10"/>
  <c r="E107" i="10"/>
  <c r="D107" i="10"/>
  <c r="C107" i="10"/>
  <c r="B107" i="10"/>
  <c r="A107" i="10"/>
  <c r="AN106" i="10"/>
  <c r="AM106" i="10"/>
  <c r="AL106" i="10"/>
  <c r="AK106" i="10"/>
  <c r="AJ106" i="10"/>
  <c r="AI106" i="10"/>
  <c r="AH106" i="10"/>
  <c r="AG106" i="10"/>
  <c r="AF106" i="10"/>
  <c r="AE106" i="10"/>
  <c r="AD106" i="10"/>
  <c r="AC106" i="10"/>
  <c r="AB106" i="10"/>
  <c r="AA106" i="10"/>
  <c r="Z106" i="10"/>
  <c r="Y106" i="10"/>
  <c r="X106" i="10"/>
  <c r="W106" i="10"/>
  <c r="U106" i="10"/>
  <c r="T106" i="10"/>
  <c r="S106" i="10"/>
  <c r="R106" i="10"/>
  <c r="Q106" i="10"/>
  <c r="P106" i="10"/>
  <c r="O106" i="10"/>
  <c r="N106" i="10"/>
  <c r="M106" i="10"/>
  <c r="L106" i="10"/>
  <c r="K106" i="10"/>
  <c r="J106" i="10"/>
  <c r="I106" i="10"/>
  <c r="H106" i="10"/>
  <c r="G106" i="10"/>
  <c r="F106" i="10"/>
  <c r="E106" i="10"/>
  <c r="D106" i="10"/>
  <c r="C106" i="10"/>
  <c r="B106" i="10"/>
  <c r="A106" i="10"/>
  <c r="AN105" i="10"/>
  <c r="AM105" i="10"/>
  <c r="AL105" i="10"/>
  <c r="AK105" i="10"/>
  <c r="AJ105" i="10"/>
  <c r="AI105" i="10"/>
  <c r="AH105" i="10"/>
  <c r="AG105" i="10"/>
  <c r="AF105" i="10"/>
  <c r="AE105" i="10"/>
  <c r="AD105" i="10"/>
  <c r="AC105" i="10"/>
  <c r="AB105" i="10"/>
  <c r="AA105" i="10"/>
  <c r="Z105" i="10"/>
  <c r="Y105" i="10"/>
  <c r="X105" i="10"/>
  <c r="W105" i="10"/>
  <c r="U105" i="10"/>
  <c r="T105" i="10"/>
  <c r="S105" i="10"/>
  <c r="R105" i="10"/>
  <c r="Q105" i="10"/>
  <c r="P105" i="10"/>
  <c r="O105" i="10"/>
  <c r="N105" i="10"/>
  <c r="M105" i="10"/>
  <c r="L105" i="10"/>
  <c r="K105" i="10"/>
  <c r="J105" i="10"/>
  <c r="I105" i="10"/>
  <c r="H105" i="10"/>
  <c r="G105" i="10"/>
  <c r="F105" i="10"/>
  <c r="E105" i="10"/>
  <c r="D105" i="10"/>
  <c r="C105" i="10"/>
  <c r="B105" i="10"/>
  <c r="A105" i="10"/>
  <c r="AN104" i="10"/>
  <c r="AM104" i="10"/>
  <c r="AL104" i="10"/>
  <c r="AK104" i="10"/>
  <c r="AJ104" i="10"/>
  <c r="AI104" i="10"/>
  <c r="AH104" i="10"/>
  <c r="AG104" i="10"/>
  <c r="AF104" i="10"/>
  <c r="AE104" i="10"/>
  <c r="AD104" i="10"/>
  <c r="AC104" i="10"/>
  <c r="AB104" i="10"/>
  <c r="AA104" i="10"/>
  <c r="Z104" i="10"/>
  <c r="Y104" i="10"/>
  <c r="X104" i="10"/>
  <c r="W104" i="10"/>
  <c r="U104" i="10"/>
  <c r="T104" i="10"/>
  <c r="S104" i="10"/>
  <c r="R104" i="10"/>
  <c r="Q104" i="10"/>
  <c r="P104" i="10"/>
  <c r="O104" i="10"/>
  <c r="N104" i="10"/>
  <c r="M104" i="10"/>
  <c r="L104" i="10"/>
  <c r="K104" i="10"/>
  <c r="J104" i="10"/>
  <c r="I104" i="10"/>
  <c r="H104" i="10"/>
  <c r="G104" i="10"/>
  <c r="F104" i="10"/>
  <c r="E104" i="10"/>
  <c r="D104" i="10"/>
  <c r="C104" i="10"/>
  <c r="B104" i="10"/>
  <c r="A104" i="10"/>
  <c r="AN103" i="10"/>
  <c r="AM103" i="10"/>
  <c r="AL103" i="10"/>
  <c r="AK103" i="10"/>
  <c r="AJ103" i="10"/>
  <c r="AI103" i="10"/>
  <c r="AH103" i="10"/>
  <c r="AG103" i="10"/>
  <c r="AF103" i="10"/>
  <c r="AE103" i="10"/>
  <c r="AD103" i="10"/>
  <c r="AC103" i="10"/>
  <c r="AB103" i="10"/>
  <c r="AA103" i="10"/>
  <c r="Z103" i="10"/>
  <c r="Y103" i="10"/>
  <c r="X103" i="10"/>
  <c r="W103" i="10"/>
  <c r="U103" i="10"/>
  <c r="T103" i="10"/>
  <c r="S103" i="10"/>
  <c r="R103" i="10"/>
  <c r="Q103" i="10"/>
  <c r="P103" i="10"/>
  <c r="O103" i="10"/>
  <c r="N103" i="10"/>
  <c r="M103" i="10"/>
  <c r="L103" i="10"/>
  <c r="K103" i="10"/>
  <c r="J103" i="10"/>
  <c r="I103" i="10"/>
  <c r="H103" i="10"/>
  <c r="G103" i="10"/>
  <c r="F103" i="10"/>
  <c r="E103" i="10"/>
  <c r="D103" i="10"/>
  <c r="C103" i="10"/>
  <c r="B103" i="10"/>
  <c r="A103" i="10"/>
  <c r="AN102" i="10"/>
  <c r="AM102" i="10"/>
  <c r="AL102" i="10"/>
  <c r="AK102" i="10"/>
  <c r="AJ102" i="10"/>
  <c r="AI102" i="10"/>
  <c r="AH102" i="10"/>
  <c r="AG102" i="10"/>
  <c r="AF102" i="10"/>
  <c r="AE102" i="10"/>
  <c r="AD102" i="10"/>
  <c r="AC102" i="10"/>
  <c r="AB102" i="10"/>
  <c r="AA102" i="10"/>
  <c r="Z102" i="10"/>
  <c r="Y102" i="10"/>
  <c r="X102" i="10"/>
  <c r="W102" i="10"/>
  <c r="U102" i="10"/>
  <c r="T102" i="10"/>
  <c r="S102" i="10"/>
  <c r="R102" i="10"/>
  <c r="Q102" i="10"/>
  <c r="P102" i="10"/>
  <c r="O102" i="10"/>
  <c r="N102" i="10"/>
  <c r="M102" i="10"/>
  <c r="L102" i="10"/>
  <c r="K102" i="10"/>
  <c r="J102" i="10"/>
  <c r="I102" i="10"/>
  <c r="H102" i="10"/>
  <c r="G102" i="10"/>
  <c r="F102" i="10"/>
  <c r="E102" i="10"/>
  <c r="D102" i="10"/>
  <c r="C102" i="10"/>
  <c r="B102" i="10"/>
  <c r="A102" i="10"/>
  <c r="AN101" i="10"/>
  <c r="AM101" i="10"/>
  <c r="AL101" i="10"/>
  <c r="AK101" i="10"/>
  <c r="AJ101" i="10"/>
  <c r="AI101" i="10"/>
  <c r="AH101" i="10"/>
  <c r="AG101" i="10"/>
  <c r="AF101" i="10"/>
  <c r="AE101" i="10"/>
  <c r="AD101" i="10"/>
  <c r="AC101" i="10"/>
  <c r="AB101" i="10"/>
  <c r="AA101" i="10"/>
  <c r="Z101" i="10"/>
  <c r="Y101" i="10"/>
  <c r="X101" i="10"/>
  <c r="W101" i="10"/>
  <c r="U101" i="10"/>
  <c r="T101" i="10"/>
  <c r="S101" i="10"/>
  <c r="R101" i="10"/>
  <c r="Q101" i="10"/>
  <c r="P101" i="10"/>
  <c r="O101" i="10"/>
  <c r="N101" i="10"/>
  <c r="M101" i="10"/>
  <c r="L101" i="10"/>
  <c r="K101" i="10"/>
  <c r="J101" i="10"/>
  <c r="I101" i="10"/>
  <c r="H101" i="10"/>
  <c r="G101" i="10"/>
  <c r="F101" i="10"/>
  <c r="E101" i="10"/>
  <c r="D101" i="10"/>
  <c r="C101" i="10"/>
  <c r="B101" i="10"/>
  <c r="A101" i="10"/>
  <c r="AN100" i="10"/>
  <c r="AM100" i="10"/>
  <c r="AL100" i="10"/>
  <c r="AK100" i="10"/>
  <c r="AJ100" i="10"/>
  <c r="AI100" i="10"/>
  <c r="AH100" i="10"/>
  <c r="AG100" i="10"/>
  <c r="AF100" i="10"/>
  <c r="AE100" i="10"/>
  <c r="AD100" i="10"/>
  <c r="AC100" i="10"/>
  <c r="AB100" i="10"/>
  <c r="AA100" i="10"/>
  <c r="Z100" i="10"/>
  <c r="Y100" i="10"/>
  <c r="X100" i="10"/>
  <c r="W100" i="10"/>
  <c r="U100" i="10"/>
  <c r="T100" i="10"/>
  <c r="S100" i="10"/>
  <c r="R100" i="10"/>
  <c r="Q100" i="10"/>
  <c r="P100" i="10"/>
  <c r="O100" i="10"/>
  <c r="N100" i="10"/>
  <c r="M100" i="10"/>
  <c r="L100" i="10"/>
  <c r="K100" i="10"/>
  <c r="J100" i="10"/>
  <c r="I100" i="10"/>
  <c r="H100" i="10"/>
  <c r="G100" i="10"/>
  <c r="F100" i="10"/>
  <c r="E100" i="10"/>
  <c r="D100" i="10"/>
  <c r="C100" i="10"/>
  <c r="B100" i="10"/>
  <c r="A100" i="10"/>
  <c r="AN99" i="10"/>
  <c r="AM99" i="10"/>
  <c r="AL99" i="10"/>
  <c r="AK99" i="10"/>
  <c r="AJ99" i="10"/>
  <c r="AI99" i="10"/>
  <c r="AH99" i="10"/>
  <c r="AG99" i="10"/>
  <c r="AF99" i="10"/>
  <c r="AE99" i="10"/>
  <c r="AD99" i="10"/>
  <c r="AC99" i="10"/>
  <c r="AB99" i="10"/>
  <c r="AA99" i="10"/>
  <c r="Z99" i="10"/>
  <c r="Y99" i="10"/>
  <c r="X99" i="10"/>
  <c r="W99" i="10"/>
  <c r="U99" i="10"/>
  <c r="T99" i="10"/>
  <c r="S99" i="10"/>
  <c r="R99" i="10"/>
  <c r="Q99" i="10"/>
  <c r="P99" i="10"/>
  <c r="O99" i="10"/>
  <c r="N99" i="10"/>
  <c r="M99" i="10"/>
  <c r="L99" i="10"/>
  <c r="K99" i="10"/>
  <c r="J99" i="10"/>
  <c r="I99" i="10"/>
  <c r="H99" i="10"/>
  <c r="G99" i="10"/>
  <c r="F99" i="10"/>
  <c r="E99" i="10"/>
  <c r="D99" i="10"/>
  <c r="C99" i="10"/>
  <c r="B99" i="10"/>
  <c r="A99" i="10"/>
  <c r="AN98" i="10"/>
  <c r="AM98" i="10"/>
  <c r="AL98" i="10"/>
  <c r="AK98" i="10"/>
  <c r="AJ98" i="10"/>
  <c r="AI98" i="10"/>
  <c r="AH98" i="10"/>
  <c r="AG98" i="10"/>
  <c r="AF98" i="10"/>
  <c r="AE98" i="10"/>
  <c r="AD98" i="10"/>
  <c r="AC98" i="10"/>
  <c r="AB98" i="10"/>
  <c r="AA98" i="10"/>
  <c r="Z98" i="10"/>
  <c r="Y98" i="10"/>
  <c r="X98" i="10"/>
  <c r="W98" i="10"/>
  <c r="U98" i="10"/>
  <c r="T98" i="10"/>
  <c r="S98" i="10"/>
  <c r="R98" i="10"/>
  <c r="Q98" i="10"/>
  <c r="P98" i="10"/>
  <c r="O98" i="10"/>
  <c r="N98" i="10"/>
  <c r="M98" i="10"/>
  <c r="L98" i="10"/>
  <c r="K98" i="10"/>
  <c r="J98" i="10"/>
  <c r="I98" i="10"/>
  <c r="H98" i="10"/>
  <c r="G98" i="10"/>
  <c r="F98" i="10"/>
  <c r="E98" i="10"/>
  <c r="D98" i="10"/>
  <c r="C98" i="10"/>
  <c r="B98" i="10"/>
  <c r="A98" i="10"/>
  <c r="AN97" i="10"/>
  <c r="AM97" i="10"/>
  <c r="AL97" i="10"/>
  <c r="AK97" i="10"/>
  <c r="AJ97" i="10"/>
  <c r="AI97" i="10"/>
  <c r="AH97" i="10"/>
  <c r="AG97" i="10"/>
  <c r="AF97" i="10"/>
  <c r="AE97" i="10"/>
  <c r="AD97" i="10"/>
  <c r="AC97" i="10"/>
  <c r="AB97" i="10"/>
  <c r="AA97" i="10"/>
  <c r="Z97" i="10"/>
  <c r="Y97" i="10"/>
  <c r="X97" i="10"/>
  <c r="W97" i="10"/>
  <c r="U97" i="10"/>
  <c r="T97" i="10"/>
  <c r="S97" i="10"/>
  <c r="R97" i="10"/>
  <c r="Q97" i="10"/>
  <c r="P97" i="10"/>
  <c r="O97" i="10"/>
  <c r="N97" i="10"/>
  <c r="M97" i="10"/>
  <c r="L97" i="10"/>
  <c r="K97" i="10"/>
  <c r="J97" i="10"/>
  <c r="I97" i="10"/>
  <c r="H97" i="10"/>
  <c r="G97" i="10"/>
  <c r="F97" i="10"/>
  <c r="E97" i="10"/>
  <c r="D97" i="10"/>
  <c r="C97" i="10"/>
  <c r="B97" i="10"/>
  <c r="A97" i="10"/>
  <c r="AN96" i="10"/>
  <c r="AM96" i="10"/>
  <c r="AL96" i="10"/>
  <c r="AK96" i="10"/>
  <c r="AJ96" i="10"/>
  <c r="AI96" i="10"/>
  <c r="AH96" i="10"/>
  <c r="AG96" i="10"/>
  <c r="AF96" i="10"/>
  <c r="AE96" i="10"/>
  <c r="AD96" i="10"/>
  <c r="AC96" i="10"/>
  <c r="AB96" i="10"/>
  <c r="AA96" i="10"/>
  <c r="Z96" i="10"/>
  <c r="Y96" i="10"/>
  <c r="X96" i="10"/>
  <c r="W96" i="10"/>
  <c r="U96" i="10"/>
  <c r="T96" i="10"/>
  <c r="S96" i="10"/>
  <c r="R96" i="10"/>
  <c r="Q96" i="10"/>
  <c r="P96" i="10"/>
  <c r="O96" i="10"/>
  <c r="N96" i="10"/>
  <c r="M96" i="10"/>
  <c r="L96" i="10"/>
  <c r="K96" i="10"/>
  <c r="J96" i="10"/>
  <c r="I96" i="10"/>
  <c r="H96" i="10"/>
  <c r="G96" i="10"/>
  <c r="F96" i="10"/>
  <c r="E96" i="10"/>
  <c r="D96" i="10"/>
  <c r="C96" i="10"/>
  <c r="B96" i="10"/>
  <c r="A96" i="10"/>
  <c r="AN95" i="10"/>
  <c r="AM95" i="10"/>
  <c r="AL95" i="10"/>
  <c r="AK95" i="10"/>
  <c r="AJ95" i="10"/>
  <c r="AI95" i="10"/>
  <c r="AH95" i="10"/>
  <c r="AG95" i="10"/>
  <c r="AF95" i="10"/>
  <c r="AE95" i="10"/>
  <c r="AD95" i="10"/>
  <c r="AC95" i="10"/>
  <c r="AB95" i="10"/>
  <c r="AA95" i="10"/>
  <c r="Z95" i="10"/>
  <c r="Y95" i="10"/>
  <c r="X95" i="10"/>
  <c r="W95" i="10"/>
  <c r="U95" i="10"/>
  <c r="T95" i="10"/>
  <c r="S95" i="10"/>
  <c r="R95" i="10"/>
  <c r="Q95" i="10"/>
  <c r="P95" i="10"/>
  <c r="O95" i="10"/>
  <c r="N95" i="10"/>
  <c r="M95" i="10"/>
  <c r="L95" i="10"/>
  <c r="K95" i="10"/>
  <c r="J95" i="10"/>
  <c r="I95" i="10"/>
  <c r="H95" i="10"/>
  <c r="G95" i="10"/>
  <c r="F95" i="10"/>
  <c r="E95" i="10"/>
  <c r="D95" i="10"/>
  <c r="C95" i="10"/>
  <c r="B95" i="10"/>
  <c r="A95" i="10"/>
  <c r="AN94" i="10"/>
  <c r="AM94" i="10"/>
  <c r="AL94" i="10"/>
  <c r="AK94" i="10"/>
  <c r="AJ94" i="10"/>
  <c r="AI94" i="10"/>
  <c r="AH94" i="10"/>
  <c r="AG94" i="10"/>
  <c r="AF94" i="10"/>
  <c r="AE94" i="10"/>
  <c r="AD94" i="10"/>
  <c r="AC94" i="10"/>
  <c r="AB94" i="10"/>
  <c r="AA94" i="10"/>
  <c r="Z94" i="10"/>
  <c r="Y94" i="10"/>
  <c r="X94" i="10"/>
  <c r="W94" i="10"/>
  <c r="U94" i="10"/>
  <c r="T94" i="10"/>
  <c r="S94" i="10"/>
  <c r="R94" i="10"/>
  <c r="Q94" i="10"/>
  <c r="P94" i="10"/>
  <c r="O94" i="10"/>
  <c r="N94" i="10"/>
  <c r="M94" i="10"/>
  <c r="L94" i="10"/>
  <c r="K94" i="10"/>
  <c r="J94" i="10"/>
  <c r="I94" i="10"/>
  <c r="H94" i="10"/>
  <c r="G94" i="10"/>
  <c r="F94" i="10"/>
  <c r="E94" i="10"/>
  <c r="D94" i="10"/>
  <c r="C94" i="10"/>
  <c r="B94" i="10"/>
  <c r="A94" i="10"/>
  <c r="AN93" i="10"/>
  <c r="AM93" i="10"/>
  <c r="AL93" i="10"/>
  <c r="AK93" i="10"/>
  <c r="AJ93" i="10"/>
  <c r="AI93" i="10"/>
  <c r="AH93" i="10"/>
  <c r="AG93" i="10"/>
  <c r="AF93" i="10"/>
  <c r="AE93" i="10"/>
  <c r="AD93" i="10"/>
  <c r="AC93" i="10"/>
  <c r="AB93" i="10"/>
  <c r="AA93" i="10"/>
  <c r="Z93" i="10"/>
  <c r="Y93" i="10"/>
  <c r="X93" i="10"/>
  <c r="W93" i="10"/>
  <c r="U93" i="10"/>
  <c r="T93" i="10"/>
  <c r="S93" i="10"/>
  <c r="R93" i="10"/>
  <c r="Q93" i="10"/>
  <c r="P93" i="10"/>
  <c r="O93" i="10"/>
  <c r="N93" i="10"/>
  <c r="M93" i="10"/>
  <c r="L93" i="10"/>
  <c r="K93" i="10"/>
  <c r="J93" i="10"/>
  <c r="I93" i="10"/>
  <c r="H93" i="10"/>
  <c r="G93" i="10"/>
  <c r="F93" i="10"/>
  <c r="E93" i="10"/>
  <c r="D93" i="10"/>
  <c r="C93" i="10"/>
  <c r="B93" i="10"/>
  <c r="A93" i="10"/>
  <c r="AN92" i="10"/>
  <c r="AM92" i="10"/>
  <c r="AL92" i="10"/>
  <c r="AK92" i="10"/>
  <c r="AJ92" i="10"/>
  <c r="AI92" i="10"/>
  <c r="AH92" i="10"/>
  <c r="AG92" i="10"/>
  <c r="AF92" i="10"/>
  <c r="AE92" i="10"/>
  <c r="AD92" i="10"/>
  <c r="AC92" i="10"/>
  <c r="AB92" i="10"/>
  <c r="AA92" i="10"/>
  <c r="Z92" i="10"/>
  <c r="Y92" i="10"/>
  <c r="X92" i="10"/>
  <c r="W92" i="10"/>
  <c r="U92" i="10"/>
  <c r="T92" i="10"/>
  <c r="S92" i="10"/>
  <c r="R92" i="10"/>
  <c r="Q92" i="10"/>
  <c r="P92" i="10"/>
  <c r="O92" i="10"/>
  <c r="N92" i="10"/>
  <c r="M92" i="10"/>
  <c r="L92" i="10"/>
  <c r="K92" i="10"/>
  <c r="J92" i="10"/>
  <c r="I92" i="10"/>
  <c r="H92" i="10"/>
  <c r="G92" i="10"/>
  <c r="F92" i="10"/>
  <c r="E92" i="10"/>
  <c r="D92" i="10"/>
  <c r="C92" i="10"/>
  <c r="B92" i="10"/>
  <c r="A92" i="10"/>
  <c r="AN91" i="10"/>
  <c r="AM91" i="10"/>
  <c r="AL91" i="10"/>
  <c r="AK91" i="10"/>
  <c r="AJ91" i="10"/>
  <c r="AI91" i="10"/>
  <c r="AH91" i="10"/>
  <c r="AG91" i="10"/>
  <c r="AF91" i="10"/>
  <c r="AE91" i="10"/>
  <c r="AD91" i="10"/>
  <c r="AC91" i="10"/>
  <c r="AB91" i="10"/>
  <c r="AA91" i="10"/>
  <c r="Z91" i="10"/>
  <c r="Y91" i="10"/>
  <c r="X91" i="10"/>
  <c r="W91" i="10"/>
  <c r="U91" i="10"/>
  <c r="T91" i="10"/>
  <c r="S91" i="10"/>
  <c r="R91" i="10"/>
  <c r="Q91" i="10"/>
  <c r="P91" i="10"/>
  <c r="O91" i="10"/>
  <c r="N91" i="10"/>
  <c r="M91" i="10"/>
  <c r="L91" i="10"/>
  <c r="K91" i="10"/>
  <c r="J91" i="10"/>
  <c r="I91" i="10"/>
  <c r="H91" i="10"/>
  <c r="G91" i="10"/>
  <c r="F91" i="10"/>
  <c r="E91" i="10"/>
  <c r="D91" i="10"/>
  <c r="C91" i="10"/>
  <c r="B91" i="10"/>
  <c r="A91" i="10"/>
  <c r="AN90" i="10"/>
  <c r="AM90" i="10"/>
  <c r="AL90" i="10"/>
  <c r="AK90" i="10"/>
  <c r="AJ90" i="10"/>
  <c r="AI90" i="10"/>
  <c r="AH90" i="10"/>
  <c r="AG90" i="10"/>
  <c r="AF90" i="10"/>
  <c r="AE90" i="10"/>
  <c r="AD90" i="10"/>
  <c r="AC90" i="10"/>
  <c r="AB90" i="10"/>
  <c r="AA90" i="10"/>
  <c r="Z90" i="10"/>
  <c r="Y90" i="10"/>
  <c r="X90" i="10"/>
  <c r="W90" i="10"/>
  <c r="U90" i="10"/>
  <c r="T90" i="10"/>
  <c r="S90" i="10"/>
  <c r="R90" i="10"/>
  <c r="Q90" i="10"/>
  <c r="P90" i="10"/>
  <c r="O90" i="10"/>
  <c r="N90" i="10"/>
  <c r="M90" i="10"/>
  <c r="L90" i="10"/>
  <c r="K90" i="10"/>
  <c r="J90" i="10"/>
  <c r="I90" i="10"/>
  <c r="H90" i="10"/>
  <c r="G90" i="10"/>
  <c r="F90" i="10"/>
  <c r="E90" i="10"/>
  <c r="D90" i="10"/>
  <c r="C90" i="10"/>
  <c r="B90" i="10"/>
  <c r="A90" i="10"/>
  <c r="AN89" i="10"/>
  <c r="AM89" i="10"/>
  <c r="AL89" i="10"/>
  <c r="AK89" i="10"/>
  <c r="AJ89" i="10"/>
  <c r="AI89" i="10"/>
  <c r="AH89" i="10"/>
  <c r="AG89" i="10"/>
  <c r="AF89" i="10"/>
  <c r="AE89" i="10"/>
  <c r="AD89" i="10"/>
  <c r="AC89" i="10"/>
  <c r="AB89" i="10"/>
  <c r="AA89" i="10"/>
  <c r="Z89" i="10"/>
  <c r="Y89" i="10"/>
  <c r="X89" i="10"/>
  <c r="W89" i="10"/>
  <c r="U89" i="10"/>
  <c r="T89" i="10"/>
  <c r="S89" i="10"/>
  <c r="R89" i="10"/>
  <c r="Q89" i="10"/>
  <c r="P89" i="10"/>
  <c r="O89" i="10"/>
  <c r="N89" i="10"/>
  <c r="M89" i="10"/>
  <c r="L89" i="10"/>
  <c r="K89" i="10"/>
  <c r="J89" i="10"/>
  <c r="I89" i="10"/>
  <c r="H89" i="10"/>
  <c r="G89" i="10"/>
  <c r="F89" i="10"/>
  <c r="E89" i="10"/>
  <c r="D89" i="10"/>
  <c r="C89" i="10"/>
  <c r="B89" i="10"/>
  <c r="A89" i="10"/>
  <c r="AN88" i="10"/>
  <c r="AM88" i="10"/>
  <c r="AL88" i="10"/>
  <c r="AK88" i="10"/>
  <c r="AJ88" i="10"/>
  <c r="AI88" i="10"/>
  <c r="AH88" i="10"/>
  <c r="AG88" i="10"/>
  <c r="AF88" i="10"/>
  <c r="AE88" i="10"/>
  <c r="AD88" i="10"/>
  <c r="AC88" i="10"/>
  <c r="AB88" i="10"/>
  <c r="AA88" i="10"/>
  <c r="Z88" i="10"/>
  <c r="Y88" i="10"/>
  <c r="X88" i="10"/>
  <c r="W88" i="10"/>
  <c r="U88" i="10"/>
  <c r="T88" i="10"/>
  <c r="S88" i="10"/>
  <c r="R88" i="10"/>
  <c r="Q88" i="10"/>
  <c r="P88" i="10"/>
  <c r="O88" i="10"/>
  <c r="N88" i="10"/>
  <c r="M88" i="10"/>
  <c r="L88" i="10"/>
  <c r="K88" i="10"/>
  <c r="J88" i="10"/>
  <c r="I88" i="10"/>
  <c r="H88" i="10"/>
  <c r="G88" i="10"/>
  <c r="F88" i="10"/>
  <c r="E88" i="10"/>
  <c r="D88" i="10"/>
  <c r="C88" i="10"/>
  <c r="B88" i="10"/>
  <c r="A88" i="10"/>
  <c r="AN87" i="10"/>
  <c r="AM87" i="10"/>
  <c r="AL87" i="10"/>
  <c r="AK87" i="10"/>
  <c r="AJ87" i="10"/>
  <c r="AI87" i="10"/>
  <c r="AH87" i="10"/>
  <c r="AG87" i="10"/>
  <c r="AF87" i="10"/>
  <c r="AE87" i="10"/>
  <c r="AD87" i="10"/>
  <c r="AC87" i="10"/>
  <c r="AB87" i="10"/>
  <c r="AA87" i="10"/>
  <c r="Z87" i="10"/>
  <c r="Y87" i="10"/>
  <c r="X87" i="10"/>
  <c r="W87" i="10"/>
  <c r="U87" i="10"/>
  <c r="T87" i="10"/>
  <c r="S87" i="10"/>
  <c r="R87" i="10"/>
  <c r="Q87" i="10"/>
  <c r="P87" i="10"/>
  <c r="O87" i="10"/>
  <c r="N87" i="10"/>
  <c r="M87" i="10"/>
  <c r="L87" i="10"/>
  <c r="K87" i="10"/>
  <c r="J87" i="10"/>
  <c r="I87" i="10"/>
  <c r="H87" i="10"/>
  <c r="G87" i="10"/>
  <c r="F87" i="10"/>
  <c r="E87" i="10"/>
  <c r="D87" i="10"/>
  <c r="C87" i="10"/>
  <c r="B87" i="10"/>
  <c r="A87" i="10"/>
  <c r="AN86" i="10"/>
  <c r="AM86" i="10"/>
  <c r="AL86" i="10"/>
  <c r="AK86" i="10"/>
  <c r="AJ86" i="10"/>
  <c r="AI86" i="10"/>
  <c r="AH86" i="10"/>
  <c r="AG86" i="10"/>
  <c r="AF86" i="10"/>
  <c r="AE86" i="10"/>
  <c r="AD86" i="10"/>
  <c r="AC86" i="10"/>
  <c r="AB86" i="10"/>
  <c r="AA86" i="10"/>
  <c r="Z86" i="10"/>
  <c r="Y86" i="10"/>
  <c r="X86" i="10"/>
  <c r="W86" i="10"/>
  <c r="U86" i="10"/>
  <c r="T86" i="10"/>
  <c r="S86" i="10"/>
  <c r="R86" i="10"/>
  <c r="Q86" i="10"/>
  <c r="P86" i="10"/>
  <c r="O86" i="10"/>
  <c r="N86" i="10"/>
  <c r="M86" i="10"/>
  <c r="L86" i="10"/>
  <c r="K86" i="10"/>
  <c r="J86" i="10"/>
  <c r="I86" i="10"/>
  <c r="H86" i="10"/>
  <c r="G86" i="10"/>
  <c r="F86" i="10"/>
  <c r="E86" i="10"/>
  <c r="D86" i="10"/>
  <c r="C86" i="10"/>
  <c r="B86" i="10"/>
  <c r="A86" i="10"/>
  <c r="AN85" i="10"/>
  <c r="AM85" i="10"/>
  <c r="AL85" i="10"/>
  <c r="AK85" i="10"/>
  <c r="AJ85" i="10"/>
  <c r="AI85" i="10"/>
  <c r="AH85" i="10"/>
  <c r="AG85" i="10"/>
  <c r="AF85" i="10"/>
  <c r="AE85" i="10"/>
  <c r="AD85" i="10"/>
  <c r="AC85" i="10"/>
  <c r="AB85" i="10"/>
  <c r="AA85" i="10"/>
  <c r="Z85" i="10"/>
  <c r="Y85" i="10"/>
  <c r="X85" i="10"/>
  <c r="W85" i="10"/>
  <c r="U85" i="10"/>
  <c r="T85" i="10"/>
  <c r="S85" i="10"/>
  <c r="R85" i="10"/>
  <c r="Q85" i="10"/>
  <c r="P85" i="10"/>
  <c r="O85" i="10"/>
  <c r="N85" i="10"/>
  <c r="M85" i="10"/>
  <c r="L85" i="10"/>
  <c r="K85" i="10"/>
  <c r="J85" i="10"/>
  <c r="I85" i="10"/>
  <c r="H85" i="10"/>
  <c r="G85" i="10"/>
  <c r="F85" i="10"/>
  <c r="E85" i="10"/>
  <c r="D85" i="10"/>
  <c r="C85" i="10"/>
  <c r="B85" i="10"/>
  <c r="A85" i="10"/>
  <c r="AN84" i="10"/>
  <c r="AM84" i="10"/>
  <c r="AL84" i="10"/>
  <c r="AK84" i="10"/>
  <c r="AJ84" i="10"/>
  <c r="AI84" i="10"/>
  <c r="AH84" i="10"/>
  <c r="AG84" i="10"/>
  <c r="AF84" i="10"/>
  <c r="AE84" i="10"/>
  <c r="AD84" i="10"/>
  <c r="AC84" i="10"/>
  <c r="AB84" i="10"/>
  <c r="AA84" i="10"/>
  <c r="Z84" i="10"/>
  <c r="Y84" i="10"/>
  <c r="X84" i="10"/>
  <c r="W84" i="10"/>
  <c r="U84" i="10"/>
  <c r="T84" i="10"/>
  <c r="S84" i="10"/>
  <c r="R84" i="10"/>
  <c r="Q84" i="10"/>
  <c r="P84" i="10"/>
  <c r="O84" i="10"/>
  <c r="N84" i="10"/>
  <c r="M84" i="10"/>
  <c r="L84" i="10"/>
  <c r="K84" i="10"/>
  <c r="J84" i="10"/>
  <c r="I84" i="10"/>
  <c r="H84" i="10"/>
  <c r="G84" i="10"/>
  <c r="F84" i="10"/>
  <c r="E84" i="10"/>
  <c r="D84" i="10"/>
  <c r="C84" i="10"/>
  <c r="B84" i="10"/>
  <c r="A84" i="10"/>
  <c r="AN83" i="10"/>
  <c r="AM83" i="10"/>
  <c r="AL83" i="10"/>
  <c r="AK83" i="10"/>
  <c r="AJ83" i="10"/>
  <c r="AI83" i="10"/>
  <c r="AH83" i="10"/>
  <c r="AG83" i="10"/>
  <c r="AF83" i="10"/>
  <c r="AE83" i="10"/>
  <c r="AD83" i="10"/>
  <c r="AC83" i="10"/>
  <c r="AB83" i="10"/>
  <c r="AA83" i="10"/>
  <c r="Z83" i="10"/>
  <c r="Y83" i="10"/>
  <c r="X83" i="10"/>
  <c r="W83" i="10"/>
  <c r="U83" i="10"/>
  <c r="T83" i="10"/>
  <c r="S83" i="10"/>
  <c r="R83" i="10"/>
  <c r="Q83" i="10"/>
  <c r="P83" i="10"/>
  <c r="O83" i="10"/>
  <c r="N83" i="10"/>
  <c r="M83" i="10"/>
  <c r="L83" i="10"/>
  <c r="K83" i="10"/>
  <c r="J83" i="10"/>
  <c r="I83" i="10"/>
  <c r="H83" i="10"/>
  <c r="G83" i="10"/>
  <c r="F83" i="10"/>
  <c r="E83" i="10"/>
  <c r="D83" i="10"/>
  <c r="C83" i="10"/>
  <c r="B83" i="10"/>
  <c r="A83" i="10"/>
  <c r="AN82" i="10"/>
  <c r="AM82" i="10"/>
  <c r="AL82" i="10"/>
  <c r="AK82" i="10"/>
  <c r="AJ82" i="10"/>
  <c r="AI82" i="10"/>
  <c r="AH82" i="10"/>
  <c r="AG82" i="10"/>
  <c r="AF82" i="10"/>
  <c r="AE82" i="10"/>
  <c r="AD82" i="10"/>
  <c r="AC82" i="10"/>
  <c r="AB82" i="10"/>
  <c r="AA82" i="10"/>
  <c r="Z82" i="10"/>
  <c r="Y82" i="10"/>
  <c r="X82" i="10"/>
  <c r="W82" i="10"/>
  <c r="U82" i="10"/>
  <c r="T82" i="10"/>
  <c r="S82" i="10"/>
  <c r="R82" i="10"/>
  <c r="Q82" i="10"/>
  <c r="P82" i="10"/>
  <c r="O82" i="10"/>
  <c r="N82" i="10"/>
  <c r="M82" i="10"/>
  <c r="L82" i="10"/>
  <c r="K82" i="10"/>
  <c r="J82" i="10"/>
  <c r="I82" i="10"/>
  <c r="H82" i="10"/>
  <c r="G82" i="10"/>
  <c r="F82" i="10"/>
  <c r="E82" i="10"/>
  <c r="D82" i="10"/>
  <c r="C82" i="10"/>
  <c r="B82" i="10"/>
  <c r="A82" i="10"/>
  <c r="AN81" i="10"/>
  <c r="AM81" i="10"/>
  <c r="AL81" i="10"/>
  <c r="AK81" i="10"/>
  <c r="AJ81" i="10"/>
  <c r="AI81" i="10"/>
  <c r="AH81" i="10"/>
  <c r="AG81" i="10"/>
  <c r="AF81" i="10"/>
  <c r="AE81" i="10"/>
  <c r="AD81" i="10"/>
  <c r="AC81" i="10"/>
  <c r="AB81" i="10"/>
  <c r="AA81" i="10"/>
  <c r="Z81" i="10"/>
  <c r="Y81" i="10"/>
  <c r="X81" i="10"/>
  <c r="W81" i="10"/>
  <c r="U81" i="10"/>
  <c r="T81" i="10"/>
  <c r="S81" i="10"/>
  <c r="R81" i="10"/>
  <c r="Q81" i="10"/>
  <c r="P81" i="10"/>
  <c r="O81" i="10"/>
  <c r="N81" i="10"/>
  <c r="M81" i="10"/>
  <c r="L81" i="10"/>
  <c r="K81" i="10"/>
  <c r="J81" i="10"/>
  <c r="I81" i="10"/>
  <c r="H81" i="10"/>
  <c r="G81" i="10"/>
  <c r="F81" i="10"/>
  <c r="E81" i="10"/>
  <c r="D81" i="10"/>
  <c r="C81" i="10"/>
  <c r="B81" i="10"/>
  <c r="A81" i="10"/>
  <c r="AN80" i="10"/>
  <c r="AM80" i="10"/>
  <c r="AL80" i="10"/>
  <c r="AK80" i="10"/>
  <c r="AJ80" i="10"/>
  <c r="AI80" i="10"/>
  <c r="AH80" i="10"/>
  <c r="AG80" i="10"/>
  <c r="AF80" i="10"/>
  <c r="AE80" i="10"/>
  <c r="AD80" i="10"/>
  <c r="AC80" i="10"/>
  <c r="AB80" i="10"/>
  <c r="AA80" i="10"/>
  <c r="Z80" i="10"/>
  <c r="Y80" i="10"/>
  <c r="X80" i="10"/>
  <c r="W80" i="10"/>
  <c r="U80" i="10"/>
  <c r="T80" i="10"/>
  <c r="S80" i="10"/>
  <c r="R80" i="10"/>
  <c r="Q80" i="10"/>
  <c r="P80" i="10"/>
  <c r="O80" i="10"/>
  <c r="N80" i="10"/>
  <c r="M80" i="10"/>
  <c r="L80" i="10"/>
  <c r="K80" i="10"/>
  <c r="J80" i="10"/>
  <c r="I80" i="10"/>
  <c r="H80" i="10"/>
  <c r="G80" i="10"/>
  <c r="F80" i="10"/>
  <c r="E80" i="10"/>
  <c r="D80" i="10"/>
  <c r="C80" i="10"/>
  <c r="B80" i="10"/>
  <c r="A80" i="10"/>
  <c r="AN79" i="10"/>
  <c r="AM79" i="10"/>
  <c r="AL79" i="10"/>
  <c r="AK79" i="10"/>
  <c r="AJ79" i="10"/>
  <c r="AI79" i="10"/>
  <c r="AH79" i="10"/>
  <c r="AG79" i="10"/>
  <c r="AF79" i="10"/>
  <c r="AE79" i="10"/>
  <c r="AD79" i="10"/>
  <c r="AC79" i="10"/>
  <c r="AB79" i="10"/>
  <c r="AA79" i="10"/>
  <c r="Z79" i="10"/>
  <c r="Y79" i="10"/>
  <c r="X79" i="10"/>
  <c r="W79" i="10"/>
  <c r="U79" i="10"/>
  <c r="T79" i="10"/>
  <c r="S79" i="10"/>
  <c r="R79" i="10"/>
  <c r="Q79" i="10"/>
  <c r="P79" i="10"/>
  <c r="O79" i="10"/>
  <c r="N79" i="10"/>
  <c r="M79" i="10"/>
  <c r="L79" i="10"/>
  <c r="K79" i="10"/>
  <c r="J79" i="10"/>
  <c r="I79" i="10"/>
  <c r="H79" i="10"/>
  <c r="G79" i="10"/>
  <c r="F79" i="10"/>
  <c r="E79" i="10"/>
  <c r="D79" i="10"/>
  <c r="C79" i="10"/>
  <c r="B79" i="10"/>
  <c r="A79" i="10"/>
  <c r="AN78" i="10"/>
  <c r="AM78" i="10"/>
  <c r="AL78" i="10"/>
  <c r="AK78" i="10"/>
  <c r="AJ78" i="10"/>
  <c r="AI78" i="10"/>
  <c r="AH78" i="10"/>
  <c r="AG78" i="10"/>
  <c r="AF78" i="10"/>
  <c r="AE78" i="10"/>
  <c r="AD78" i="10"/>
  <c r="AC78" i="10"/>
  <c r="AB78" i="10"/>
  <c r="AA78" i="10"/>
  <c r="Z78" i="10"/>
  <c r="Y78" i="10"/>
  <c r="X78" i="10"/>
  <c r="W78" i="10"/>
  <c r="U78" i="10"/>
  <c r="T78" i="10"/>
  <c r="S78" i="10"/>
  <c r="R78" i="10"/>
  <c r="Q78" i="10"/>
  <c r="P78" i="10"/>
  <c r="O78" i="10"/>
  <c r="N78" i="10"/>
  <c r="M78" i="10"/>
  <c r="L78" i="10"/>
  <c r="K78" i="10"/>
  <c r="J78" i="10"/>
  <c r="I78" i="10"/>
  <c r="H78" i="10"/>
  <c r="G78" i="10"/>
  <c r="F78" i="10"/>
  <c r="E78" i="10"/>
  <c r="D78" i="10"/>
  <c r="C78" i="10"/>
  <c r="B78" i="10"/>
  <c r="A78" i="10"/>
  <c r="AN77" i="10"/>
  <c r="AM77" i="10"/>
  <c r="AL77" i="10"/>
  <c r="AK77" i="10"/>
  <c r="AJ77" i="10"/>
  <c r="AI77" i="10"/>
  <c r="AH77" i="10"/>
  <c r="AG77" i="10"/>
  <c r="AF77" i="10"/>
  <c r="AE77" i="10"/>
  <c r="AD77" i="10"/>
  <c r="AC77" i="10"/>
  <c r="AB77" i="10"/>
  <c r="AA77" i="10"/>
  <c r="Z77" i="10"/>
  <c r="Y77" i="10"/>
  <c r="X77" i="10"/>
  <c r="W77" i="10"/>
  <c r="U77" i="10"/>
  <c r="T77" i="10"/>
  <c r="S77" i="10"/>
  <c r="R77" i="10"/>
  <c r="Q77" i="10"/>
  <c r="P77" i="10"/>
  <c r="O77" i="10"/>
  <c r="N77" i="10"/>
  <c r="M77" i="10"/>
  <c r="L77" i="10"/>
  <c r="K77" i="10"/>
  <c r="J77" i="10"/>
  <c r="I77" i="10"/>
  <c r="H77" i="10"/>
  <c r="G77" i="10"/>
  <c r="F77" i="10"/>
  <c r="E77" i="10"/>
  <c r="D77" i="10"/>
  <c r="C77" i="10"/>
  <c r="B77" i="10"/>
  <c r="A77" i="10"/>
  <c r="AN76" i="10"/>
  <c r="AM76" i="10"/>
  <c r="AL76" i="10"/>
  <c r="AK76" i="10"/>
  <c r="AJ76" i="10"/>
  <c r="AI76" i="10"/>
  <c r="AH76" i="10"/>
  <c r="AG76" i="10"/>
  <c r="AF76" i="10"/>
  <c r="AE76" i="10"/>
  <c r="AD76" i="10"/>
  <c r="AC76" i="10"/>
  <c r="AB76" i="10"/>
  <c r="AA76" i="10"/>
  <c r="Z76" i="10"/>
  <c r="Y76" i="10"/>
  <c r="X76" i="10"/>
  <c r="W76" i="10"/>
  <c r="U76" i="10"/>
  <c r="T76" i="10"/>
  <c r="S76" i="10"/>
  <c r="R76" i="10"/>
  <c r="Q76" i="10"/>
  <c r="P76" i="10"/>
  <c r="O76" i="10"/>
  <c r="N76" i="10"/>
  <c r="M76" i="10"/>
  <c r="L76" i="10"/>
  <c r="K76" i="10"/>
  <c r="J76" i="10"/>
  <c r="I76" i="10"/>
  <c r="H76" i="10"/>
  <c r="G76" i="10"/>
  <c r="F76" i="10"/>
  <c r="E76" i="10"/>
  <c r="D76" i="10"/>
  <c r="C76" i="10"/>
  <c r="B76" i="10"/>
  <c r="A76" i="10"/>
  <c r="AN75" i="10"/>
  <c r="AM75" i="10"/>
  <c r="AL75" i="10"/>
  <c r="AK75" i="10"/>
  <c r="AJ75" i="10"/>
  <c r="AI75" i="10"/>
  <c r="AH75" i="10"/>
  <c r="AG75" i="10"/>
  <c r="AF75" i="10"/>
  <c r="AE75" i="10"/>
  <c r="AD75" i="10"/>
  <c r="AC75" i="10"/>
  <c r="AB75" i="10"/>
  <c r="AA75" i="10"/>
  <c r="Z75" i="10"/>
  <c r="Y75" i="10"/>
  <c r="X75" i="10"/>
  <c r="W75" i="10"/>
  <c r="U75" i="10"/>
  <c r="T75" i="10"/>
  <c r="S75" i="10"/>
  <c r="R75" i="10"/>
  <c r="Q75" i="10"/>
  <c r="P75" i="10"/>
  <c r="O75" i="10"/>
  <c r="N75" i="10"/>
  <c r="M75" i="10"/>
  <c r="L75" i="10"/>
  <c r="K75" i="10"/>
  <c r="J75" i="10"/>
  <c r="I75" i="10"/>
  <c r="H75" i="10"/>
  <c r="G75" i="10"/>
  <c r="F75" i="10"/>
  <c r="E75" i="10"/>
  <c r="D75" i="10"/>
  <c r="C75" i="10"/>
  <c r="B75" i="10"/>
  <c r="A75" i="10"/>
  <c r="AN74" i="10"/>
  <c r="AM74" i="10"/>
  <c r="AL74" i="10"/>
  <c r="AK74" i="10"/>
  <c r="AJ74" i="10"/>
  <c r="AI74" i="10"/>
  <c r="AH74" i="10"/>
  <c r="AG74" i="10"/>
  <c r="AF74" i="10"/>
  <c r="AE74" i="10"/>
  <c r="AD74" i="10"/>
  <c r="AC74" i="10"/>
  <c r="AB74" i="10"/>
  <c r="AA74" i="10"/>
  <c r="Z74" i="10"/>
  <c r="Y74" i="10"/>
  <c r="X74" i="10"/>
  <c r="W74" i="10"/>
  <c r="U74" i="10"/>
  <c r="T74" i="10"/>
  <c r="S74" i="10"/>
  <c r="R74" i="10"/>
  <c r="Q74" i="10"/>
  <c r="P74" i="10"/>
  <c r="O74" i="10"/>
  <c r="N74" i="10"/>
  <c r="M74" i="10"/>
  <c r="L74" i="10"/>
  <c r="K74" i="10"/>
  <c r="J74" i="10"/>
  <c r="I74" i="10"/>
  <c r="H74" i="10"/>
  <c r="G74" i="10"/>
  <c r="F74" i="10"/>
  <c r="E74" i="10"/>
  <c r="D74" i="10"/>
  <c r="C74" i="10"/>
  <c r="B74" i="10"/>
  <c r="A74" i="10"/>
  <c r="AN73" i="10"/>
  <c r="AM73" i="10"/>
  <c r="AL73" i="10"/>
  <c r="AK73" i="10"/>
  <c r="AJ73" i="10"/>
  <c r="AI73" i="10"/>
  <c r="AH73" i="10"/>
  <c r="AG73" i="10"/>
  <c r="AF73" i="10"/>
  <c r="AE73" i="10"/>
  <c r="AD73" i="10"/>
  <c r="AC73" i="10"/>
  <c r="AB73" i="10"/>
  <c r="AA73" i="10"/>
  <c r="Z73" i="10"/>
  <c r="Y73" i="10"/>
  <c r="X73" i="10"/>
  <c r="W73" i="10"/>
  <c r="U73" i="10"/>
  <c r="T73" i="10"/>
  <c r="S73" i="10"/>
  <c r="R73" i="10"/>
  <c r="Q73" i="10"/>
  <c r="P73" i="10"/>
  <c r="O73" i="10"/>
  <c r="N73" i="10"/>
  <c r="M73" i="10"/>
  <c r="L73" i="10"/>
  <c r="K73" i="10"/>
  <c r="J73" i="10"/>
  <c r="I73" i="10"/>
  <c r="H73" i="10"/>
  <c r="G73" i="10"/>
  <c r="F73" i="10"/>
  <c r="E73" i="10"/>
  <c r="D73" i="10"/>
  <c r="C73" i="10"/>
  <c r="B73" i="10"/>
  <c r="A73" i="10"/>
  <c r="AN72" i="10"/>
  <c r="AM72" i="10"/>
  <c r="AL72" i="10"/>
  <c r="AK72" i="10"/>
  <c r="AJ72" i="10"/>
  <c r="AI72" i="10"/>
  <c r="AH72" i="10"/>
  <c r="AG72" i="10"/>
  <c r="AF72" i="10"/>
  <c r="AE72" i="10"/>
  <c r="AD72" i="10"/>
  <c r="AC72" i="10"/>
  <c r="AB72" i="10"/>
  <c r="AA72" i="10"/>
  <c r="Z72" i="10"/>
  <c r="Y72" i="10"/>
  <c r="X72" i="10"/>
  <c r="W72" i="10"/>
  <c r="U72" i="10"/>
  <c r="T72" i="10"/>
  <c r="S72" i="10"/>
  <c r="R72" i="10"/>
  <c r="Q72" i="10"/>
  <c r="P72" i="10"/>
  <c r="O72" i="10"/>
  <c r="N72" i="10"/>
  <c r="M72" i="10"/>
  <c r="L72" i="10"/>
  <c r="K72" i="10"/>
  <c r="J72" i="10"/>
  <c r="I72" i="10"/>
  <c r="H72" i="10"/>
  <c r="G72" i="10"/>
  <c r="F72" i="10"/>
  <c r="E72" i="10"/>
  <c r="D72" i="10"/>
  <c r="C72" i="10"/>
  <c r="B72" i="10"/>
  <c r="A72" i="10"/>
  <c r="AN71" i="10"/>
  <c r="AM71" i="10"/>
  <c r="AL71" i="10"/>
  <c r="AK71" i="10"/>
  <c r="AJ71" i="10"/>
  <c r="AI71" i="10"/>
  <c r="AH71" i="10"/>
  <c r="AG71" i="10"/>
  <c r="AF71" i="10"/>
  <c r="AE71" i="10"/>
  <c r="AD71" i="10"/>
  <c r="AC71" i="10"/>
  <c r="AB71" i="10"/>
  <c r="AA71" i="10"/>
  <c r="Z71" i="10"/>
  <c r="Y71" i="10"/>
  <c r="X71" i="10"/>
  <c r="W71" i="10"/>
  <c r="U71" i="10"/>
  <c r="T71" i="10"/>
  <c r="S71" i="10"/>
  <c r="R71" i="10"/>
  <c r="Q71" i="10"/>
  <c r="P71" i="10"/>
  <c r="O71" i="10"/>
  <c r="N71" i="10"/>
  <c r="M71" i="10"/>
  <c r="L71" i="10"/>
  <c r="K71" i="10"/>
  <c r="J71" i="10"/>
  <c r="I71" i="10"/>
  <c r="H71" i="10"/>
  <c r="G71" i="10"/>
  <c r="F71" i="10"/>
  <c r="E71" i="10"/>
  <c r="D71" i="10"/>
  <c r="C71" i="10"/>
  <c r="B71" i="10"/>
  <c r="A71" i="10"/>
  <c r="AN70" i="10"/>
  <c r="AM70" i="10"/>
  <c r="AL70" i="10"/>
  <c r="AK70" i="10"/>
  <c r="AJ70" i="10"/>
  <c r="AI70" i="10"/>
  <c r="AH70" i="10"/>
  <c r="AG70" i="10"/>
  <c r="AF70" i="10"/>
  <c r="AE70" i="10"/>
  <c r="AD70" i="10"/>
  <c r="AC70" i="10"/>
  <c r="AB70" i="10"/>
  <c r="AA70" i="10"/>
  <c r="Z70" i="10"/>
  <c r="Y70" i="10"/>
  <c r="X70" i="10"/>
  <c r="W70" i="10"/>
  <c r="U70" i="10"/>
  <c r="T70" i="10"/>
  <c r="S70" i="10"/>
  <c r="R70" i="10"/>
  <c r="Q70" i="10"/>
  <c r="P70" i="10"/>
  <c r="O70" i="10"/>
  <c r="N70" i="10"/>
  <c r="M70" i="10"/>
  <c r="L70" i="10"/>
  <c r="K70" i="10"/>
  <c r="J70" i="10"/>
  <c r="I70" i="10"/>
  <c r="H70" i="10"/>
  <c r="G70" i="10"/>
  <c r="F70" i="10"/>
  <c r="E70" i="10"/>
  <c r="D70" i="10"/>
  <c r="C70" i="10"/>
  <c r="B70" i="10"/>
  <c r="A70" i="10"/>
  <c r="AN69" i="10"/>
  <c r="AM69" i="10"/>
  <c r="AL69" i="10"/>
  <c r="AK69" i="10"/>
  <c r="AJ69" i="10"/>
  <c r="AI69" i="10"/>
  <c r="AH69" i="10"/>
  <c r="AG69" i="10"/>
  <c r="AF69" i="10"/>
  <c r="AE69" i="10"/>
  <c r="AD69" i="10"/>
  <c r="AC69" i="10"/>
  <c r="AB69" i="10"/>
  <c r="AA69" i="10"/>
  <c r="Z69" i="10"/>
  <c r="Y69" i="10"/>
  <c r="X69" i="10"/>
  <c r="W69" i="10"/>
  <c r="U69" i="10"/>
  <c r="T69" i="10"/>
  <c r="S69" i="10"/>
  <c r="R69" i="10"/>
  <c r="Q69" i="10"/>
  <c r="P69" i="10"/>
  <c r="O69" i="10"/>
  <c r="N69" i="10"/>
  <c r="M69" i="10"/>
  <c r="L69" i="10"/>
  <c r="K69" i="10"/>
  <c r="J69" i="10"/>
  <c r="I69" i="10"/>
  <c r="H69" i="10"/>
  <c r="G69" i="10"/>
  <c r="F69" i="10"/>
  <c r="E69" i="10"/>
  <c r="D69" i="10"/>
  <c r="C69" i="10"/>
  <c r="B69" i="10"/>
  <c r="A69" i="10"/>
  <c r="AN68" i="10"/>
  <c r="AM68" i="10"/>
  <c r="AL68" i="10"/>
  <c r="AK68" i="10"/>
  <c r="AJ68" i="10"/>
  <c r="AI68" i="10"/>
  <c r="AH68" i="10"/>
  <c r="AG68" i="10"/>
  <c r="AF68" i="10"/>
  <c r="AE68" i="10"/>
  <c r="AD68" i="10"/>
  <c r="AC68" i="10"/>
  <c r="AB68" i="10"/>
  <c r="AA68" i="10"/>
  <c r="Z68" i="10"/>
  <c r="Y68" i="10"/>
  <c r="X68" i="10"/>
  <c r="W68" i="10"/>
  <c r="U68" i="10"/>
  <c r="T68" i="10"/>
  <c r="S68" i="10"/>
  <c r="R68" i="10"/>
  <c r="Q68" i="10"/>
  <c r="P68" i="10"/>
  <c r="O68" i="10"/>
  <c r="N68" i="10"/>
  <c r="M68" i="10"/>
  <c r="L68" i="10"/>
  <c r="K68" i="10"/>
  <c r="J68" i="10"/>
  <c r="I68" i="10"/>
  <c r="H68" i="10"/>
  <c r="G68" i="10"/>
  <c r="F68" i="10"/>
  <c r="E68" i="10"/>
  <c r="D68" i="10"/>
  <c r="C68" i="10"/>
  <c r="B68" i="10"/>
  <c r="A68" i="10"/>
  <c r="AN67" i="10"/>
  <c r="AM67" i="10"/>
  <c r="AL67" i="10"/>
  <c r="AK67" i="10"/>
  <c r="AJ67" i="10"/>
  <c r="AI67" i="10"/>
  <c r="AH67" i="10"/>
  <c r="AG67" i="10"/>
  <c r="AF67" i="10"/>
  <c r="AE67" i="10"/>
  <c r="AD67" i="10"/>
  <c r="AC67" i="10"/>
  <c r="AB67" i="10"/>
  <c r="AA67" i="10"/>
  <c r="Z67" i="10"/>
  <c r="Y67" i="10"/>
  <c r="X67" i="10"/>
  <c r="W67" i="10"/>
  <c r="U67" i="10"/>
  <c r="T67" i="10"/>
  <c r="S67" i="10"/>
  <c r="R67" i="10"/>
  <c r="Q67" i="10"/>
  <c r="P67" i="10"/>
  <c r="O67" i="10"/>
  <c r="N67" i="10"/>
  <c r="M67" i="10"/>
  <c r="L67" i="10"/>
  <c r="K67" i="10"/>
  <c r="J67" i="10"/>
  <c r="I67" i="10"/>
  <c r="H67" i="10"/>
  <c r="G67" i="10"/>
  <c r="F67" i="10"/>
  <c r="E67" i="10"/>
  <c r="D67" i="10"/>
  <c r="C67" i="10"/>
  <c r="B67" i="10"/>
  <c r="A67" i="10"/>
  <c r="AN66" i="10"/>
  <c r="AM66" i="10"/>
  <c r="AL66" i="10"/>
  <c r="AK66" i="10"/>
  <c r="AJ66" i="10"/>
  <c r="AI66" i="10"/>
  <c r="AH66" i="10"/>
  <c r="AG66" i="10"/>
  <c r="AF66" i="10"/>
  <c r="AE66" i="10"/>
  <c r="AD66" i="10"/>
  <c r="AC66" i="10"/>
  <c r="AB66" i="10"/>
  <c r="AA66" i="10"/>
  <c r="Z66" i="10"/>
  <c r="Y66" i="10"/>
  <c r="X66" i="10"/>
  <c r="W66" i="10"/>
  <c r="U66" i="10"/>
  <c r="T66" i="10"/>
  <c r="S66" i="10"/>
  <c r="R66" i="10"/>
  <c r="Q66" i="10"/>
  <c r="P66" i="10"/>
  <c r="O66" i="10"/>
  <c r="N66" i="10"/>
  <c r="M66" i="10"/>
  <c r="L66" i="10"/>
  <c r="K66" i="10"/>
  <c r="J66" i="10"/>
  <c r="I66" i="10"/>
  <c r="H66" i="10"/>
  <c r="G66" i="10"/>
  <c r="F66" i="10"/>
  <c r="E66" i="10"/>
  <c r="D66" i="10"/>
  <c r="C66" i="10"/>
  <c r="B66" i="10"/>
  <c r="A66" i="10"/>
  <c r="AN65" i="10"/>
  <c r="AM65" i="10"/>
  <c r="AL65" i="10"/>
  <c r="AK65" i="10"/>
  <c r="AJ65" i="10"/>
  <c r="AI65" i="10"/>
  <c r="AH65" i="10"/>
  <c r="AG65" i="10"/>
  <c r="AF65" i="10"/>
  <c r="AE65" i="10"/>
  <c r="AD65" i="10"/>
  <c r="AC65" i="10"/>
  <c r="AB65" i="10"/>
  <c r="AA65" i="10"/>
  <c r="Z65" i="10"/>
  <c r="Y65" i="10"/>
  <c r="X65" i="10"/>
  <c r="W65" i="10"/>
  <c r="U65" i="10"/>
  <c r="T65" i="10"/>
  <c r="S65" i="10"/>
  <c r="R65" i="10"/>
  <c r="Q65" i="10"/>
  <c r="P65" i="10"/>
  <c r="O65" i="10"/>
  <c r="N65" i="10"/>
  <c r="M65" i="10"/>
  <c r="L65" i="10"/>
  <c r="K65" i="10"/>
  <c r="J65" i="10"/>
  <c r="I65" i="10"/>
  <c r="H65" i="10"/>
  <c r="G65" i="10"/>
  <c r="F65" i="10"/>
  <c r="E65" i="10"/>
  <c r="D65" i="10"/>
  <c r="C65" i="10"/>
  <c r="B65" i="10"/>
  <c r="A65" i="10"/>
  <c r="AN64" i="10"/>
  <c r="AM64" i="10"/>
  <c r="AL64" i="10"/>
  <c r="AK64" i="10"/>
  <c r="AJ64" i="10"/>
  <c r="AI64" i="10"/>
  <c r="AH64" i="10"/>
  <c r="AG64" i="10"/>
  <c r="AF64" i="10"/>
  <c r="AE64" i="10"/>
  <c r="AD64" i="10"/>
  <c r="AC64" i="10"/>
  <c r="AB64" i="10"/>
  <c r="AA64" i="10"/>
  <c r="Z64" i="10"/>
  <c r="Y64" i="10"/>
  <c r="X64" i="10"/>
  <c r="W64" i="10"/>
  <c r="U64" i="10"/>
  <c r="T64" i="10"/>
  <c r="S64" i="10"/>
  <c r="R64" i="10"/>
  <c r="Q64" i="10"/>
  <c r="P64" i="10"/>
  <c r="O64" i="10"/>
  <c r="N64" i="10"/>
  <c r="M64" i="10"/>
  <c r="L64" i="10"/>
  <c r="K64" i="10"/>
  <c r="J64" i="10"/>
  <c r="I64" i="10"/>
  <c r="H64" i="10"/>
  <c r="G64" i="10"/>
  <c r="F64" i="10"/>
  <c r="E64" i="10"/>
  <c r="D64" i="10"/>
  <c r="C64" i="10"/>
  <c r="B64" i="10"/>
  <c r="A64" i="10"/>
  <c r="AN63" i="10"/>
  <c r="AM63" i="10"/>
  <c r="AL63" i="10"/>
  <c r="AK63" i="10"/>
  <c r="AJ63" i="10"/>
  <c r="AI63" i="10"/>
  <c r="AH63" i="10"/>
  <c r="AG63" i="10"/>
  <c r="AF63" i="10"/>
  <c r="AE63" i="10"/>
  <c r="AD63" i="10"/>
  <c r="AC63" i="10"/>
  <c r="AB63" i="10"/>
  <c r="AA63" i="10"/>
  <c r="Z63" i="10"/>
  <c r="Y63" i="10"/>
  <c r="X63" i="10"/>
  <c r="W63" i="10"/>
  <c r="U63" i="10"/>
  <c r="T63" i="10"/>
  <c r="S63" i="10"/>
  <c r="R63" i="10"/>
  <c r="Q63" i="10"/>
  <c r="P63" i="10"/>
  <c r="O63" i="10"/>
  <c r="N63" i="10"/>
  <c r="M63" i="10"/>
  <c r="L63" i="10"/>
  <c r="K63" i="10"/>
  <c r="J63" i="10"/>
  <c r="I63" i="10"/>
  <c r="H63" i="10"/>
  <c r="G63" i="10"/>
  <c r="F63" i="10"/>
  <c r="E63" i="10"/>
  <c r="D63" i="10"/>
  <c r="C63" i="10"/>
  <c r="B63" i="10"/>
  <c r="A63" i="10"/>
  <c r="AN62" i="10"/>
  <c r="AM62" i="10"/>
  <c r="AL62" i="10"/>
  <c r="AK62" i="10"/>
  <c r="AJ62" i="10"/>
  <c r="AI62" i="10"/>
  <c r="AH62" i="10"/>
  <c r="AG62" i="10"/>
  <c r="AF62" i="10"/>
  <c r="AE62" i="10"/>
  <c r="AD62" i="10"/>
  <c r="AC62" i="10"/>
  <c r="AB62" i="10"/>
  <c r="AA62" i="10"/>
  <c r="Z62" i="10"/>
  <c r="Y62" i="10"/>
  <c r="X62" i="10"/>
  <c r="W62" i="10"/>
  <c r="U62" i="10"/>
  <c r="T62" i="10"/>
  <c r="S62" i="10"/>
  <c r="R62" i="10"/>
  <c r="Q62" i="10"/>
  <c r="P62" i="10"/>
  <c r="O62" i="10"/>
  <c r="N62" i="10"/>
  <c r="M62" i="10"/>
  <c r="L62" i="10"/>
  <c r="K62" i="10"/>
  <c r="J62" i="10"/>
  <c r="I62" i="10"/>
  <c r="H62" i="10"/>
  <c r="G62" i="10"/>
  <c r="F62" i="10"/>
  <c r="E62" i="10"/>
  <c r="D62" i="10"/>
  <c r="C62" i="10"/>
  <c r="B62" i="10"/>
  <c r="A62" i="10"/>
  <c r="AN61" i="10"/>
  <c r="AM61" i="10"/>
  <c r="AL61" i="10"/>
  <c r="AK61" i="10"/>
  <c r="AJ61" i="10"/>
  <c r="AI61" i="10"/>
  <c r="AH61" i="10"/>
  <c r="AG61" i="10"/>
  <c r="AF61" i="10"/>
  <c r="AE61" i="10"/>
  <c r="AD61" i="10"/>
  <c r="AC61" i="10"/>
  <c r="AB61" i="10"/>
  <c r="AA61" i="10"/>
  <c r="Z61" i="10"/>
  <c r="Y61" i="10"/>
  <c r="X61" i="10"/>
  <c r="W61" i="10"/>
  <c r="U61" i="10"/>
  <c r="T61" i="10"/>
  <c r="S61" i="10"/>
  <c r="R61" i="10"/>
  <c r="Q61" i="10"/>
  <c r="P61" i="10"/>
  <c r="O61" i="10"/>
  <c r="N61" i="10"/>
  <c r="M61" i="10"/>
  <c r="L61" i="10"/>
  <c r="K61" i="10"/>
  <c r="J61" i="10"/>
  <c r="I61" i="10"/>
  <c r="H61" i="10"/>
  <c r="G61" i="10"/>
  <c r="F61" i="10"/>
  <c r="E61" i="10"/>
  <c r="D61" i="10"/>
  <c r="C61" i="10"/>
  <c r="B61" i="10"/>
  <c r="A61" i="10"/>
  <c r="AN60" i="10"/>
  <c r="AM60" i="10"/>
  <c r="AL60" i="10"/>
  <c r="AK60" i="10"/>
  <c r="AJ60" i="10"/>
  <c r="AI60" i="10"/>
  <c r="AH60" i="10"/>
  <c r="AG60" i="10"/>
  <c r="AF60" i="10"/>
  <c r="AE60" i="10"/>
  <c r="AD60" i="10"/>
  <c r="AC60" i="10"/>
  <c r="AB60" i="10"/>
  <c r="AA60" i="10"/>
  <c r="Z60" i="10"/>
  <c r="Y60" i="10"/>
  <c r="X60" i="10"/>
  <c r="W60" i="10"/>
  <c r="U60" i="10"/>
  <c r="T60" i="10"/>
  <c r="S60" i="10"/>
  <c r="R60" i="10"/>
  <c r="Q60" i="10"/>
  <c r="P60" i="10"/>
  <c r="O60" i="10"/>
  <c r="N60" i="10"/>
  <c r="M60" i="10"/>
  <c r="L60" i="10"/>
  <c r="K60" i="10"/>
  <c r="J60" i="10"/>
  <c r="I60" i="10"/>
  <c r="H60" i="10"/>
  <c r="G60" i="10"/>
  <c r="F60" i="10"/>
  <c r="E60" i="10"/>
  <c r="D60" i="10"/>
  <c r="C60" i="10"/>
  <c r="B60" i="10"/>
  <c r="A60" i="10"/>
  <c r="AN59" i="10"/>
  <c r="AM59" i="10"/>
  <c r="AL59" i="10"/>
  <c r="AK59" i="10"/>
  <c r="AJ59" i="10"/>
  <c r="AI59" i="10"/>
  <c r="AH59" i="10"/>
  <c r="AG59" i="10"/>
  <c r="AF59" i="10"/>
  <c r="AE59" i="10"/>
  <c r="AD59" i="10"/>
  <c r="AC59" i="10"/>
  <c r="AB59" i="10"/>
  <c r="AA59" i="10"/>
  <c r="Z59" i="10"/>
  <c r="Y59" i="10"/>
  <c r="X59" i="10"/>
  <c r="W59" i="10"/>
  <c r="U59" i="10"/>
  <c r="T59" i="10"/>
  <c r="S59" i="10"/>
  <c r="R59" i="10"/>
  <c r="Q59" i="10"/>
  <c r="P59" i="10"/>
  <c r="O59" i="10"/>
  <c r="N59" i="10"/>
  <c r="M59" i="10"/>
  <c r="L59" i="10"/>
  <c r="K59" i="10"/>
  <c r="J59" i="10"/>
  <c r="I59" i="10"/>
  <c r="H59" i="10"/>
  <c r="G59" i="10"/>
  <c r="F59" i="10"/>
  <c r="E59" i="10"/>
  <c r="D59" i="10"/>
  <c r="C59" i="10"/>
  <c r="B59" i="10"/>
  <c r="A59" i="10"/>
  <c r="AN58" i="10"/>
  <c r="AM58" i="10"/>
  <c r="AL58" i="10"/>
  <c r="AK58" i="10"/>
  <c r="AJ58" i="10"/>
  <c r="AI58" i="10"/>
  <c r="AH58" i="10"/>
  <c r="AG58" i="10"/>
  <c r="AF58" i="10"/>
  <c r="AE58" i="10"/>
  <c r="AD58" i="10"/>
  <c r="AC58" i="10"/>
  <c r="AB58" i="10"/>
  <c r="AA58" i="10"/>
  <c r="Z58" i="10"/>
  <c r="Y58" i="10"/>
  <c r="X58" i="10"/>
  <c r="W58" i="10"/>
  <c r="U58" i="10"/>
  <c r="T58" i="10"/>
  <c r="S58" i="10"/>
  <c r="R58" i="10"/>
  <c r="Q58" i="10"/>
  <c r="P58" i="10"/>
  <c r="O58" i="10"/>
  <c r="N58" i="10"/>
  <c r="M58" i="10"/>
  <c r="L58" i="10"/>
  <c r="K58" i="10"/>
  <c r="J58" i="10"/>
  <c r="I58" i="10"/>
  <c r="H58" i="10"/>
  <c r="G58" i="10"/>
  <c r="F58" i="10"/>
  <c r="E58" i="10"/>
  <c r="D58" i="10"/>
  <c r="C58" i="10"/>
  <c r="B58" i="10"/>
  <c r="A58" i="10"/>
  <c r="AN57" i="10"/>
  <c r="AM57" i="10"/>
  <c r="AL57" i="10"/>
  <c r="AK57" i="10"/>
  <c r="AJ57" i="10"/>
  <c r="AI57" i="10"/>
  <c r="AH57" i="10"/>
  <c r="AG57" i="10"/>
  <c r="AF57" i="10"/>
  <c r="AE57" i="10"/>
  <c r="AD57" i="10"/>
  <c r="AC57" i="10"/>
  <c r="AB57" i="10"/>
  <c r="AA57" i="10"/>
  <c r="Z57" i="10"/>
  <c r="Y57" i="10"/>
  <c r="X57" i="10"/>
  <c r="W57" i="10"/>
  <c r="U57" i="10"/>
  <c r="T57" i="10"/>
  <c r="S57" i="10"/>
  <c r="R57" i="10"/>
  <c r="Q57" i="10"/>
  <c r="P57" i="10"/>
  <c r="O57" i="10"/>
  <c r="N57" i="10"/>
  <c r="M57" i="10"/>
  <c r="L57" i="10"/>
  <c r="K57" i="10"/>
  <c r="J57" i="10"/>
  <c r="I57" i="10"/>
  <c r="H57" i="10"/>
  <c r="G57" i="10"/>
  <c r="F57" i="10"/>
  <c r="E57" i="10"/>
  <c r="D57" i="10"/>
  <c r="C57" i="10"/>
  <c r="B57" i="10"/>
  <c r="A57" i="10"/>
  <c r="AN56" i="10"/>
  <c r="AM56" i="10"/>
  <c r="AL56" i="10"/>
  <c r="AK56" i="10"/>
  <c r="AJ56" i="10"/>
  <c r="AI56" i="10"/>
  <c r="AH56" i="10"/>
  <c r="AG56" i="10"/>
  <c r="AF56" i="10"/>
  <c r="AE56" i="10"/>
  <c r="AD56" i="10"/>
  <c r="AC56" i="10"/>
  <c r="AB56" i="10"/>
  <c r="AA56" i="10"/>
  <c r="Z56" i="10"/>
  <c r="Y56" i="10"/>
  <c r="X56" i="10"/>
  <c r="W56" i="10"/>
  <c r="U56" i="10"/>
  <c r="T56" i="10"/>
  <c r="S56" i="10"/>
  <c r="R56" i="10"/>
  <c r="Q56" i="10"/>
  <c r="P56" i="10"/>
  <c r="O56" i="10"/>
  <c r="N56" i="10"/>
  <c r="M56" i="10"/>
  <c r="L56" i="10"/>
  <c r="K56" i="10"/>
  <c r="J56" i="10"/>
  <c r="I56" i="10"/>
  <c r="H56" i="10"/>
  <c r="G56" i="10"/>
  <c r="F56" i="10"/>
  <c r="E56" i="10"/>
  <c r="D56" i="10"/>
  <c r="C56" i="10"/>
  <c r="B56" i="10"/>
  <c r="A56" i="10"/>
  <c r="AN55" i="10"/>
  <c r="AM55" i="10"/>
  <c r="AL55" i="10"/>
  <c r="AK55" i="10"/>
  <c r="AJ55" i="10"/>
  <c r="AI55" i="10"/>
  <c r="AH55" i="10"/>
  <c r="AG55" i="10"/>
  <c r="AF55" i="10"/>
  <c r="AE55" i="10"/>
  <c r="AD55" i="10"/>
  <c r="AC55" i="10"/>
  <c r="AB55" i="10"/>
  <c r="AA55" i="10"/>
  <c r="Z55" i="10"/>
  <c r="Y55" i="10"/>
  <c r="X55" i="10"/>
  <c r="W55" i="10"/>
  <c r="U55" i="10"/>
  <c r="T55" i="10"/>
  <c r="S55" i="10"/>
  <c r="R55" i="10"/>
  <c r="Q55" i="10"/>
  <c r="P55" i="10"/>
  <c r="O55" i="10"/>
  <c r="N55" i="10"/>
  <c r="M55" i="10"/>
  <c r="L55" i="10"/>
  <c r="K55" i="10"/>
  <c r="J55" i="10"/>
  <c r="I55" i="10"/>
  <c r="H55" i="10"/>
  <c r="G55" i="10"/>
  <c r="F55" i="10"/>
  <c r="E55" i="10"/>
  <c r="D55" i="10"/>
  <c r="C55" i="10"/>
  <c r="B55" i="10"/>
  <c r="A55" i="10"/>
  <c r="AN54" i="10"/>
  <c r="AM54" i="10"/>
  <c r="AL54" i="10"/>
  <c r="AK54" i="10"/>
  <c r="AJ54" i="10"/>
  <c r="AI54" i="10"/>
  <c r="AH54" i="10"/>
  <c r="AG54" i="10"/>
  <c r="AF54" i="10"/>
  <c r="AE54" i="10"/>
  <c r="AD54" i="10"/>
  <c r="AC54" i="10"/>
  <c r="AB54" i="10"/>
  <c r="AA54" i="10"/>
  <c r="Z54" i="10"/>
  <c r="Y54" i="10"/>
  <c r="X54" i="10"/>
  <c r="W54" i="10"/>
  <c r="U54" i="10"/>
  <c r="T54" i="10"/>
  <c r="S54" i="10"/>
  <c r="R54" i="10"/>
  <c r="Q54" i="10"/>
  <c r="P54" i="10"/>
  <c r="O54" i="10"/>
  <c r="N54" i="10"/>
  <c r="M54" i="10"/>
  <c r="L54" i="10"/>
  <c r="K54" i="10"/>
  <c r="J54" i="10"/>
  <c r="I54" i="10"/>
  <c r="H54" i="10"/>
  <c r="G54" i="10"/>
  <c r="F54" i="10"/>
  <c r="E54" i="10"/>
  <c r="D54" i="10"/>
  <c r="C54" i="10"/>
  <c r="B54" i="10"/>
  <c r="A54" i="10"/>
  <c r="AN53" i="10"/>
  <c r="AM53" i="10"/>
  <c r="AL53" i="10"/>
  <c r="AK53" i="10"/>
  <c r="AJ53" i="10"/>
  <c r="AI53" i="10"/>
  <c r="AH53" i="10"/>
  <c r="AG53" i="10"/>
  <c r="AF53" i="10"/>
  <c r="AE53" i="10"/>
  <c r="AD53" i="10"/>
  <c r="AC53" i="10"/>
  <c r="AB53" i="10"/>
  <c r="AA53" i="10"/>
  <c r="Z53" i="10"/>
  <c r="Y53" i="10"/>
  <c r="X53" i="10"/>
  <c r="W53" i="10"/>
  <c r="U53" i="10"/>
  <c r="T53" i="10"/>
  <c r="S53" i="10"/>
  <c r="R53" i="10"/>
  <c r="Q53" i="10"/>
  <c r="P53" i="10"/>
  <c r="O53" i="10"/>
  <c r="N53" i="10"/>
  <c r="M53" i="10"/>
  <c r="L53" i="10"/>
  <c r="K53" i="10"/>
  <c r="J53" i="10"/>
  <c r="I53" i="10"/>
  <c r="H53" i="10"/>
  <c r="G53" i="10"/>
  <c r="F53" i="10"/>
  <c r="E53" i="10"/>
  <c r="D53" i="10"/>
  <c r="C53" i="10"/>
  <c r="B53" i="10"/>
  <c r="A53" i="10"/>
  <c r="AN52" i="10"/>
  <c r="AM52" i="10"/>
  <c r="AL52" i="10"/>
  <c r="AK52" i="10"/>
  <c r="AJ52" i="10"/>
  <c r="AI52" i="10"/>
  <c r="AH52" i="10"/>
  <c r="AG52" i="10"/>
  <c r="AF52" i="10"/>
  <c r="AE52" i="10"/>
  <c r="AD52" i="10"/>
  <c r="AC52" i="10"/>
  <c r="AB52" i="10"/>
  <c r="AA52" i="10"/>
  <c r="Z52" i="10"/>
  <c r="Y52" i="10"/>
  <c r="X52" i="10"/>
  <c r="W52" i="10"/>
  <c r="U52" i="10"/>
  <c r="T52" i="10"/>
  <c r="S52" i="10"/>
  <c r="R52" i="10"/>
  <c r="Q52" i="10"/>
  <c r="P52" i="10"/>
  <c r="O52" i="10"/>
  <c r="N52" i="10"/>
  <c r="M52" i="10"/>
  <c r="L52" i="10"/>
  <c r="K52" i="10"/>
  <c r="J52" i="10"/>
  <c r="I52" i="10"/>
  <c r="H52" i="10"/>
  <c r="G52" i="10"/>
  <c r="F52" i="10"/>
  <c r="E52" i="10"/>
  <c r="D52" i="10"/>
  <c r="C52" i="10"/>
  <c r="B52" i="10"/>
  <c r="A52" i="10"/>
  <c r="AN51" i="10"/>
  <c r="AM51" i="10"/>
  <c r="AL51" i="10"/>
  <c r="AK51" i="10"/>
  <c r="AJ51" i="10"/>
  <c r="AI51" i="10"/>
  <c r="AH51" i="10"/>
  <c r="AG51" i="10"/>
  <c r="AF51" i="10"/>
  <c r="AE51" i="10"/>
  <c r="AD51" i="10"/>
  <c r="AC51" i="10"/>
  <c r="AB51" i="10"/>
  <c r="AA51" i="10"/>
  <c r="Z51" i="10"/>
  <c r="Y51" i="10"/>
  <c r="X51" i="10"/>
  <c r="W51" i="10"/>
  <c r="U51" i="10"/>
  <c r="T51" i="10"/>
  <c r="S51" i="10"/>
  <c r="R51" i="10"/>
  <c r="Q51" i="10"/>
  <c r="P51" i="10"/>
  <c r="O51" i="10"/>
  <c r="N51" i="10"/>
  <c r="M51" i="10"/>
  <c r="L51" i="10"/>
  <c r="K51" i="10"/>
  <c r="J51" i="10"/>
  <c r="I51" i="10"/>
  <c r="H51" i="10"/>
  <c r="G51" i="10"/>
  <c r="F51" i="10"/>
  <c r="E51" i="10"/>
  <c r="D51" i="10"/>
  <c r="C51" i="10"/>
  <c r="B51" i="10"/>
  <c r="A51" i="10"/>
  <c r="AN50" i="10"/>
  <c r="AM50" i="10"/>
  <c r="AL50" i="10"/>
  <c r="AK50" i="10"/>
  <c r="AJ50" i="10"/>
  <c r="AI50" i="10"/>
  <c r="AH50" i="10"/>
  <c r="AG50" i="10"/>
  <c r="AF50" i="10"/>
  <c r="AE50" i="10"/>
  <c r="AD50" i="10"/>
  <c r="AC50" i="10"/>
  <c r="AB50" i="10"/>
  <c r="AA50" i="10"/>
  <c r="Z50" i="10"/>
  <c r="Y50" i="10"/>
  <c r="X50" i="10"/>
  <c r="W50" i="10"/>
  <c r="U50" i="10"/>
  <c r="T50" i="10"/>
  <c r="S50" i="10"/>
  <c r="R50" i="10"/>
  <c r="Q50" i="10"/>
  <c r="P50" i="10"/>
  <c r="O50" i="10"/>
  <c r="N50" i="10"/>
  <c r="M50" i="10"/>
  <c r="L50" i="10"/>
  <c r="K50" i="10"/>
  <c r="J50" i="10"/>
  <c r="I50" i="10"/>
  <c r="H50" i="10"/>
  <c r="G50" i="10"/>
  <c r="F50" i="10"/>
  <c r="E50" i="10"/>
  <c r="D50" i="10"/>
  <c r="C50" i="10"/>
  <c r="B50" i="10"/>
  <c r="A50" i="10"/>
  <c r="AN49" i="10"/>
  <c r="AM49" i="10"/>
  <c r="AL49" i="10"/>
  <c r="AK49" i="10"/>
  <c r="AJ49" i="10"/>
  <c r="AI49" i="10"/>
  <c r="AH49" i="10"/>
  <c r="AG49" i="10"/>
  <c r="AF49" i="10"/>
  <c r="AE49" i="10"/>
  <c r="AD49" i="10"/>
  <c r="AC49" i="10"/>
  <c r="AB49" i="10"/>
  <c r="AA49" i="10"/>
  <c r="Z49" i="10"/>
  <c r="Y49" i="10"/>
  <c r="X49" i="10"/>
  <c r="W49" i="10"/>
  <c r="U49" i="10"/>
  <c r="T49" i="10"/>
  <c r="S49" i="10"/>
  <c r="R49" i="10"/>
  <c r="Q49" i="10"/>
  <c r="P49" i="10"/>
  <c r="O49" i="10"/>
  <c r="N49" i="10"/>
  <c r="M49" i="10"/>
  <c r="L49" i="10"/>
  <c r="K49" i="10"/>
  <c r="J49" i="10"/>
  <c r="I49" i="10"/>
  <c r="H49" i="10"/>
  <c r="G49" i="10"/>
  <c r="F49" i="10"/>
  <c r="E49" i="10"/>
  <c r="D49" i="10"/>
  <c r="C49" i="10"/>
  <c r="B49" i="10"/>
  <c r="A49" i="10"/>
  <c r="AN48" i="10"/>
  <c r="AM48" i="10"/>
  <c r="AL48" i="10"/>
  <c r="AK48" i="10"/>
  <c r="AJ48" i="10"/>
  <c r="AI48" i="10"/>
  <c r="AH48" i="10"/>
  <c r="AG48" i="10"/>
  <c r="AF48" i="10"/>
  <c r="AE48" i="10"/>
  <c r="AD48" i="10"/>
  <c r="AC48" i="10"/>
  <c r="AB48" i="10"/>
  <c r="AA48" i="10"/>
  <c r="Z48" i="10"/>
  <c r="Y48" i="10"/>
  <c r="X48" i="10"/>
  <c r="W48" i="10"/>
  <c r="U48" i="10"/>
  <c r="T48" i="10"/>
  <c r="S48" i="10"/>
  <c r="R48" i="10"/>
  <c r="Q48" i="10"/>
  <c r="P48" i="10"/>
  <c r="O48" i="10"/>
  <c r="N48" i="10"/>
  <c r="M48" i="10"/>
  <c r="L48" i="10"/>
  <c r="K48" i="10"/>
  <c r="J48" i="10"/>
  <c r="I48" i="10"/>
  <c r="H48" i="10"/>
  <c r="G48" i="10"/>
  <c r="F48" i="10"/>
  <c r="E48" i="10"/>
  <c r="D48" i="10"/>
  <c r="C48" i="10"/>
  <c r="B48" i="10"/>
  <c r="A48" i="10"/>
  <c r="AN47" i="10"/>
  <c r="AM47" i="10"/>
  <c r="AL47" i="10"/>
  <c r="AK47" i="10"/>
  <c r="AJ47" i="10"/>
  <c r="AI47" i="10"/>
  <c r="AH47" i="10"/>
  <c r="AG47" i="10"/>
  <c r="AF47" i="10"/>
  <c r="AE47" i="10"/>
  <c r="AD47" i="10"/>
  <c r="AC47" i="10"/>
  <c r="AB47" i="10"/>
  <c r="AA47" i="10"/>
  <c r="Z47" i="10"/>
  <c r="Y47" i="10"/>
  <c r="X47" i="10"/>
  <c r="W47" i="10"/>
  <c r="U47" i="10"/>
  <c r="T47" i="10"/>
  <c r="S47" i="10"/>
  <c r="R47" i="10"/>
  <c r="Q47" i="10"/>
  <c r="P47" i="10"/>
  <c r="O47" i="10"/>
  <c r="N47" i="10"/>
  <c r="M47" i="10"/>
  <c r="L47" i="10"/>
  <c r="K47" i="10"/>
  <c r="J47" i="10"/>
  <c r="I47" i="10"/>
  <c r="H47" i="10"/>
  <c r="G47" i="10"/>
  <c r="F47" i="10"/>
  <c r="E47" i="10"/>
  <c r="D47" i="10"/>
  <c r="C47" i="10"/>
  <c r="B47" i="10"/>
  <c r="A47" i="10"/>
  <c r="AN46" i="10"/>
  <c r="AM46" i="10"/>
  <c r="AL46" i="10"/>
  <c r="AK46" i="10"/>
  <c r="AJ46" i="10"/>
  <c r="AI46" i="10"/>
  <c r="AH46" i="10"/>
  <c r="AG46" i="10"/>
  <c r="AF46" i="10"/>
  <c r="AE46" i="10"/>
  <c r="AD46" i="10"/>
  <c r="AC46" i="10"/>
  <c r="AB46" i="10"/>
  <c r="AA46" i="10"/>
  <c r="Z46" i="10"/>
  <c r="Y46" i="10"/>
  <c r="X46" i="10"/>
  <c r="W46" i="10"/>
  <c r="U46" i="10"/>
  <c r="T46" i="10"/>
  <c r="S46" i="10"/>
  <c r="R46" i="10"/>
  <c r="Q46" i="10"/>
  <c r="P46" i="10"/>
  <c r="O46" i="10"/>
  <c r="N46" i="10"/>
  <c r="M46" i="10"/>
  <c r="L46" i="10"/>
  <c r="K46" i="10"/>
  <c r="J46" i="10"/>
  <c r="I46" i="10"/>
  <c r="H46" i="10"/>
  <c r="G46" i="10"/>
  <c r="F46" i="10"/>
  <c r="E46" i="10"/>
  <c r="D46" i="10"/>
  <c r="C46" i="10"/>
  <c r="B46" i="10"/>
  <c r="A46" i="10"/>
  <c r="AN45" i="10"/>
  <c r="AM45" i="10"/>
  <c r="AL45" i="10"/>
  <c r="AK45" i="10"/>
  <c r="AJ45" i="10"/>
  <c r="AI45" i="10"/>
  <c r="AH45" i="10"/>
  <c r="AG45" i="10"/>
  <c r="AF45" i="10"/>
  <c r="AE45" i="10"/>
  <c r="AD45" i="10"/>
  <c r="AC45" i="10"/>
  <c r="AB45" i="10"/>
  <c r="AA45" i="10"/>
  <c r="Z45" i="10"/>
  <c r="Y45" i="10"/>
  <c r="X45" i="10"/>
  <c r="W45" i="10"/>
  <c r="U45" i="10"/>
  <c r="T45" i="10"/>
  <c r="S45" i="10"/>
  <c r="R45" i="10"/>
  <c r="Q45" i="10"/>
  <c r="P45" i="10"/>
  <c r="O45" i="10"/>
  <c r="N45" i="10"/>
  <c r="M45" i="10"/>
  <c r="L45" i="10"/>
  <c r="K45" i="10"/>
  <c r="J45" i="10"/>
  <c r="I45" i="10"/>
  <c r="H45" i="10"/>
  <c r="G45" i="10"/>
  <c r="F45" i="10"/>
  <c r="E45" i="10"/>
  <c r="D45" i="10"/>
  <c r="C45" i="10"/>
  <c r="B45" i="10"/>
  <c r="A45" i="10"/>
  <c r="AN44" i="10"/>
  <c r="AM44" i="10"/>
  <c r="AL44" i="10"/>
  <c r="AK44" i="10"/>
  <c r="AJ44" i="10"/>
  <c r="AI44" i="10"/>
  <c r="AH44" i="10"/>
  <c r="AG44" i="10"/>
  <c r="AF44" i="10"/>
  <c r="AE44" i="10"/>
  <c r="AD44" i="10"/>
  <c r="AC44" i="10"/>
  <c r="AB44" i="10"/>
  <c r="AA44" i="10"/>
  <c r="Z44" i="10"/>
  <c r="Y44" i="10"/>
  <c r="X44" i="10"/>
  <c r="W44" i="10"/>
  <c r="U44" i="10"/>
  <c r="T44" i="10"/>
  <c r="S44" i="10"/>
  <c r="R44" i="10"/>
  <c r="Q44" i="10"/>
  <c r="P44" i="10"/>
  <c r="O44" i="10"/>
  <c r="N44" i="10"/>
  <c r="M44" i="10"/>
  <c r="L44" i="10"/>
  <c r="K44" i="10"/>
  <c r="J44" i="10"/>
  <c r="I44" i="10"/>
  <c r="H44" i="10"/>
  <c r="G44" i="10"/>
  <c r="F44" i="10"/>
  <c r="E44" i="10"/>
  <c r="D44" i="10"/>
  <c r="C44" i="10"/>
  <c r="B44" i="10"/>
  <c r="A44" i="10"/>
  <c r="AN43" i="10"/>
  <c r="AM43" i="10"/>
  <c r="AL43" i="10"/>
  <c r="AK43" i="10"/>
  <c r="AJ43" i="10"/>
  <c r="AI43" i="10"/>
  <c r="AH43" i="10"/>
  <c r="AG43" i="10"/>
  <c r="AF43" i="10"/>
  <c r="AE43" i="10"/>
  <c r="AD43" i="10"/>
  <c r="AC43" i="10"/>
  <c r="AB43" i="10"/>
  <c r="AA43" i="10"/>
  <c r="Z43" i="10"/>
  <c r="Y43" i="10"/>
  <c r="X43" i="10"/>
  <c r="W43" i="10"/>
  <c r="U43" i="10"/>
  <c r="T43" i="10"/>
  <c r="S43" i="10"/>
  <c r="R43" i="10"/>
  <c r="Q43" i="10"/>
  <c r="P43" i="10"/>
  <c r="O43" i="10"/>
  <c r="N43" i="10"/>
  <c r="M43" i="10"/>
  <c r="L43" i="10"/>
  <c r="K43" i="10"/>
  <c r="J43" i="10"/>
  <c r="I43" i="10"/>
  <c r="H43" i="10"/>
  <c r="G43" i="10"/>
  <c r="F43" i="10"/>
  <c r="E43" i="10"/>
  <c r="D43" i="10"/>
  <c r="C43" i="10"/>
  <c r="B43" i="10"/>
  <c r="A43" i="10"/>
  <c r="AN42" i="10"/>
  <c r="AM42" i="10"/>
  <c r="AL42" i="10"/>
  <c r="AK42" i="10"/>
  <c r="AJ42" i="10"/>
  <c r="AI42" i="10"/>
  <c r="AH42" i="10"/>
  <c r="AG42" i="10"/>
  <c r="AF42" i="10"/>
  <c r="AE42" i="10"/>
  <c r="AD42" i="10"/>
  <c r="AC42" i="10"/>
  <c r="AB42" i="10"/>
  <c r="AA42" i="10"/>
  <c r="Z42" i="10"/>
  <c r="Y42" i="10"/>
  <c r="X42" i="10"/>
  <c r="W42" i="10"/>
  <c r="U42" i="10"/>
  <c r="T42" i="10"/>
  <c r="S42" i="10"/>
  <c r="R42" i="10"/>
  <c r="Q42" i="10"/>
  <c r="P42" i="10"/>
  <c r="O42" i="10"/>
  <c r="N42" i="10"/>
  <c r="M42" i="10"/>
  <c r="L42" i="10"/>
  <c r="K42" i="10"/>
  <c r="J42" i="10"/>
  <c r="I42" i="10"/>
  <c r="H42" i="10"/>
  <c r="G42" i="10"/>
  <c r="F42" i="10"/>
  <c r="E42" i="10"/>
  <c r="D42" i="10"/>
  <c r="C42" i="10"/>
  <c r="B42" i="10"/>
  <c r="A42" i="10"/>
  <c r="AN41" i="10"/>
  <c r="AM41" i="10"/>
  <c r="AL41" i="10"/>
  <c r="AK41" i="10"/>
  <c r="AJ41" i="10"/>
  <c r="AI41" i="10"/>
  <c r="AH41" i="10"/>
  <c r="AG41" i="10"/>
  <c r="AF41" i="10"/>
  <c r="AE41" i="10"/>
  <c r="AD41" i="10"/>
  <c r="AC41" i="10"/>
  <c r="AB41" i="10"/>
  <c r="AA41" i="10"/>
  <c r="Z41" i="10"/>
  <c r="Y41" i="10"/>
  <c r="X41" i="10"/>
  <c r="W41" i="10"/>
  <c r="U41" i="10"/>
  <c r="T41" i="10"/>
  <c r="S41" i="10"/>
  <c r="R41" i="10"/>
  <c r="Q41" i="10"/>
  <c r="P41" i="10"/>
  <c r="O41" i="10"/>
  <c r="N41" i="10"/>
  <c r="M41" i="10"/>
  <c r="L41" i="10"/>
  <c r="K41" i="10"/>
  <c r="J41" i="10"/>
  <c r="I41" i="10"/>
  <c r="H41" i="10"/>
  <c r="G41" i="10"/>
  <c r="F41" i="10"/>
  <c r="E41" i="10"/>
  <c r="D41" i="10"/>
  <c r="C41" i="10"/>
  <c r="B41" i="10"/>
  <c r="A41" i="10"/>
  <c r="AN40" i="10"/>
  <c r="AM40" i="10"/>
  <c r="AL40" i="10"/>
  <c r="AK40" i="10"/>
  <c r="AJ40" i="10"/>
  <c r="AI40" i="10"/>
  <c r="AH40" i="10"/>
  <c r="AG40" i="10"/>
  <c r="AF40" i="10"/>
  <c r="AE40" i="10"/>
  <c r="AD40" i="10"/>
  <c r="AC40" i="10"/>
  <c r="AB40" i="10"/>
  <c r="AA40" i="10"/>
  <c r="Z40" i="10"/>
  <c r="Y40" i="10"/>
  <c r="X40" i="10"/>
  <c r="W40" i="10"/>
  <c r="U40" i="10"/>
  <c r="T40" i="10"/>
  <c r="S40" i="10"/>
  <c r="R40" i="10"/>
  <c r="Q40" i="10"/>
  <c r="P40" i="10"/>
  <c r="O40" i="10"/>
  <c r="N40" i="10"/>
  <c r="M40" i="10"/>
  <c r="L40" i="10"/>
  <c r="K40" i="10"/>
  <c r="J40" i="10"/>
  <c r="I40" i="10"/>
  <c r="H40" i="10"/>
  <c r="G40" i="10"/>
  <c r="F40" i="10"/>
  <c r="E40" i="10"/>
  <c r="D40" i="10"/>
  <c r="C40" i="10"/>
  <c r="B40" i="10"/>
  <c r="A40" i="10"/>
  <c r="AN39" i="10"/>
  <c r="AM39" i="10"/>
  <c r="AL39" i="10"/>
  <c r="AK39" i="10"/>
  <c r="AJ39" i="10"/>
  <c r="AI39" i="10"/>
  <c r="AH39" i="10"/>
  <c r="AG39" i="10"/>
  <c r="AF39" i="10"/>
  <c r="AE39" i="10"/>
  <c r="AD39" i="10"/>
  <c r="AC39" i="10"/>
  <c r="AB39" i="10"/>
  <c r="AA39" i="10"/>
  <c r="Z39" i="10"/>
  <c r="Y39" i="10"/>
  <c r="X39" i="10"/>
  <c r="W39" i="10"/>
  <c r="U39" i="10"/>
  <c r="T39" i="10"/>
  <c r="S39" i="10"/>
  <c r="R39" i="10"/>
  <c r="Q39" i="10"/>
  <c r="P39" i="10"/>
  <c r="O39" i="10"/>
  <c r="N39" i="10"/>
  <c r="M39" i="10"/>
  <c r="L39" i="10"/>
  <c r="K39" i="10"/>
  <c r="J39" i="10"/>
  <c r="I39" i="10"/>
  <c r="H39" i="10"/>
  <c r="G39" i="10"/>
  <c r="F39" i="10"/>
  <c r="E39" i="10"/>
  <c r="D39" i="10"/>
  <c r="C39" i="10"/>
  <c r="B39" i="10"/>
  <c r="A39" i="10"/>
  <c r="AN38" i="10"/>
  <c r="AM38" i="10"/>
  <c r="AL38" i="10"/>
  <c r="AK38" i="10"/>
  <c r="AJ38" i="10"/>
  <c r="AI38" i="10"/>
  <c r="AH38" i="10"/>
  <c r="AG38" i="10"/>
  <c r="AF38" i="10"/>
  <c r="AE38" i="10"/>
  <c r="AD38" i="10"/>
  <c r="AC38" i="10"/>
  <c r="AB38" i="10"/>
  <c r="AA38" i="10"/>
  <c r="Z38" i="10"/>
  <c r="Y38" i="10"/>
  <c r="X38" i="10"/>
  <c r="W38" i="10"/>
  <c r="U38" i="10"/>
  <c r="T38" i="10"/>
  <c r="S38" i="10"/>
  <c r="R38" i="10"/>
  <c r="Q38" i="10"/>
  <c r="P38" i="10"/>
  <c r="O38" i="10"/>
  <c r="N38" i="10"/>
  <c r="M38" i="10"/>
  <c r="L38" i="10"/>
  <c r="K38" i="10"/>
  <c r="J38" i="10"/>
  <c r="I38" i="10"/>
  <c r="H38" i="10"/>
  <c r="G38" i="10"/>
  <c r="F38" i="10"/>
  <c r="E38" i="10"/>
  <c r="D38" i="10"/>
  <c r="C38" i="10"/>
  <c r="B38" i="10"/>
  <c r="A38" i="10"/>
  <c r="AN37" i="10"/>
  <c r="AM37" i="10"/>
  <c r="AL37" i="10"/>
  <c r="AK37" i="10"/>
  <c r="AJ37" i="10"/>
  <c r="AI37" i="10"/>
  <c r="AH37" i="10"/>
  <c r="AG37" i="10"/>
  <c r="AF37" i="10"/>
  <c r="AE37" i="10"/>
  <c r="AD37" i="10"/>
  <c r="AC37" i="10"/>
  <c r="AB37" i="10"/>
  <c r="AA37" i="10"/>
  <c r="Z37" i="10"/>
  <c r="Y37" i="10"/>
  <c r="X37" i="10"/>
  <c r="W37" i="10"/>
  <c r="U37" i="10"/>
  <c r="T37" i="10"/>
  <c r="S37" i="10"/>
  <c r="R37" i="10"/>
  <c r="Q37" i="10"/>
  <c r="P37" i="10"/>
  <c r="O37" i="10"/>
  <c r="N37" i="10"/>
  <c r="M37" i="10"/>
  <c r="L37" i="10"/>
  <c r="K37" i="10"/>
  <c r="J37" i="10"/>
  <c r="I37" i="10"/>
  <c r="H37" i="10"/>
  <c r="G37" i="10"/>
  <c r="F37" i="10"/>
  <c r="E37" i="10"/>
  <c r="D37" i="10"/>
  <c r="C37" i="10"/>
  <c r="B37" i="10"/>
  <c r="A37" i="10"/>
  <c r="AN36" i="10"/>
  <c r="AM36" i="10"/>
  <c r="AL36" i="10"/>
  <c r="AK36" i="10"/>
  <c r="AJ36" i="10"/>
  <c r="AI36" i="10"/>
  <c r="AH36" i="10"/>
  <c r="AG36" i="10"/>
  <c r="AF36" i="10"/>
  <c r="AE36" i="10"/>
  <c r="AD36" i="10"/>
  <c r="AC36" i="10"/>
  <c r="AB36" i="10"/>
  <c r="AA36" i="10"/>
  <c r="Z36" i="10"/>
  <c r="Y36" i="10"/>
  <c r="X36" i="10"/>
  <c r="W36" i="10"/>
  <c r="U36" i="10"/>
  <c r="T36" i="10"/>
  <c r="S36" i="10"/>
  <c r="R36" i="10"/>
  <c r="Q36" i="10"/>
  <c r="P36" i="10"/>
  <c r="O36" i="10"/>
  <c r="N36" i="10"/>
  <c r="M36" i="10"/>
  <c r="L36" i="10"/>
  <c r="K36" i="10"/>
  <c r="J36" i="10"/>
  <c r="I36" i="10"/>
  <c r="H36" i="10"/>
  <c r="G36" i="10"/>
  <c r="F36" i="10"/>
  <c r="E36" i="10"/>
  <c r="D36" i="10"/>
  <c r="C36" i="10"/>
  <c r="B36" i="10"/>
  <c r="A36" i="10"/>
  <c r="AN35" i="10"/>
  <c r="AM35" i="10"/>
  <c r="AL35" i="10"/>
  <c r="AK35" i="10"/>
  <c r="AJ35" i="10"/>
  <c r="AI35" i="10"/>
  <c r="AH35" i="10"/>
  <c r="AG35" i="10"/>
  <c r="AF35" i="10"/>
  <c r="AE35" i="10"/>
  <c r="AD35" i="10"/>
  <c r="AC35" i="10"/>
  <c r="AB35" i="10"/>
  <c r="AA35" i="10"/>
  <c r="Z35" i="10"/>
  <c r="Y35" i="10"/>
  <c r="X35" i="10"/>
  <c r="W35" i="10"/>
  <c r="U35" i="10"/>
  <c r="T35" i="10"/>
  <c r="S35" i="10"/>
  <c r="R35" i="10"/>
  <c r="Q35" i="10"/>
  <c r="P35" i="10"/>
  <c r="O35" i="10"/>
  <c r="N35" i="10"/>
  <c r="M35" i="10"/>
  <c r="L35" i="10"/>
  <c r="K35" i="10"/>
  <c r="J35" i="10"/>
  <c r="I35" i="10"/>
  <c r="H35" i="10"/>
  <c r="G35" i="10"/>
  <c r="F35" i="10"/>
  <c r="E35" i="10"/>
  <c r="D35" i="10"/>
  <c r="C35" i="10"/>
  <c r="B35" i="10"/>
  <c r="A35" i="10"/>
  <c r="AN34" i="10"/>
  <c r="AM34" i="10"/>
  <c r="AL34" i="10"/>
  <c r="AK34" i="10"/>
  <c r="AJ34" i="10"/>
  <c r="AI34" i="10"/>
  <c r="AH34" i="10"/>
  <c r="AG34" i="10"/>
  <c r="AF34" i="10"/>
  <c r="AE34" i="10"/>
  <c r="AD34" i="10"/>
  <c r="AC34" i="10"/>
  <c r="AB34" i="10"/>
  <c r="AA34" i="10"/>
  <c r="Z34" i="10"/>
  <c r="Y34" i="10"/>
  <c r="X34" i="10"/>
  <c r="W34" i="10"/>
  <c r="U34" i="10"/>
  <c r="T34" i="10"/>
  <c r="S34" i="10"/>
  <c r="R34" i="10"/>
  <c r="Q34" i="10"/>
  <c r="P34" i="10"/>
  <c r="O34" i="10"/>
  <c r="N34" i="10"/>
  <c r="M34" i="10"/>
  <c r="L34" i="10"/>
  <c r="K34" i="10"/>
  <c r="J34" i="10"/>
  <c r="I34" i="10"/>
  <c r="H34" i="10"/>
  <c r="G34" i="10"/>
  <c r="F34" i="10"/>
  <c r="E34" i="10"/>
  <c r="D34" i="10"/>
  <c r="C34" i="10"/>
  <c r="B34" i="10"/>
  <c r="A34" i="10"/>
  <c r="AN33" i="10"/>
  <c r="AM33" i="10"/>
  <c r="AL33" i="10"/>
  <c r="AK33" i="10"/>
  <c r="AJ33" i="10"/>
  <c r="AI33" i="10"/>
  <c r="AH33" i="10"/>
  <c r="AG33" i="10"/>
  <c r="AF33" i="10"/>
  <c r="AE33" i="10"/>
  <c r="AD33" i="10"/>
  <c r="AC33" i="10"/>
  <c r="AB33" i="10"/>
  <c r="AA33" i="10"/>
  <c r="Z33" i="10"/>
  <c r="Y33" i="10"/>
  <c r="X33" i="10"/>
  <c r="W33" i="10"/>
  <c r="U33" i="10"/>
  <c r="T33" i="10"/>
  <c r="S33" i="10"/>
  <c r="R33" i="10"/>
  <c r="Q33" i="10"/>
  <c r="P33" i="10"/>
  <c r="O33" i="10"/>
  <c r="N33" i="10"/>
  <c r="M33" i="10"/>
  <c r="L33" i="10"/>
  <c r="K33" i="10"/>
  <c r="J33" i="10"/>
  <c r="I33" i="10"/>
  <c r="H33" i="10"/>
  <c r="G33" i="10"/>
  <c r="F33" i="10"/>
  <c r="E33" i="10"/>
  <c r="D33" i="10"/>
  <c r="C33" i="10"/>
  <c r="B33" i="10"/>
  <c r="A33" i="10"/>
  <c r="AN32" i="10"/>
  <c r="AM32" i="10"/>
  <c r="AL32" i="10"/>
  <c r="AK32" i="10"/>
  <c r="AJ32" i="10"/>
  <c r="AI32" i="10"/>
  <c r="AH32" i="10"/>
  <c r="AG32" i="10"/>
  <c r="AF32" i="10"/>
  <c r="AE32" i="10"/>
  <c r="AD32" i="10"/>
  <c r="AC32" i="10"/>
  <c r="AB32" i="10"/>
  <c r="AA32" i="10"/>
  <c r="Z32" i="10"/>
  <c r="Y32" i="10"/>
  <c r="X32" i="10"/>
  <c r="W32" i="10"/>
  <c r="U32" i="10"/>
  <c r="T32" i="10"/>
  <c r="S32" i="10"/>
  <c r="R32" i="10"/>
  <c r="Q32" i="10"/>
  <c r="P32" i="10"/>
  <c r="O32" i="10"/>
  <c r="N32" i="10"/>
  <c r="M32" i="10"/>
  <c r="L32" i="10"/>
  <c r="K32" i="10"/>
  <c r="J32" i="10"/>
  <c r="I32" i="10"/>
  <c r="H32" i="10"/>
  <c r="G32" i="10"/>
  <c r="F32" i="10"/>
  <c r="E32" i="10"/>
  <c r="D32" i="10"/>
  <c r="C32" i="10"/>
  <c r="B32" i="10"/>
  <c r="A32" i="10"/>
  <c r="AN31" i="10"/>
  <c r="AM31" i="10"/>
  <c r="AL31" i="10"/>
  <c r="AK31" i="10"/>
  <c r="AJ31" i="10"/>
  <c r="AI31" i="10"/>
  <c r="AH31" i="10"/>
  <c r="AG31" i="10"/>
  <c r="AF31" i="10"/>
  <c r="AE31" i="10"/>
  <c r="AD31" i="10"/>
  <c r="AC31" i="10"/>
  <c r="AB31" i="10"/>
  <c r="AA31" i="10"/>
  <c r="Z31" i="10"/>
  <c r="Y31" i="10"/>
  <c r="X31" i="10"/>
  <c r="W31" i="10"/>
  <c r="U31" i="10"/>
  <c r="T31" i="10"/>
  <c r="S31" i="10"/>
  <c r="R31" i="10"/>
  <c r="Q31" i="10"/>
  <c r="P31" i="10"/>
  <c r="O31" i="10"/>
  <c r="N31" i="10"/>
  <c r="M31" i="10"/>
  <c r="L31" i="10"/>
  <c r="K31" i="10"/>
  <c r="J31" i="10"/>
  <c r="I31" i="10"/>
  <c r="H31" i="10"/>
  <c r="G31" i="10"/>
  <c r="F31" i="10"/>
  <c r="E31" i="10"/>
  <c r="D31" i="10"/>
  <c r="C31" i="10"/>
  <c r="B31" i="10"/>
  <c r="A31" i="10"/>
  <c r="AN30" i="10"/>
  <c r="AM30" i="10"/>
  <c r="AL30" i="10"/>
  <c r="AK30" i="10"/>
  <c r="AJ30" i="10"/>
  <c r="AI30" i="10"/>
  <c r="AH30" i="10"/>
  <c r="AG30" i="10"/>
  <c r="AF30" i="10"/>
  <c r="AE30" i="10"/>
  <c r="AD30" i="10"/>
  <c r="AC30" i="10"/>
  <c r="AB30" i="10"/>
  <c r="AA30" i="10"/>
  <c r="Z30" i="10"/>
  <c r="Y30" i="10"/>
  <c r="X30" i="10"/>
  <c r="W30" i="10"/>
  <c r="U30" i="10"/>
  <c r="T30" i="10"/>
  <c r="S30" i="10"/>
  <c r="R30" i="10"/>
  <c r="Q30" i="10"/>
  <c r="P30" i="10"/>
  <c r="O30" i="10"/>
  <c r="N30" i="10"/>
  <c r="M30" i="10"/>
  <c r="L30" i="10"/>
  <c r="K30" i="10"/>
  <c r="J30" i="10"/>
  <c r="I30" i="10"/>
  <c r="H30" i="10"/>
  <c r="G30" i="10"/>
  <c r="F30" i="10"/>
  <c r="E30" i="10"/>
  <c r="D30" i="10"/>
  <c r="C30" i="10"/>
  <c r="B30" i="10"/>
  <c r="A30" i="10"/>
  <c r="AN29" i="10"/>
  <c r="AM29" i="10"/>
  <c r="AL29" i="10"/>
  <c r="AK29" i="10"/>
  <c r="AJ29" i="10"/>
  <c r="AI29" i="10"/>
  <c r="AH29" i="10"/>
  <c r="AG29" i="10"/>
  <c r="AF29" i="10"/>
  <c r="AE29" i="10"/>
  <c r="AD29" i="10"/>
  <c r="AC29" i="10"/>
  <c r="AB29" i="10"/>
  <c r="AA29" i="10"/>
  <c r="Z29" i="10"/>
  <c r="Y29" i="10"/>
  <c r="X29" i="10"/>
  <c r="W29" i="10"/>
  <c r="U29" i="10"/>
  <c r="T29" i="10"/>
  <c r="S29" i="10"/>
  <c r="R29" i="10"/>
  <c r="Q29" i="10"/>
  <c r="P29" i="10"/>
  <c r="O29" i="10"/>
  <c r="N29" i="10"/>
  <c r="M29" i="10"/>
  <c r="L29" i="10"/>
  <c r="K29" i="10"/>
  <c r="J29" i="10"/>
  <c r="I29" i="10"/>
  <c r="H29" i="10"/>
  <c r="G29" i="10"/>
  <c r="F29" i="10"/>
  <c r="E29" i="10"/>
  <c r="D29" i="10"/>
  <c r="C29" i="10"/>
  <c r="B29" i="10"/>
  <c r="A29" i="10"/>
  <c r="AN28" i="10"/>
  <c r="AM28" i="10"/>
  <c r="AL28" i="10"/>
  <c r="AK28" i="10"/>
  <c r="AJ28" i="10"/>
  <c r="AI28" i="10"/>
  <c r="AH28" i="10"/>
  <c r="AG28" i="10"/>
  <c r="AF28" i="10"/>
  <c r="AE28" i="10"/>
  <c r="AD28" i="10"/>
  <c r="AC28" i="10"/>
  <c r="AB28" i="10"/>
  <c r="AA28" i="10"/>
  <c r="Z28" i="10"/>
  <c r="Y28" i="10"/>
  <c r="X28" i="10"/>
  <c r="W28" i="10"/>
  <c r="U28" i="10"/>
  <c r="T28" i="10"/>
  <c r="S28" i="10"/>
  <c r="R28" i="10"/>
  <c r="Q28" i="10"/>
  <c r="P28" i="10"/>
  <c r="O28" i="10"/>
  <c r="N28" i="10"/>
  <c r="M28" i="10"/>
  <c r="L28" i="10"/>
  <c r="K28" i="10"/>
  <c r="J28" i="10"/>
  <c r="I28" i="10"/>
  <c r="H28" i="10"/>
  <c r="G28" i="10"/>
  <c r="F28" i="10"/>
  <c r="E28" i="10"/>
  <c r="D28" i="10"/>
  <c r="C28" i="10"/>
  <c r="B28" i="10"/>
  <c r="A28" i="10"/>
  <c r="AN27" i="10"/>
  <c r="AM27" i="10"/>
  <c r="AL27" i="10"/>
  <c r="AK27" i="10"/>
  <c r="AJ27" i="10"/>
  <c r="AI27" i="10"/>
  <c r="AH27" i="10"/>
  <c r="AG27" i="10"/>
  <c r="AF27" i="10"/>
  <c r="AE27" i="10"/>
  <c r="AD27" i="10"/>
  <c r="AC27" i="10"/>
  <c r="AB27" i="10"/>
  <c r="AA27" i="10"/>
  <c r="Z27" i="10"/>
  <c r="Y27" i="10"/>
  <c r="X27" i="10"/>
  <c r="W27" i="10"/>
  <c r="U27" i="10"/>
  <c r="T27" i="10"/>
  <c r="S27" i="10"/>
  <c r="R27" i="10"/>
  <c r="Q27" i="10"/>
  <c r="P27" i="10"/>
  <c r="O27" i="10"/>
  <c r="N27" i="10"/>
  <c r="M27" i="10"/>
  <c r="L27" i="10"/>
  <c r="K27" i="10"/>
  <c r="J27" i="10"/>
  <c r="I27" i="10"/>
  <c r="H27" i="10"/>
  <c r="G27" i="10"/>
  <c r="F27" i="10"/>
  <c r="E27" i="10"/>
  <c r="D27" i="10"/>
  <c r="C27" i="10"/>
  <c r="B27" i="10"/>
  <c r="A27" i="10"/>
  <c r="AN26" i="10"/>
  <c r="AM26" i="10"/>
  <c r="AL26" i="10"/>
  <c r="AK26" i="10"/>
  <c r="AJ26" i="10"/>
  <c r="AI26" i="10"/>
  <c r="AH26" i="10"/>
  <c r="AG26" i="10"/>
  <c r="AF26" i="10"/>
  <c r="AE26" i="10"/>
  <c r="AD26" i="10"/>
  <c r="AC26" i="10"/>
  <c r="AB26" i="10"/>
  <c r="AA26" i="10"/>
  <c r="Z26" i="10"/>
  <c r="Y26" i="10"/>
  <c r="X26" i="10"/>
  <c r="W26" i="10"/>
  <c r="U26" i="10"/>
  <c r="T26" i="10"/>
  <c r="S26" i="10"/>
  <c r="R26" i="10"/>
  <c r="Q26" i="10"/>
  <c r="P26" i="10"/>
  <c r="O26" i="10"/>
  <c r="N26" i="10"/>
  <c r="M26" i="10"/>
  <c r="L26" i="10"/>
  <c r="K26" i="10"/>
  <c r="J26" i="10"/>
  <c r="I26" i="10"/>
  <c r="H26" i="10"/>
  <c r="G26" i="10"/>
  <c r="F26" i="10"/>
  <c r="E26" i="10"/>
  <c r="D26" i="10"/>
  <c r="C26" i="10"/>
  <c r="B26" i="10"/>
  <c r="A26" i="10"/>
  <c r="AN25" i="10"/>
  <c r="AM25" i="10"/>
  <c r="AL25" i="10"/>
  <c r="AK25" i="10"/>
  <c r="AJ25" i="10"/>
  <c r="AI25" i="10"/>
  <c r="AH25" i="10"/>
  <c r="AG25" i="10"/>
  <c r="AF25" i="10"/>
  <c r="AE25" i="10"/>
  <c r="AD25" i="10"/>
  <c r="AC25" i="10"/>
  <c r="AB25" i="10"/>
  <c r="AA25" i="10"/>
  <c r="Z25" i="10"/>
  <c r="Y25" i="10"/>
  <c r="X25" i="10"/>
  <c r="W25" i="10"/>
  <c r="U25" i="10"/>
  <c r="T25" i="10"/>
  <c r="S25" i="10"/>
  <c r="R25" i="10"/>
  <c r="Q25" i="10"/>
  <c r="P25" i="10"/>
  <c r="O25" i="10"/>
  <c r="N25" i="10"/>
  <c r="M25" i="10"/>
  <c r="L25" i="10"/>
  <c r="K25" i="10"/>
  <c r="J25" i="10"/>
  <c r="I25" i="10"/>
  <c r="H25" i="10"/>
  <c r="G25" i="10"/>
  <c r="F25" i="10"/>
  <c r="E25" i="10"/>
  <c r="D25" i="10"/>
  <c r="C25" i="10"/>
  <c r="B25" i="10"/>
  <c r="A25" i="10"/>
  <c r="AN24" i="10"/>
  <c r="AM24" i="10"/>
  <c r="AL24" i="10"/>
  <c r="AK24" i="10"/>
  <c r="AJ24" i="10"/>
  <c r="AI24" i="10"/>
  <c r="AH24" i="10"/>
  <c r="AG24" i="10"/>
  <c r="AF24" i="10"/>
  <c r="AE24" i="10"/>
  <c r="AD24" i="10"/>
  <c r="AC24" i="10"/>
  <c r="AB24" i="10"/>
  <c r="AA24" i="10"/>
  <c r="Z24" i="10"/>
  <c r="Y24" i="10"/>
  <c r="X24" i="10"/>
  <c r="W24" i="10"/>
  <c r="U24" i="10"/>
  <c r="T24" i="10"/>
  <c r="S24" i="10"/>
  <c r="R24" i="10"/>
  <c r="Q24" i="10"/>
  <c r="P24" i="10"/>
  <c r="O24" i="10"/>
  <c r="N24" i="10"/>
  <c r="M24" i="10"/>
  <c r="L24" i="10"/>
  <c r="K24" i="10"/>
  <c r="J24" i="10"/>
  <c r="I24" i="10"/>
  <c r="H24" i="10"/>
  <c r="G24" i="10"/>
  <c r="F24" i="10"/>
  <c r="E24" i="10"/>
  <c r="D24" i="10"/>
  <c r="C24" i="10"/>
  <c r="B24" i="10"/>
  <c r="A24" i="10"/>
  <c r="AN23" i="10"/>
  <c r="AM23" i="10"/>
  <c r="AL23" i="10"/>
  <c r="AK23" i="10"/>
  <c r="AJ23" i="10"/>
  <c r="AI23" i="10"/>
  <c r="AH23" i="10"/>
  <c r="AG23" i="10"/>
  <c r="AF23" i="10"/>
  <c r="AE23" i="10"/>
  <c r="AD23" i="10"/>
  <c r="AC23" i="10"/>
  <c r="AB23" i="10"/>
  <c r="AA23" i="10"/>
  <c r="Z23" i="10"/>
  <c r="Y23" i="10"/>
  <c r="X23" i="10"/>
  <c r="W23" i="10"/>
  <c r="U23" i="10"/>
  <c r="T23" i="10"/>
  <c r="S23" i="10"/>
  <c r="R23" i="10"/>
  <c r="Q23" i="10"/>
  <c r="P23" i="10"/>
  <c r="O23" i="10"/>
  <c r="N23" i="10"/>
  <c r="M23" i="10"/>
  <c r="L23" i="10"/>
  <c r="K23" i="10"/>
  <c r="J23" i="10"/>
  <c r="I23" i="10"/>
  <c r="H23" i="10"/>
  <c r="G23" i="10"/>
  <c r="F23" i="10"/>
  <c r="E23" i="10"/>
  <c r="D23" i="10"/>
  <c r="C23" i="10"/>
  <c r="B23" i="10"/>
  <c r="A23" i="10"/>
  <c r="AN22" i="10"/>
  <c r="AM22" i="10"/>
  <c r="AL22" i="10"/>
  <c r="AK22" i="10"/>
  <c r="AJ22" i="10"/>
  <c r="AI22" i="10"/>
  <c r="AH22" i="10"/>
  <c r="AG22" i="10"/>
  <c r="AF22" i="10"/>
  <c r="AE22" i="10"/>
  <c r="AD22" i="10"/>
  <c r="AC22" i="10"/>
  <c r="AB22" i="10"/>
  <c r="AA22" i="10"/>
  <c r="Z22" i="10"/>
  <c r="Y22" i="10"/>
  <c r="X22" i="10"/>
  <c r="W22" i="10"/>
  <c r="U22" i="10"/>
  <c r="T22" i="10"/>
  <c r="S22" i="10"/>
  <c r="R22" i="10"/>
  <c r="Q22" i="10"/>
  <c r="P22" i="10"/>
  <c r="O22" i="10"/>
  <c r="N22" i="10"/>
  <c r="M22" i="10"/>
  <c r="L22" i="10"/>
  <c r="K22" i="10"/>
  <c r="J22" i="10"/>
  <c r="I22" i="10"/>
  <c r="H22" i="10"/>
  <c r="G22" i="10"/>
  <c r="F22" i="10"/>
  <c r="E22" i="10"/>
  <c r="D22" i="10"/>
  <c r="C22" i="10"/>
  <c r="B22" i="10"/>
  <c r="A22" i="10"/>
  <c r="AN21" i="10"/>
  <c r="AM21" i="10"/>
  <c r="AL21" i="10"/>
  <c r="AK21" i="10"/>
  <c r="AJ21" i="10"/>
  <c r="AI21" i="10"/>
  <c r="AH21" i="10"/>
  <c r="AG21" i="10"/>
  <c r="AF21" i="10"/>
  <c r="AE21" i="10"/>
  <c r="AD21" i="10"/>
  <c r="AC21" i="10"/>
  <c r="AB21" i="10"/>
  <c r="AA21" i="10"/>
  <c r="Z21" i="10"/>
  <c r="Y21" i="10"/>
  <c r="X21" i="10"/>
  <c r="W21" i="10"/>
  <c r="U21" i="10"/>
  <c r="T21" i="10"/>
  <c r="S21" i="10"/>
  <c r="R21" i="10"/>
  <c r="Q21" i="10"/>
  <c r="P21" i="10"/>
  <c r="O21" i="10"/>
  <c r="N21" i="10"/>
  <c r="M21" i="10"/>
  <c r="L21" i="10"/>
  <c r="K21" i="10"/>
  <c r="J21" i="10"/>
  <c r="I21" i="10"/>
  <c r="H21" i="10"/>
  <c r="G21" i="10"/>
  <c r="F21" i="10"/>
  <c r="E21" i="10"/>
  <c r="D21" i="10"/>
  <c r="C21" i="10"/>
  <c r="B21" i="10"/>
  <c r="A21" i="10"/>
  <c r="AN20" i="10"/>
  <c r="AM20" i="10"/>
  <c r="AL20" i="10"/>
  <c r="AK20" i="10"/>
  <c r="AJ20" i="10"/>
  <c r="AI20" i="10"/>
  <c r="AH20" i="10"/>
  <c r="AG20" i="10"/>
  <c r="AF20" i="10"/>
  <c r="AE20" i="10"/>
  <c r="AD20" i="10"/>
  <c r="AC20" i="10"/>
  <c r="AB20" i="10"/>
  <c r="AA20" i="10"/>
  <c r="Z20" i="10"/>
  <c r="Y20" i="10"/>
  <c r="X20" i="10"/>
  <c r="W20" i="10"/>
  <c r="U20" i="10"/>
  <c r="T20" i="10"/>
  <c r="S20" i="10"/>
  <c r="R20" i="10"/>
  <c r="Q20" i="10"/>
  <c r="P20" i="10"/>
  <c r="O20" i="10"/>
  <c r="N20" i="10"/>
  <c r="M20" i="10"/>
  <c r="L20" i="10"/>
  <c r="K20" i="10"/>
  <c r="J20" i="10"/>
  <c r="I20" i="10"/>
  <c r="H20" i="10"/>
  <c r="G20" i="10"/>
  <c r="F20" i="10"/>
  <c r="E20" i="10"/>
  <c r="D20" i="10"/>
  <c r="C20" i="10"/>
  <c r="B20" i="10"/>
  <c r="A20" i="10"/>
  <c r="AN19" i="10"/>
  <c r="AM19" i="10"/>
  <c r="AL19" i="10"/>
  <c r="AK19" i="10"/>
  <c r="AJ19" i="10"/>
  <c r="AI19" i="10"/>
  <c r="AH19" i="10"/>
  <c r="AG19" i="10"/>
  <c r="AF19" i="10"/>
  <c r="AE19" i="10"/>
  <c r="AD19" i="10"/>
  <c r="AC19" i="10"/>
  <c r="AB19" i="10"/>
  <c r="AA19" i="10"/>
  <c r="Z19" i="10"/>
  <c r="Y19" i="10"/>
  <c r="X19" i="10"/>
  <c r="W19" i="10"/>
  <c r="U19" i="10"/>
  <c r="T19" i="10"/>
  <c r="S19" i="10"/>
  <c r="R19" i="10"/>
  <c r="Q19" i="10"/>
  <c r="P19" i="10"/>
  <c r="O19" i="10"/>
  <c r="N19" i="10"/>
  <c r="M19" i="10"/>
  <c r="L19" i="10"/>
  <c r="K19" i="10"/>
  <c r="J19" i="10"/>
  <c r="I19" i="10"/>
  <c r="H19" i="10"/>
  <c r="G19" i="10"/>
  <c r="F19" i="10"/>
  <c r="E19" i="10"/>
  <c r="D19" i="10"/>
  <c r="C19" i="10"/>
  <c r="B19" i="10"/>
  <c r="A19" i="10"/>
  <c r="AN18" i="10"/>
  <c r="AM18" i="10"/>
  <c r="AL18" i="10"/>
  <c r="AK18" i="10"/>
  <c r="AJ18" i="10"/>
  <c r="AI18" i="10"/>
  <c r="AH18" i="10"/>
  <c r="AG18" i="10"/>
  <c r="AF18" i="10"/>
  <c r="AE18" i="10"/>
  <c r="AD18" i="10"/>
  <c r="AC18" i="10"/>
  <c r="AB18" i="10"/>
  <c r="AA18" i="10"/>
  <c r="Z18" i="10"/>
  <c r="Y18" i="10"/>
  <c r="X18" i="10"/>
  <c r="W18" i="10"/>
  <c r="U18" i="10"/>
  <c r="T18" i="10"/>
  <c r="S18" i="10"/>
  <c r="R18" i="10"/>
  <c r="Q18" i="10"/>
  <c r="P18" i="10"/>
  <c r="O18" i="10"/>
  <c r="N18" i="10"/>
  <c r="M18" i="10"/>
  <c r="L18" i="10"/>
  <c r="K18" i="10"/>
  <c r="J18" i="10"/>
  <c r="I18" i="10"/>
  <c r="H18" i="10"/>
  <c r="G18" i="10"/>
  <c r="F18" i="10"/>
  <c r="E18" i="10"/>
  <c r="D18" i="10"/>
  <c r="C18" i="10"/>
  <c r="B18" i="10"/>
  <c r="A18" i="10"/>
  <c r="AN17" i="10"/>
  <c r="AM17" i="10"/>
  <c r="AL17" i="10"/>
  <c r="AK17" i="10"/>
  <c r="AJ17" i="10"/>
  <c r="AI17" i="10"/>
  <c r="AH17" i="10"/>
  <c r="AG17" i="10"/>
  <c r="AF17" i="10"/>
  <c r="AE17" i="10"/>
  <c r="AD17" i="10"/>
  <c r="AC17" i="10"/>
  <c r="AB17" i="10"/>
  <c r="AA17" i="10"/>
  <c r="Z17" i="10"/>
  <c r="Y17" i="10"/>
  <c r="X17" i="10"/>
  <c r="W17" i="10"/>
  <c r="U17" i="10"/>
  <c r="T17" i="10"/>
  <c r="S17" i="10"/>
  <c r="R17" i="10"/>
  <c r="Q17" i="10"/>
  <c r="P17" i="10"/>
  <c r="O17" i="10"/>
  <c r="N17" i="10"/>
  <c r="M17" i="10"/>
  <c r="L17" i="10"/>
  <c r="K17" i="10"/>
  <c r="J17" i="10"/>
  <c r="I17" i="10"/>
  <c r="H17" i="10"/>
  <c r="G17" i="10"/>
  <c r="F17" i="10"/>
  <c r="E17" i="10"/>
  <c r="D17" i="10"/>
  <c r="C17" i="10"/>
  <c r="B17" i="10"/>
  <c r="A17" i="10"/>
  <c r="AN16" i="10"/>
  <c r="AM16" i="10"/>
  <c r="AL16" i="10"/>
  <c r="AK16" i="10"/>
  <c r="AJ16" i="10"/>
  <c r="AI16" i="10"/>
  <c r="AH16" i="10"/>
  <c r="AG16" i="10"/>
  <c r="AF16" i="10"/>
  <c r="AE16" i="10"/>
  <c r="AD16" i="10"/>
  <c r="AC16" i="10"/>
  <c r="AB16" i="10"/>
  <c r="AA16" i="10"/>
  <c r="Z16" i="10"/>
  <c r="Y16" i="10"/>
  <c r="X16" i="10"/>
  <c r="W16" i="10"/>
  <c r="U16" i="10"/>
  <c r="T16" i="10"/>
  <c r="S16" i="10"/>
  <c r="R16" i="10"/>
  <c r="Q16" i="10"/>
  <c r="P16" i="10"/>
  <c r="O16" i="10"/>
  <c r="N16" i="10"/>
  <c r="M16" i="10"/>
  <c r="L16" i="10"/>
  <c r="K16" i="10"/>
  <c r="J16" i="10"/>
  <c r="I16" i="10"/>
  <c r="H16" i="10"/>
  <c r="G16" i="10"/>
  <c r="F16" i="10"/>
  <c r="E16" i="10"/>
  <c r="D16" i="10"/>
  <c r="C16" i="10"/>
  <c r="B16" i="10"/>
  <c r="A16" i="10"/>
  <c r="AN15" i="10"/>
  <c r="AM15" i="10"/>
  <c r="AL15" i="10"/>
  <c r="AK15" i="10"/>
  <c r="AJ15" i="10"/>
  <c r="AI15" i="10"/>
  <c r="AH15" i="10"/>
  <c r="AG15" i="10"/>
  <c r="AF15" i="10"/>
  <c r="AE15" i="10"/>
  <c r="AD15" i="10"/>
  <c r="AC15" i="10"/>
  <c r="AB15" i="10"/>
  <c r="AA15" i="10"/>
  <c r="Z15" i="10"/>
  <c r="Y15" i="10"/>
  <c r="X15" i="10"/>
  <c r="W15" i="10"/>
  <c r="U15" i="10"/>
  <c r="T15" i="10"/>
  <c r="S15" i="10"/>
  <c r="R15" i="10"/>
  <c r="Q15" i="10"/>
  <c r="P15" i="10"/>
  <c r="O15" i="10"/>
  <c r="N15" i="10"/>
  <c r="M15" i="10"/>
  <c r="L15" i="10"/>
  <c r="K15" i="10"/>
  <c r="J15" i="10"/>
  <c r="I15" i="10"/>
  <c r="H15" i="10"/>
  <c r="G15" i="10"/>
  <c r="F15" i="10"/>
  <c r="E15" i="10"/>
  <c r="D15" i="10"/>
  <c r="C15" i="10"/>
  <c r="B15" i="10"/>
  <c r="A15" i="10"/>
  <c r="AN14" i="10"/>
  <c r="AM14" i="10"/>
  <c r="AL14" i="10"/>
  <c r="AK14" i="10"/>
  <c r="AJ14" i="10"/>
  <c r="AI14" i="10"/>
  <c r="AH14" i="10"/>
  <c r="AG14" i="10"/>
  <c r="AF14" i="10"/>
  <c r="AE14" i="10"/>
  <c r="AD14" i="10"/>
  <c r="AC14" i="10"/>
  <c r="AB14" i="10"/>
  <c r="AA14" i="10"/>
  <c r="Z14" i="10"/>
  <c r="Y14" i="10"/>
  <c r="X14" i="10"/>
  <c r="W14" i="10"/>
  <c r="U14" i="10"/>
  <c r="T14" i="10"/>
  <c r="S14" i="10"/>
  <c r="R14" i="10"/>
  <c r="Q14" i="10"/>
  <c r="P14" i="10"/>
  <c r="O14" i="10"/>
  <c r="N14" i="10"/>
  <c r="M14" i="10"/>
  <c r="L14" i="10"/>
  <c r="K14" i="10"/>
  <c r="J14" i="10"/>
  <c r="I14" i="10"/>
  <c r="H14" i="10"/>
  <c r="G14" i="10"/>
  <c r="F14" i="10"/>
  <c r="E14" i="10"/>
  <c r="D14" i="10"/>
  <c r="C14" i="10"/>
  <c r="B14" i="10"/>
  <c r="A14" i="10"/>
  <c r="AN13" i="10"/>
  <c r="AM13" i="10"/>
  <c r="AL13" i="10"/>
  <c r="AK13" i="10"/>
  <c r="AJ13" i="10"/>
  <c r="AI13" i="10"/>
  <c r="AH13" i="10"/>
  <c r="AG13" i="10"/>
  <c r="AF13" i="10"/>
  <c r="AE13" i="10"/>
  <c r="AD13" i="10"/>
  <c r="AC13" i="10"/>
  <c r="AB13" i="10"/>
  <c r="AA13" i="10"/>
  <c r="Z13" i="10"/>
  <c r="Y13" i="10"/>
  <c r="X13" i="10"/>
  <c r="W13" i="10"/>
  <c r="U13" i="10"/>
  <c r="T13" i="10"/>
  <c r="S13" i="10"/>
  <c r="R13" i="10"/>
  <c r="Q13" i="10"/>
  <c r="P13" i="10"/>
  <c r="O13" i="10"/>
  <c r="N13" i="10"/>
  <c r="M13" i="10"/>
  <c r="L13" i="10"/>
  <c r="K13" i="10"/>
  <c r="J13" i="10"/>
  <c r="I13" i="10"/>
  <c r="H13" i="10"/>
  <c r="G13" i="10"/>
  <c r="F13" i="10"/>
  <c r="E13" i="10"/>
  <c r="D13" i="10"/>
  <c r="C13" i="10"/>
  <c r="B13" i="10"/>
  <c r="A13" i="10"/>
  <c r="AN12" i="10"/>
  <c r="AM12" i="10"/>
  <c r="AL12" i="10"/>
  <c r="AK12" i="10"/>
  <c r="AJ12" i="10"/>
  <c r="AI12" i="10"/>
  <c r="AH12" i="10"/>
  <c r="AG12" i="10"/>
  <c r="AF12" i="10"/>
  <c r="AE12" i="10"/>
  <c r="AD12" i="10"/>
  <c r="AC12" i="10"/>
  <c r="AB12" i="10"/>
  <c r="AA12" i="10"/>
  <c r="Z12" i="10"/>
  <c r="Y12" i="10"/>
  <c r="X12" i="10"/>
  <c r="W12" i="10"/>
  <c r="U12" i="10"/>
  <c r="T12" i="10"/>
  <c r="S12" i="10"/>
  <c r="R12" i="10"/>
  <c r="Q12" i="10"/>
  <c r="P12" i="10"/>
  <c r="O12" i="10"/>
  <c r="N12" i="10"/>
  <c r="M12" i="10"/>
  <c r="L12" i="10"/>
  <c r="K12" i="10"/>
  <c r="J12" i="10"/>
  <c r="I12" i="10"/>
  <c r="H12" i="10"/>
  <c r="G12" i="10"/>
  <c r="F12" i="10"/>
  <c r="E12" i="10"/>
  <c r="D12" i="10"/>
  <c r="C12" i="10"/>
  <c r="B12" i="10"/>
  <c r="A12" i="10"/>
  <c r="AN11" i="10"/>
  <c r="AM11" i="10"/>
  <c r="AL11" i="10"/>
  <c r="AK11" i="10"/>
  <c r="AJ11" i="10"/>
  <c r="AI11" i="10"/>
  <c r="AH11" i="10"/>
  <c r="AG11" i="10"/>
  <c r="AF11" i="10"/>
  <c r="AE11" i="10"/>
  <c r="AD11" i="10"/>
  <c r="AC11" i="10"/>
  <c r="AB11" i="10"/>
  <c r="AA11" i="10"/>
  <c r="Z11" i="10"/>
  <c r="Y11" i="10"/>
  <c r="X11" i="10"/>
  <c r="W11" i="10"/>
  <c r="U11" i="10"/>
  <c r="T11" i="10"/>
  <c r="S11" i="10"/>
  <c r="R11" i="10"/>
  <c r="Q11" i="10"/>
  <c r="P11" i="10"/>
  <c r="O11" i="10"/>
  <c r="N11" i="10"/>
  <c r="M11" i="10"/>
  <c r="L11" i="10"/>
  <c r="K11" i="10"/>
  <c r="J11" i="10"/>
  <c r="I11" i="10"/>
  <c r="H11" i="10"/>
  <c r="G11" i="10"/>
  <c r="F11" i="10"/>
  <c r="E11" i="10"/>
  <c r="D11" i="10"/>
  <c r="C11" i="10"/>
  <c r="B11" i="10"/>
  <c r="A11" i="10"/>
  <c r="AN10" i="10"/>
  <c r="AM10" i="10"/>
  <c r="AL10" i="10"/>
  <c r="AK10" i="10"/>
  <c r="AJ10" i="10"/>
  <c r="AI10" i="10"/>
  <c r="AH10" i="10"/>
  <c r="AG10" i="10"/>
  <c r="AF10" i="10"/>
  <c r="AE10" i="10"/>
  <c r="AD10" i="10"/>
  <c r="AC10" i="10"/>
  <c r="AB10" i="10"/>
  <c r="AA10" i="10"/>
  <c r="Z10" i="10"/>
  <c r="Y10" i="10"/>
  <c r="X10" i="10"/>
  <c r="W10" i="10"/>
  <c r="U10" i="10"/>
  <c r="T10" i="10"/>
  <c r="S10" i="10"/>
  <c r="R10" i="10"/>
  <c r="Q10" i="10"/>
  <c r="P10" i="10"/>
  <c r="O10" i="10"/>
  <c r="N10" i="10"/>
  <c r="M10" i="10"/>
  <c r="L10" i="10"/>
  <c r="K10" i="10"/>
  <c r="J10" i="10"/>
  <c r="I10" i="10"/>
  <c r="H10" i="10"/>
  <c r="G10" i="10"/>
  <c r="F10" i="10"/>
  <c r="E10" i="10"/>
  <c r="D10" i="10"/>
  <c r="C10" i="10"/>
  <c r="B10" i="10"/>
  <c r="A10" i="10"/>
  <c r="AN9" i="10"/>
  <c r="AM9" i="10"/>
  <c r="AL9" i="10"/>
  <c r="AK9" i="10"/>
  <c r="AJ9" i="10"/>
  <c r="AI9" i="10"/>
  <c r="AH9" i="10"/>
  <c r="AG9" i="10"/>
  <c r="AF9" i="10"/>
  <c r="AE9" i="10"/>
  <c r="AD9" i="10"/>
  <c r="AC9" i="10"/>
  <c r="AB9" i="10"/>
  <c r="AA9" i="10"/>
  <c r="Z9" i="10"/>
  <c r="Y9" i="10"/>
  <c r="X9" i="10"/>
  <c r="W9" i="10"/>
  <c r="U9" i="10"/>
  <c r="T9" i="10"/>
  <c r="S9" i="10"/>
  <c r="R9" i="10"/>
  <c r="Q9" i="10"/>
  <c r="P9" i="10"/>
  <c r="O9" i="10"/>
  <c r="N9" i="10"/>
  <c r="M9" i="10"/>
  <c r="L9" i="10"/>
  <c r="K9" i="10"/>
  <c r="J9" i="10"/>
  <c r="I9" i="10"/>
  <c r="H9" i="10"/>
  <c r="G9" i="10"/>
  <c r="F9" i="10"/>
  <c r="E9" i="10"/>
  <c r="D9" i="10"/>
  <c r="C9" i="10"/>
  <c r="B9" i="10"/>
  <c r="A9" i="10"/>
  <c r="AN8" i="10"/>
  <c r="AM8" i="10"/>
  <c r="AL8" i="10"/>
  <c r="AK8" i="10"/>
  <c r="AJ8" i="10"/>
  <c r="AI8" i="10"/>
  <c r="AH8" i="10"/>
  <c r="AG8" i="10"/>
  <c r="AF8" i="10"/>
  <c r="AE8" i="10"/>
  <c r="AD8" i="10"/>
  <c r="AC8" i="10"/>
  <c r="AB8" i="10"/>
  <c r="AA8" i="10"/>
  <c r="Z8" i="10"/>
  <c r="Y8" i="10"/>
  <c r="X8" i="10"/>
  <c r="W8" i="10"/>
  <c r="U8" i="10"/>
  <c r="T8" i="10"/>
  <c r="S8" i="10"/>
  <c r="R8" i="10"/>
  <c r="Q8" i="10"/>
  <c r="P8" i="10"/>
  <c r="O8" i="10"/>
  <c r="N8" i="10"/>
  <c r="M8" i="10"/>
  <c r="L8" i="10"/>
  <c r="K8" i="10"/>
  <c r="J8" i="10"/>
  <c r="I8" i="10"/>
  <c r="H8" i="10"/>
  <c r="G8" i="10"/>
  <c r="F8" i="10"/>
  <c r="E8" i="10"/>
  <c r="D8" i="10"/>
  <c r="C8" i="10"/>
  <c r="B8" i="10"/>
  <c r="A8" i="10"/>
  <c r="AN7" i="10"/>
  <c r="AM7" i="10"/>
  <c r="AL7" i="10"/>
  <c r="AK7" i="10"/>
  <c r="AJ7" i="10"/>
  <c r="AI7" i="10"/>
  <c r="AH7" i="10"/>
  <c r="AG7" i="10"/>
  <c r="AF7" i="10"/>
  <c r="AE7" i="10"/>
  <c r="AD7" i="10"/>
  <c r="AC7" i="10"/>
  <c r="AB7" i="10"/>
  <c r="AA7" i="10"/>
  <c r="Z7" i="10"/>
  <c r="Y7" i="10"/>
  <c r="X7" i="10"/>
  <c r="W7" i="10"/>
  <c r="U7" i="10"/>
  <c r="T7" i="10"/>
  <c r="S7" i="10"/>
  <c r="R7" i="10"/>
  <c r="Q7" i="10"/>
  <c r="P7" i="10"/>
  <c r="O7" i="10"/>
  <c r="N7" i="10"/>
  <c r="M7" i="10"/>
  <c r="L7" i="10"/>
  <c r="K7" i="10"/>
  <c r="J7" i="10"/>
  <c r="I7" i="10"/>
  <c r="H7" i="10"/>
  <c r="G7" i="10"/>
  <c r="F7" i="10"/>
  <c r="E7" i="10"/>
  <c r="D7" i="10"/>
  <c r="C7" i="10"/>
  <c r="B7" i="10"/>
  <c r="A7" i="10"/>
  <c r="AN6" i="10"/>
  <c r="AM6" i="10"/>
  <c r="AL6" i="10"/>
  <c r="AK6" i="10"/>
  <c r="AJ6" i="10"/>
  <c r="AI6" i="10"/>
  <c r="AH6" i="10"/>
  <c r="AG6" i="10"/>
  <c r="AF6" i="10"/>
  <c r="AE6" i="10"/>
  <c r="AD6" i="10"/>
  <c r="AC6" i="10"/>
  <c r="AB6" i="10"/>
  <c r="AA6" i="10"/>
  <c r="Z6" i="10"/>
  <c r="Y6" i="10"/>
  <c r="X6" i="10"/>
  <c r="W6" i="10"/>
  <c r="U6" i="10"/>
  <c r="T6" i="10"/>
  <c r="S6" i="10"/>
  <c r="R6" i="10"/>
  <c r="Q6" i="10"/>
  <c r="P6" i="10"/>
  <c r="O6" i="10"/>
  <c r="N6" i="10"/>
  <c r="M6" i="10"/>
  <c r="L6" i="10"/>
  <c r="K6" i="10"/>
  <c r="J6" i="10"/>
  <c r="I6" i="10"/>
  <c r="H6" i="10"/>
  <c r="G6" i="10"/>
  <c r="F6" i="10"/>
  <c r="E6" i="10"/>
  <c r="E8" i="11" s="1"/>
  <c r="D6" i="10"/>
  <c r="C6" i="10"/>
  <c r="B6" i="10"/>
  <c r="A6" i="10"/>
  <c r="AN5" i="10"/>
  <c r="AM5" i="10"/>
  <c r="AL5" i="10"/>
  <c r="AK5" i="10"/>
  <c r="AJ5" i="10"/>
  <c r="AI5" i="10"/>
  <c r="AH5" i="10"/>
  <c r="AG5" i="10"/>
  <c r="AF5" i="10"/>
  <c r="AE5" i="10"/>
  <c r="AD5" i="10"/>
  <c r="AC5" i="10"/>
  <c r="AB5" i="10"/>
  <c r="AA5" i="10"/>
  <c r="Z5" i="10"/>
  <c r="Y5" i="10"/>
  <c r="X5" i="10"/>
  <c r="W5" i="10"/>
  <c r="U5" i="10"/>
  <c r="T5" i="10"/>
  <c r="S5" i="10"/>
  <c r="R5" i="10"/>
  <c r="Q5" i="10"/>
  <c r="P5" i="10"/>
  <c r="O5" i="10"/>
  <c r="N5" i="10"/>
  <c r="M5" i="10"/>
  <c r="L5" i="10"/>
  <c r="K5" i="10"/>
  <c r="J5" i="10"/>
  <c r="I5" i="10"/>
  <c r="H5" i="10"/>
  <c r="G5" i="10"/>
  <c r="F5" i="10"/>
  <c r="E5" i="10"/>
  <c r="D5" i="10"/>
  <c r="C5" i="10"/>
  <c r="B5" i="10"/>
  <c r="A5" i="10"/>
  <c r="AN4" i="10"/>
  <c r="AM4" i="10"/>
  <c r="AL4" i="10"/>
  <c r="AK4" i="10"/>
  <c r="AJ4" i="10"/>
  <c r="AI4" i="10"/>
  <c r="AH4" i="10"/>
  <c r="AG4" i="10"/>
  <c r="AF4" i="10"/>
  <c r="AE4" i="10"/>
  <c r="AD4" i="10"/>
  <c r="AC4" i="10"/>
  <c r="AB4" i="10"/>
  <c r="AA4" i="10"/>
  <c r="Z4" i="10"/>
  <c r="Y4" i="10"/>
  <c r="X4" i="10"/>
  <c r="W4" i="10"/>
  <c r="U4" i="10"/>
  <c r="T4" i="10"/>
  <c r="S4" i="10"/>
  <c r="D20" i="11" s="1"/>
  <c r="R4" i="10"/>
  <c r="Q4" i="10"/>
  <c r="P4" i="10"/>
  <c r="O4" i="10"/>
  <c r="N4" i="10"/>
  <c r="M4" i="10"/>
  <c r="L4" i="10"/>
  <c r="K4" i="10"/>
  <c r="J4" i="10"/>
  <c r="I4" i="10"/>
  <c r="H4" i="10"/>
  <c r="G4" i="10"/>
  <c r="F4" i="10"/>
  <c r="E4" i="10"/>
  <c r="D4" i="10"/>
  <c r="C4" i="10"/>
  <c r="B4" i="10"/>
  <c r="A4" i="10"/>
  <c r="AN3" i="10"/>
  <c r="AM3" i="10"/>
  <c r="AL3" i="10"/>
  <c r="AK3" i="10"/>
  <c r="AJ3" i="10"/>
  <c r="AI3" i="10"/>
  <c r="AH3" i="10"/>
  <c r="AG3" i="10"/>
  <c r="AF3" i="10"/>
  <c r="AE3" i="10"/>
  <c r="AD3" i="10"/>
  <c r="AC3" i="10"/>
  <c r="AB3" i="10"/>
  <c r="AA3" i="10"/>
  <c r="Z3" i="10"/>
  <c r="Y3" i="10"/>
  <c r="X3" i="10"/>
  <c r="W3" i="10"/>
  <c r="U3" i="10"/>
  <c r="T3" i="10"/>
  <c r="S3" i="10"/>
  <c r="R3" i="10"/>
  <c r="Q3" i="10"/>
  <c r="P3" i="10"/>
  <c r="O3" i="10"/>
  <c r="N3" i="10"/>
  <c r="M3" i="10"/>
  <c r="L3" i="10"/>
  <c r="K3" i="10"/>
  <c r="J3" i="10"/>
  <c r="I3" i="10"/>
  <c r="H3" i="10"/>
  <c r="G3" i="10"/>
  <c r="F3" i="10"/>
  <c r="E3" i="10"/>
  <c r="D3" i="10"/>
  <c r="C3" i="10"/>
  <c r="J4" i="11" s="1"/>
  <c r="B3" i="10"/>
  <c r="K3" i="11" s="1"/>
  <c r="A3" i="10"/>
  <c r="U2" i="10"/>
  <c r="T2" i="10"/>
  <c r="A21" i="11" s="1"/>
  <c r="S2" i="10"/>
  <c r="R2" i="10"/>
  <c r="A19" i="11" s="1"/>
  <c r="Q2" i="10"/>
  <c r="P2" i="10"/>
  <c r="O2" i="10"/>
  <c r="N2" i="10"/>
  <c r="M2" i="10"/>
  <c r="L2" i="10"/>
  <c r="A13" i="11" s="1"/>
  <c r="K2" i="10"/>
  <c r="K2" i="11" s="1"/>
  <c r="J2" i="10"/>
  <c r="I2" i="10"/>
  <c r="H2" i="10"/>
  <c r="G2" i="10"/>
  <c r="A8" i="11" s="1"/>
  <c r="F2" i="10"/>
  <c r="E2" i="10"/>
  <c r="D2" i="10"/>
  <c r="A5" i="11" s="1"/>
  <c r="C2" i="10"/>
  <c r="B2" i="10"/>
  <c r="A3" i="11" s="1"/>
  <c r="P45" i="8"/>
  <c r="M45" i="8"/>
  <c r="L45" i="8"/>
  <c r="K45" i="8"/>
  <c r="H45" i="8"/>
  <c r="D45" i="8"/>
  <c r="B45" i="8"/>
  <c r="A45" i="8"/>
  <c r="P44" i="8"/>
  <c r="M44" i="8"/>
  <c r="L44" i="8"/>
  <c r="K44" i="8"/>
  <c r="H44" i="8"/>
  <c r="D44" i="8"/>
  <c r="B44" i="8"/>
  <c r="A44" i="8"/>
  <c r="P43" i="8"/>
  <c r="M43" i="8"/>
  <c r="L43" i="8"/>
  <c r="K43" i="8"/>
  <c r="H43" i="8"/>
  <c r="B43" i="8"/>
  <c r="A43" i="8"/>
  <c r="P42" i="8"/>
  <c r="M42" i="8"/>
  <c r="L42" i="8"/>
  <c r="K42" i="8"/>
  <c r="H42" i="8"/>
  <c r="B42" i="8"/>
  <c r="A42" i="8"/>
  <c r="P41" i="8"/>
  <c r="M41" i="8"/>
  <c r="L41" i="8"/>
  <c r="K41" i="8"/>
  <c r="H41" i="8"/>
  <c r="E41" i="8"/>
  <c r="D41" i="8"/>
  <c r="B41" i="8"/>
  <c r="A41" i="8"/>
  <c r="P40" i="8"/>
  <c r="M40" i="8"/>
  <c r="L40" i="8"/>
  <c r="K40" i="8"/>
  <c r="H40" i="8"/>
  <c r="E40" i="8"/>
  <c r="D40" i="8"/>
  <c r="B40" i="8"/>
  <c r="A40" i="8"/>
  <c r="P39" i="8"/>
  <c r="M39" i="8"/>
  <c r="L39" i="8"/>
  <c r="K39" i="8"/>
  <c r="H39" i="8"/>
  <c r="B39" i="8"/>
  <c r="A39" i="8"/>
  <c r="P38" i="8"/>
  <c r="M38" i="8"/>
  <c r="L38" i="8"/>
  <c r="K38" i="8"/>
  <c r="H38" i="8"/>
  <c r="B38" i="8"/>
  <c r="A38" i="8"/>
  <c r="P37" i="8"/>
  <c r="M37" i="8"/>
  <c r="L37" i="8"/>
  <c r="K37" i="8"/>
  <c r="H37" i="8"/>
  <c r="D37" i="8"/>
  <c r="B37" i="8"/>
  <c r="A37" i="8"/>
  <c r="P36" i="8"/>
  <c r="M36" i="8"/>
  <c r="L36" i="8"/>
  <c r="K36" i="8"/>
  <c r="H36" i="8"/>
  <c r="D36" i="8"/>
  <c r="B36" i="8"/>
  <c r="A36" i="8"/>
  <c r="P35" i="8"/>
  <c r="M35" i="8"/>
  <c r="L35" i="8"/>
  <c r="K35" i="8"/>
  <c r="H35" i="8"/>
  <c r="B35" i="8"/>
  <c r="A35" i="8"/>
  <c r="P34" i="8"/>
  <c r="M34" i="8"/>
  <c r="L34" i="8"/>
  <c r="K34" i="8"/>
  <c r="H34" i="8"/>
  <c r="E34" i="8"/>
  <c r="B34" i="8"/>
  <c r="A34" i="8"/>
  <c r="P33" i="8"/>
  <c r="M33" i="8"/>
  <c r="L33" i="8"/>
  <c r="K33" i="8"/>
  <c r="H33" i="8"/>
  <c r="E33" i="8"/>
  <c r="D33" i="8"/>
  <c r="B33" i="8"/>
  <c r="A33" i="8"/>
  <c r="P32" i="8"/>
  <c r="M32" i="8"/>
  <c r="L32" i="8"/>
  <c r="K32" i="8"/>
  <c r="H32" i="8"/>
  <c r="B32" i="8"/>
  <c r="A32" i="8"/>
  <c r="P31" i="8"/>
  <c r="M31" i="8"/>
  <c r="L31" i="8"/>
  <c r="K31" i="8"/>
  <c r="H31" i="8"/>
  <c r="B31" i="8"/>
  <c r="A31" i="8"/>
  <c r="P30" i="8"/>
  <c r="M30" i="8"/>
  <c r="L30" i="8"/>
  <c r="K30" i="8"/>
  <c r="H30" i="8"/>
  <c r="B30" i="8"/>
  <c r="A30" i="8"/>
  <c r="P29" i="8"/>
  <c r="M29" i="8"/>
  <c r="L29" i="8"/>
  <c r="K29" i="8"/>
  <c r="H29" i="8"/>
  <c r="E29" i="8"/>
  <c r="B29" i="8"/>
  <c r="A29" i="8"/>
  <c r="P28" i="8"/>
  <c r="M28" i="8"/>
  <c r="L28" i="8"/>
  <c r="K28" i="8"/>
  <c r="H28" i="8"/>
  <c r="E28" i="8"/>
  <c r="D28" i="8"/>
  <c r="B28" i="8"/>
  <c r="A28" i="8"/>
  <c r="P27" i="8"/>
  <c r="M27" i="8"/>
  <c r="L27" i="8"/>
  <c r="K27" i="8"/>
  <c r="H27" i="8"/>
  <c r="B27" i="8"/>
  <c r="A27" i="8"/>
  <c r="P26" i="8"/>
  <c r="M26" i="8"/>
  <c r="L26" i="8"/>
  <c r="K26" i="8"/>
  <c r="H26" i="8"/>
  <c r="B26" i="8"/>
  <c r="A26" i="8"/>
  <c r="P25" i="8"/>
  <c r="M25" i="8"/>
  <c r="L25" i="8"/>
  <c r="K25" i="8"/>
  <c r="H25" i="8"/>
  <c r="B25" i="8"/>
  <c r="A25" i="8"/>
  <c r="P24" i="8"/>
  <c r="M24" i="8"/>
  <c r="L24" i="8"/>
  <c r="K24" i="8"/>
  <c r="H24" i="8"/>
  <c r="B24" i="8"/>
  <c r="A24" i="8"/>
  <c r="P23" i="8"/>
  <c r="M23" i="8"/>
  <c r="L23" i="8"/>
  <c r="K23" i="8"/>
  <c r="H23" i="8"/>
  <c r="B23" i="8"/>
  <c r="A23" i="8"/>
  <c r="P22" i="8"/>
  <c r="M22" i="8"/>
  <c r="K22" i="8"/>
  <c r="H22" i="8"/>
  <c r="E22" i="8"/>
  <c r="B22" i="8"/>
  <c r="A22" i="8"/>
  <c r="P21" i="8"/>
  <c r="M21" i="8"/>
  <c r="L21" i="8"/>
  <c r="K21" i="8"/>
  <c r="H21" i="8"/>
  <c r="E21" i="8"/>
  <c r="D21" i="8"/>
  <c r="B21" i="8"/>
  <c r="A21" i="8"/>
  <c r="P20" i="8"/>
  <c r="M20" i="8"/>
  <c r="L20" i="8"/>
  <c r="K20" i="8"/>
  <c r="H20" i="8"/>
  <c r="B20" i="8"/>
  <c r="A20" i="8"/>
  <c r="P19" i="8"/>
  <c r="M19" i="8"/>
  <c r="L19" i="8"/>
  <c r="K19" i="8"/>
  <c r="H19" i="8"/>
  <c r="B19" i="8"/>
  <c r="A19" i="8"/>
  <c r="P18" i="8"/>
  <c r="M18" i="8"/>
  <c r="L18" i="8"/>
  <c r="K18" i="8"/>
  <c r="H18" i="8"/>
  <c r="E18" i="8"/>
  <c r="B18" i="8"/>
  <c r="A18" i="8"/>
  <c r="P17" i="8"/>
  <c r="M17" i="8"/>
  <c r="L17" i="8"/>
  <c r="K17" i="8"/>
  <c r="H17" i="8"/>
  <c r="B17" i="8"/>
  <c r="A17" i="8"/>
  <c r="P16" i="8"/>
  <c r="M16" i="8"/>
  <c r="L16" i="8"/>
  <c r="K16" i="8"/>
  <c r="H16" i="8"/>
  <c r="B16" i="8"/>
  <c r="A16" i="8"/>
  <c r="P15" i="8"/>
  <c r="M15" i="8"/>
  <c r="L15" i="8"/>
  <c r="K15" i="8"/>
  <c r="H15" i="8"/>
  <c r="E15" i="8"/>
  <c r="D15" i="8"/>
  <c r="B15" i="8"/>
  <c r="A15" i="8"/>
  <c r="P14" i="8"/>
  <c r="M14" i="8"/>
  <c r="L14" i="8"/>
  <c r="K14" i="8"/>
  <c r="H14" i="8"/>
  <c r="E14" i="8"/>
  <c r="B14" i="8"/>
  <c r="A14" i="8"/>
  <c r="P13" i="8"/>
  <c r="M13" i="8"/>
  <c r="L13" i="8"/>
  <c r="K13" i="8"/>
  <c r="H13" i="8"/>
  <c r="B13" i="8"/>
  <c r="A13" i="8"/>
  <c r="P12" i="8"/>
  <c r="M12" i="8"/>
  <c r="L12" i="8"/>
  <c r="K12" i="8"/>
  <c r="H12" i="8"/>
  <c r="E12" i="8"/>
  <c r="D12" i="8"/>
  <c r="B12" i="8"/>
  <c r="A12" i="8"/>
  <c r="P11" i="8"/>
  <c r="M11" i="8"/>
  <c r="L11" i="8"/>
  <c r="K11" i="8"/>
  <c r="H11" i="8"/>
  <c r="B11" i="8"/>
  <c r="A11" i="8"/>
  <c r="P10" i="8"/>
  <c r="M10" i="8"/>
  <c r="L10" i="8"/>
  <c r="K10" i="8"/>
  <c r="H10" i="8"/>
  <c r="E10" i="8"/>
  <c r="B10" i="8"/>
  <c r="A10" i="8"/>
  <c r="P9" i="8"/>
  <c r="M9" i="8"/>
  <c r="L9" i="8"/>
  <c r="K9" i="8"/>
  <c r="H9" i="8"/>
  <c r="B9" i="8"/>
  <c r="A9" i="8"/>
  <c r="P8" i="8"/>
  <c r="M8" i="8"/>
  <c r="L8" i="8"/>
  <c r="K8" i="8"/>
  <c r="H8" i="8"/>
  <c r="E8" i="8"/>
  <c r="B8" i="8"/>
  <c r="A8" i="8"/>
  <c r="P7" i="8"/>
  <c r="M7" i="8"/>
  <c r="L7" i="8"/>
  <c r="K7" i="8"/>
  <c r="H7" i="8"/>
  <c r="E7" i="8"/>
  <c r="B7" i="8"/>
  <c r="A7" i="8"/>
  <c r="P6" i="8"/>
  <c r="M6" i="8"/>
  <c r="K6" i="8"/>
  <c r="H6" i="8"/>
  <c r="E6" i="8"/>
  <c r="B6" i="8"/>
  <c r="A6" i="8"/>
  <c r="P5" i="8"/>
  <c r="M5" i="8"/>
  <c r="L5" i="8"/>
  <c r="K5" i="8"/>
  <c r="H5" i="8"/>
  <c r="E5" i="8"/>
  <c r="D5" i="8"/>
  <c r="B5" i="8"/>
  <c r="A5" i="8"/>
  <c r="P4" i="8"/>
  <c r="M4" i="8"/>
  <c r="L4" i="8"/>
  <c r="K4" i="8"/>
  <c r="H4" i="8"/>
  <c r="B4" i="8"/>
  <c r="A4" i="8"/>
  <c r="P3" i="8"/>
  <c r="M3" i="8"/>
  <c r="L3" i="8"/>
  <c r="K3" i="8"/>
  <c r="H3" i="8"/>
  <c r="E29" i="2" s="1"/>
  <c r="B3" i="8"/>
  <c r="A3" i="8"/>
  <c r="AK60" i="7"/>
  <c r="AJ60" i="7"/>
  <c r="AI60" i="7"/>
  <c r="AH60" i="7"/>
  <c r="AE60" i="7"/>
  <c r="X60" i="7"/>
  <c r="AF60" i="7" s="1"/>
  <c r="AG60" i="7" s="1"/>
  <c r="O60" i="7"/>
  <c r="N60" i="7"/>
  <c r="AK59" i="7"/>
  <c r="AJ59" i="7"/>
  <c r="AI59" i="7"/>
  <c r="AH59" i="7"/>
  <c r="AF59" i="7"/>
  <c r="AG59" i="7" s="1"/>
  <c r="AE59" i="7"/>
  <c r="X59" i="7"/>
  <c r="O59" i="7"/>
  <c r="N59" i="7"/>
  <c r="AK58" i="7"/>
  <c r="AJ58" i="7"/>
  <c r="AI58" i="7"/>
  <c r="AH58" i="7"/>
  <c r="AE58" i="7"/>
  <c r="X58" i="7"/>
  <c r="O58" i="7"/>
  <c r="N58" i="7"/>
  <c r="AK57" i="7"/>
  <c r="AJ57" i="7"/>
  <c r="AI57" i="7"/>
  <c r="AE57" i="7"/>
  <c r="X57" i="7"/>
  <c r="O57" i="7"/>
  <c r="AF57" i="7" s="1"/>
  <c r="AG57" i="7" s="1"/>
  <c r="N57" i="7"/>
  <c r="AH57" i="7" s="1"/>
  <c r="AK56" i="7"/>
  <c r="AJ56" i="7"/>
  <c r="AI56" i="7"/>
  <c r="AH56" i="7"/>
  <c r="AE56" i="7"/>
  <c r="X56" i="7"/>
  <c r="O56" i="7"/>
  <c r="AF56" i="7" s="1"/>
  <c r="AG56" i="7" s="1"/>
  <c r="N56" i="7"/>
  <c r="AK55" i="7"/>
  <c r="AJ55" i="7"/>
  <c r="AI55" i="7"/>
  <c r="AE55" i="7"/>
  <c r="X55" i="7"/>
  <c r="O55" i="7"/>
  <c r="AF55" i="7" s="1"/>
  <c r="AG55" i="7" s="1"/>
  <c r="N55" i="7"/>
  <c r="AH55" i="7" s="1"/>
  <c r="AK54" i="7"/>
  <c r="AJ54" i="7"/>
  <c r="AI54" i="7"/>
  <c r="AH54" i="7"/>
  <c r="AE54" i="7"/>
  <c r="X54" i="7"/>
  <c r="O54" i="7"/>
  <c r="AF54" i="7" s="1"/>
  <c r="AG54" i="7" s="1"/>
  <c r="N54" i="7"/>
  <c r="AK53" i="7"/>
  <c r="AJ53" i="7"/>
  <c r="AI53" i="7"/>
  <c r="AE53" i="7"/>
  <c r="X53" i="7"/>
  <c r="AF53" i="7" s="1"/>
  <c r="AG53" i="7" s="1"/>
  <c r="O53" i="7"/>
  <c r="N53" i="7"/>
  <c r="AH53" i="7" s="1"/>
  <c r="AK52" i="7"/>
  <c r="AJ52" i="7"/>
  <c r="AI52" i="7"/>
  <c r="AH52" i="7"/>
  <c r="AF52" i="7"/>
  <c r="AG52" i="7" s="1"/>
  <c r="AE52" i="7"/>
  <c r="X52" i="7"/>
  <c r="O52" i="7"/>
  <c r="N52" i="7"/>
  <c r="AK51" i="7"/>
  <c r="AJ51" i="7"/>
  <c r="AI51" i="7"/>
  <c r="AH51" i="7"/>
  <c r="AE51" i="7"/>
  <c r="X51" i="7"/>
  <c r="O51" i="7"/>
  <c r="AF51" i="7" s="1"/>
  <c r="AG51" i="7" s="1"/>
  <c r="N51" i="7"/>
  <c r="AK50" i="7"/>
  <c r="AJ50" i="7"/>
  <c r="AI50" i="7"/>
  <c r="AE50" i="7"/>
  <c r="X50" i="7"/>
  <c r="O50" i="7"/>
  <c r="AF50" i="7" s="1"/>
  <c r="AG50" i="7" s="1"/>
  <c r="N50" i="7"/>
  <c r="AH50" i="7" s="1"/>
  <c r="AK49" i="7"/>
  <c r="AJ49" i="7"/>
  <c r="AI49" i="7"/>
  <c r="AE49" i="7"/>
  <c r="X49" i="7"/>
  <c r="O49" i="7"/>
  <c r="AF49" i="7" s="1"/>
  <c r="AG49" i="7" s="1"/>
  <c r="N49" i="7"/>
  <c r="AH49" i="7" s="1"/>
  <c r="AK48" i="7"/>
  <c r="AJ48" i="7"/>
  <c r="AI48" i="7"/>
  <c r="AH48" i="7"/>
  <c r="AE48" i="7"/>
  <c r="X48" i="7"/>
  <c r="O48" i="7"/>
  <c r="AF48" i="7" s="1"/>
  <c r="AG48" i="7" s="1"/>
  <c r="N48" i="7"/>
  <c r="AK47" i="7"/>
  <c r="AJ47" i="7"/>
  <c r="AI47" i="7"/>
  <c r="AH47" i="7"/>
  <c r="AE47" i="7"/>
  <c r="AF47" i="7" s="1"/>
  <c r="AG47" i="7" s="1"/>
  <c r="X47" i="7"/>
  <c r="O47" i="7"/>
  <c r="N47" i="7"/>
  <c r="AK46" i="7"/>
  <c r="AJ46" i="7"/>
  <c r="AI46" i="7"/>
  <c r="AH46" i="7"/>
  <c r="AG46" i="7"/>
  <c r="AE46" i="7"/>
  <c r="X46" i="7"/>
  <c r="O46" i="7"/>
  <c r="AF46" i="7" s="1"/>
  <c r="N46" i="7"/>
  <c r="AK45" i="7"/>
  <c r="AJ45" i="7"/>
  <c r="AI45" i="7"/>
  <c r="E45" i="8" s="1"/>
  <c r="AE45" i="7"/>
  <c r="X45" i="7"/>
  <c r="O45" i="7"/>
  <c r="N45" i="7"/>
  <c r="AH45" i="7" s="1"/>
  <c r="AK44" i="7"/>
  <c r="AJ44" i="7"/>
  <c r="AI44" i="7"/>
  <c r="E44" i="8" s="1"/>
  <c r="AH44" i="7"/>
  <c r="AE44" i="7"/>
  <c r="X44" i="7"/>
  <c r="O44" i="7"/>
  <c r="AF44" i="7" s="1"/>
  <c r="AG44" i="7" s="1"/>
  <c r="C44" i="8" s="1"/>
  <c r="Q44" i="8" s="1"/>
  <c r="R44" i="8" s="1"/>
  <c r="N44" i="7"/>
  <c r="AK43" i="7"/>
  <c r="AJ43" i="7"/>
  <c r="AI43" i="7"/>
  <c r="E43" i="8" s="1"/>
  <c r="AH43" i="7"/>
  <c r="D43" i="8" s="1"/>
  <c r="AE43" i="7"/>
  <c r="X43" i="7"/>
  <c r="O43" i="7"/>
  <c r="AF43" i="7" s="1"/>
  <c r="AG43" i="7" s="1"/>
  <c r="C43" i="8" s="1"/>
  <c r="Q43" i="8" s="1"/>
  <c r="R43" i="8" s="1"/>
  <c r="N43" i="7"/>
  <c r="AK42" i="7"/>
  <c r="AJ42" i="7"/>
  <c r="AI42" i="7"/>
  <c r="E42" i="8" s="1"/>
  <c r="AE42" i="7"/>
  <c r="X42" i="7"/>
  <c r="O42" i="7"/>
  <c r="N42" i="7"/>
  <c r="AH42" i="7" s="1"/>
  <c r="D42" i="8" s="1"/>
  <c r="AK41" i="7"/>
  <c r="AJ41" i="7"/>
  <c r="AI41" i="7"/>
  <c r="AE41" i="7"/>
  <c r="X41" i="7"/>
  <c r="O41" i="7"/>
  <c r="AF41" i="7" s="1"/>
  <c r="AG41" i="7" s="1"/>
  <c r="C41" i="8" s="1"/>
  <c r="Q41" i="8" s="1"/>
  <c r="R41" i="8" s="1"/>
  <c r="N41" i="7"/>
  <c r="AH41" i="7" s="1"/>
  <c r="AK40" i="7"/>
  <c r="AJ40" i="7"/>
  <c r="AI40" i="7"/>
  <c r="AH40" i="7"/>
  <c r="AE40" i="7"/>
  <c r="X40" i="7"/>
  <c r="O40" i="7"/>
  <c r="N40" i="7"/>
  <c r="AK39" i="7"/>
  <c r="AJ39" i="7"/>
  <c r="AI39" i="7"/>
  <c r="E39" i="8" s="1"/>
  <c r="AE39" i="7"/>
  <c r="AF39" i="7" s="1"/>
  <c r="AG39" i="7" s="1"/>
  <c r="C39" i="8" s="1"/>
  <c r="X39" i="7"/>
  <c r="O39" i="7"/>
  <c r="N39" i="7"/>
  <c r="AH39" i="7" s="1"/>
  <c r="D39" i="8" s="1"/>
  <c r="AK38" i="7"/>
  <c r="AJ38" i="7"/>
  <c r="AI38" i="7"/>
  <c r="E38" i="8" s="1"/>
  <c r="AH38" i="7"/>
  <c r="D38" i="8" s="1"/>
  <c r="AE38" i="7"/>
  <c r="X38" i="7"/>
  <c r="O38" i="7"/>
  <c r="N38" i="7"/>
  <c r="AK37" i="7"/>
  <c r="AJ37" i="7"/>
  <c r="AI37" i="7"/>
  <c r="E37" i="8" s="1"/>
  <c r="AE37" i="7"/>
  <c r="X37" i="7"/>
  <c r="O37" i="7"/>
  <c r="AF37" i="7" s="1"/>
  <c r="AG37" i="7" s="1"/>
  <c r="C37" i="8" s="1"/>
  <c r="N37" i="7"/>
  <c r="AH37" i="7" s="1"/>
  <c r="AK36" i="7"/>
  <c r="AJ36" i="7"/>
  <c r="AI36" i="7"/>
  <c r="E36" i="8" s="1"/>
  <c r="AH36" i="7"/>
  <c r="AE36" i="7"/>
  <c r="X36" i="7"/>
  <c r="O36" i="7"/>
  <c r="AF36" i="7" s="1"/>
  <c r="AG36" i="7" s="1"/>
  <c r="C36" i="8" s="1"/>
  <c r="N36" i="7"/>
  <c r="AK35" i="7"/>
  <c r="AJ35" i="7"/>
  <c r="AI35" i="7"/>
  <c r="E35" i="8" s="1"/>
  <c r="AE35" i="7"/>
  <c r="X35" i="7"/>
  <c r="O35" i="7"/>
  <c r="AF35" i="7" s="1"/>
  <c r="AG35" i="7" s="1"/>
  <c r="C35" i="8" s="1"/>
  <c r="N35" i="7"/>
  <c r="AH35" i="7" s="1"/>
  <c r="D35" i="8" s="1"/>
  <c r="AK34" i="7"/>
  <c r="AJ34" i="7"/>
  <c r="AI34" i="7"/>
  <c r="AE34" i="7"/>
  <c r="X34" i="7"/>
  <c r="O34" i="7"/>
  <c r="AF34" i="7" s="1"/>
  <c r="AG34" i="7" s="1"/>
  <c r="C34" i="8" s="1"/>
  <c r="Q34" i="8" s="1"/>
  <c r="R34" i="8" s="1"/>
  <c r="N34" i="7"/>
  <c r="AH34" i="7" s="1"/>
  <c r="D34" i="8" s="1"/>
  <c r="AK33" i="7"/>
  <c r="AJ33" i="7"/>
  <c r="AI33" i="7"/>
  <c r="AE33" i="7"/>
  <c r="X33" i="7"/>
  <c r="O33" i="7"/>
  <c r="AF33" i="7" s="1"/>
  <c r="AG33" i="7" s="1"/>
  <c r="C33" i="8" s="1"/>
  <c r="Q33" i="8" s="1"/>
  <c r="R33" i="8" s="1"/>
  <c r="N33" i="7"/>
  <c r="AH33" i="7" s="1"/>
  <c r="AK32" i="7"/>
  <c r="AJ32" i="7"/>
  <c r="AI32" i="7"/>
  <c r="E32" i="8" s="1"/>
  <c r="AH32" i="7"/>
  <c r="D32" i="8" s="1"/>
  <c r="AE32" i="7"/>
  <c r="AF32" i="7" s="1"/>
  <c r="AG32" i="7" s="1"/>
  <c r="C32" i="8" s="1"/>
  <c r="Q32" i="8" s="1"/>
  <c r="R32" i="8" s="1"/>
  <c r="X32" i="7"/>
  <c r="O32" i="7"/>
  <c r="N32" i="7"/>
  <c r="AK31" i="7"/>
  <c r="AJ31" i="7"/>
  <c r="AI31" i="7"/>
  <c r="E31" i="8" s="1"/>
  <c r="AH31" i="7"/>
  <c r="D31" i="8" s="1"/>
  <c r="AE31" i="7"/>
  <c r="X31" i="7"/>
  <c r="O31" i="7"/>
  <c r="AF31" i="7" s="1"/>
  <c r="AG31" i="7" s="1"/>
  <c r="C31" i="8" s="1"/>
  <c r="Q31" i="8" s="1"/>
  <c r="R31" i="8" s="1"/>
  <c r="N31" i="7"/>
  <c r="AK30" i="7"/>
  <c r="AJ30" i="7"/>
  <c r="AI30" i="7"/>
  <c r="E30" i="8" s="1"/>
  <c r="AE30" i="7"/>
  <c r="X30" i="7"/>
  <c r="O30" i="7"/>
  <c r="AF30" i="7" s="1"/>
  <c r="AG30" i="7" s="1"/>
  <c r="C30" i="8" s="1"/>
  <c r="N30" i="7"/>
  <c r="AH30" i="7" s="1"/>
  <c r="D30" i="8" s="1"/>
  <c r="AK29" i="7"/>
  <c r="AJ29" i="7"/>
  <c r="AI29" i="7"/>
  <c r="AE29" i="7"/>
  <c r="X29" i="7"/>
  <c r="O29" i="7"/>
  <c r="AF29" i="7" s="1"/>
  <c r="AG29" i="7" s="1"/>
  <c r="C29" i="8" s="1"/>
  <c r="N29" i="7"/>
  <c r="AH29" i="7" s="1"/>
  <c r="D29" i="8" s="1"/>
  <c r="AK28" i="7"/>
  <c r="AJ28" i="7"/>
  <c r="AI28" i="7"/>
  <c r="AH28" i="7"/>
  <c r="AE28" i="7"/>
  <c r="X28" i="7"/>
  <c r="O28" i="7"/>
  <c r="AF28" i="7" s="1"/>
  <c r="AG28" i="7" s="1"/>
  <c r="C28" i="8" s="1"/>
  <c r="Q28" i="8" s="1"/>
  <c r="R28" i="8" s="1"/>
  <c r="N28" i="7"/>
  <c r="AK27" i="7"/>
  <c r="AJ27" i="7"/>
  <c r="AI27" i="7"/>
  <c r="AH27" i="7"/>
  <c r="D27" i="8" s="1"/>
  <c r="AE27" i="7"/>
  <c r="AF27" i="7" s="1"/>
  <c r="X27" i="7"/>
  <c r="O27" i="7"/>
  <c r="N27" i="7"/>
  <c r="AK26" i="7"/>
  <c r="J25" i="6" s="1"/>
  <c r="AJ26" i="7"/>
  <c r="I25" i="6" s="1"/>
  <c r="AI26" i="7"/>
  <c r="E26" i="8" s="1"/>
  <c r="AH26" i="7"/>
  <c r="D26" i="8" s="1"/>
  <c r="AE26" i="7"/>
  <c r="X26" i="7"/>
  <c r="O26" i="7"/>
  <c r="N26" i="7"/>
  <c r="AK25" i="7"/>
  <c r="J24" i="6" s="1"/>
  <c r="AJ25" i="7"/>
  <c r="I24" i="6" s="1"/>
  <c r="AI25" i="7"/>
  <c r="H24" i="6" s="1"/>
  <c r="AF25" i="7"/>
  <c r="AG25" i="7" s="1"/>
  <c r="AE25" i="7"/>
  <c r="X25" i="7"/>
  <c r="O25" i="7"/>
  <c r="N25" i="7"/>
  <c r="AK24" i="7"/>
  <c r="J23" i="6" s="1"/>
  <c r="AJ24" i="7"/>
  <c r="AI24" i="7"/>
  <c r="H23" i="6" s="1"/>
  <c r="AH24" i="7"/>
  <c r="D24" i="8" s="1"/>
  <c r="AE24" i="7"/>
  <c r="X24" i="7"/>
  <c r="O24" i="7"/>
  <c r="AF24" i="7" s="1"/>
  <c r="AG24" i="7" s="1"/>
  <c r="N24" i="7"/>
  <c r="AK23" i="7"/>
  <c r="J22" i="6" s="1"/>
  <c r="AJ23" i="7"/>
  <c r="I22" i="6" s="1"/>
  <c r="AI23" i="7"/>
  <c r="H22" i="6" s="1"/>
  <c r="AE23" i="7"/>
  <c r="X23" i="7"/>
  <c r="O23" i="7"/>
  <c r="AF23" i="7" s="1"/>
  <c r="N23" i="7"/>
  <c r="AH23" i="7" s="1"/>
  <c r="D23" i="8" s="1"/>
  <c r="AK22" i="7"/>
  <c r="J21" i="6" s="1"/>
  <c r="AJ22" i="7"/>
  <c r="AI22" i="7"/>
  <c r="AE22" i="7"/>
  <c r="X22" i="7"/>
  <c r="O22" i="7"/>
  <c r="AF22" i="7" s="1"/>
  <c r="E21" i="6" s="1"/>
  <c r="N22" i="7"/>
  <c r="AH22" i="7" s="1"/>
  <c r="AK21" i="7"/>
  <c r="AJ21" i="7"/>
  <c r="AI21" i="7"/>
  <c r="H20" i="6" s="1"/>
  <c r="AH21" i="7"/>
  <c r="AE21" i="7"/>
  <c r="X21" i="7"/>
  <c r="AF21" i="7" s="1"/>
  <c r="O21" i="7"/>
  <c r="N21" i="7"/>
  <c r="D20" i="6" s="1"/>
  <c r="AK20" i="7"/>
  <c r="AJ20" i="7"/>
  <c r="I19" i="6" s="1"/>
  <c r="AI20" i="7"/>
  <c r="H19" i="6" s="1"/>
  <c r="AH20" i="7"/>
  <c r="D20" i="8" s="1"/>
  <c r="AF20" i="7"/>
  <c r="E19" i="6" s="1"/>
  <c r="AE20" i="7"/>
  <c r="X20" i="7"/>
  <c r="O20" i="7"/>
  <c r="N20" i="7"/>
  <c r="AK19" i="7"/>
  <c r="J18" i="6" s="1"/>
  <c r="AJ19" i="7"/>
  <c r="I18" i="6" s="1"/>
  <c r="AI19" i="7"/>
  <c r="AH19" i="7"/>
  <c r="G18" i="6" s="1"/>
  <c r="AF19" i="7"/>
  <c r="AG19" i="7" s="1"/>
  <c r="F18" i="6" s="1"/>
  <c r="AE19" i="7"/>
  <c r="X19" i="7"/>
  <c r="O19" i="7"/>
  <c r="N19" i="7"/>
  <c r="AK18" i="7"/>
  <c r="J17" i="6" s="1"/>
  <c r="AJ18" i="7"/>
  <c r="I17" i="6" s="1"/>
  <c r="AI18" i="7"/>
  <c r="AH18" i="7"/>
  <c r="G17" i="6" s="1"/>
  <c r="AE18" i="7"/>
  <c r="X18" i="7"/>
  <c r="O18" i="7"/>
  <c r="AF18" i="7" s="1"/>
  <c r="N18" i="7"/>
  <c r="AK17" i="7"/>
  <c r="AJ17" i="7"/>
  <c r="I16" i="6" s="1"/>
  <c r="AI17" i="7"/>
  <c r="E17" i="8" s="1"/>
  <c r="AE17" i="7"/>
  <c r="X17" i="7"/>
  <c r="AF17" i="7" s="1"/>
  <c r="O17" i="7"/>
  <c r="N17" i="7"/>
  <c r="D16" i="6" s="1"/>
  <c r="AK16" i="7"/>
  <c r="AJ16" i="7"/>
  <c r="AI16" i="7"/>
  <c r="E16" i="8" s="1"/>
  <c r="AH16" i="7"/>
  <c r="D16" i="8" s="1"/>
  <c r="AE16" i="7"/>
  <c r="X16" i="7"/>
  <c r="AF16" i="7" s="1"/>
  <c r="O16" i="7"/>
  <c r="N16" i="7"/>
  <c r="D15" i="6" s="1"/>
  <c r="AK15" i="7"/>
  <c r="AJ15" i="7"/>
  <c r="AI15" i="7"/>
  <c r="H14" i="6" s="1"/>
  <c r="AH15" i="7"/>
  <c r="AE15" i="7"/>
  <c r="AF15" i="7" s="1"/>
  <c r="X15" i="7"/>
  <c r="O15" i="7"/>
  <c r="N15" i="7"/>
  <c r="AK14" i="7"/>
  <c r="J13" i="6" s="1"/>
  <c r="AJ14" i="7"/>
  <c r="AI14" i="7"/>
  <c r="AH14" i="7"/>
  <c r="D14" i="8" s="1"/>
  <c r="AE14" i="7"/>
  <c r="X14" i="7"/>
  <c r="O14" i="7"/>
  <c r="AF14" i="7" s="1"/>
  <c r="N14" i="7"/>
  <c r="D13" i="6" s="1"/>
  <c r="AK13" i="7"/>
  <c r="AJ13" i="7"/>
  <c r="AI13" i="7"/>
  <c r="H12" i="6" s="1"/>
  <c r="AE13" i="7"/>
  <c r="X13" i="7"/>
  <c r="AF13" i="7" s="1"/>
  <c r="O13" i="7"/>
  <c r="N13" i="7"/>
  <c r="D12" i="6" s="1"/>
  <c r="AK12" i="7"/>
  <c r="AJ12" i="7"/>
  <c r="AI12" i="7"/>
  <c r="AH12" i="7"/>
  <c r="AE12" i="7"/>
  <c r="X12" i="7"/>
  <c r="O12" i="7"/>
  <c r="AF12" i="7" s="1"/>
  <c r="N12" i="7"/>
  <c r="AK11" i="7"/>
  <c r="J10" i="6" s="1"/>
  <c r="AJ11" i="7"/>
  <c r="AI11" i="7"/>
  <c r="AH11" i="7"/>
  <c r="D11" i="8" s="1"/>
  <c r="AE11" i="7"/>
  <c r="X11" i="7"/>
  <c r="AF11" i="7" s="1"/>
  <c r="O11" i="7"/>
  <c r="N11" i="7"/>
  <c r="AK10" i="7"/>
  <c r="J9" i="6" s="1"/>
  <c r="AJ10" i="7"/>
  <c r="I9" i="6" s="1"/>
  <c r="AI10" i="7"/>
  <c r="AH10" i="7"/>
  <c r="D10" i="8" s="1"/>
  <c r="AF10" i="7"/>
  <c r="E9" i="6" s="1"/>
  <c r="AE10" i="7"/>
  <c r="X10" i="7"/>
  <c r="O10" i="7"/>
  <c r="N10" i="7"/>
  <c r="AK9" i="7"/>
  <c r="AJ9" i="7"/>
  <c r="I8" i="6" s="1"/>
  <c r="AI9" i="7"/>
  <c r="H8" i="6" s="1"/>
  <c r="AH9" i="7"/>
  <c r="G8" i="6" s="1"/>
  <c r="AE9" i="7"/>
  <c r="X9" i="7"/>
  <c r="AF9" i="7" s="1"/>
  <c r="O9" i="7"/>
  <c r="N9" i="7"/>
  <c r="D8" i="6" s="1"/>
  <c r="AK8" i="7"/>
  <c r="J7" i="6" s="1"/>
  <c r="AJ8" i="7"/>
  <c r="I7" i="6" s="1"/>
  <c r="AI8" i="7"/>
  <c r="AE8" i="7"/>
  <c r="X8" i="7"/>
  <c r="O8" i="7"/>
  <c r="AF8" i="7" s="1"/>
  <c r="AG8" i="7" s="1"/>
  <c r="N8" i="7"/>
  <c r="D7" i="6" s="1"/>
  <c r="AK7" i="7"/>
  <c r="AJ7" i="7"/>
  <c r="AI7" i="7"/>
  <c r="H6" i="6" s="1"/>
  <c r="AH7" i="7"/>
  <c r="D7" i="8" s="1"/>
  <c r="AE7" i="7"/>
  <c r="X7" i="7"/>
  <c r="O7" i="7"/>
  <c r="AF7" i="7" s="1"/>
  <c r="N7" i="7"/>
  <c r="AK6" i="7"/>
  <c r="J5" i="6" s="1"/>
  <c r="AJ6" i="7"/>
  <c r="AI6" i="7"/>
  <c r="AH6" i="7"/>
  <c r="D6" i="8" s="1"/>
  <c r="AE6" i="7"/>
  <c r="AF6" i="7" s="1"/>
  <c r="X6" i="7"/>
  <c r="O6" i="7"/>
  <c r="N6" i="7"/>
  <c r="AK5" i="7"/>
  <c r="AJ5" i="7"/>
  <c r="AI5" i="7"/>
  <c r="H4" i="6" s="1"/>
  <c r="AH5" i="7"/>
  <c r="G4" i="6" s="1"/>
  <c r="AE5" i="7"/>
  <c r="X5" i="7"/>
  <c r="AF5" i="7" s="1"/>
  <c r="O5" i="7"/>
  <c r="N5" i="7"/>
  <c r="D4" i="6" s="1"/>
  <c r="AK4" i="7"/>
  <c r="AJ4" i="7"/>
  <c r="I3" i="6" s="1"/>
  <c r="AI4" i="7"/>
  <c r="E4" i="8" s="1"/>
  <c r="AE4" i="7"/>
  <c r="X4" i="7"/>
  <c r="O4" i="7"/>
  <c r="AF4" i="7" s="1"/>
  <c r="N4" i="7"/>
  <c r="AH4" i="7" s="1"/>
  <c r="AK3" i="7"/>
  <c r="J2" i="6" s="1"/>
  <c r="AJ3" i="7"/>
  <c r="AI3" i="7"/>
  <c r="AE3" i="7"/>
  <c r="X3" i="7"/>
  <c r="O3" i="7"/>
  <c r="AF3" i="7" s="1"/>
  <c r="N3" i="7"/>
  <c r="D2" i="6" s="1"/>
  <c r="J26" i="6"/>
  <c r="I26" i="6"/>
  <c r="D26" i="6"/>
  <c r="C26" i="6"/>
  <c r="B26" i="6"/>
  <c r="A26" i="6"/>
  <c r="D25" i="6"/>
  <c r="C25" i="6"/>
  <c r="B25" i="6"/>
  <c r="A25" i="6"/>
  <c r="E24" i="6"/>
  <c r="C24" i="6"/>
  <c r="B24" i="6"/>
  <c r="A24" i="6"/>
  <c r="I23" i="6"/>
  <c r="E23" i="6"/>
  <c r="D23" i="6"/>
  <c r="C23" i="6"/>
  <c r="B23" i="6"/>
  <c r="A23" i="6"/>
  <c r="G22" i="6"/>
  <c r="C22" i="6"/>
  <c r="B22" i="6"/>
  <c r="A22" i="6"/>
  <c r="I21" i="6"/>
  <c r="H21" i="6"/>
  <c r="C21" i="6"/>
  <c r="B21" i="6"/>
  <c r="A21" i="6"/>
  <c r="J20" i="6"/>
  <c r="I20" i="6"/>
  <c r="G20" i="6"/>
  <c r="C20" i="6"/>
  <c r="B20" i="6"/>
  <c r="A20" i="6"/>
  <c r="J19" i="6"/>
  <c r="D19" i="6"/>
  <c r="C19" i="6"/>
  <c r="B19" i="6"/>
  <c r="A19" i="6"/>
  <c r="D18" i="6"/>
  <c r="C18" i="6"/>
  <c r="B18" i="6"/>
  <c r="A18" i="6"/>
  <c r="H17" i="6"/>
  <c r="D17" i="6"/>
  <c r="C17" i="6"/>
  <c r="B17" i="6"/>
  <c r="A17" i="6"/>
  <c r="J16" i="6"/>
  <c r="H16" i="6"/>
  <c r="C16" i="6"/>
  <c r="B16" i="6"/>
  <c r="A16" i="6"/>
  <c r="J15" i="6"/>
  <c r="I15" i="6"/>
  <c r="H15" i="6"/>
  <c r="G15" i="6"/>
  <c r="C15" i="6"/>
  <c r="B15" i="6"/>
  <c r="A15" i="6"/>
  <c r="J14" i="6"/>
  <c r="I14" i="6"/>
  <c r="G14" i="6"/>
  <c r="D14" i="6"/>
  <c r="C14" i="6"/>
  <c r="B14" i="6"/>
  <c r="A14" i="6"/>
  <c r="I13" i="6"/>
  <c r="H13" i="6"/>
  <c r="G13" i="6"/>
  <c r="C13" i="6"/>
  <c r="B13" i="6"/>
  <c r="A13" i="6"/>
  <c r="J12" i="6"/>
  <c r="I12" i="6"/>
  <c r="C12" i="6"/>
  <c r="B12" i="6"/>
  <c r="A12" i="6"/>
  <c r="J11" i="6"/>
  <c r="I11" i="6"/>
  <c r="H11" i="6"/>
  <c r="G11" i="6"/>
  <c r="D11" i="6"/>
  <c r="C11" i="6"/>
  <c r="B11" i="6"/>
  <c r="A11" i="6"/>
  <c r="I10" i="6"/>
  <c r="D10" i="6"/>
  <c r="C10" i="6"/>
  <c r="B10" i="6"/>
  <c r="A10" i="6"/>
  <c r="H9" i="6"/>
  <c r="D9" i="6"/>
  <c r="C9" i="6"/>
  <c r="B9" i="6"/>
  <c r="A9" i="6"/>
  <c r="J8" i="6"/>
  <c r="C8" i="6"/>
  <c r="B8" i="6"/>
  <c r="A8" i="6"/>
  <c r="H7" i="6"/>
  <c r="E7" i="6"/>
  <c r="C7" i="6"/>
  <c r="B7" i="6"/>
  <c r="A7" i="6"/>
  <c r="J6" i="6"/>
  <c r="I6" i="6"/>
  <c r="G6" i="6"/>
  <c r="D6" i="6"/>
  <c r="C6" i="6"/>
  <c r="B6" i="6"/>
  <c r="A6" i="6"/>
  <c r="I5" i="6"/>
  <c r="H5" i="6"/>
  <c r="G5" i="6"/>
  <c r="D5" i="6"/>
  <c r="C5" i="6"/>
  <c r="B5" i="6"/>
  <c r="A5" i="6"/>
  <c r="J4" i="6"/>
  <c r="I4" i="6"/>
  <c r="C4" i="6"/>
  <c r="B4" i="6"/>
  <c r="A4" i="6"/>
  <c r="J3" i="6"/>
  <c r="C3" i="6"/>
  <c r="B3" i="6"/>
  <c r="A3" i="6"/>
  <c r="I2" i="6"/>
  <c r="C2" i="6"/>
  <c r="B2" i="6"/>
  <c r="A2" i="6"/>
  <c r="O42" i="4"/>
  <c r="N42" i="4"/>
  <c r="I42" i="4"/>
  <c r="O41" i="4"/>
  <c r="N41" i="4"/>
  <c r="I41" i="4"/>
  <c r="O40" i="4"/>
  <c r="N40" i="4"/>
  <c r="I40" i="4"/>
  <c r="O39" i="4"/>
  <c r="N39" i="4"/>
  <c r="I39" i="4"/>
  <c r="O38" i="4"/>
  <c r="N38" i="4"/>
  <c r="I38" i="4"/>
  <c r="O37" i="4"/>
  <c r="N37" i="4"/>
  <c r="I37" i="4"/>
  <c r="O36" i="4"/>
  <c r="N36" i="4"/>
  <c r="I36" i="4"/>
  <c r="O35" i="4"/>
  <c r="N35" i="4"/>
  <c r="I35" i="4"/>
  <c r="O34" i="4"/>
  <c r="N34" i="4"/>
  <c r="I34" i="4"/>
  <c r="O33" i="4"/>
  <c r="N33" i="4"/>
  <c r="I33" i="4"/>
  <c r="O32" i="4"/>
  <c r="N32" i="4"/>
  <c r="I32" i="4"/>
  <c r="O31" i="4"/>
  <c r="N31" i="4"/>
  <c r="I31" i="4"/>
  <c r="O30" i="4"/>
  <c r="N30" i="4"/>
  <c r="I30" i="4"/>
  <c r="O29" i="4"/>
  <c r="N29" i="4"/>
  <c r="I29" i="4"/>
  <c r="O28" i="4"/>
  <c r="N28" i="4"/>
  <c r="I28" i="4"/>
  <c r="O27" i="4"/>
  <c r="N27" i="4"/>
  <c r="I27" i="4"/>
  <c r="O26" i="4"/>
  <c r="N26" i="4"/>
  <c r="I26" i="4"/>
  <c r="O25" i="4"/>
  <c r="N25" i="4"/>
  <c r="I25" i="4"/>
  <c r="O24" i="4"/>
  <c r="N24" i="4"/>
  <c r="I24" i="4"/>
  <c r="O23" i="4"/>
  <c r="N23" i="4"/>
  <c r="I23" i="4"/>
  <c r="O22" i="4"/>
  <c r="N22" i="4"/>
  <c r="I22" i="4"/>
  <c r="O21" i="4"/>
  <c r="N21" i="4"/>
  <c r="I21" i="4"/>
  <c r="O20" i="4"/>
  <c r="N20" i="4"/>
  <c r="I20" i="4"/>
  <c r="O19" i="4"/>
  <c r="N19" i="4"/>
  <c r="I19" i="4"/>
  <c r="N18" i="4"/>
  <c r="O18" i="4" s="1"/>
  <c r="I18" i="4"/>
  <c r="N17" i="4"/>
  <c r="O17" i="4" s="1"/>
  <c r="I17" i="4"/>
  <c r="N16" i="4"/>
  <c r="O16" i="4" s="1"/>
  <c r="I16" i="4"/>
  <c r="N15" i="4"/>
  <c r="I15" i="4"/>
  <c r="N14" i="4"/>
  <c r="O14" i="4" s="1"/>
  <c r="I14" i="4"/>
  <c r="N13" i="4"/>
  <c r="O13" i="4" s="1"/>
  <c r="I13" i="4"/>
  <c r="N12" i="4"/>
  <c r="O12" i="4" s="1"/>
  <c r="I12" i="4"/>
  <c r="N11" i="4"/>
  <c r="O11" i="4" s="1"/>
  <c r="I11" i="4"/>
  <c r="N10" i="4"/>
  <c r="I10" i="4"/>
  <c r="N9" i="4"/>
  <c r="O9" i="4" s="1"/>
  <c r="I9" i="4"/>
  <c r="N8" i="4"/>
  <c r="O8" i="4" s="1"/>
  <c r="I8" i="4"/>
  <c r="N7" i="4"/>
  <c r="O7" i="4" s="1"/>
  <c r="I7" i="4"/>
  <c r="N6" i="4"/>
  <c r="O6" i="4" s="1"/>
  <c r="I6" i="4"/>
  <c r="N5" i="4"/>
  <c r="O5" i="4" s="1"/>
  <c r="I5" i="4"/>
  <c r="N4" i="4"/>
  <c r="I4" i="4"/>
  <c r="O4" i="4" s="1"/>
  <c r="N3" i="4"/>
  <c r="O3" i="4" s="1"/>
  <c r="I3" i="4"/>
  <c r="H38" i="3"/>
  <c r="H36" i="3"/>
  <c r="G35" i="3"/>
  <c r="J34" i="3"/>
  <c r="G34" i="3"/>
  <c r="J33" i="3"/>
  <c r="I33" i="3"/>
  <c r="G33" i="3"/>
  <c r="J32" i="3"/>
  <c r="G32" i="3"/>
  <c r="I32" i="3" s="1"/>
  <c r="J31" i="3"/>
  <c r="G31" i="3"/>
  <c r="I31" i="3" s="1"/>
  <c r="J30" i="3"/>
  <c r="G30" i="3"/>
  <c r="J29" i="3"/>
  <c r="I29" i="3"/>
  <c r="G29" i="3"/>
  <c r="G28" i="3"/>
  <c r="G27" i="3"/>
  <c r="J27" i="3" s="1"/>
  <c r="J26" i="3"/>
  <c r="I26" i="3"/>
  <c r="G26" i="3"/>
  <c r="G25" i="3"/>
  <c r="J24" i="3"/>
  <c r="G24" i="3"/>
  <c r="I24" i="3" s="1"/>
  <c r="G23" i="3"/>
  <c r="J22" i="3"/>
  <c r="G22" i="3"/>
  <c r="J21" i="3"/>
  <c r="I21" i="3"/>
  <c r="G21" i="3"/>
  <c r="J20" i="3"/>
  <c r="G20" i="3"/>
  <c r="G19" i="3"/>
  <c r="K29" i="3" s="1"/>
  <c r="G18" i="3"/>
  <c r="J17" i="3"/>
  <c r="G17" i="3"/>
  <c r="I17" i="3" s="1"/>
  <c r="H15" i="3"/>
  <c r="J14" i="3"/>
  <c r="G14" i="3"/>
  <c r="I14" i="3" s="1"/>
  <c r="G13" i="3"/>
  <c r="G12" i="3"/>
  <c r="J11" i="3"/>
  <c r="I11" i="3"/>
  <c r="G11" i="3"/>
  <c r="G10" i="3"/>
  <c r="I9" i="3"/>
  <c r="G9" i="3"/>
  <c r="J9" i="3" s="1"/>
  <c r="G8" i="3"/>
  <c r="G7" i="3"/>
  <c r="L7" i="3" s="1"/>
  <c r="J6" i="3"/>
  <c r="G6" i="3"/>
  <c r="I6" i="3" s="1"/>
  <c r="G5" i="3"/>
  <c r="G4" i="3"/>
  <c r="J3" i="3"/>
  <c r="I3" i="3"/>
  <c r="G3" i="3"/>
  <c r="G38" i="3" s="1"/>
  <c r="E7" i="2"/>
  <c r="E6" i="2"/>
  <c r="O15" i="4" l="1"/>
  <c r="AG4" i="7"/>
  <c r="E3" i="6"/>
  <c r="AG5" i="7"/>
  <c r="E4" i="6"/>
  <c r="AG11" i="7"/>
  <c r="E10" i="6"/>
  <c r="AG13" i="7"/>
  <c r="E12" i="6"/>
  <c r="AG15" i="7"/>
  <c r="E14" i="6"/>
  <c r="E20" i="6"/>
  <c r="AG21" i="7"/>
  <c r="C25" i="8"/>
  <c r="F24" i="6"/>
  <c r="Q36" i="8"/>
  <c r="R36" i="8" s="1"/>
  <c r="Q37" i="8"/>
  <c r="R37" i="8" s="1"/>
  <c r="AG3" i="7"/>
  <c r="E2" i="6"/>
  <c r="E5" i="6"/>
  <c r="AG6" i="7"/>
  <c r="Q35" i="8"/>
  <c r="R35" i="8" s="1"/>
  <c r="Q39" i="8"/>
  <c r="R39" i="8" s="1"/>
  <c r="J8" i="3"/>
  <c r="L8" i="3"/>
  <c r="K8" i="3"/>
  <c r="I8" i="3"/>
  <c r="K12" i="3"/>
  <c r="L18" i="3"/>
  <c r="L34" i="3"/>
  <c r="L12" i="3"/>
  <c r="J19" i="3"/>
  <c r="K17" i="3"/>
  <c r="L19" i="3"/>
  <c r="K33" i="3"/>
  <c r="K26" i="3"/>
  <c r="K19" i="3"/>
  <c r="K31" i="3"/>
  <c r="K24" i="3"/>
  <c r="I19" i="3"/>
  <c r="Q30" i="8"/>
  <c r="R30" i="8" s="1"/>
  <c r="K4" i="3"/>
  <c r="K13" i="3"/>
  <c r="K20" i="3"/>
  <c r="L23" i="3"/>
  <c r="L28" i="3"/>
  <c r="K28" i="3"/>
  <c r="J28" i="3"/>
  <c r="I28" i="3"/>
  <c r="J35" i="3"/>
  <c r="L35" i="3"/>
  <c r="K35" i="3"/>
  <c r="I35" i="3"/>
  <c r="AG18" i="7"/>
  <c r="E17" i="6"/>
  <c r="C24" i="8"/>
  <c r="F23" i="6"/>
  <c r="Q29" i="8"/>
  <c r="R29" i="8" s="1"/>
  <c r="L4" i="3"/>
  <c r="K9" i="3"/>
  <c r="E13" i="6"/>
  <c r="AG14" i="7"/>
  <c r="D22" i="8"/>
  <c r="G21" i="6"/>
  <c r="AG23" i="7"/>
  <c r="E22" i="6"/>
  <c r="K3" i="3"/>
  <c r="L10" i="3"/>
  <c r="L20" i="3"/>
  <c r="D4" i="8"/>
  <c r="G3" i="6"/>
  <c r="AG7" i="7"/>
  <c r="E6" i="6"/>
  <c r="C8" i="8"/>
  <c r="F7" i="6"/>
  <c r="AG9" i="7"/>
  <c r="E8" i="6"/>
  <c r="AG12" i="7"/>
  <c r="E11" i="6"/>
  <c r="E15" i="6"/>
  <c r="AG16" i="7"/>
  <c r="AG17" i="7"/>
  <c r="E16" i="6"/>
  <c r="AG27" i="7"/>
  <c r="E26" i="6"/>
  <c r="S17" i="11"/>
  <c r="J17" i="11"/>
  <c r="B17" i="11"/>
  <c r="R17" i="11"/>
  <c r="I17" i="11"/>
  <c r="Q17" i="11"/>
  <c r="H17" i="11"/>
  <c r="O17" i="11"/>
  <c r="G17" i="11"/>
  <c r="N17" i="11"/>
  <c r="F17" i="11"/>
  <c r="M17" i="11"/>
  <c r="E17" i="11"/>
  <c r="U17" i="11"/>
  <c r="L17" i="11"/>
  <c r="D17" i="11"/>
  <c r="T17" i="11"/>
  <c r="K17" i="11"/>
  <c r="C17" i="11"/>
  <c r="C3" i="11"/>
  <c r="K6" i="3"/>
  <c r="L9" i="3"/>
  <c r="K14" i="3"/>
  <c r="L22" i="3"/>
  <c r="L29" i="3"/>
  <c r="G23" i="6"/>
  <c r="E24" i="8"/>
  <c r="A7" i="11"/>
  <c r="F2" i="11"/>
  <c r="A15" i="11"/>
  <c r="N2" i="11"/>
  <c r="N10" i="11"/>
  <c r="E10" i="11"/>
  <c r="S10" i="11"/>
  <c r="K10" i="11"/>
  <c r="B10" i="11"/>
  <c r="R10" i="11"/>
  <c r="J10" i="11"/>
  <c r="Q10" i="11"/>
  <c r="H10" i="11"/>
  <c r="G10" i="11"/>
  <c r="F10" i="11"/>
  <c r="U10" i="11"/>
  <c r="D10" i="11"/>
  <c r="P10" i="11"/>
  <c r="O10" i="11"/>
  <c r="M10" i="11"/>
  <c r="C10" i="11"/>
  <c r="M18" i="11"/>
  <c r="E18" i="11"/>
  <c r="U18" i="11"/>
  <c r="L18" i="11"/>
  <c r="D18" i="11"/>
  <c r="T18" i="11"/>
  <c r="K18" i="11"/>
  <c r="C18" i="11"/>
  <c r="S18" i="11"/>
  <c r="J18" i="11"/>
  <c r="B18" i="11"/>
  <c r="R18" i="11"/>
  <c r="I18" i="11"/>
  <c r="P18" i="11"/>
  <c r="H18" i="11"/>
  <c r="O18" i="11"/>
  <c r="G18" i="11"/>
  <c r="N18" i="11"/>
  <c r="G6" i="12"/>
  <c r="F6" i="12"/>
  <c r="G40" i="12"/>
  <c r="F40" i="12"/>
  <c r="D18" i="8"/>
  <c r="S9" i="11"/>
  <c r="K9" i="11"/>
  <c r="B9" i="11"/>
  <c r="P9" i="11"/>
  <c r="G9" i="11"/>
  <c r="O9" i="11"/>
  <c r="F9" i="11"/>
  <c r="N9" i="11"/>
  <c r="E9" i="11"/>
  <c r="M9" i="11"/>
  <c r="L9" i="11"/>
  <c r="J9" i="11"/>
  <c r="U9" i="11"/>
  <c r="D9" i="11"/>
  <c r="T9" i="11"/>
  <c r="C9" i="11"/>
  <c r="R9" i="11"/>
  <c r="Q9" i="11"/>
  <c r="I9" i="11"/>
  <c r="AG10" i="7"/>
  <c r="E24" i="2"/>
  <c r="I5" i="3"/>
  <c r="L6" i="3"/>
  <c r="K11" i="3"/>
  <c r="I13" i="3"/>
  <c r="L14" i="3"/>
  <c r="L17" i="3"/>
  <c r="L24" i="3"/>
  <c r="K30" i="3"/>
  <c r="L31" i="3"/>
  <c r="E19" i="8"/>
  <c r="H18" i="6"/>
  <c r="AG20" i="7"/>
  <c r="D9" i="8"/>
  <c r="C19" i="8"/>
  <c r="A16" i="11"/>
  <c r="O2" i="11"/>
  <c r="Q3" i="11"/>
  <c r="I3" i="11"/>
  <c r="U3" i="11"/>
  <c r="M3" i="11"/>
  <c r="T3" i="11"/>
  <c r="L3" i="11"/>
  <c r="D3" i="11"/>
  <c r="N3" i="11"/>
  <c r="J3" i="11"/>
  <c r="S3" i="11"/>
  <c r="G3" i="11"/>
  <c r="R3" i="11"/>
  <c r="F3" i="11"/>
  <c r="P3" i="11"/>
  <c r="E3" i="11"/>
  <c r="O3" i="11"/>
  <c r="H3" i="11"/>
  <c r="Q11" i="11"/>
  <c r="H11" i="11"/>
  <c r="N11" i="11"/>
  <c r="E11" i="11"/>
  <c r="U11" i="11"/>
  <c r="M11" i="11"/>
  <c r="D11" i="11"/>
  <c r="T11" i="11"/>
  <c r="L11" i="11"/>
  <c r="C11" i="11"/>
  <c r="S11" i="11"/>
  <c r="B11" i="11"/>
  <c r="R11" i="11"/>
  <c r="P11" i="11"/>
  <c r="K11" i="11"/>
  <c r="I11" i="11"/>
  <c r="G11" i="11"/>
  <c r="O11" i="11"/>
  <c r="P19" i="11"/>
  <c r="H19" i="11"/>
  <c r="O19" i="11"/>
  <c r="G19" i="11"/>
  <c r="N19" i="11"/>
  <c r="F19" i="11"/>
  <c r="M19" i="11"/>
  <c r="E19" i="11"/>
  <c r="U19" i="11"/>
  <c r="L19" i="11"/>
  <c r="D19" i="11"/>
  <c r="T19" i="11"/>
  <c r="K19" i="11"/>
  <c r="C19" i="11"/>
  <c r="S19" i="11"/>
  <c r="J19" i="11"/>
  <c r="B19" i="11"/>
  <c r="Q19" i="11"/>
  <c r="I19" i="11"/>
  <c r="L10" i="11"/>
  <c r="J5" i="3"/>
  <c r="L11" i="3"/>
  <c r="J13" i="3"/>
  <c r="I23" i="3"/>
  <c r="I30" i="3"/>
  <c r="E9" i="8"/>
  <c r="D19" i="8"/>
  <c r="E25" i="8"/>
  <c r="T4" i="11"/>
  <c r="L4" i="11"/>
  <c r="D4" i="11"/>
  <c r="Q4" i="11"/>
  <c r="I4" i="11"/>
  <c r="P4" i="11"/>
  <c r="H4" i="11"/>
  <c r="O4" i="11"/>
  <c r="G4" i="11"/>
  <c r="F4" i="11"/>
  <c r="U4" i="11"/>
  <c r="S4" i="11"/>
  <c r="B4" i="11"/>
  <c r="N4" i="11"/>
  <c r="M4" i="11"/>
  <c r="K4" i="11"/>
  <c r="E4" i="11"/>
  <c r="R4" i="11"/>
  <c r="T10" i="11"/>
  <c r="A6" i="11"/>
  <c r="E2" i="11"/>
  <c r="L3" i="3"/>
  <c r="L25" i="3"/>
  <c r="D3" i="6"/>
  <c r="H2" i="11"/>
  <c r="A9" i="11"/>
  <c r="T12" i="11"/>
  <c r="L12" i="11"/>
  <c r="C12" i="11"/>
  <c r="Q12" i="11"/>
  <c r="H12" i="11"/>
  <c r="P12" i="11"/>
  <c r="G12" i="11"/>
  <c r="O12" i="11"/>
  <c r="F12" i="11"/>
  <c r="N12" i="11"/>
  <c r="M12" i="11"/>
  <c r="J12" i="11"/>
  <c r="U12" i="11"/>
  <c r="D12" i="11"/>
  <c r="S12" i="11"/>
  <c r="B12" i="11"/>
  <c r="R12" i="11"/>
  <c r="I12" i="11"/>
  <c r="J10" i="3"/>
  <c r="E11" i="8"/>
  <c r="H10" i="6"/>
  <c r="O5" i="11"/>
  <c r="G5" i="11"/>
  <c r="T5" i="11"/>
  <c r="L5" i="11"/>
  <c r="C5" i="11"/>
  <c r="S5" i="11"/>
  <c r="K5" i="11"/>
  <c r="B5" i="11"/>
  <c r="V5" i="11" s="1"/>
  <c r="R5" i="11"/>
  <c r="J5" i="11"/>
  <c r="Q5" i="11"/>
  <c r="P5" i="11"/>
  <c r="N5" i="11"/>
  <c r="I5" i="11"/>
  <c r="H5" i="11"/>
  <c r="F5" i="11"/>
  <c r="M5" i="11"/>
  <c r="G2" i="11"/>
  <c r="E5" i="11"/>
  <c r="F11" i="11"/>
  <c r="A22" i="11"/>
  <c r="U2" i="11"/>
  <c r="G9" i="6"/>
  <c r="G25" i="6"/>
  <c r="AH25" i="7"/>
  <c r="D24" i="6"/>
  <c r="A18" i="11"/>
  <c r="Q2" i="11"/>
  <c r="N21" i="11"/>
  <c r="F21" i="11"/>
  <c r="M21" i="11"/>
  <c r="E21" i="11"/>
  <c r="U21" i="11"/>
  <c r="L21" i="11"/>
  <c r="D21" i="11"/>
  <c r="S21" i="11"/>
  <c r="K21" i="11"/>
  <c r="C21" i="11"/>
  <c r="R21" i="11"/>
  <c r="J21" i="11"/>
  <c r="B21" i="11"/>
  <c r="Q21" i="11"/>
  <c r="I21" i="11"/>
  <c r="P21" i="11"/>
  <c r="H21" i="11"/>
  <c r="O21" i="11"/>
  <c r="I4" i="3"/>
  <c r="I15" i="3" s="1"/>
  <c r="L5" i="3"/>
  <c r="J7" i="3"/>
  <c r="K10" i="3"/>
  <c r="I12" i="3"/>
  <c r="L13" i="3"/>
  <c r="J18" i="3"/>
  <c r="I20" i="3"/>
  <c r="L21" i="3"/>
  <c r="K23" i="3"/>
  <c r="J25" i="3"/>
  <c r="I27" i="3"/>
  <c r="L30" i="3"/>
  <c r="K32" i="3"/>
  <c r="G10" i="6"/>
  <c r="G19" i="6"/>
  <c r="D21" i="6"/>
  <c r="H25" i="6"/>
  <c r="G26" i="6"/>
  <c r="AH3" i="7"/>
  <c r="AG22" i="7"/>
  <c r="E27" i="8"/>
  <c r="H26" i="6"/>
  <c r="AF38" i="7"/>
  <c r="AG38" i="7" s="1"/>
  <c r="C38" i="8" s="1"/>
  <c r="Q38" i="8" s="1"/>
  <c r="R38" i="8" s="1"/>
  <c r="E13" i="8"/>
  <c r="A11" i="11"/>
  <c r="J2" i="11"/>
  <c r="R6" i="11"/>
  <c r="J6" i="11"/>
  <c r="O6" i="11"/>
  <c r="G6" i="11"/>
  <c r="N6" i="11"/>
  <c r="F6" i="11"/>
  <c r="U6" i="11"/>
  <c r="M6" i="11"/>
  <c r="D6" i="11"/>
  <c r="L6" i="11"/>
  <c r="K6" i="11"/>
  <c r="I6" i="11"/>
  <c r="E12" i="11"/>
  <c r="T6" i="11"/>
  <c r="C6" i="11"/>
  <c r="S6" i="11"/>
  <c r="B6" i="11"/>
  <c r="Q6" i="11"/>
  <c r="P6" i="11"/>
  <c r="H6" i="11"/>
  <c r="R14" i="11"/>
  <c r="I14" i="11"/>
  <c r="P14" i="11"/>
  <c r="G14" i="11"/>
  <c r="O14" i="11"/>
  <c r="F14" i="11"/>
  <c r="N14" i="11"/>
  <c r="E14" i="11"/>
  <c r="U14" i="11"/>
  <c r="L14" i="11"/>
  <c r="D14" i="11"/>
  <c r="H14" i="11"/>
  <c r="C14" i="11"/>
  <c r="B14" i="11"/>
  <c r="S14" i="11"/>
  <c r="Q14" i="11"/>
  <c r="K14" i="11"/>
  <c r="T14" i="11"/>
  <c r="J14" i="11"/>
  <c r="Q22" i="11"/>
  <c r="I22" i="11"/>
  <c r="P22" i="11"/>
  <c r="H22" i="11"/>
  <c r="O22" i="11"/>
  <c r="G22" i="11"/>
  <c r="N22" i="11"/>
  <c r="F22" i="11"/>
  <c r="M22" i="11"/>
  <c r="E22" i="11"/>
  <c r="T22" i="11"/>
  <c r="L22" i="11"/>
  <c r="D22" i="11"/>
  <c r="S22" i="11"/>
  <c r="K22" i="11"/>
  <c r="C22" i="11"/>
  <c r="R22" i="11"/>
  <c r="J22" i="11"/>
  <c r="B22" i="11"/>
  <c r="U5" i="11"/>
  <c r="A12" i="11"/>
  <c r="A14" i="11"/>
  <c r="M2" i="11"/>
  <c r="E25" i="2"/>
  <c r="I10" i="3"/>
  <c r="G15" i="3"/>
  <c r="L26" i="3"/>
  <c r="A17" i="11"/>
  <c r="P2" i="11"/>
  <c r="T20" i="11"/>
  <c r="K20" i="11"/>
  <c r="C20" i="11"/>
  <c r="R20" i="11"/>
  <c r="J20" i="11"/>
  <c r="B20" i="11"/>
  <c r="Q20" i="11"/>
  <c r="I20" i="11"/>
  <c r="P20" i="11"/>
  <c r="H20" i="11"/>
  <c r="O20" i="11"/>
  <c r="G20" i="11"/>
  <c r="N20" i="11"/>
  <c r="F20" i="11"/>
  <c r="M20" i="11"/>
  <c r="E20" i="11"/>
  <c r="U20" i="11"/>
  <c r="L20" i="11"/>
  <c r="E26" i="2"/>
  <c r="K5" i="3"/>
  <c r="I7" i="3"/>
  <c r="I18" i="3"/>
  <c r="I36" i="3" s="1"/>
  <c r="K21" i="3"/>
  <c r="J23" i="3"/>
  <c r="I25" i="3"/>
  <c r="I34" i="3"/>
  <c r="G36" i="3"/>
  <c r="A10" i="11"/>
  <c r="I2" i="11"/>
  <c r="O13" i="11"/>
  <c r="F13" i="11"/>
  <c r="U13" i="11"/>
  <c r="T13" i="11"/>
  <c r="K13" i="11"/>
  <c r="C13" i="11"/>
  <c r="S13" i="11"/>
  <c r="J13" i="11"/>
  <c r="B13" i="11"/>
  <c r="R13" i="11"/>
  <c r="I13" i="11"/>
  <c r="H13" i="11"/>
  <c r="G13" i="11"/>
  <c r="E13" i="11"/>
  <c r="Q13" i="11"/>
  <c r="P13" i="11"/>
  <c r="N13" i="11"/>
  <c r="D13" i="11"/>
  <c r="E18" i="2"/>
  <c r="J4" i="3"/>
  <c r="K7" i="3"/>
  <c r="J12" i="3"/>
  <c r="K18" i="3"/>
  <c r="K22" i="3"/>
  <c r="K25" i="3"/>
  <c r="K27" i="3"/>
  <c r="L32" i="3"/>
  <c r="K34" i="3"/>
  <c r="H3" i="6"/>
  <c r="D22" i="6"/>
  <c r="AF45" i="7"/>
  <c r="AG45" i="7" s="1"/>
  <c r="C45" i="8" s="1"/>
  <c r="Q45" i="8" s="1"/>
  <c r="R45" i="8" s="1"/>
  <c r="E20" i="8"/>
  <c r="E23" i="8"/>
  <c r="U7" i="11"/>
  <c r="M7" i="11"/>
  <c r="D7" i="11"/>
  <c r="R7" i="11"/>
  <c r="J7" i="11"/>
  <c r="Q7" i="11"/>
  <c r="I7" i="11"/>
  <c r="P7" i="11"/>
  <c r="H7" i="11"/>
  <c r="G7" i="11"/>
  <c r="E7" i="11"/>
  <c r="T7" i="11"/>
  <c r="C7" i="11"/>
  <c r="F18" i="11"/>
  <c r="O7" i="11"/>
  <c r="N7" i="11"/>
  <c r="L7" i="11"/>
  <c r="B7" i="11"/>
  <c r="R2" i="11"/>
  <c r="K7" i="11"/>
  <c r="M13" i="11"/>
  <c r="E18" i="6"/>
  <c r="E3" i="8"/>
  <c r="H2" i="6"/>
  <c r="AH8" i="7"/>
  <c r="AH17" i="7"/>
  <c r="C2" i="11"/>
  <c r="A4" i="11"/>
  <c r="A20" i="11"/>
  <c r="S2" i="11"/>
  <c r="U15" i="11"/>
  <c r="L15" i="11"/>
  <c r="D15" i="11"/>
  <c r="S15" i="11"/>
  <c r="J15" i="11"/>
  <c r="B15" i="11"/>
  <c r="R15" i="11"/>
  <c r="I15" i="11"/>
  <c r="Q15" i="11"/>
  <c r="H15" i="11"/>
  <c r="P15" i="11"/>
  <c r="G15" i="11"/>
  <c r="F15" i="11"/>
  <c r="E15" i="11"/>
  <c r="C15" i="11"/>
  <c r="T15" i="11"/>
  <c r="O15" i="11"/>
  <c r="M15" i="11"/>
  <c r="K15" i="11"/>
  <c r="N8" i="11"/>
  <c r="E19" i="2"/>
  <c r="I22" i="3"/>
  <c r="L27" i="3"/>
  <c r="L33" i="3"/>
  <c r="O10" i="4"/>
  <c r="AH13" i="7"/>
  <c r="AF40" i="7"/>
  <c r="AG40" i="7" s="1"/>
  <c r="C40" i="8" s="1"/>
  <c r="Q40" i="8" s="1"/>
  <c r="R40" i="8" s="1"/>
  <c r="S7" i="11"/>
  <c r="F25" i="12"/>
  <c r="G25" i="12"/>
  <c r="AF26" i="7"/>
  <c r="AF42" i="7"/>
  <c r="AG42" i="7" s="1"/>
  <c r="C42" i="8" s="1"/>
  <c r="Q42" i="8" s="1"/>
  <c r="R42" i="8" s="1"/>
  <c r="AF58" i="7"/>
  <c r="AG58" i="7" s="1"/>
  <c r="G21" i="11"/>
  <c r="G13" i="12"/>
  <c r="F13" i="12"/>
  <c r="F8" i="11"/>
  <c r="G10" i="12"/>
  <c r="F10" i="12"/>
  <c r="G21" i="12"/>
  <c r="F21" i="12"/>
  <c r="I8" i="11"/>
  <c r="G7" i="12"/>
  <c r="F7" i="12"/>
  <c r="F14" i="12"/>
  <c r="G18" i="12"/>
  <c r="F18" i="12"/>
  <c r="G29" i="12"/>
  <c r="F29" i="12"/>
  <c r="G33" i="12"/>
  <c r="J8" i="11"/>
  <c r="G3" i="12"/>
  <c r="F3" i="12"/>
  <c r="E20" i="2" s="1"/>
  <c r="G15" i="12"/>
  <c r="F15" i="12"/>
  <c r="F22" i="12"/>
  <c r="G26" i="12"/>
  <c r="F26" i="12"/>
  <c r="G37" i="12"/>
  <c r="F37" i="12"/>
  <c r="G41" i="12"/>
  <c r="G8" i="12"/>
  <c r="F8" i="12"/>
  <c r="G11" i="12"/>
  <c r="F11" i="12"/>
  <c r="G23" i="12"/>
  <c r="F23" i="12"/>
  <c r="F30" i="12"/>
  <c r="G34" i="12"/>
  <c r="F34" i="12"/>
  <c r="P8" i="11"/>
  <c r="H8" i="11"/>
  <c r="U8" i="11"/>
  <c r="M8" i="11"/>
  <c r="D8" i="11"/>
  <c r="T8" i="11"/>
  <c r="L8" i="11"/>
  <c r="C8" i="11"/>
  <c r="S8" i="11"/>
  <c r="K8" i="11"/>
  <c r="B8" i="11"/>
  <c r="P16" i="11"/>
  <c r="G16" i="11"/>
  <c r="N16" i="11"/>
  <c r="F16" i="11"/>
  <c r="M16" i="11"/>
  <c r="E16" i="11"/>
  <c r="U16" i="11"/>
  <c r="L16" i="11"/>
  <c r="D16" i="11"/>
  <c r="T16" i="11"/>
  <c r="K16" i="11"/>
  <c r="C16" i="11"/>
  <c r="S16" i="11"/>
  <c r="J16" i="11"/>
  <c r="B16" i="11"/>
  <c r="R16" i="11"/>
  <c r="I16" i="11"/>
  <c r="O8" i="11"/>
  <c r="G16" i="12"/>
  <c r="F16" i="12"/>
  <c r="G19" i="12"/>
  <c r="F19" i="12"/>
  <c r="G31" i="12"/>
  <c r="F31" i="12"/>
  <c r="F38" i="12"/>
  <c r="G42" i="12"/>
  <c r="F42" i="12"/>
  <c r="Q8" i="11"/>
  <c r="H16" i="11"/>
  <c r="G24" i="12"/>
  <c r="F24" i="12"/>
  <c r="G27" i="12"/>
  <c r="F27" i="12"/>
  <c r="G39" i="12"/>
  <c r="F39" i="12"/>
  <c r="AB11" i="15"/>
  <c r="AB19" i="15"/>
  <c r="R8" i="11"/>
  <c r="Q16" i="11"/>
  <c r="G5" i="12"/>
  <c r="F5" i="12"/>
  <c r="G9" i="12"/>
  <c r="G32" i="12"/>
  <c r="F32" i="12"/>
  <c r="G35" i="12"/>
  <c r="F35" i="12"/>
  <c r="F4" i="12"/>
  <c r="F12" i="12"/>
  <c r="F20" i="12"/>
  <c r="F28" i="12"/>
  <c r="F36" i="12"/>
  <c r="V11" i="11" l="1"/>
  <c r="C12" i="8"/>
  <c r="Q12" i="8" s="1"/>
  <c r="R12" i="8" s="1"/>
  <c r="F11" i="6"/>
  <c r="C14" i="8"/>
  <c r="Q14" i="8" s="1"/>
  <c r="R14" i="8" s="1"/>
  <c r="F13" i="6"/>
  <c r="C18" i="8"/>
  <c r="Q18" i="8" s="1"/>
  <c r="R18" i="8" s="1"/>
  <c r="F17" i="6"/>
  <c r="I38" i="3"/>
  <c r="V19" i="11"/>
  <c r="C20" i="8"/>
  <c r="Q20" i="8" s="1"/>
  <c r="R20" i="8" s="1"/>
  <c r="F19" i="6"/>
  <c r="F12" i="6"/>
  <c r="C13" i="8"/>
  <c r="C27" i="8"/>
  <c r="Q27" i="8" s="1"/>
  <c r="R27" i="8" s="1"/>
  <c r="F26" i="6"/>
  <c r="C9" i="8"/>
  <c r="Q9" i="8" s="1"/>
  <c r="R9" i="8" s="1"/>
  <c r="F8" i="6"/>
  <c r="V4" i="11"/>
  <c r="V7" i="11"/>
  <c r="C6" i="8"/>
  <c r="Q6" i="8" s="1"/>
  <c r="R6" i="8" s="1"/>
  <c r="F5" i="6"/>
  <c r="Q25" i="8"/>
  <c r="R25" i="8" s="1"/>
  <c r="C11" i="8"/>
  <c r="Q11" i="8" s="1"/>
  <c r="R11" i="8" s="1"/>
  <c r="F10" i="6"/>
  <c r="E25" i="6"/>
  <c r="AG26" i="7"/>
  <c r="V15" i="11"/>
  <c r="E10" i="2"/>
  <c r="E11" i="2"/>
  <c r="G12" i="6"/>
  <c r="D13" i="8"/>
  <c r="V13" i="11"/>
  <c r="V20" i="11"/>
  <c r="V22" i="11"/>
  <c r="V14" i="11"/>
  <c r="C22" i="8"/>
  <c r="Q22" i="8" s="1"/>
  <c r="R22" i="8" s="1"/>
  <c r="F21" i="6"/>
  <c r="V12" i="11"/>
  <c r="C17" i="8"/>
  <c r="F16" i="6"/>
  <c r="C21" i="8"/>
  <c r="Q21" i="8" s="1"/>
  <c r="R21" i="8" s="1"/>
  <c r="F20" i="6"/>
  <c r="G7" i="6"/>
  <c r="D8" i="8"/>
  <c r="Q8" i="8" s="1"/>
  <c r="R8" i="8" s="1"/>
  <c r="V8" i="11"/>
  <c r="V6" i="11"/>
  <c r="G2" i="6"/>
  <c r="D3" i="8"/>
  <c r="E23" i="2"/>
  <c r="V10" i="11"/>
  <c r="V3" i="11"/>
  <c r="C16" i="8"/>
  <c r="Q16" i="8" s="1"/>
  <c r="R16" i="8" s="1"/>
  <c r="F15" i="6"/>
  <c r="C23" i="8"/>
  <c r="Q23" i="8" s="1"/>
  <c r="R23" i="8" s="1"/>
  <c r="F22" i="6"/>
  <c r="C5" i="8"/>
  <c r="Q5" i="8" s="1"/>
  <c r="R5" i="8" s="1"/>
  <c r="F4" i="6"/>
  <c r="D17" i="8"/>
  <c r="G16" i="6"/>
  <c r="V16" i="11"/>
  <c r="E15" i="2"/>
  <c r="V21" i="11"/>
  <c r="G24" i="6"/>
  <c r="D25" i="8"/>
  <c r="C10" i="8"/>
  <c r="Q10" i="8" s="1"/>
  <c r="R10" i="8" s="1"/>
  <c r="F9" i="6"/>
  <c r="V18" i="11"/>
  <c r="V17" i="11"/>
  <c r="E14" i="2"/>
  <c r="C7" i="8"/>
  <c r="Q7" i="8" s="1"/>
  <c r="R7" i="8" s="1"/>
  <c r="F6" i="6"/>
  <c r="Q24" i="8"/>
  <c r="R24" i="8" s="1"/>
  <c r="F2" i="6"/>
  <c r="C3" i="8"/>
  <c r="Q3" i="8" s="1"/>
  <c r="Q19" i="8"/>
  <c r="R19" i="8" s="1"/>
  <c r="V9" i="11"/>
  <c r="C15" i="8"/>
  <c r="Q15" i="8" s="1"/>
  <c r="R15" i="8" s="1"/>
  <c r="F14" i="6"/>
  <c r="C4" i="8"/>
  <c r="Q4" i="8" s="1"/>
  <c r="R4" i="8" s="1"/>
  <c r="F3" i="6"/>
  <c r="Q17" i="8" l="1"/>
  <c r="R17" i="8" s="1"/>
  <c r="Q13" i="8"/>
  <c r="R13" i="8" s="1"/>
  <c r="I24" i="11"/>
  <c r="C26" i="8"/>
  <c r="Q26" i="8" s="1"/>
  <c r="R26" i="8" s="1"/>
  <c r="F25" i="6"/>
  <c r="E28" i="2"/>
  <c r="R3" i="8"/>
</calcChain>
</file>

<file path=xl/sharedStrings.xml><?xml version="1.0" encoding="utf-8"?>
<sst xmlns="http://schemas.openxmlformats.org/spreadsheetml/2006/main" count="1185" uniqueCount="538">
  <si>
    <t>THE LANDRY FAMILY EQUITY INVESTMENT OPERATING SYSTEM — STOCK SCORING &amp; PORTFOLIO RISK WORKBOOK</t>
  </si>
  <si>
    <t>Companion workbook to Landry System v1.0. Aligned to: Version 1.0 (49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</si>
  <si>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</si>
  <si>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</si>
  <si>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</si>
  <si>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</si>
  <si>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</si>
  <si>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</si>
  <si>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</si>
  <si>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</si>
  <si>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</si>
  <si>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monthly closing prices for up to 12</t>
  </si>
  <si>
    <t>core positions; pairwise correlation and the Rule 36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</si>
  <si>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</si>
  <si>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</si>
  <si>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t>
  </si>
  <si>
    <t>Rules 1–4 (Part 3) — Tier 1 floor of 3.0, mandatory review of any Tier 1 score of 1, automatic Avoid if</t>
  </si>
  <si>
    <t>two or more Tier 1 indicators score 2.0 or below, and the Strong Buy cap when two or more Tier 1</t>
  </si>
  <si>
    <t>indicators are tagged Low Confidence.</t>
  </si>
  <si>
    <t>Rule 36 (Part 7) — Correlation Cap: no position may carry pairwise correlation above 0.70 with more</t>
  </si>
  <si>
    <t>than one other holding at the same time.</t>
  </si>
  <si>
    <t>Rule 37 (Part 7) — Portfolio drawdown response levels apply automatically; only a documented Tier 1</t>
  </si>
  <si>
    <t>re-score restores normal sizing for an affected security.</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</si>
  <si>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</si>
  <si>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</si>
  <si>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</si>
  <si>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</si>
  <si>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</si>
  <si>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</si>
  <si>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</si>
  <si>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</si>
  <si>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</si>
  <si>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</si>
  <si>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</si>
  <si>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</si>
  <si>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</si>
  <si>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</si>
  <si>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</si>
  <si>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</si>
  <si>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t>
  </si>
  <si>
    <t>not a duplicate of what the Scoring/Correlation/Drawdown tabs already record as data.</t>
  </si>
  <si>
    <t>Market Data: use Excel's Stocks data type / STOCKHISTORY (built into M365, already in use) rather than</t>
  </si>
  <si>
    <t>Google Sheets' GOOGLEFINANCE, which does not work in Excel. Track current holdings plus any candidate</t>
  </si>
  <si>
    <t>that has cleared Tier 1 and is sitting on the bench -- not names already screened out.</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</si>
  <si>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</si>
  <si>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</si>
  <si>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31-34 (see Watch List Tracker tab for detail)</t>
  </si>
  <si>
    <t>Deadlines passed (sell required within 30 days):</t>
  </si>
  <si>
    <t>Deadlines approaching (within 14 days):</t>
  </si>
  <si>
    <t>Recovered — ready to remove/reclassify:</t>
  </si>
  <si>
    <t>2. ACTIVE SELL TRIGGERS — Rules 21-30 (see Holding Monitor tab for detail)</t>
  </si>
  <si>
    <t>Holdings with action required within 30 days:</t>
  </si>
  <si>
    <t>Holdings under Hold Through (monitor only, no action):</t>
  </si>
  <si>
    <t>3. CORRELATION CAP — Rule 36 (see Correlation Matrix tab for detail)</t>
  </si>
  <si>
    <t>Rule 36 status:</t>
  </si>
  <si>
    <t>Positions exceeding cap:</t>
  </si>
  <si>
    <t>4. PORTFOLIO DRAWDOWN STATUS — Rule 37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</si>
  <si>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</si>
  <si>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</si>
  <si>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</si>
  <si>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</si>
  <si>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</si>
  <si>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Candidates auto-classified Avoid (Rule 3):</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</si>
  <si>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</si>
  <si>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</si>
  <si>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</si>
  <si>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</si>
  <si>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</si>
  <si>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</si>
  <si>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</si>
  <si>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</si>
  <si>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</si>
  <si>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</si>
  <si>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</si>
  <si>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</si>
  <si>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</si>
  <si>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</si>
  <si>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</si>
  <si>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</si>
  <si>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</si>
  <si>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</si>
  <si>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</si>
  <si>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</si>
  <si>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</si>
  <si>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</si>
  <si>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</si>
  <si>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</si>
  <si>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</si>
  <si>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</si>
  <si>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</si>
  <si>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</si>
  <si>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</si>
  <si>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</si>
  <si>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</si>
  <si>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</si>
  <si>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</si>
  <si>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</si>
  <si>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</si>
  <si>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</si>
  <si>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</si>
  <si>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</si>
  <si>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</si>
  <si>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</si>
  <si>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</si>
  <si>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</si>
  <si>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</si>
  <si>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</si>
  <si>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</si>
  <si>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FZDXX</t>
  </si>
  <si>
    <t>Fidelity Money Market Premium</t>
  </si>
  <si>
    <t>Cash</t>
  </si>
  <si>
    <t>FZFXX</t>
  </si>
  <si>
    <t>Fidelity Core Money Market</t>
  </si>
  <si>
    <t>JT ULTRA (Fidelity) SUBTOTAL</t>
  </si>
  <si>
    <t>Self-Directed (Chase)</t>
  </si>
  <si>
    <t>VMFXX</t>
  </si>
  <si>
    <t>Vanguard Federal Money Market</t>
  </si>
  <si>
    <t>JEPQ</t>
  </si>
  <si>
    <t>JPMorgan Nasdaq Equity Premium Income ETF</t>
  </si>
  <si>
    <t>Alternative Assets</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</si>
  <si>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</si>
  <si>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</si>
  <si>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</si>
  <si>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</si>
  <si>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</si>
  <si>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</si>
  <si>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</si>
  <si>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</si>
  <si>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AVGO</t>
  </si>
  <si>
    <t>Broadcom Inc.</t>
  </si>
  <si>
    <t>VRTX</t>
  </si>
  <si>
    <t>Vertex Pharmaceuticals</t>
  </si>
  <si>
    <t>BOUGHT +25sh 8/7/26 @ $488.77 -- DCA tranche 1 diversifier add (best correlation profile in book)</t>
  </si>
  <si>
    <t>SPMO</t>
  </si>
  <si>
    <t>Invesco S&amp;P 500 Momentum ETF</t>
  </si>
  <si>
    <t>VFLO</t>
  </si>
  <si>
    <t>VictoryShares Free Cash Flow ETF</t>
  </si>
  <si>
    <t>PLD</t>
  </si>
  <si>
    <t>Prologis Inc.</t>
  </si>
  <si>
    <t>BOUGHT +64sh 8/7/26 @ $139.92 -- DCA tranche 1 diversifier add</t>
  </si>
  <si>
    <t>SFM</t>
  </si>
  <si>
    <t>Sprouts Farmers Market</t>
  </si>
  <si>
    <t>SOLD 08/07/26 -- confirmed: -65 sh, $5,601.58 proceeds. Rule 3 Avoid. Proceeds added to VMFXX (row 17).</t>
  </si>
  <si>
    <t>TSLA</t>
  </si>
  <si>
    <t>Tesla Inc.</t>
  </si>
  <si>
    <t>SOLD 08/07/26 -- confirmed: -15 sh, $4,783.25 proceeds. Rule 3 Avoid. Proceeds added to VMFXX (row 17).</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</si>
  <si>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</si>
  <si>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</si>
  <si>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</si>
  <si>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</si>
  <si>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</si>
  <si>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</si>
  <si>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</si>
  <si>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 (row 17).</t>
  </si>
  <si>
    <t>Self-Directed (Chase) SUBTOTAL</t>
  </si>
  <si>
    <t>COMBINED PORTFOLIO TOTAL</t>
  </si>
  <si>
    <t>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</si>
  <si>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Recheck triggers for every name that's been scored, not just Watch List holdings. Update Current Price, Insider Activity, and Analyst Shift by hand for now (or during Claude Code automation later);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</si>
  <si>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</si>
  <si>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</si>
  <si>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</si>
  <si>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</si>
  <si>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</si>
  <si>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</si>
  <si>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</si>
  <si>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</si>
  <si>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</si>
  <si>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</si>
  <si>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</si>
  <si>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</si>
  <si>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Days Since
Last Score</t>
  </si>
  <si>
    <t>Recheck Status</t>
  </si>
  <si>
    <t>Notes</t>
  </si>
  <si>
    <t>Owned</t>
  </si>
  <si>
    <t>STRONG BUY</t>
  </si>
  <si>
    <t>BUY</t>
  </si>
  <si>
    <t>Re-scored 8/7/26: original Avoid was bad source data, corrected. See Journal.</t>
  </si>
  <si>
    <t>Closed</t>
  </si>
  <si>
    <t>AVOID</t>
  </si>
  <si>
    <t>Sold 08/07/26, confirmed. No longer an active recheck target.</t>
  </si>
  <si>
    <t>Weekly closing price ($), week-ending Friday (Rule 36: weekly total returns, 24-month target, 12-month minimum, 36-month max). 20 slots: 13 stocks + 7 held ETFs + headroom.</t>
  </si>
  <si>
    <t>Week Ending</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</si>
  <si>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</si>
  <si>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</si>
  <si>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</si>
  <si>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</si>
  <si>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</si>
  <si>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</si>
  <si>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</si>
  <si>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</si>
  <si>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</si>
  <si>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</si>
  <si>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TIER 1 — 70% of Decision</t>
  </si>
  <si>
    <t>TIER 2 — 25% of Decision</t>
  </si>
  <si>
    <t>TIER 3 — 5% of Decision</t>
  </si>
  <si>
    <t>RULE FLAGS (1–4)</t>
  </si>
  <si>
    <t>CLASSIFICATION</t>
  </si>
  <si>
    <t>Date
Scored</t>
  </si>
  <si>
    <t>FCF Yield &amp;
Trend (20%)
Score</t>
  </si>
  <si>
    <t>Conf
(H/M/L)</t>
  </si>
  <si>
    <t>Rev Growth
Consist. (15%)
Score</t>
  </si>
  <si>
    <t>Moat
Quality (15%)
Score</t>
  </si>
  <si>
    <t>Rev
Visibility (10%)
Score</t>
  </si>
  <si>
    <t>FCF Margin
Trend (10%)
Score</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</si>
  <si>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</si>
  <si>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</si>
  <si>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</si>
  <si>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</si>
  <si>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</si>
  <si>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</si>
  <si>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</si>
  <si>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</si>
  <si>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</si>
  <si>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</si>
  <si>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</si>
  <si>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</si>
  <si>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</si>
  <si>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</si>
  <si>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2+≤2=Avoid</t>
  </si>
  <si>
    <t>Rule 4
2+Low=Cap Buy</t>
  </si>
  <si>
    <t>Sector</t>
  </si>
  <si>
    <t>Industry</t>
  </si>
  <si>
    <t>M</t>
  </si>
  <si>
    <t>H</t>
  </si>
  <si>
    <t>L</t>
  </si>
  <si>
    <t>Technology</t>
  </si>
  <si>
    <t>Semiconductors</t>
  </si>
  <si>
    <t>Software - Infrastructure</t>
  </si>
  <si>
    <t>Healthcare</t>
  </si>
  <si>
    <t>Biotechnology</t>
  </si>
  <si>
    <t>Prologis Inc. (REIT-adapted)</t>
  </si>
  <si>
    <t>Real Estate</t>
  </si>
  <si>
    <t>REIT - Industrial</t>
  </si>
  <si>
    <t>Consumer Defensive</t>
  </si>
  <si>
    <t>Grocery Stores</t>
  </si>
  <si>
    <t>Consumer Cyclical</t>
  </si>
  <si>
    <t>Footwear &amp; Accessories</t>
  </si>
  <si>
    <t>Auto Manufacturers</t>
  </si>
  <si>
    <t>Software - Application</t>
  </si>
  <si>
    <t>Computer Hardware</t>
  </si>
  <si>
    <t>Semiconductor Equipment &amp; Materials</t>
  </si>
  <si>
    <t>Taiwan Semiconductor Mfg.</t>
  </si>
  <si>
    <t>Industrials</t>
  </si>
  <si>
    <t>Electrical Equipment &amp; Parts</t>
  </si>
  <si>
    <t>COST</t>
  </si>
  <si>
    <t>Costco Wholesale Corp.</t>
  </si>
  <si>
    <t>Discount Stores</t>
  </si>
  <si>
    <t>V</t>
  </si>
  <si>
    <t>Visa Inc.</t>
  </si>
  <si>
    <t>Financial Services</t>
  </si>
  <si>
    <t>Credit Services</t>
  </si>
  <si>
    <t>NEE</t>
  </si>
  <si>
    <t>NextEra Energy Inc.</t>
  </si>
  <si>
    <t>Utilities</t>
  </si>
  <si>
    <t>Utilities - Regulated Electric</t>
  </si>
  <si>
    <t>CRK</t>
  </si>
  <si>
    <t>Comstock Resources Inc.</t>
  </si>
  <si>
    <t>Energy</t>
  </si>
  <si>
    <t>Oil &amp; Gas E&amp;P</t>
  </si>
  <si>
    <t>ET</t>
  </si>
  <si>
    <t>Energy Transfer LP</t>
  </si>
  <si>
    <t>Oil &amp; Gas Midstream</t>
  </si>
  <si>
    <t>LBRT</t>
  </si>
  <si>
    <t>Liberty Energy Inc.</t>
  </si>
  <si>
    <t>Oil &amp; Gas Equipment &amp; Services</t>
  </si>
  <si>
    <t>NOV</t>
  </si>
  <si>
    <t>NOV Inc.</t>
  </si>
  <si>
    <t>CE</t>
  </si>
  <si>
    <t>Celanese Corp.</t>
  </si>
  <si>
    <t>Basic Materials</t>
  </si>
  <si>
    <t>Chemicals</t>
  </si>
  <si>
    <t>CLF</t>
  </si>
  <si>
    <t>Cleveland-Cliffs Inc.</t>
  </si>
  <si>
    <t>Steel</t>
  </si>
  <si>
    <t>LIN</t>
  </si>
  <si>
    <t>Linde plc</t>
  </si>
  <si>
    <t>Specialty Chemicals</t>
  </si>
  <si>
    <t>DEO</t>
  </si>
  <si>
    <t>Diageo plc</t>
  </si>
  <si>
    <t>Beverages - Wineries &amp; Distilleries</t>
  </si>
  <si>
    <t>EL</t>
  </si>
  <si>
    <t>Estee Lauder Companies</t>
  </si>
  <si>
    <t>Household &amp; Personal Products</t>
  </si>
  <si>
    <t>HRL</t>
  </si>
  <si>
    <t>Hormel Foods Corp.</t>
  </si>
  <si>
    <t>Packaged Foods</t>
  </si>
  <si>
    <t>PG</t>
  </si>
  <si>
    <t>Procter &amp; Gamble Co.</t>
  </si>
  <si>
    <t>CMG</t>
  </si>
  <si>
    <t>Chipotle Mexican Grill</t>
  </si>
  <si>
    <t>Restaurants</t>
  </si>
  <si>
    <t>DPZ</t>
  </si>
  <si>
    <t>Domino's Pizza Inc.</t>
  </si>
  <si>
    <t>PZZA</t>
  </si>
  <si>
    <t>Papa John's Intl.</t>
  </si>
  <si>
    <t>YUM</t>
  </si>
  <si>
    <t>Yum! Brands Inc.</t>
  </si>
  <si>
    <t>NKE</t>
  </si>
  <si>
    <t>Nike Inc.</t>
  </si>
  <si>
    <t>VFC</t>
  </si>
  <si>
    <t>V.F. Corporation</t>
  </si>
  <si>
    <t>Apparel Manufacturing</t>
  </si>
  <si>
    <t>GOOS</t>
  </si>
  <si>
    <t>Canada Goose Holdings</t>
  </si>
  <si>
    <t>AAP</t>
  </si>
  <si>
    <t>Advance Auto Parts Inc.</t>
  </si>
  <si>
    <t>Auto Parts</t>
  </si>
  <si>
    <t>BABA</t>
  </si>
  <si>
    <t>Alibaba Group Holding Ltd.</t>
  </si>
  <si>
    <t>Internet Retail</t>
  </si>
  <si>
    <t>ETSY</t>
  </si>
  <si>
    <t>Etsy Inc.</t>
  </si>
  <si>
    <t>GE</t>
  </si>
  <si>
    <t>GE Aerospace</t>
  </si>
  <si>
    <t>Aerospace &amp; Defense</t>
  </si>
  <si>
    <t>PH</t>
  </si>
  <si>
    <t>Parker-Hannifin Corporation</t>
  </si>
  <si>
    <t>Specialty Industrial Machinery</t>
  </si>
  <si>
    <t>ETN</t>
  </si>
  <si>
    <t>Eaton Corporation plc</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</si>
  <si>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</si>
  <si>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5
Composite
≥65?</t>
  </si>
  <si>
    <t>Rule 6
Tier1
≥3.0?</t>
  </si>
  <si>
    <t>Rule 7
No Tier1
=1?</t>
  </si>
  <si>
    <t>Rule 8
Above/reclaimed
200-wk MA?
(Y/N)</t>
  </si>
  <si>
    <t>Rule 9
Monthly MACD
positive/turning?
(Y/N)</t>
  </si>
  <si>
    <t>Staging
Result
(Rules 8-9)</t>
  </si>
  <si>
    <t>Rule 10
Binary event
risk present?
(Y/N)</t>
  </si>
  <si>
    <t>Risk included
in thesis?
(Y/N)</t>
  </si>
  <si>
    <t>Rule 10
Result</t>
  </si>
  <si>
    <t>Rule 11
Bear Case
≥0%?</t>
  </si>
  <si>
    <t>Rule 12
Scenario tags
OK?</t>
  </si>
  <si>
    <t>P/FCF
(current)</t>
  </si>
  <si>
    <t>Consensus FCF
growth, 2-yr
annualized</t>
  </si>
  <si>
    <t>Rule 13
Valuation
Ceiling</t>
  </si>
  <si>
    <t>ENTRY
AUTHORIZED?</t>
  </si>
  <si>
    <t>Recommended Action</t>
  </si>
  <si>
    <t>Market Data — manual entry (blue cells). See note below on optional live refresh.</t>
  </si>
  <si>
    <t>Volume</t>
  </si>
  <si>
    <t>Market Cap ($M)</t>
  </si>
  <si>
    <t>P/E</t>
  </si>
  <si>
    <t>52-Wk Low</t>
  </si>
  <si>
    <t>52-Wk High</t>
  </si>
  <si>
    <t>Div Yield (%)</t>
  </si>
  <si>
    <t>OPTIONAL LIVE REFRESH: Excel's built-in Stocks data type can auto-populate price, market cap, P/E, and</t>
  </si>
  <si>
    <t>52-week range for a ticker you've converted to that data type (Data tab &gt; Stocks, or type the ticker and</t>
  </si>
  <si>
    <t>use the data-type icon that appears). That feature depends on your Microsoft 365 subscription and an</t>
  </si>
  <si>
    <t>active internet connection, so it isn't pre-built into this sheet — set it up once per ticker if you want it,</t>
  </si>
  <si>
    <t>referencing cells like =A3.Price. Otherwise, enter values manually from Yahoo Finance, Google Finance,</t>
  </si>
  <si>
    <t>or your preferred source at each review.</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</si>
  <si>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</si>
  <si>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</si>
  <si>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</si>
  <si>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</si>
  <si>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</si>
  <si>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</si>
  <si>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</si>
  <si>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</si>
  <si>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</si>
  <si>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</si>
  <si>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</si>
  <si>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</si>
  <si>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</si>
  <si>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</si>
  <si>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</si>
  <si>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</si>
  <si>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</si>
  <si>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</si>
  <si>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</si>
  <si>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Pairwise correlation of weekly returns, 12-36 month window (Rule 36, Part 7). Covers stocks and held ETFs together. Recalculate quarterly.</t>
  </si>
  <si>
    <t>Positions &gt;0.70 with</t>
  </si>
  <si>
    <t>Positions exceeding cap (correlated &gt;0.70 with 2+ other holdings):</t>
  </si>
  <si>
    <t>Rule 36 status (no position may exceed 0.70 with more than one other holding):</t>
  </si>
  <si>
    <t>Portfolio-level drawdown tracking (Part 7, Rules 36-37). Enter Date and Portfolio Value; all other columns calculate automatically.</t>
  </si>
  <si>
    <t>Date</t>
  </si>
  <si>
    <t>Portfolio Value ($)</t>
  </si>
  <si>
    <t>Running Peak ($)</t>
  </si>
  <si>
    <t>Drawdown %</t>
  </si>
  <si>
    <t>Status</t>
  </si>
  <si>
    <t>Required Cash Floor</t>
  </si>
  <si>
    <t>New Position Initiation</t>
  </si>
  <si>
    <t>Tracks every holding in Probationary Hold (50-64) or Exit Review (35-49) per Part 6. The 90-day deadline and its consequence are calculated automatically — this tab is what makes Rules 31-34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</si>
  <si>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</si>
  <si>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</si>
  <si>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</si>
  <si>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</si>
  <si>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</si>
  <si>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</si>
  <si>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</si>
  <si>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</si>
  <si>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</si>
  <si>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</si>
  <si>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Standardized Implied-Return Methodology (Rule 11, Part 4): Expected annualized return = [(Year-5 equity value + cumulative distributions) ÷ current equity value]^(1/5) − 1. Run Base, Bear, and Bull cases together (Rule 12)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</si>
  <si>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</si>
  <si>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</si>
  <si>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</si>
  <si>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</si>
  <si>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</si>
  <si>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</si>
  <si>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</si>
  <si>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</si>
  <si>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</si>
  <si>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</si>
  <si>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</si>
  <si>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</si>
  <si>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</si>
  <si>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</si>
  <si>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FUNDAMENTAL TRIGGERS (Rules 21-25) — flags if declined 2 consecutive periods</t>
  </si>
  <si>
    <t>VALUATION / SIZING TRIGGERS (Rules 26-30)</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</si>
  <si>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</si>
  <si>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</si>
  <si>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</si>
  <si>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</si>
  <si>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</si>
  <si>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</si>
  <si>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</si>
  <si>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</si>
  <si>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</si>
  <si>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</si>
  <si>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</si>
  <si>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</si>
  <si>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</si>
  <si>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(&gt;6x=trigger)</t>
  </si>
  <si>
    <t>P/FCF
(&gt;50x+gr&lt;15%)</t>
  </si>
  <si>
    <t>FCF Growth
%</t>
  </si>
  <si>
    <t>Implied Return
(&lt;7%=trigger)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</si>
  <si>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</si>
  <si>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</si>
  <si>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</si>
  <si>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</si>
  <si>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</si>
  <si>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Entry
Date</t>
  </si>
  <si>
    <t>Entry
Price</t>
  </si>
  <si>
    <t>Entry
Confidence</t>
  </si>
  <si>
    <t>Entry
Decision Band</t>
  </si>
  <si>
    <t>SPY Price
at Entry</t>
  </si>
  <si>
    <t>Status
(Held/Exited)</t>
  </si>
  <si>
    <t>Exit
Date</t>
  </si>
  <si>
    <t>Exit
Price</t>
  </si>
  <si>
    <t>Exit
Reason</t>
  </si>
  <si>
    <t>Current/
Exit Price</t>
  </si>
  <si>
    <t>SPY Price
(current/exit)</t>
  </si>
  <si>
    <t>Total Return
Since Entry</t>
  </si>
  <si>
    <t>SPY Return
Same Period</t>
  </si>
  <si>
    <t>Excess
Return</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</si>
  <si>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</si>
  <si>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</si>
  <si>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</si>
  <si>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</si>
  <si>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</si>
  <si>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</si>
  <si>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</si>
  <si>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</si>
  <si>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</si>
  <si>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</si>
  <si>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</si>
  <si>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</si>
  <si>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</si>
  <si>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</si>
  <si>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</si>
  <si>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</si>
  <si>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</si>
  <si>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</si>
  <si>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</si>
  <si>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</si>
  <si>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</si>
  <si>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</si>
  <si>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</si>
  <si>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</si>
  <si>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</si>
  <si>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</si>
  <si>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</si>
  <si>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</si>
  <si>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DARRYL-SCREEN-METHOD</t>
  </si>
  <si>
    <t>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</si>
  <si>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</si>
  <si>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</si>
  <si>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</si>
  <si>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</si>
  <si>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</si>
  <si>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</si>
  <si>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</si>
  <si>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</si>
  <si>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</si>
  <si>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</si>
  <si>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</si>
  <si>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</si>
  <si>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</si>
  <si>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</si>
  <si>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Scoring</t>
  </si>
  <si>
    <t>Fixed range, 2-row merged header</t>
  </si>
  <si>
    <t>n/a (not a Table -- Tier1/2/3 group headers span multiple columns in row 1)</t>
  </si>
  <si>
    <t>Rows 3-45 populated (43 tickers), formulas/formatting run through row 60 for headroom</t>
  </si>
  <si>
    <t>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t>
  </si>
  <si>
    <t>Market Data</t>
  </si>
  <si>
    <t>Fixed range, single header</t>
  </si>
  <si>
    <t>Rows 3-27, cols A-I</t>
  </si>
  <si>
    <t>A=Ticker,B=Company,C=Price,D=Volume,E=MarketCap,F=P/E,G=52wkLow,H=52wkHigh,I=DivYield. Manual entry.</t>
  </si>
  <si>
    <t>Current Positions</t>
  </si>
  <si>
    <t>Table</t>
  </si>
  <si>
    <t>CurrentPositionsTable</t>
  </si>
  <si>
    <t>A2:M40 (JT ULTRA rows 3-14, Chase rows 17-35; subtotal/total rows outside table range)</t>
  </si>
  <si>
    <t>A=Account,B=Ticker,C=Description,D=AssetClass,E=Quantity,F=Price,G=MarketValue,H=CostBasis,I=UnrealizedGL$,J=UnrealizedGL%,K=%ofAccount,L=%ofCombined,M=Classification. Tax-loss carryforward reference cells at O2/P2 (Short-term), O3/P3 (Long-term) -- outside the table.</t>
  </si>
  <si>
    <t>Monitor &amp; Recheck Triggers</t>
  </si>
  <si>
    <t>MonitorTable</t>
  </si>
  <si>
    <t>A2:P42</t>
  </si>
  <si>
    <t>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</si>
  <si>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</si>
  <si>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</si>
  <si>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</si>
  <si>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</si>
  <si>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</si>
  <si>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</si>
  <si>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Rows 4-23, cols A-U</t>
  </si>
  <si>
    <t>A=Ticker,B=Company,C=Price. D-H=Base[FCF5,Mult,Dist,Return,Tag]. I-M=Bear[same]. N-R=Bull[same]. S=Base&gt;10%check,T=Bear&gt;=0%check,U=ExactlyOneLikelyCheck. Referenced by Entry Checklist with a +1 row offset (Entry Checklist row 3 = this tab's row 4, same ticker).</t>
  </si>
  <si>
    <t>Holding Monitor</t>
  </si>
  <si>
    <t>n/a (Fundamental-trigger group header spans multiple columns in row 2)</t>
  </si>
  <si>
    <t>Rows 4-23, cols A-AB</t>
  </si>
  <si>
    <t>A=Ticker,B=Company,C=PositionPct,D=MaxFullPct. E-S=5 fundamental indicators x [Prior,Current,Flag]. T=Debt/FCF,U=P/FCF,V=FCFGrowth,W=ImpliedReturn,X=CurrentTier,Y=PriorTier,Z=ValuationFlags,AA=HoldThroughY/N,AB=ActionStatus.</t>
  </si>
  <si>
    <t>Performance Tracking</t>
  </si>
  <si>
    <t>PerformanceTrackingTable</t>
  </si>
  <si>
    <t>A2:Q34</t>
  </si>
  <si>
    <t>A=Ticker,B=Company,C=EntryDate,D=EntryPrice,E=EntryScore,F=EntryConfidence,G=EntryBand,H=SPYatEntry,I=Status,J=ExitDate,K=ExitPrice,L=ExitReason,M=CurrentOrExitPrice,N=SPYcurrentOrExit,O=TotalReturn,P=SPYReturnSamePeriod,Q=ExcessReturn.</t>
  </si>
  <si>
    <t>Price History</t>
  </si>
  <si>
    <t>Rows 3-162, cols A-U (20 tickers: 13 stocks + 7 ETFs)</t>
  </si>
  <si>
    <t>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</si>
  <si>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Returns (Calc)</t>
  </si>
  <si>
    <t>Fixed range, formula-derived</t>
  </si>
  <si>
    <t>Rows 3-161, cols A-U</t>
  </si>
  <si>
    <t>Mirrors Price History layout; all cells are formulas computing week-over-week % return. Do not edit directly.</t>
  </si>
  <si>
    <t>Correlation Matrix</t>
  </si>
  <si>
    <t>Fixed range, formula-derived headers</t>
  </si>
  <si>
    <t>Rows 3-24, cols A-U</t>
  </si>
  <si>
    <t>20x20 grid (13 stocks + 7 ETFs). Row 2 headers pull ticker names live from Returns (Calc) row 2 -- headers are blank until Price History is populated, which is why this was not converted to a Table. B24=violation count, B25=Rule 36 status (OK / REVIEW REQUIRED).</t>
  </si>
  <si>
    <t>Journal</t>
  </si>
  <si>
    <t>JournalTable</t>
  </si>
  <si>
    <t>A2:C302</t>
  </si>
  <si>
    <t>A=Date,B=Ticker,C=Notes. Freeform; filter/sort via the Table's built-in header dropdowns.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</si>
</sst>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
    <numFmt numFmtId="166" formatCode="\$#,##0.00"/>
    <numFmt numFmtId="167" formatCode="yyyy\-mm\-dd"/>
    <numFmt numFmtId="168" formatCode="mm/dd/yyyy"/>
    <numFmt numFmtId="169" formatCode="0.0"/>
    <numFmt numFmtId="170" formatCode="0.000"/>
    <numFmt numFmtId="171" formatCode="0.0\x"/>
  </numFmts>
  <fonts count="26" x14ac:knownFonts="1">
    <font>
      <sz val="11"/>
      <color theme="1"/>
      <name val="Calibri"/>
      <family val="2"/>
      <charset val="1"/>
    </font>
    <font>
      <b/>
      <sz val="13"/>
      <color rgb="FF1F3864"/>
      <name val="Arial"/>
      <family val="2"/>
      <charset val="1"/>
    </font>
    <font>
      <sz val="9"/>
      <color rgb="FF000000"/>
      <name val="Arial"/>
      <family val="2"/>
      <charset val="1"/>
    </font>
    <font>
      <i/>
      <sz val="9"/>
      <color rgb="FF000000"/>
      <name val="Arial"/>
      <family val="2"/>
      <charset val="1"/>
    </font>
    <font>
      <b/>
      <sz val="10"/>
      <color rgb="FF1F3864"/>
      <name val="Arial"/>
      <family val="2"/>
      <charset val="1"/>
    </font>
    <font>
      <sz val="9"/>
      <name val="Arial"/>
      <family val="2"/>
      <charset val="1"/>
    </font>
    <font>
      <b/>
      <sz val="12"/>
      <color rgb="FF1F3864"/>
      <name val="Arial"/>
      <family val="2"/>
      <charset val="1"/>
    </font>
    <font>
      <i/>
      <sz val="9"/>
      <color rgb="FF808080"/>
      <name val="Arial"/>
      <family val="2"/>
      <charset val="1"/>
    </font>
    <font>
      <b/>
      <sz val="11"/>
      <color rgb="FFFFFFFF"/>
      <name val="Arial"/>
      <family val="2"/>
      <charset val="1"/>
    </font>
    <font>
      <b/>
      <sz val="10"/>
      <color rgb="FF000000"/>
      <name val="Arial"/>
      <family val="2"/>
      <charset val="1"/>
    </font>
    <font>
      <b/>
      <sz val="9"/>
      <color rgb="FFFFFFFF"/>
      <name val="Arial"/>
      <family val="2"/>
      <charset val="1"/>
    </font>
    <font>
      <b/>
      <sz val="8"/>
      <color rgb="FFFFFFFF"/>
      <name val="Arial"/>
      <family val="2"/>
      <charset val="1"/>
    </font>
    <font>
      <b/>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49977111117893"/>
      <name val="Arial"/>
      <family val="2"/>
      <charset val="1"/>
    </font>
    <font>
      <sz val="11"/>
      <color rgb="FF002060"/>
      <name val="Calibri"/>
      <family val="2"/>
      <charset val="1"/>
    </font>
    <font>
      <b/>
      <sz val="8"/>
      <color rgb="FF002060"/>
      <name val="Arial"/>
      <family val="2"/>
      <charset val="1"/>
    </font>
    <font>
      <b/>
      <sz val="8"/>
      <color rgb="FF1F3864"/>
      <name val="Arial"/>
      <family val="2"/>
      <charset val="1"/>
    </font>
    <font>
      <i/>
      <sz val="8"/>
      <color rgb="FF808080"/>
      <name val="Arial"/>
      <family val="2"/>
      <charset val="1"/>
    </font>
    <font>
      <b/>
      <sz val="9"/>
      <color rgb="FF002060"/>
      <name val="Arial"/>
      <family val="2"/>
      <charset val="1"/>
    </font>
    <font>
      <b/>
      <sz val="9"/>
      <color rgb="FF000000"/>
      <name val="Arial"/>
      <family val="2"/>
      <charset val="1"/>
    </font>
    <font>
      <i/>
      <sz val="10"/>
      <color rgb="FF000000"/>
      <name val="Arial"/>
      <family val="2"/>
      <charset val="1"/>
    </font>
    <font>
      <b/>
      <sz val="9"/>
      <color rgb="FF1F3864"/>
      <name val="Arial"/>
      <family val="2"/>
      <charset val="1"/>
    </font>
    <font>
      <b/>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style="thin">
        <color auto="1"/>
      </left>
      <right style="thin">
        <color auto="1"/>
      </right>
      <top style="thin">
        <color auto="1"/>
      </top>
      <bottom style="thin">
        <color auto="1"/>
      </bottom>
      <diagonal/>
    </border>
  </borders>
  <cellStyleXfs count="1">
    <xf numFmtId="0" fontId="0" fillId="0" borderId="0"/>
  </cellStyleXfs>
  <cellXfs count="99">
    <xf numFmtId="0" fontId="0" fillId="0" borderId="0" xfId="0"/>
    <xf numFmtId="0" fontId="10" fillId="3" borderId="1" xfId="0" applyFont="1" applyFill="1" applyBorder="1" applyAlignment="1">
      <alignment horizontal="center" vertical="center"/>
    </xf>
    <xf numFmtId="0" fontId="3" fillId="0" borderId="0" xfId="0" applyFont="1"/>
    <xf numFmtId="164"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2"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2" fillId="0" borderId="0" xfId="0" applyFont="1" applyAlignment="1">
      <alignment horizontal="left" vertical="center"/>
    </xf>
    <xf numFmtId="0" fontId="8" fillId="2" borderId="0" xfId="0" applyFont="1" applyFill="1"/>
    <xf numFmtId="0" fontId="7" fillId="0" borderId="0" xfId="0" applyFont="1"/>
    <xf numFmtId="0" fontId="6" fillId="0" borderId="0" xfId="0" applyFont="1" applyAlignment="1">
      <alignment wrapText="1"/>
    </xf>
    <xf numFmtId="0" fontId="15" fillId="0" borderId="1" xfId="0" applyFont="1" applyBorder="1" applyAlignment="1">
      <alignment horizontal="left" vertical="top" wrapText="1"/>
    </xf>
    <xf numFmtId="0" fontId="25" fillId="2" borderId="1" xfId="0" applyFont="1" applyFill="1" applyBorder="1"/>
    <xf numFmtId="0" fontId="3" fillId="0" borderId="0" xfId="0" applyFont="1" applyAlignment="1">
      <alignment wrapText="1"/>
    </xf>
    <xf numFmtId="0" fontId="6" fillId="0" borderId="0" xfId="0" applyFont="1"/>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xf numFmtId="0" fontId="5" fillId="0" borderId="0" xfId="0" applyFont="1"/>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2" fillId="0" borderId="1" xfId="0" applyFont="1" applyBorder="1" applyAlignment="1">
      <alignment horizontal="right" vertical="center"/>
    </xf>
    <xf numFmtId="165" fontId="13" fillId="4" borderId="1" xfId="0" applyNumberFormat="1"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166" fontId="12" fillId="0" borderId="1" xfId="0" applyNumberFormat="1" applyFont="1" applyBorder="1" applyAlignment="1">
      <alignment horizontal="center" vertical="center"/>
    </xf>
    <xf numFmtId="4" fontId="14" fillId="4" borderId="1" xfId="0" applyNumberFormat="1" applyFont="1" applyFill="1" applyBorder="1" applyAlignment="1">
      <alignment horizontal="center" vertical="center"/>
    </xf>
    <xf numFmtId="166" fontId="15" fillId="0" borderId="1" xfId="0" applyNumberFormat="1" applyFont="1" applyBorder="1" applyAlignment="1">
      <alignment horizontal="center" vertical="center"/>
    </xf>
    <xf numFmtId="164" fontId="15" fillId="0" borderId="1" xfId="0" applyNumberFormat="1" applyFont="1" applyBorder="1" applyAlignment="1">
      <alignment horizontal="center" vertical="center"/>
    </xf>
    <xf numFmtId="0" fontId="16" fillId="4" borderId="1" xfId="0" applyFont="1" applyFill="1" applyBorder="1" applyAlignment="1">
      <alignment horizontal="center" vertical="center"/>
    </xf>
    <xf numFmtId="39" fontId="16" fillId="4" borderId="1" xfId="0" applyNumberFormat="1" applyFont="1" applyFill="1" applyBorder="1" applyAlignment="1">
      <alignment horizontal="center" vertical="center"/>
    </xf>
    <xf numFmtId="0" fontId="17" fillId="4" borderId="1" xfId="0" applyFont="1" applyFill="1" applyBorder="1"/>
    <xf numFmtId="0" fontId="18" fillId="4" borderId="1" xfId="0" applyFont="1" applyFill="1" applyBorder="1"/>
    <xf numFmtId="166" fontId="12" fillId="5" borderId="1" xfId="0" applyNumberFormat="1" applyFont="1" applyFill="1" applyBorder="1" applyAlignment="1">
      <alignment horizontal="center" vertical="center"/>
    </xf>
    <xf numFmtId="166" fontId="18" fillId="4" borderId="1" xfId="0" applyNumberFormat="1" applyFont="1" applyFill="1" applyBorder="1" applyAlignment="1">
      <alignment horizontal="center" vertical="center"/>
    </xf>
    <xf numFmtId="0" fontId="0" fillId="5" borderId="1" xfId="0" applyFill="1" applyBorder="1"/>
    <xf numFmtId="0" fontId="17" fillId="4" borderId="0" xfId="0" applyFont="1" applyFill="1"/>
    <xf numFmtId="0" fontId="19" fillId="5" borderId="1" xfId="0" applyFont="1" applyFill="1" applyBorder="1"/>
    <xf numFmtId="0" fontId="0" fillId="3" borderId="1" xfId="0" applyFill="1" applyBorder="1"/>
    <xf numFmtId="0" fontId="10" fillId="3" borderId="1" xfId="0" applyFont="1" applyFill="1" applyBorder="1"/>
    <xf numFmtId="166" fontId="10" fillId="3" borderId="1" xfId="0" applyNumberFormat="1" applyFont="1" applyFill="1" applyBorder="1" applyAlignment="1">
      <alignment horizontal="center" vertical="center"/>
    </xf>
    <xf numFmtId="167" fontId="14" fillId="4" borderId="1" xfId="0" applyNumberFormat="1" applyFont="1" applyFill="1" applyBorder="1" applyAlignment="1">
      <alignment horizontal="center" vertical="center"/>
    </xf>
    <xf numFmtId="166" fontId="14" fillId="4" borderId="1"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8" fontId="14" fillId="4" borderId="1" xfId="0" applyNumberFormat="1" applyFont="1" applyFill="1" applyBorder="1" applyAlignment="1">
      <alignment horizontal="center" vertical="center"/>
    </xf>
    <xf numFmtId="1" fontId="15" fillId="0" borderId="1" xfId="0" applyNumberFormat="1" applyFont="1" applyBorder="1" applyAlignment="1">
      <alignment horizontal="center" vertical="center"/>
    </xf>
    <xf numFmtId="0" fontId="12" fillId="0" borderId="1" xfId="0" applyFont="1" applyBorder="1" applyAlignment="1">
      <alignment horizontal="center" vertical="center"/>
    </xf>
    <xf numFmtId="0" fontId="21" fillId="4" borderId="1" xfId="0" applyFont="1" applyFill="1" applyBorder="1" applyAlignment="1">
      <alignment horizontal="center" vertical="center" wrapText="1"/>
    </xf>
    <xf numFmtId="168" fontId="13" fillId="4" borderId="1" xfId="0" applyNumberFormat="1" applyFont="1" applyFill="1" applyBorder="1" applyAlignment="1">
      <alignment horizontal="center" vertical="center"/>
    </xf>
    <xf numFmtId="4" fontId="13" fillId="4"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168"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9" fontId="22" fillId="0" borderId="1" xfId="0" applyNumberFormat="1" applyFont="1" applyBorder="1" applyAlignment="1">
      <alignment horizontal="center" vertical="center"/>
    </xf>
    <xf numFmtId="0" fontId="20" fillId="0" borderId="0" xfId="0" applyFont="1" applyAlignment="1">
      <alignment vertical="center" wrapText="1"/>
    </xf>
    <xf numFmtId="0" fontId="11" fillId="6" borderId="1" xfId="0" applyFont="1" applyFill="1" applyBorder="1" applyAlignment="1">
      <alignment horizontal="center" vertical="center" wrapText="1"/>
    </xf>
    <xf numFmtId="170" fontId="15"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xf>
    <xf numFmtId="0" fontId="13" fillId="4" borderId="1" xfId="0" applyFont="1" applyFill="1" applyBorder="1" applyAlignment="1">
      <alignment horizontal="center" vertical="center"/>
    </xf>
    <xf numFmtId="167" fontId="13" fillId="4" borderId="1" xfId="0" applyNumberFormat="1" applyFont="1" applyFill="1" applyBorder="1" applyAlignment="1">
      <alignment horizontal="center" vertical="center"/>
    </xf>
    <xf numFmtId="170" fontId="2" fillId="0" borderId="1" xfId="0" applyNumberFormat="1" applyFont="1" applyBorder="1" applyAlignment="1">
      <alignment horizontal="center" vertical="center"/>
    </xf>
    <xf numFmtId="0" fontId="22" fillId="0" borderId="1" xfId="0" applyFont="1" applyBorder="1" applyAlignment="1">
      <alignment horizontal="center" vertical="center"/>
    </xf>
    <xf numFmtId="0" fontId="15" fillId="0" borderId="1" xfId="0" applyFont="1" applyBorder="1" applyAlignment="1">
      <alignment horizontal="center" vertical="center"/>
    </xf>
    <xf numFmtId="171" fontId="14" fillId="4" borderId="1" xfId="0" applyNumberFormat="1" applyFont="1" applyFill="1" applyBorder="1" applyAlignment="1">
      <alignment horizontal="center" vertical="center"/>
    </xf>
    <xf numFmtId="164" fontId="14" fillId="4" borderId="1" xfId="0" applyNumberFormat="1" applyFont="1" applyFill="1" applyBorder="1" applyAlignment="1">
      <alignment horizontal="center" vertical="center"/>
    </xf>
    <xf numFmtId="0" fontId="12" fillId="0" borderId="1" xfId="0" applyFont="1" applyBorder="1" applyAlignment="1">
      <alignment horizontal="left" vertical="center"/>
    </xf>
    <xf numFmtId="166" fontId="13" fillId="4" borderId="1" xfId="0" applyNumberFormat="1" applyFont="1" applyFill="1" applyBorder="1" applyAlignment="1">
      <alignment horizontal="center" vertical="center"/>
    </xf>
    <xf numFmtId="3" fontId="13" fillId="4" borderId="1" xfId="0" applyNumberFormat="1" applyFont="1" applyFill="1" applyBorder="1" applyAlignment="1">
      <alignment horizontal="center" vertical="center"/>
    </xf>
    <xf numFmtId="169" fontId="13" fillId="4" borderId="1" xfId="0"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0" fontId="11" fillId="3" borderId="1" xfId="0" applyFont="1" applyFill="1" applyBorder="1" applyAlignment="1">
      <alignment horizontal="center" vertical="center"/>
    </xf>
    <xf numFmtId="164" fontId="2" fillId="0" borderId="1" xfId="0" applyNumberFormat="1" applyFont="1" applyBorder="1" applyAlignment="1">
      <alignment horizontal="center" vertical="center"/>
    </xf>
    <xf numFmtId="4" fontId="15" fillId="0" borderId="1" xfId="0" applyNumberFormat="1" applyFont="1" applyBorder="1" applyAlignment="1">
      <alignment horizontal="center" vertical="center"/>
    </xf>
    <xf numFmtId="0" fontId="19" fillId="5" borderId="1" xfId="0" applyFont="1" applyFill="1" applyBorder="1" applyAlignment="1">
      <alignment horizontal="center" vertical="center" wrapText="1"/>
    </xf>
    <xf numFmtId="2" fontId="15" fillId="0" borderId="1" xfId="0" applyNumberFormat="1" applyFont="1" applyBorder="1" applyAlignment="1">
      <alignment horizontal="center" vertical="center"/>
    </xf>
    <xf numFmtId="0" fontId="24" fillId="0" borderId="0" xfId="0" applyFont="1"/>
    <xf numFmtId="1" fontId="12" fillId="0" borderId="1" xfId="0" applyNumberFormat="1" applyFont="1" applyBorder="1" applyAlignment="1">
      <alignment horizontal="center" vertical="center"/>
    </xf>
    <xf numFmtId="1" fontId="12" fillId="0" borderId="3" xfId="0" applyNumberFormat="1" applyFont="1" applyBorder="1" applyAlignment="1">
      <alignment horizontal="center"/>
    </xf>
    <xf numFmtId="0" fontId="12" fillId="0" borderId="3" xfId="0" applyFont="1" applyBorder="1" applyAlignment="1">
      <alignment horizontal="center"/>
    </xf>
    <xf numFmtId="165" fontId="2" fillId="0" borderId="1" xfId="0" applyNumberFormat="1" applyFont="1" applyBorder="1" applyAlignment="1">
      <alignment horizontal="center" vertical="center"/>
    </xf>
    <xf numFmtId="164" fontId="22" fillId="0" borderId="1" xfId="0" applyNumberFormat="1" applyFont="1" applyBorder="1" applyAlignment="1">
      <alignment horizontal="center" vertical="center"/>
    </xf>
    <xf numFmtId="1" fontId="2" fillId="0" borderId="1" xfId="0" applyNumberFormat="1" applyFont="1" applyBorder="1" applyAlignment="1">
      <alignment horizontal="center" vertical="center"/>
    </xf>
    <xf numFmtId="0" fontId="0" fillId="0" borderId="0" xfId="0" applyAlignment="1">
      <alignment vertical="center"/>
    </xf>
    <xf numFmtId="0" fontId="13" fillId="4" borderId="1" xfId="0" applyFont="1" applyFill="1" applyBorder="1" applyAlignment="1">
      <alignment horizontal="left" vertical="top" wrapText="1"/>
    </xf>
    <xf numFmtId="0" fontId="15" fillId="0" borderId="1" xfId="0" applyFont="1" applyBorder="1" applyAlignment="1">
      <alignment horizontal="left" vertical="top" wrapText="1"/>
    </xf>
    <xf numFmtId="0" fontId="20" fillId="0" borderId="0" xfId="0" applyFont="1" applyAlignment="1">
      <alignment wrapText="1"/>
    </xf>
    <xf numFmtId="0" fontId="20" fillId="0" borderId="0" xfId="0" applyFont="1" applyAlignment="1">
      <alignment vertical="center" wrapText="1"/>
    </xf>
    <xf numFmtId="0" fontId="10" fillId="2" borderId="1"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23" fillId="0" borderId="0" xfId="0" applyFont="1"/>
    <xf numFmtId="0" fontId="20" fillId="0" borderId="0" xfId="0" applyFont="1"/>
    <xf numFmtId="0" fontId="10"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cellXfs>
  <cellStyles count="1">
    <cellStyle name="Normal" xfId="0" builtinId="0"/>
  </cellStyles>
  <dxfs count="80">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C65911"/>
      </font>
      <fill>
        <patternFill>
          <bgColor rgb="FFFCE4D6"/>
        </patternFill>
      </fill>
    </dxf>
    <dxf>
      <font>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-6.2936375258138E-4</c:v>
                </c:pt>
                <c:pt idx="1">
                  <c:v>3.3318245330919094E-2</c:v>
                </c:pt>
                <c:pt idx="2">
                  <c:v>7.2658362853769365E-2</c:v>
                </c:pt>
                <c:pt idx="3">
                  <c:v>-5.0602794694697417E-3</c:v>
                </c:pt>
                <c:pt idx="4">
                  <c:v>-5.6160325505032471E-2</c:v>
                </c:pt>
                <c:pt idx="5">
                  <c:v>-3.02331297623325E-2</c:v>
                </c:pt>
                <c:pt idx="6">
                  <c:v>-5.849093390524418E-3</c:v>
                </c:pt>
                <c:pt idx="7">
                  <c:v>3.2908413414394877E-2</c:v>
                </c:pt>
                <c:pt idx="8">
                  <c:v>4.1922989291410362E-2</c:v>
                </c:pt>
                <c:pt idx="9">
                  <c:v>-1.4213863984255282E-2</c:v>
                </c:pt>
                <c:pt idx="10">
                  <c:v>-6.0706891452233069E-2</c:v>
                </c:pt>
                <c:pt idx="11">
                  <c:v>0.10930488860899001</c:v>
                </c:pt>
                <c:pt idx="12">
                  <c:v>5.953943866870115E-2</c:v>
                </c:pt>
                <c:pt idx="13">
                  <c:v>9.1088711027760283E-3</c:v>
                </c:pt>
                <c:pt idx="14">
                  <c:v>2.7826635250389975E-2</c:v>
                </c:pt>
                <c:pt idx="15">
                  <c:v>-1.1236136448024681E-2</c:v>
                </c:pt>
                <c:pt idx="16">
                  <c:v>-4.0165232582820565E-3</c:v>
                </c:pt>
                <c:pt idx="17">
                  <c:v>-4.1523909444107554E-2</c:v>
                </c:pt>
                <c:pt idx="18">
                  <c:v>2.4064445508654497E-2</c:v>
                </c:pt>
                <c:pt idx="19">
                  <c:v>-3.5908141962421869E-3</c:v>
                </c:pt>
                <c:pt idx="20">
                  <c:v>-5.3637277908146208E-2</c:v>
                </c:pt>
                <c:pt idx="21">
                  <c:v>5.6571023733616554E-2</c:v>
                </c:pt>
                <c:pt idx="22">
                  <c:v>2.5161766185000101E-2</c:v>
                </c:pt>
                <c:pt idx="23">
                  <c:v>3.891750470116806E-3</c:v>
                </c:pt>
                <c:pt idx="24">
                  <c:v>3.3928949554509646E-2</c:v>
                </c:pt>
                <c:pt idx="25">
                  <c:v>-1.1894259247589578E-2</c:v>
                </c:pt>
                <c:pt idx="26">
                  <c:v>-0.12842588606686767</c:v>
                </c:pt>
                <c:pt idx="27">
                  <c:v>1.2402590275491399E-2</c:v>
                </c:pt>
                <c:pt idx="28">
                  <c:v>3.1602341717259064E-2</c:v>
                </c:pt>
                <c:pt idx="29">
                  <c:v>-3.3699402728880723E-2</c:v>
                </c:pt>
                <c:pt idx="30">
                  <c:v>-0.10736101796298658</c:v>
                </c:pt>
                <c:pt idx="31">
                  <c:v>1.4336189741298799E-2</c:v>
                </c:pt>
                <c:pt idx="32">
                  <c:v>1.0169762972453533E-2</c:v>
                </c:pt>
                <c:pt idx="33">
                  <c:v>-3.8604835513277869E-2</c:v>
                </c:pt>
                <c:pt idx="34">
                  <c:v>-2.2736642480211122E-2</c:v>
                </c:pt>
                <c:pt idx="35">
                  <c:v>-1.9131388554915696E-2</c:v>
                </c:pt>
                <c:pt idx="36">
                  <c:v>2.6966582082491142E-2</c:v>
                </c:pt>
                <c:pt idx="37">
                  <c:v>1.8050087947064197E-2</c:v>
                </c:pt>
                <c:pt idx="38">
                  <c:v>-8.0011518367681944E-3</c:v>
                </c:pt>
                <c:pt idx="39">
                  <c:v>2.3637230711812673E-3</c:v>
                </c:pt>
                <c:pt idx="40">
                  <c:v>-1.6548414455040072E-2</c:v>
                </c:pt>
                <c:pt idx="41">
                  <c:v>-6.4510022505942066E-2</c:v>
                </c:pt>
                <c:pt idx="42">
                  <c:v>4.6474503102797105E-2</c:v>
                </c:pt>
                <c:pt idx="43">
                  <c:v>0.12865522205272528</c:v>
                </c:pt>
                <c:pt idx="44">
                  <c:v>1.5476575736232068E-2</c:v>
                </c:pt>
                <c:pt idx="45">
                  <c:v>4.1429214157168381E-2</c:v>
                </c:pt>
                <c:pt idx="46">
                  <c:v>4.1041149152176493E-2</c:v>
                </c:pt>
                <c:pt idx="47">
                  <c:v>-3.3354082373690308E-2</c:v>
                </c:pt>
                <c:pt idx="48">
                  <c:v>-1.4399427600393477E-2</c:v>
                </c:pt>
                <c:pt idx="49">
                  <c:v>-1.55353901996369E-2</c:v>
                </c:pt>
                <c:pt idx="50">
                  <c:v>-2.9994100730034834E-2</c:v>
                </c:pt>
                <c:pt idx="51">
                  <c:v>1.9252332896212199E-2</c:v>
                </c:pt>
                <c:pt idx="52">
                  <c:v>3.1997016595189498E-2</c:v>
                </c:pt>
                <c:pt idx="53">
                  <c:v>8.7449860875219443E-3</c:v>
                </c:pt>
                <c:pt idx="54">
                  <c:v>2.8855454056958552E-2</c:v>
                </c:pt>
                <c:pt idx="55">
                  <c:v>-1.9150084434463199E-2</c:v>
                </c:pt>
                <c:pt idx="56">
                  <c:v>-4.7106015157700409E-2</c:v>
                </c:pt>
                <c:pt idx="57">
                  <c:v>-2.7138785925829412E-2</c:v>
                </c:pt>
                <c:pt idx="58">
                  <c:v>-1.305762971472324E-2</c:v>
                </c:pt>
                <c:pt idx="59">
                  <c:v>-1.6023900054318307E-2</c:v>
                </c:pt>
                <c:pt idx="60">
                  <c:v>-2.3264066874334577E-2</c:v>
                </c:pt>
                <c:pt idx="61">
                  <c:v>-1.049614468531801E-3</c:v>
                </c:pt>
                <c:pt idx="62">
                  <c:v>-2.2590422307536828E-2</c:v>
                </c:pt>
                <c:pt idx="63">
                  <c:v>-1.901926734474535E-3</c:v>
                </c:pt>
                <c:pt idx="64">
                  <c:v>2.4606462303231158E-2</c:v>
                </c:pt>
                <c:pt idx="65">
                  <c:v>1.7566911943074359E-2</c:v>
                </c:pt>
                <c:pt idx="66">
                  <c:v>1.7442437968095081E-2</c:v>
                </c:pt>
                <c:pt idx="67">
                  <c:v>7.3806502001365626E-3</c:v>
                </c:pt>
                <c:pt idx="68">
                  <c:v>7.1773302579807519E-2</c:v>
                </c:pt>
                <c:pt idx="69">
                  <c:v>-0.15782335069444453</c:v>
                </c:pt>
                <c:pt idx="70">
                  <c:v>-3.9768945006334655E-2</c:v>
                </c:pt>
                <c:pt idx="71">
                  <c:v>-1.5430373236129391E-3</c:v>
                </c:pt>
                <c:pt idx="72">
                  <c:v>-3.5634294929224208E-2</c:v>
                </c:pt>
                <c:pt idx="73">
                  <c:v>-5.7249692268388386E-2</c:v>
                </c:pt>
                <c:pt idx="74">
                  <c:v>5.9297398502167864E-2</c:v>
                </c:pt>
                <c:pt idx="75">
                  <c:v>1.2535175236633389E-2</c:v>
                </c:pt>
                <c:pt idx="76">
                  <c:v>4.7544673618447053E-3</c:v>
                </c:pt>
                <c:pt idx="77">
                  <c:v>-1.0012572865470304E-2</c:v>
                </c:pt>
                <c:pt idx="78">
                  <c:v>6.2553397834068436E-2</c:v>
                </c:pt>
                <c:pt idx="79">
                  <c:v>-3.4422809457580028E-2</c:v>
                </c:pt>
                <c:pt idx="80">
                  <c:v>-1.2963629816348576E-2</c:v>
                </c:pt>
                <c:pt idx="81">
                  <c:v>2.4717256475738747E-2</c:v>
                </c:pt>
                <c:pt idx="82">
                  <c:v>-0.12162883845126826</c:v>
                </c:pt>
                <c:pt idx="83">
                  <c:v>-1.8949181739879473E-2</c:v>
                </c:pt>
                <c:pt idx="84">
                  <c:v>-4.0024789547075112E-3</c:v>
                </c:pt>
                <c:pt idx="85">
                  <c:v>-9.4993648077571158E-2</c:v>
                </c:pt>
                <c:pt idx="86">
                  <c:v>9.7401667287364546E-3</c:v>
                </c:pt>
                <c:pt idx="87">
                  <c:v>-1.0412233665276549E-2</c:v>
                </c:pt>
                <c:pt idx="88">
                  <c:v>5.4243119266055073E-2</c:v>
                </c:pt>
                <c:pt idx="89">
                  <c:v>3.5760905036440693E-2</c:v>
                </c:pt>
                <c:pt idx="90">
                  <c:v>6.3276183474676451E-3</c:v>
                </c:pt>
                <c:pt idx="91">
                  <c:v>8.8316635357962969E-2</c:v>
                </c:pt>
                <c:pt idx="92">
                  <c:v>-2.2630834512022635E-2</c:v>
                </c:pt>
                <c:pt idx="93">
                  <c:v>1.8151046137997007E-2</c:v>
                </c:pt>
                <c:pt idx="94">
                  <c:v>4.4086824544076197E-3</c:v>
                </c:pt>
                <c:pt idx="95">
                  <c:v>-6.0539192171159995E-2</c:v>
                </c:pt>
                <c:pt idx="96">
                  <c:v>-3.7683823529411686E-2</c:v>
                </c:pt>
                <c:pt idx="97">
                  <c:v>2.3638968481375366E-2</c:v>
                </c:pt>
                <c:pt idx="98">
                  <c:v>-1.6898634113469591E-2</c:v>
                </c:pt>
                <c:pt idx="99">
                  <c:v>-4.207640188763806E-2</c:v>
                </c:pt>
                <c:pt idx="100">
                  <c:v>6.7152882895280541E-3</c:v>
                </c:pt>
                <c:pt idx="101">
                  <c:v>1.3532354629705479E-2</c:v>
                </c:pt>
                <c:pt idx="102">
                  <c:v>-6.187624750498999E-2</c:v>
                </c:pt>
                <c:pt idx="103">
                  <c:v>-1.9407705577918377E-2</c:v>
                </c:pt>
                <c:pt idx="104">
                  <c:v>4.0463275179592362E-2</c:v>
                </c:pt>
                <c:pt idx="105">
                  <c:v>2.0402987177680521E-2</c:v>
                </c:pt>
                <c:pt idx="106">
                  <c:v>-1.4885801872462578E-2</c:v>
                </c:pt>
                <c:pt idx="107">
                  <c:v>-2.1670871881132481E-2</c:v>
                </c:pt>
                <c:pt idx="108">
                  <c:v>1.1175745766112133E-3</c:v>
                </c:pt>
                <c:pt idx="109">
                  <c:v>4.734371422028838E-2</c:v>
                </c:pt>
                <c:pt idx="110">
                  <c:v>-1.5113418966930747E-2</c:v>
                </c:pt>
                <c:pt idx="111">
                  <c:v>-3.782223825512665E-2</c:v>
                </c:pt>
                <c:pt idx="112">
                  <c:v>-2.6619368979639013E-2</c:v>
                </c:pt>
                <c:pt idx="113">
                  <c:v>-1.2592219489792944E-2</c:v>
                </c:pt>
                <c:pt idx="114">
                  <c:v>6.0793374542399192E-2</c:v>
                </c:pt>
                <c:pt idx="115">
                  <c:v>-3.7367051369088022E-2</c:v>
                </c:pt>
                <c:pt idx="116">
                  <c:v>-3.9258323293467789E-2</c:v>
                </c:pt>
                <c:pt idx="117">
                  <c:v>1.2723658051689846E-2</c:v>
                </c:pt>
                <c:pt idx="118">
                  <c:v>-2.08993989912718E-2</c:v>
                </c:pt>
                <c:pt idx="119">
                  <c:v>-1.2523520157932122E-2</c:v>
                </c:pt>
                <c:pt idx="120">
                  <c:v>8.1623090619435734E-2</c:v>
                </c:pt>
                <c:pt idx="121">
                  <c:v>2.9370992895512149E-2</c:v>
                </c:pt>
                <c:pt idx="122">
                  <c:v>-1.599191987206483E-3</c:v>
                </c:pt>
                <c:pt idx="123">
                  <c:v>-5.788793345697707E-3</c:v>
                </c:pt>
                <c:pt idx="124">
                  <c:v>-5.7942340305257245E-2</c:v>
                </c:pt>
                <c:pt idx="125">
                  <c:v>1.950195019501777E-3</c:v>
                </c:pt>
                <c:pt idx="126">
                  <c:v>-0.11328043120227571</c:v>
                </c:pt>
                <c:pt idx="127">
                  <c:v>1.6716196136701278E-2</c:v>
                </c:pt>
                <c:pt idx="128">
                  <c:v>-2.5974025974025983E-2</c:v>
                </c:pt>
                <c:pt idx="129">
                  <c:v>-8.4808184143222554E-2</c:v>
                </c:pt>
                <c:pt idx="130">
                  <c:v>-1.6431924882629012E-2</c:v>
                </c:pt>
                <c:pt idx="131">
                  <c:v>-2.0305337727772099E-2</c:v>
                </c:pt>
                <c:pt idx="132">
                  <c:v>1.4693940682881657E-2</c:v>
                </c:pt>
                <c:pt idx="133">
                  <c:v>8.0827712358522819E-2</c:v>
                </c:pt>
                <c:pt idx="134">
                  <c:v>-0.12093646428319582</c:v>
                </c:pt>
                <c:pt idx="135">
                  <c:v>-4.6927643189474955E-3</c:v>
                </c:pt>
                <c:pt idx="136">
                  <c:v>-5.3636913157364519E-2</c:v>
                </c:pt>
                <c:pt idx="137">
                  <c:v>3.4406404360415532E-2</c:v>
                </c:pt>
                <c:pt idx="138">
                  <c:v>-7.2328338547669957E-2</c:v>
                </c:pt>
                <c:pt idx="139">
                  <c:v>8.4757044597293163E-2</c:v>
                </c:pt>
                <c:pt idx="140">
                  <c:v>4.0499079566373997E-3</c:v>
                </c:pt>
                <c:pt idx="141">
                  <c:v>2.1471642764015586E-2</c:v>
                </c:pt>
                <c:pt idx="142">
                  <c:v>9.2936061585098262E-3</c:v>
                </c:pt>
                <c:pt idx="143">
                  <c:v>-2.1498577300031574E-2</c:v>
                </c:pt>
                <c:pt idx="144">
                  <c:v>-1.1470113085621958E-2</c:v>
                </c:pt>
                <c:pt idx="145">
                  <c:v>5.9037424415754103E-2</c:v>
                </c:pt>
                <c:pt idx="146">
                  <c:v>-2.9975695382122525E-2</c:v>
                </c:pt>
                <c:pt idx="147">
                  <c:v>-0.18859370028635059</c:v>
                </c:pt>
                <c:pt idx="148">
                  <c:v>-4.3427114988726645E-2</c:v>
                </c:pt>
                <c:pt idx="149">
                  <c:v>3.8788686206189693E-2</c:v>
                </c:pt>
                <c:pt idx="150">
                  <c:v>8.3806047452276378E-2</c:v>
                </c:pt>
                <c:pt idx="151">
                  <c:v>1.7840888403422461E-2</c:v>
                </c:pt>
                <c:pt idx="152">
                  <c:v>6.0856734036844884E-2</c:v>
                </c:pt>
                <c:pt idx="153">
                  <c:v>-5.1169652265542598E-2</c:v>
                </c:pt>
                <c:pt idx="154">
                  <c:v>0.11238949846741586</c:v>
                </c:pt>
              </c:numCache>
            </c:numRef>
          </c:val>
          <c:extLst>
            <c:ext xmlns:c16="http://schemas.microsoft.com/office/drawing/2014/chart" uri="{C3380CC4-5D6E-409C-BE32-E72D297353CC}">
              <c16:uniqueId val="{00000000-2C68-A840-BD22-ACA9E506AB9E}"/>
            </c:ext>
          </c:extLst>
        </c:ser>
        <c:dLbls>
          <c:showLegendKey val="0"/>
          <c:showVal val="0"/>
          <c:showCatName val="0"/>
          <c:showSerName val="0"/>
          <c:showPercent val="0"/>
          <c:showBubbleSize val="0"/>
        </c:dLbls>
        <c:gapWidth val="150"/>
        <c:axId val="96506395"/>
        <c:axId val="52062374"/>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506.77441558441558</c:v>
                </c:pt>
                <c:pt idx="2">
                  <c:v>505.09883116883117</c:v>
                </c:pt>
                <c:pt idx="3">
                  <c:v>503.42324675324676</c:v>
                </c:pt>
                <c:pt idx="4">
                  <c:v>501.74766233766235</c:v>
                </c:pt>
                <c:pt idx="5">
                  <c:v>500.07207792207788</c:v>
                </c:pt>
                <c:pt idx="6">
                  <c:v>498.39649350649347</c:v>
                </c:pt>
                <c:pt idx="7">
                  <c:v>496.72090909090906</c:v>
                </c:pt>
                <c:pt idx="8">
                  <c:v>495.04532467532465</c:v>
                </c:pt>
                <c:pt idx="9">
                  <c:v>493.36974025974024</c:v>
                </c:pt>
                <c:pt idx="10">
                  <c:v>491.69415584415583</c:v>
                </c:pt>
                <c:pt idx="11">
                  <c:v>490.01857142857142</c:v>
                </c:pt>
                <c:pt idx="12">
                  <c:v>488.34298701298701</c:v>
                </c:pt>
                <c:pt idx="13">
                  <c:v>486.6674025974026</c:v>
                </c:pt>
                <c:pt idx="14">
                  <c:v>484.99181818181819</c:v>
                </c:pt>
                <c:pt idx="15">
                  <c:v>483.31623376623378</c:v>
                </c:pt>
                <c:pt idx="16">
                  <c:v>481.64064935064931</c:v>
                </c:pt>
                <c:pt idx="17">
                  <c:v>479.96506493506502</c:v>
                </c:pt>
                <c:pt idx="18">
                  <c:v>478.28948051948049</c:v>
                </c:pt>
                <c:pt idx="19">
                  <c:v>476.6138961038962</c:v>
                </c:pt>
                <c:pt idx="20">
                  <c:v>474.93831168831167</c:v>
                </c:pt>
                <c:pt idx="21">
                  <c:v>473.26272727272737</c:v>
                </c:pt>
                <c:pt idx="22">
                  <c:v>471.58714285714279</c:v>
                </c:pt>
                <c:pt idx="23">
                  <c:v>469.91155844155855</c:v>
                </c:pt>
                <c:pt idx="24">
                  <c:v>468.23597402597397</c:v>
                </c:pt>
                <c:pt idx="25">
                  <c:v>466.56038961038968</c:v>
                </c:pt>
                <c:pt idx="26">
                  <c:v>464.88480519480515</c:v>
                </c:pt>
                <c:pt idx="27">
                  <c:v>463.20922077922086</c:v>
                </c:pt>
                <c:pt idx="28">
                  <c:v>461.53363636363633</c:v>
                </c:pt>
                <c:pt idx="29">
                  <c:v>459.85805194805204</c:v>
                </c:pt>
                <c:pt idx="30">
                  <c:v>458.18246753246746</c:v>
                </c:pt>
                <c:pt idx="31">
                  <c:v>456.50688311688316</c:v>
                </c:pt>
                <c:pt idx="32">
                  <c:v>454.83129870129864</c:v>
                </c:pt>
                <c:pt idx="33">
                  <c:v>453.15571428571434</c:v>
                </c:pt>
                <c:pt idx="34">
                  <c:v>451.48012987012982</c:v>
                </c:pt>
                <c:pt idx="35">
                  <c:v>449.80454545454552</c:v>
                </c:pt>
                <c:pt idx="36">
                  <c:v>448.12896103896099</c:v>
                </c:pt>
                <c:pt idx="37">
                  <c:v>446.4533766233767</c:v>
                </c:pt>
                <c:pt idx="38">
                  <c:v>444.77779220779212</c:v>
                </c:pt>
                <c:pt idx="39">
                  <c:v>443.10220779220788</c:v>
                </c:pt>
                <c:pt idx="40">
                  <c:v>441.4266233766233</c:v>
                </c:pt>
                <c:pt idx="41">
                  <c:v>439.75103896103906</c:v>
                </c:pt>
                <c:pt idx="42">
                  <c:v>438.07545454545448</c:v>
                </c:pt>
                <c:pt idx="43">
                  <c:v>436.39987012987018</c:v>
                </c:pt>
                <c:pt idx="44">
                  <c:v>434.72428571428566</c:v>
                </c:pt>
                <c:pt idx="45">
                  <c:v>433.04870129870136</c:v>
                </c:pt>
                <c:pt idx="46">
                  <c:v>431.37311688311678</c:v>
                </c:pt>
                <c:pt idx="47">
                  <c:v>429.69753246753248</c:v>
                </c:pt>
                <c:pt idx="48">
                  <c:v>428.02194805194796</c:v>
                </c:pt>
                <c:pt idx="49">
                  <c:v>426.34636363636366</c:v>
                </c:pt>
                <c:pt idx="50">
                  <c:v>424.67077922077914</c:v>
                </c:pt>
                <c:pt idx="51">
                  <c:v>422.99519480519484</c:v>
                </c:pt>
                <c:pt idx="52">
                  <c:v>421.31961038961032</c:v>
                </c:pt>
                <c:pt idx="53">
                  <c:v>419.64402597402602</c:v>
                </c:pt>
                <c:pt idx="54">
                  <c:v>417.96844155844144</c:v>
                </c:pt>
                <c:pt idx="55">
                  <c:v>416.2928571428572</c:v>
                </c:pt>
                <c:pt idx="56">
                  <c:v>414.61727272727262</c:v>
                </c:pt>
                <c:pt idx="57">
                  <c:v>412.94168831168838</c:v>
                </c:pt>
                <c:pt idx="58">
                  <c:v>411.2661038961038</c:v>
                </c:pt>
                <c:pt idx="59">
                  <c:v>409.5905194805195</c:v>
                </c:pt>
                <c:pt idx="60">
                  <c:v>407.91493506493498</c:v>
                </c:pt>
                <c:pt idx="61">
                  <c:v>406.23935064935068</c:v>
                </c:pt>
                <c:pt idx="62">
                  <c:v>404.56376623376616</c:v>
                </c:pt>
                <c:pt idx="63">
                  <c:v>402.88818181818186</c:v>
                </c:pt>
                <c:pt idx="64">
                  <c:v>401.21259740259728</c:v>
                </c:pt>
                <c:pt idx="65">
                  <c:v>399.53701298701299</c:v>
                </c:pt>
                <c:pt idx="66">
                  <c:v>397.86142857142846</c:v>
                </c:pt>
                <c:pt idx="67">
                  <c:v>396.18584415584417</c:v>
                </c:pt>
                <c:pt idx="68">
                  <c:v>394.51025974025964</c:v>
                </c:pt>
                <c:pt idx="69">
                  <c:v>392.83467532467535</c:v>
                </c:pt>
                <c:pt idx="70">
                  <c:v>391.15909090909082</c:v>
                </c:pt>
                <c:pt idx="71">
                  <c:v>389.48350649350652</c:v>
                </c:pt>
                <c:pt idx="72">
                  <c:v>387.80792207792194</c:v>
                </c:pt>
                <c:pt idx="73">
                  <c:v>386.1323376623377</c:v>
                </c:pt>
                <c:pt idx="74">
                  <c:v>384.45675324675312</c:v>
                </c:pt>
                <c:pt idx="75">
                  <c:v>382.78116883116883</c:v>
                </c:pt>
                <c:pt idx="76">
                  <c:v>381.1055844155843</c:v>
                </c:pt>
                <c:pt idx="77">
                  <c:v>379.43</c:v>
                </c:pt>
                <c:pt idx="78">
                  <c:v>377.75441558441571</c:v>
                </c:pt>
                <c:pt idx="79">
                  <c:v>376.07883116883119</c:v>
                </c:pt>
                <c:pt idx="80">
                  <c:v>374.40324675324689</c:v>
                </c:pt>
                <c:pt idx="81">
                  <c:v>372.72766233766231</c:v>
                </c:pt>
                <c:pt idx="82">
                  <c:v>371.05207792207807</c:v>
                </c:pt>
                <c:pt idx="83">
                  <c:v>369.37649350649349</c:v>
                </c:pt>
                <c:pt idx="84">
                  <c:v>367.70090909090925</c:v>
                </c:pt>
                <c:pt idx="85">
                  <c:v>366.02532467532467</c:v>
                </c:pt>
                <c:pt idx="86">
                  <c:v>364.34974025974043</c:v>
                </c:pt>
                <c:pt idx="87">
                  <c:v>362.67415584415585</c:v>
                </c:pt>
                <c:pt idx="88">
                  <c:v>360.99857142857155</c:v>
                </c:pt>
                <c:pt idx="89">
                  <c:v>359.32298701298703</c:v>
                </c:pt>
                <c:pt idx="90">
                  <c:v>357.64740259740267</c:v>
                </c:pt>
                <c:pt idx="91">
                  <c:v>355.97181818181815</c:v>
                </c:pt>
                <c:pt idx="92">
                  <c:v>354.29623376623385</c:v>
                </c:pt>
                <c:pt idx="93">
                  <c:v>352.62064935064933</c:v>
                </c:pt>
                <c:pt idx="94">
                  <c:v>350.94506493506503</c:v>
                </c:pt>
                <c:pt idx="95">
                  <c:v>349.26948051948045</c:v>
                </c:pt>
                <c:pt idx="96">
                  <c:v>347.59389610389621</c:v>
                </c:pt>
                <c:pt idx="97">
                  <c:v>345.91831168831163</c:v>
                </c:pt>
                <c:pt idx="98">
                  <c:v>344.24272727272739</c:v>
                </c:pt>
                <c:pt idx="99">
                  <c:v>342.56714285714281</c:v>
                </c:pt>
                <c:pt idx="100">
                  <c:v>340.89155844155857</c:v>
                </c:pt>
                <c:pt idx="101">
                  <c:v>339.21597402597399</c:v>
                </c:pt>
                <c:pt idx="102">
                  <c:v>337.5403896103897</c:v>
                </c:pt>
                <c:pt idx="103">
                  <c:v>335.86480519480517</c:v>
                </c:pt>
                <c:pt idx="104">
                  <c:v>334.18922077922088</c:v>
                </c:pt>
                <c:pt idx="105">
                  <c:v>332.51363636363635</c:v>
                </c:pt>
                <c:pt idx="106">
                  <c:v>330.83805194805205</c:v>
                </c:pt>
                <c:pt idx="107">
                  <c:v>329.16246753246753</c:v>
                </c:pt>
                <c:pt idx="108">
                  <c:v>327.48688311688318</c:v>
                </c:pt>
                <c:pt idx="109">
                  <c:v>325.81129870129871</c:v>
                </c:pt>
                <c:pt idx="110">
                  <c:v>324.13571428571436</c:v>
                </c:pt>
                <c:pt idx="111">
                  <c:v>322.46012987012983</c:v>
                </c:pt>
                <c:pt idx="112">
                  <c:v>320.78454545454554</c:v>
                </c:pt>
                <c:pt idx="113">
                  <c:v>319.10896103896101</c:v>
                </c:pt>
                <c:pt idx="114">
                  <c:v>317.43337662337672</c:v>
                </c:pt>
                <c:pt idx="115">
                  <c:v>315.75779220779214</c:v>
                </c:pt>
                <c:pt idx="116">
                  <c:v>314.0822077922079</c:v>
                </c:pt>
                <c:pt idx="117">
                  <c:v>312.40662337662332</c:v>
                </c:pt>
                <c:pt idx="118">
                  <c:v>310.73103896103902</c:v>
                </c:pt>
                <c:pt idx="119">
                  <c:v>309.0554545454545</c:v>
                </c:pt>
                <c:pt idx="120">
                  <c:v>307.3798701298702</c:v>
                </c:pt>
                <c:pt idx="121">
                  <c:v>305.70428571428567</c:v>
                </c:pt>
                <c:pt idx="122">
                  <c:v>304.02870129870132</c:v>
                </c:pt>
                <c:pt idx="123">
                  <c:v>302.35311688311685</c:v>
                </c:pt>
                <c:pt idx="124">
                  <c:v>300.6775324675325</c:v>
                </c:pt>
                <c:pt idx="125">
                  <c:v>299.00194805194798</c:v>
                </c:pt>
                <c:pt idx="126">
                  <c:v>297.32636363636368</c:v>
                </c:pt>
                <c:pt idx="127">
                  <c:v>295.65077922077916</c:v>
                </c:pt>
                <c:pt idx="128">
                  <c:v>293.97519480519486</c:v>
                </c:pt>
                <c:pt idx="129">
                  <c:v>292.29961038961034</c:v>
                </c:pt>
                <c:pt idx="130">
                  <c:v>290.62402597402604</c:v>
                </c:pt>
                <c:pt idx="131">
                  <c:v>288.94844155844146</c:v>
                </c:pt>
                <c:pt idx="132">
                  <c:v>287.27285714285722</c:v>
                </c:pt>
                <c:pt idx="133">
                  <c:v>285.59727272727264</c:v>
                </c:pt>
                <c:pt idx="134">
                  <c:v>283.9216883116884</c:v>
                </c:pt>
                <c:pt idx="135">
                  <c:v>282.24610389610382</c:v>
                </c:pt>
                <c:pt idx="136">
                  <c:v>280.57051948051958</c:v>
                </c:pt>
                <c:pt idx="137">
                  <c:v>278.894935064935</c:v>
                </c:pt>
                <c:pt idx="138">
                  <c:v>277.2193506493507</c:v>
                </c:pt>
                <c:pt idx="139">
                  <c:v>275.54376623376618</c:v>
                </c:pt>
                <c:pt idx="140">
                  <c:v>273.86818181818188</c:v>
                </c:pt>
                <c:pt idx="141">
                  <c:v>272.19259740259736</c:v>
                </c:pt>
                <c:pt idx="142">
                  <c:v>270.517012987013</c:v>
                </c:pt>
                <c:pt idx="143">
                  <c:v>268.84142857142848</c:v>
                </c:pt>
                <c:pt idx="144">
                  <c:v>267.16584415584418</c:v>
                </c:pt>
                <c:pt idx="145">
                  <c:v>265.4902597402596</c:v>
                </c:pt>
                <c:pt idx="146">
                  <c:v>263.81467532467536</c:v>
                </c:pt>
                <c:pt idx="147">
                  <c:v>262.13909090909078</c:v>
                </c:pt>
                <c:pt idx="148">
                  <c:v>260.46350649350654</c:v>
                </c:pt>
                <c:pt idx="149">
                  <c:v>258.78792207792196</c:v>
                </c:pt>
                <c:pt idx="150">
                  <c:v>257.11233766233772</c:v>
                </c:pt>
                <c:pt idx="151">
                  <c:v>255.43675324675314</c:v>
                </c:pt>
                <c:pt idx="152">
                  <c:v>253.76116883116885</c:v>
                </c:pt>
                <c:pt idx="153">
                  <c:v>252.08558441558432</c:v>
                </c:pt>
                <c:pt idx="154">
                  <c:v>250.41000000000003</c:v>
                </c:pt>
              </c:numCache>
            </c:numRef>
          </c:val>
          <c:smooth val="0"/>
          <c:extLst>
            <c:ext xmlns:c16="http://schemas.microsoft.com/office/drawing/2014/chart" uri="{C3380CC4-5D6E-409C-BE32-E72D297353CC}">
              <c16:uniqueId val="{00000001-2C68-A840-BD22-ACA9E506AB9E}"/>
            </c:ext>
          </c:extLst>
        </c:ser>
        <c:dLbls>
          <c:showLegendKey val="0"/>
          <c:showVal val="0"/>
          <c:showCatName val="0"/>
          <c:showSerName val="0"/>
          <c:showPercent val="0"/>
          <c:showBubbleSize val="0"/>
        </c:dLbls>
        <c:hiLowLines>
          <c:spPr>
            <a:ln w="0">
              <a:noFill/>
            </a:ln>
          </c:spPr>
        </c:hiLowLines>
        <c:marker val="1"/>
        <c:smooth val="0"/>
        <c:axId val="12108720"/>
        <c:axId val="76983727"/>
      </c:lineChart>
      <c:dateAx>
        <c:axId val="96506395"/>
        <c:scaling>
          <c:orientation val="minMax"/>
        </c:scaling>
        <c:delete val="1"/>
        <c:axPos val="b"/>
        <c:numFmt formatCode="mm/dd/yyyy" sourceLinked="1"/>
        <c:majorTickMark val="none"/>
        <c:minorTickMark val="none"/>
        <c:tickLblPos val="nextTo"/>
        <c:crossAx val="52062374"/>
        <c:crosses val="autoZero"/>
        <c:auto val="1"/>
        <c:lblOffset val="100"/>
        <c:baseTimeUnit val="days"/>
      </c:dateAx>
      <c:valAx>
        <c:axId val="520623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6506395"/>
        <c:crosses val="autoZero"/>
        <c:crossBetween val="between"/>
      </c:valAx>
      <c:dateAx>
        <c:axId val="12108720"/>
        <c:scaling>
          <c:orientation val="minMax"/>
        </c:scaling>
        <c:delete val="1"/>
        <c:axPos val="b"/>
        <c:numFmt formatCode="mm/dd/yyyy" sourceLinked="1"/>
        <c:majorTickMark val="none"/>
        <c:minorTickMark val="none"/>
        <c:tickLblPos val="nextTo"/>
        <c:crossAx val="76983727"/>
        <c:crosses val="autoZero"/>
        <c:auto val="1"/>
        <c:lblOffset val="100"/>
        <c:baseTimeUnit val="days"/>
      </c:dateAx>
      <c:valAx>
        <c:axId val="769837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210872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3.2007315957933269E-2</c:v>
                </c:pt>
                <c:pt idx="1">
                  <c:v>1.9937970757641921E-3</c:v>
                </c:pt>
                <c:pt idx="2">
                  <c:v>9.0868892328100914E-2</c:v>
                </c:pt>
                <c:pt idx="3">
                  <c:v>-4.4588569112283816E-3</c:v>
                </c:pt>
                <c:pt idx="4">
                  <c:v>-5.985342019543971E-2</c:v>
                </c:pt>
                <c:pt idx="5">
                  <c:v>-2.3603291468167975E-2</c:v>
                </c:pt>
                <c:pt idx="6">
                  <c:v>1.9738301175426853E-2</c:v>
                </c:pt>
                <c:pt idx="7">
                  <c:v>5.5023923444976086E-2</c:v>
                </c:pt>
                <c:pt idx="8">
                  <c:v>-2.1645021645021578E-2</c:v>
                </c:pt>
                <c:pt idx="9">
                  <c:v>-1.9595448798988668E-2</c:v>
                </c:pt>
                <c:pt idx="10">
                  <c:v>-5.3298946915968259E-2</c:v>
                </c:pt>
                <c:pt idx="11">
                  <c:v>0.20590238365493763</c:v>
                </c:pt>
                <c:pt idx="12">
                  <c:v>-2.654367469879515E-2</c:v>
                </c:pt>
                <c:pt idx="13">
                  <c:v>3.7710307484045469E-2</c:v>
                </c:pt>
                <c:pt idx="14">
                  <c:v>1.7517704062616657E-2</c:v>
                </c:pt>
                <c:pt idx="15">
                  <c:v>-8.058608058608141E-3</c:v>
                </c:pt>
                <c:pt idx="16">
                  <c:v>3.4158050221565706E-2</c:v>
                </c:pt>
                <c:pt idx="17">
                  <c:v>5.1597928941260474E-2</c:v>
                </c:pt>
                <c:pt idx="18">
                  <c:v>1.1375212224108644E-2</c:v>
                </c:pt>
                <c:pt idx="19">
                  <c:v>-1.158301158301156E-2</c:v>
                </c:pt>
                <c:pt idx="20">
                  <c:v>-1.9531250000000111E-2</c:v>
                </c:pt>
                <c:pt idx="21">
                  <c:v>9.1460245972631249E-2</c:v>
                </c:pt>
                <c:pt idx="22">
                  <c:v>4.5548325662593259E-2</c:v>
                </c:pt>
                <c:pt idx="23">
                  <c:v>3.3394049787491831E-3</c:v>
                </c:pt>
                <c:pt idx="24">
                  <c:v>3.2980332829046999E-2</c:v>
                </c:pt>
                <c:pt idx="25">
                  <c:v>3.4124194493263094E-2</c:v>
                </c:pt>
                <c:pt idx="26">
                  <c:v>-7.3219090780342722E-2</c:v>
                </c:pt>
                <c:pt idx="27">
                  <c:v>2.261613691931541E-2</c:v>
                </c:pt>
                <c:pt idx="28">
                  <c:v>7.5014943215780061E-2</c:v>
                </c:pt>
                <c:pt idx="29">
                  <c:v>-5.0875729774812251E-2</c:v>
                </c:pt>
                <c:pt idx="30">
                  <c:v>1.6842413591095617E-2</c:v>
                </c:pt>
                <c:pt idx="31">
                  <c:v>0.10341351001008192</c:v>
                </c:pt>
                <c:pt idx="32">
                  <c:v>-5.3648348779532729E-2</c:v>
                </c:pt>
                <c:pt idx="33">
                  <c:v>2.6206896551724146E-2</c:v>
                </c:pt>
                <c:pt idx="34">
                  <c:v>-8.8575268817204345E-2</c:v>
                </c:pt>
                <c:pt idx="35">
                  <c:v>-9.2759180061937729E-2</c:v>
                </c:pt>
                <c:pt idx="36">
                  <c:v>7.5747724317295262E-2</c:v>
                </c:pt>
                <c:pt idx="37">
                  <c:v>3.6566938652160541E-2</c:v>
                </c:pt>
                <c:pt idx="38">
                  <c:v>0.14446064139941717</c:v>
                </c:pt>
                <c:pt idx="39">
                  <c:v>1.8596357151955178E-2</c:v>
                </c:pt>
                <c:pt idx="40">
                  <c:v>-4.1640615230711497E-2</c:v>
                </c:pt>
                <c:pt idx="41">
                  <c:v>-2.9097077244258918E-2</c:v>
                </c:pt>
                <c:pt idx="42">
                  <c:v>-2.8222013170271509E-3</c:v>
                </c:pt>
                <c:pt idx="43">
                  <c:v>0.10687331536388123</c:v>
                </c:pt>
                <c:pt idx="44">
                  <c:v>2.6908559600633319E-2</c:v>
                </c:pt>
                <c:pt idx="45">
                  <c:v>3.8890206307801822E-2</c:v>
                </c:pt>
                <c:pt idx="46">
                  <c:v>4.4738644145172257E-2</c:v>
                </c:pt>
                <c:pt idx="47">
                  <c:v>-1.1579637317019942E-2</c:v>
                </c:pt>
                <c:pt idx="48">
                  <c:v>-8.6648983200707352E-2</c:v>
                </c:pt>
                <c:pt idx="49">
                  <c:v>-3.436592449177156E-2</c:v>
                </c:pt>
                <c:pt idx="50">
                  <c:v>3.7593984962414062E-4</c:v>
                </c:pt>
                <c:pt idx="51">
                  <c:v>5.1609670549918718E-2</c:v>
                </c:pt>
                <c:pt idx="52">
                  <c:v>5.384157236450271E-2</c:v>
                </c:pt>
                <c:pt idx="53">
                  <c:v>3.5040126596586063E-3</c:v>
                </c:pt>
                <c:pt idx="54">
                  <c:v>-4.8434332056770391E-3</c:v>
                </c:pt>
                <c:pt idx="55">
                  <c:v>-0.11058290888511602</c:v>
                </c:pt>
                <c:pt idx="56">
                  <c:v>0.1445660473402901</c:v>
                </c:pt>
                <c:pt idx="57">
                  <c:v>6.8712474983322336E-2</c:v>
                </c:pt>
                <c:pt idx="58">
                  <c:v>-1.0923845193508197E-2</c:v>
                </c:pt>
                <c:pt idx="59">
                  <c:v>4.1232775849374237E-2</c:v>
                </c:pt>
                <c:pt idx="60">
                  <c:v>5.2934639862612487E-2</c:v>
                </c:pt>
                <c:pt idx="61">
                  <c:v>-3.5786241964885335E-2</c:v>
                </c:pt>
                <c:pt idx="62">
                  <c:v>-1.9701492537313459E-2</c:v>
                </c:pt>
                <c:pt idx="63">
                  <c:v>2.0300446609833322E-4</c:v>
                </c:pt>
                <c:pt idx="64">
                  <c:v>1.5932616196468352E-2</c:v>
                </c:pt>
                <c:pt idx="65">
                  <c:v>-6.5028468684447116E-2</c:v>
                </c:pt>
                <c:pt idx="66">
                  <c:v>8.5683760683760823E-2</c:v>
                </c:pt>
                <c:pt idx="67">
                  <c:v>-1.5744932099981401E-3</c:v>
                </c:pt>
                <c:pt idx="68">
                  <c:v>6.6922925290755053E-2</c:v>
                </c:pt>
                <c:pt idx="69">
                  <c:v>3.8060046189376529E-2</c:v>
                </c:pt>
                <c:pt idx="70">
                  <c:v>3.9156358458662943E-3</c:v>
                </c:pt>
                <c:pt idx="71">
                  <c:v>1.9501817214786499E-3</c:v>
                </c:pt>
                <c:pt idx="72">
                  <c:v>1.9198442891267931E-2</c:v>
                </c:pt>
                <c:pt idx="73">
                  <c:v>-7.4652777777777235E-3</c:v>
                </c:pt>
                <c:pt idx="74">
                  <c:v>4.9064194507608905E-2</c:v>
                </c:pt>
                <c:pt idx="75">
                  <c:v>7.6865360566902741E-2</c:v>
                </c:pt>
                <c:pt idx="76">
                  <c:v>-0.10791979561817744</c:v>
                </c:pt>
                <c:pt idx="77">
                  <c:v>2.8117677688102027E-2</c:v>
                </c:pt>
                <c:pt idx="78">
                  <c:v>-9.7915083987507368E-2</c:v>
                </c:pt>
                <c:pt idx="79">
                  <c:v>-8.0190886123327476E-2</c:v>
                </c:pt>
                <c:pt idx="80">
                  <c:v>-5.3407934893184184E-2</c:v>
                </c:pt>
                <c:pt idx="81">
                  <c:v>-0.10413756045137024</c:v>
                </c:pt>
                <c:pt idx="82">
                  <c:v>1.7994241842611558E-3</c:v>
                </c:pt>
                <c:pt idx="83">
                  <c:v>-4.5503532511077527E-3</c:v>
                </c:pt>
                <c:pt idx="84">
                  <c:v>-6.2432334897149055E-2</c:v>
                </c:pt>
                <c:pt idx="85">
                  <c:v>-0.17410828842699499</c:v>
                </c:pt>
                <c:pt idx="86">
                  <c:v>0.12894205375174761</c:v>
                </c:pt>
                <c:pt idx="87">
                  <c:v>-2.0228429888537236E-2</c:v>
                </c:pt>
                <c:pt idx="88">
                  <c:v>9.4241573033707837E-2</c:v>
                </c:pt>
                <c:pt idx="89">
                  <c:v>0.16827108201771268</c:v>
                </c:pt>
                <c:pt idx="90">
                  <c:v>-4.9439683586025018E-2</c:v>
                </c:pt>
                <c:pt idx="91">
                  <c:v>0.11442441054091557</c:v>
                </c:pt>
                <c:pt idx="92">
                  <c:v>-5.4138145612943389E-2</c:v>
                </c:pt>
                <c:pt idx="93">
                  <c:v>-5.0000000000000044E-2</c:v>
                </c:pt>
                <c:pt idx="94">
                  <c:v>0.12246075715604809</c:v>
                </c:pt>
                <c:pt idx="95">
                  <c:v>-5.0385604113110549E-2</c:v>
                </c:pt>
                <c:pt idx="96">
                  <c:v>-6.6053059014618221E-2</c:v>
                </c:pt>
                <c:pt idx="97">
                  <c:v>0.15234782608695663</c:v>
                </c:pt>
                <c:pt idx="98">
                  <c:v>3.1492101821108731E-2</c:v>
                </c:pt>
                <c:pt idx="99">
                  <c:v>5.9012875536480713E-2</c:v>
                </c:pt>
                <c:pt idx="100">
                  <c:v>2.9566178502348883E-2</c:v>
                </c:pt>
                <c:pt idx="101">
                  <c:v>2.2365360529611689E-2</c:v>
                </c:pt>
                <c:pt idx="102">
                  <c:v>2.878893944697225E-2</c:v>
                </c:pt>
                <c:pt idx="103">
                  <c:v>0.18380539253210859</c:v>
                </c:pt>
                <c:pt idx="104">
                  <c:v>-1.35076878861905E-2</c:v>
                </c:pt>
                <c:pt idx="105">
                  <c:v>-2.949745083758204E-2</c:v>
                </c:pt>
                <c:pt idx="106">
                  <c:v>2.4765478424014997E-2</c:v>
                </c:pt>
                <c:pt idx="107">
                  <c:v>4.6136946173562565E-2</c:v>
                </c:pt>
                <c:pt idx="108">
                  <c:v>-2.4221211060553083E-2</c:v>
                </c:pt>
                <c:pt idx="109">
                  <c:v>7.3319463376139149E-2</c:v>
                </c:pt>
                <c:pt idx="110">
                  <c:v>-4.752356125927415E-2</c:v>
                </c:pt>
                <c:pt idx="111">
                  <c:v>2.1052631578947434E-2</c:v>
                </c:pt>
                <c:pt idx="112">
                  <c:v>5.9106529209622005E-2</c:v>
                </c:pt>
                <c:pt idx="113">
                  <c:v>-7.138221933809219E-2</c:v>
                </c:pt>
                <c:pt idx="114">
                  <c:v>7.4912648497554191E-2</c:v>
                </c:pt>
                <c:pt idx="115">
                  <c:v>2.5159277077103193E-2</c:v>
                </c:pt>
                <c:pt idx="116">
                  <c:v>-0.14610945526032082</c:v>
                </c:pt>
                <c:pt idx="117">
                  <c:v>-2.4359450427033025E-2</c:v>
                </c:pt>
                <c:pt idx="118">
                  <c:v>-0.10611250666057692</c:v>
                </c:pt>
                <c:pt idx="119">
                  <c:v>0.11283317721195596</c:v>
                </c:pt>
                <c:pt idx="120">
                  <c:v>-1.5993265993266004E-2</c:v>
                </c:pt>
                <c:pt idx="121">
                  <c:v>-2.9784586670814184E-2</c:v>
                </c:pt>
                <c:pt idx="122">
                  <c:v>5.0977877524847726E-2</c:v>
                </c:pt>
                <c:pt idx="123">
                  <c:v>5.4911531421597548E-3</c:v>
                </c:pt>
                <c:pt idx="124">
                  <c:v>1.3349514563106624E-2</c:v>
                </c:pt>
                <c:pt idx="125">
                  <c:v>-8.0164670658682602E-2</c:v>
                </c:pt>
                <c:pt idx="126">
                  <c:v>5.6473268776955132E-2</c:v>
                </c:pt>
                <c:pt idx="127">
                  <c:v>5.0142494030655405E-2</c:v>
                </c:pt>
                <c:pt idx="128">
                  <c:v>3.9606865189966367E-2</c:v>
                </c:pt>
                <c:pt idx="129">
                  <c:v>-2.998447862283049E-2</c:v>
                </c:pt>
                <c:pt idx="130">
                  <c:v>2.9820350570950671E-2</c:v>
                </c:pt>
                <c:pt idx="131">
                  <c:v>-6.2151281870188702E-2</c:v>
                </c:pt>
                <c:pt idx="132">
                  <c:v>5.3467881617592639E-3</c:v>
                </c:pt>
                <c:pt idx="133">
                  <c:v>-4.5692883895132042E-3</c:v>
                </c:pt>
                <c:pt idx="134">
                  <c:v>5.1170140717886614E-3</c:v>
                </c:pt>
                <c:pt idx="135">
                  <c:v>-1.7593771056374941E-2</c:v>
                </c:pt>
                <c:pt idx="136">
                  <c:v>-7.963725041914349E-2</c:v>
                </c:pt>
                <c:pt idx="137">
                  <c:v>4.8935994038254549E-2</c:v>
                </c:pt>
                <c:pt idx="138">
                  <c:v>0.16316703504894203</c:v>
                </c:pt>
                <c:pt idx="139">
                  <c:v>0.11455717678995581</c:v>
                </c:pt>
                <c:pt idx="140">
                  <c:v>7.7208792547037719E-2</c:v>
                </c:pt>
                <c:pt idx="141">
                  <c:v>-2.3797411112995381E-2</c:v>
                </c:pt>
                <c:pt idx="142">
                  <c:v>-0.17909669947886497</c:v>
                </c:pt>
                <c:pt idx="143">
                  <c:v>1.4107356986667874E-3</c:v>
                </c:pt>
                <c:pt idx="144">
                  <c:v>8.494752412481521E-2</c:v>
                </c:pt>
                <c:pt idx="145">
                  <c:v>3.5317795234694582E-2</c:v>
                </c:pt>
                <c:pt idx="146">
                  <c:v>-3.2608014046529021E-2</c:v>
                </c:pt>
                <c:pt idx="147">
                  <c:v>5.8144811045569345E-2</c:v>
                </c:pt>
                <c:pt idx="148">
                  <c:v>3.9389855427591103E-2</c:v>
                </c:pt>
                <c:pt idx="149">
                  <c:v>-7.1138091589556196E-2</c:v>
                </c:pt>
                <c:pt idx="150">
                  <c:v>1.5164974619289451E-2</c:v>
                </c:pt>
                <c:pt idx="151">
                  <c:v>0.16857303581473837</c:v>
                </c:pt>
                <c:pt idx="152">
                  <c:v>-9.8149336756525374E-2</c:v>
                </c:pt>
                <c:pt idx="153">
                  <c:v>3.1907953264930899E-2</c:v>
                </c:pt>
                <c:pt idx="154">
                  <c:v>3.6553824932467283E-2</c:v>
                </c:pt>
              </c:numCache>
            </c:numRef>
          </c:val>
          <c:extLst>
            <c:ext xmlns:c16="http://schemas.microsoft.com/office/drawing/2014/chart" uri="{C3380CC4-5D6E-409C-BE32-E72D297353CC}">
              <c16:uniqueId val="{00000000-FEE4-E34F-AFEF-4008B1720857}"/>
            </c:ext>
          </c:extLst>
        </c:ser>
        <c:dLbls>
          <c:showLegendKey val="0"/>
          <c:showVal val="0"/>
          <c:showCatName val="0"/>
          <c:showSerName val="0"/>
          <c:showPercent val="0"/>
          <c:showBubbleSize val="0"/>
        </c:dLbls>
        <c:gapWidth val="150"/>
        <c:axId val="91810035"/>
        <c:axId val="40380673"/>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44.627077922077923</c:v>
                </c:pt>
                <c:pt idx="2">
                  <c:v>45.514155844155844</c:v>
                </c:pt>
                <c:pt idx="3">
                  <c:v>46.401233766233773</c:v>
                </c:pt>
                <c:pt idx="4">
                  <c:v>47.288311688311694</c:v>
                </c:pt>
                <c:pt idx="5">
                  <c:v>48.175389610389615</c:v>
                </c:pt>
                <c:pt idx="6">
                  <c:v>49.062467532467537</c:v>
                </c:pt>
                <c:pt idx="7">
                  <c:v>49.949545454545458</c:v>
                </c:pt>
                <c:pt idx="8">
                  <c:v>50.836623376623386</c:v>
                </c:pt>
                <c:pt idx="9">
                  <c:v>51.723701298701293</c:v>
                </c:pt>
                <c:pt idx="10">
                  <c:v>52.610779220779222</c:v>
                </c:pt>
                <c:pt idx="11">
                  <c:v>53.497857142857143</c:v>
                </c:pt>
                <c:pt idx="12">
                  <c:v>54.384935064935064</c:v>
                </c:pt>
                <c:pt idx="13">
                  <c:v>55.272012987012985</c:v>
                </c:pt>
                <c:pt idx="14">
                  <c:v>56.159090909090907</c:v>
                </c:pt>
                <c:pt idx="15">
                  <c:v>57.046168831168828</c:v>
                </c:pt>
                <c:pt idx="16">
                  <c:v>57.93324675324677</c:v>
                </c:pt>
                <c:pt idx="17">
                  <c:v>58.820324675324621</c:v>
                </c:pt>
                <c:pt idx="18">
                  <c:v>59.707402597402613</c:v>
                </c:pt>
                <c:pt idx="19">
                  <c:v>60.59448051948047</c:v>
                </c:pt>
                <c:pt idx="20">
                  <c:v>61.481558441558462</c:v>
                </c:pt>
                <c:pt idx="21">
                  <c:v>62.368636363636313</c:v>
                </c:pt>
                <c:pt idx="22">
                  <c:v>63.255714285714305</c:v>
                </c:pt>
                <c:pt idx="23">
                  <c:v>64.142792207792155</c:v>
                </c:pt>
                <c:pt idx="24">
                  <c:v>65.029870129870147</c:v>
                </c:pt>
                <c:pt idx="25">
                  <c:v>65.916948051947998</c:v>
                </c:pt>
                <c:pt idx="26">
                  <c:v>66.80402597402599</c:v>
                </c:pt>
                <c:pt idx="27">
                  <c:v>67.691103896103854</c:v>
                </c:pt>
                <c:pt idx="28">
                  <c:v>68.578181818181832</c:v>
                </c:pt>
                <c:pt idx="29">
                  <c:v>69.465259740259697</c:v>
                </c:pt>
                <c:pt idx="30">
                  <c:v>70.352337662337689</c:v>
                </c:pt>
                <c:pt idx="31">
                  <c:v>71.239415584415539</c:v>
                </c:pt>
                <c:pt idx="32">
                  <c:v>72.126493506493532</c:v>
                </c:pt>
                <c:pt idx="33">
                  <c:v>73.013571428571396</c:v>
                </c:pt>
                <c:pt idx="34">
                  <c:v>73.900649350649374</c:v>
                </c:pt>
                <c:pt idx="35">
                  <c:v>74.787727272727238</c:v>
                </c:pt>
                <c:pt idx="36">
                  <c:v>75.674805194805231</c:v>
                </c:pt>
                <c:pt idx="37">
                  <c:v>76.561883116883081</c:v>
                </c:pt>
                <c:pt idx="38">
                  <c:v>77.448961038961073</c:v>
                </c:pt>
                <c:pt idx="39">
                  <c:v>78.336038961038923</c:v>
                </c:pt>
                <c:pt idx="40">
                  <c:v>79.223116883116916</c:v>
                </c:pt>
                <c:pt idx="41">
                  <c:v>80.110194805194766</c:v>
                </c:pt>
                <c:pt idx="42">
                  <c:v>80.997272727272758</c:v>
                </c:pt>
                <c:pt idx="43">
                  <c:v>81.884350649350608</c:v>
                </c:pt>
                <c:pt idx="44">
                  <c:v>82.771428571428601</c:v>
                </c:pt>
                <c:pt idx="45">
                  <c:v>83.658506493506465</c:v>
                </c:pt>
                <c:pt idx="46">
                  <c:v>84.545584415584457</c:v>
                </c:pt>
                <c:pt idx="47">
                  <c:v>85.432662337662322</c:v>
                </c:pt>
                <c:pt idx="48">
                  <c:v>86.3197402597403</c:v>
                </c:pt>
                <c:pt idx="49">
                  <c:v>87.206818181818164</c:v>
                </c:pt>
                <c:pt idx="50">
                  <c:v>88.093896103896157</c:v>
                </c:pt>
                <c:pt idx="51">
                  <c:v>88.980974025974007</c:v>
                </c:pt>
                <c:pt idx="52">
                  <c:v>89.868051948051999</c:v>
                </c:pt>
                <c:pt idx="53">
                  <c:v>90.755129870129849</c:v>
                </c:pt>
                <c:pt idx="54">
                  <c:v>91.642207792207842</c:v>
                </c:pt>
                <c:pt idx="55">
                  <c:v>92.529285714285692</c:v>
                </c:pt>
                <c:pt idx="56">
                  <c:v>93.416363636363684</c:v>
                </c:pt>
                <c:pt idx="57">
                  <c:v>94.303441558441534</c:v>
                </c:pt>
                <c:pt idx="58">
                  <c:v>95.190519480519526</c:v>
                </c:pt>
                <c:pt idx="59">
                  <c:v>96.077597402597377</c:v>
                </c:pt>
                <c:pt idx="60">
                  <c:v>96.964675324675369</c:v>
                </c:pt>
                <c:pt idx="61">
                  <c:v>97.851753246753233</c:v>
                </c:pt>
                <c:pt idx="62">
                  <c:v>98.738831168831211</c:v>
                </c:pt>
                <c:pt idx="63">
                  <c:v>99.625909090909076</c:v>
                </c:pt>
                <c:pt idx="64">
                  <c:v>100.51298701298707</c:v>
                </c:pt>
                <c:pt idx="65">
                  <c:v>101.40006493506492</c:v>
                </c:pt>
                <c:pt idx="66">
                  <c:v>102.28714285714291</c:v>
                </c:pt>
                <c:pt idx="67">
                  <c:v>103.17422077922076</c:v>
                </c:pt>
                <c:pt idx="68">
                  <c:v>104.06129870129875</c:v>
                </c:pt>
                <c:pt idx="69">
                  <c:v>104.94837662337662</c:v>
                </c:pt>
                <c:pt idx="70">
                  <c:v>105.83545454545461</c:v>
                </c:pt>
                <c:pt idx="71">
                  <c:v>106.72253246753246</c:v>
                </c:pt>
                <c:pt idx="72">
                  <c:v>107.60961038961045</c:v>
                </c:pt>
                <c:pt idx="73">
                  <c:v>108.4966883116883</c:v>
                </c:pt>
                <c:pt idx="74">
                  <c:v>109.38376623376629</c:v>
                </c:pt>
                <c:pt idx="75">
                  <c:v>110.27084415584415</c:v>
                </c:pt>
                <c:pt idx="76">
                  <c:v>111.15792207792214</c:v>
                </c:pt>
                <c:pt idx="77">
                  <c:v>112.04499999999999</c:v>
                </c:pt>
                <c:pt idx="78">
                  <c:v>112.93207792207784</c:v>
                </c:pt>
                <c:pt idx="79">
                  <c:v>113.81915584415583</c:v>
                </c:pt>
                <c:pt idx="80">
                  <c:v>114.70623376623368</c:v>
                </c:pt>
                <c:pt idx="81">
                  <c:v>115.59331168831167</c:v>
                </c:pt>
                <c:pt idx="82">
                  <c:v>116.48038961038955</c:v>
                </c:pt>
                <c:pt idx="83">
                  <c:v>117.36746753246751</c:v>
                </c:pt>
                <c:pt idx="84">
                  <c:v>118.25454545454539</c:v>
                </c:pt>
                <c:pt idx="85">
                  <c:v>119.14162337662339</c:v>
                </c:pt>
                <c:pt idx="86">
                  <c:v>120.02870129870124</c:v>
                </c:pt>
                <c:pt idx="87">
                  <c:v>120.91577922077923</c:v>
                </c:pt>
                <c:pt idx="88">
                  <c:v>121.80285714285708</c:v>
                </c:pt>
                <c:pt idx="89">
                  <c:v>122.68993506493507</c:v>
                </c:pt>
                <c:pt idx="90">
                  <c:v>123.57701298701292</c:v>
                </c:pt>
                <c:pt idx="91">
                  <c:v>124.46409090909091</c:v>
                </c:pt>
                <c:pt idx="92">
                  <c:v>125.35116883116876</c:v>
                </c:pt>
                <c:pt idx="93">
                  <c:v>126.23824675324676</c:v>
                </c:pt>
                <c:pt idx="94">
                  <c:v>127.12532467532463</c:v>
                </c:pt>
                <c:pt idx="95">
                  <c:v>128.0124025974026</c:v>
                </c:pt>
                <c:pt idx="96">
                  <c:v>128.89948051948048</c:v>
                </c:pt>
                <c:pt idx="97">
                  <c:v>129.78655844155847</c:v>
                </c:pt>
                <c:pt idx="98">
                  <c:v>130.67363636363632</c:v>
                </c:pt>
                <c:pt idx="99">
                  <c:v>131.56071428571431</c:v>
                </c:pt>
                <c:pt idx="100">
                  <c:v>132.44779220779216</c:v>
                </c:pt>
                <c:pt idx="101">
                  <c:v>133.33487012987015</c:v>
                </c:pt>
                <c:pt idx="102">
                  <c:v>134.221948051948</c:v>
                </c:pt>
                <c:pt idx="103">
                  <c:v>135.109025974026</c:v>
                </c:pt>
                <c:pt idx="104">
                  <c:v>135.99610389610385</c:v>
                </c:pt>
                <c:pt idx="105">
                  <c:v>136.88318181818184</c:v>
                </c:pt>
                <c:pt idx="106">
                  <c:v>137.77025974025969</c:v>
                </c:pt>
                <c:pt idx="107">
                  <c:v>138.65733766233768</c:v>
                </c:pt>
                <c:pt idx="108">
                  <c:v>139.54441558441553</c:v>
                </c:pt>
                <c:pt idx="109">
                  <c:v>140.43149350649352</c:v>
                </c:pt>
                <c:pt idx="110">
                  <c:v>141.31857142857137</c:v>
                </c:pt>
                <c:pt idx="111">
                  <c:v>142.20564935064937</c:v>
                </c:pt>
                <c:pt idx="112">
                  <c:v>143.09272727272722</c:v>
                </c:pt>
                <c:pt idx="113">
                  <c:v>143.97980519480521</c:v>
                </c:pt>
                <c:pt idx="114">
                  <c:v>144.86688311688306</c:v>
                </c:pt>
                <c:pt idx="115">
                  <c:v>145.75396103896105</c:v>
                </c:pt>
                <c:pt idx="116">
                  <c:v>146.64103896103893</c:v>
                </c:pt>
                <c:pt idx="117">
                  <c:v>147.52811688311692</c:v>
                </c:pt>
                <c:pt idx="118">
                  <c:v>148.41519480519477</c:v>
                </c:pt>
                <c:pt idx="119">
                  <c:v>149.30227272727276</c:v>
                </c:pt>
                <c:pt idx="120">
                  <c:v>150.18935064935062</c:v>
                </c:pt>
                <c:pt idx="121">
                  <c:v>151.07642857142861</c:v>
                </c:pt>
                <c:pt idx="122">
                  <c:v>151.96350649350646</c:v>
                </c:pt>
                <c:pt idx="123">
                  <c:v>152.85058441558445</c:v>
                </c:pt>
                <c:pt idx="124">
                  <c:v>153.7376623376623</c:v>
                </c:pt>
                <c:pt idx="125">
                  <c:v>154.62474025974029</c:v>
                </c:pt>
                <c:pt idx="126">
                  <c:v>155.51181818181814</c:v>
                </c:pt>
                <c:pt idx="127">
                  <c:v>156.39889610389613</c:v>
                </c:pt>
                <c:pt idx="128">
                  <c:v>157.28597402597399</c:v>
                </c:pt>
                <c:pt idx="129">
                  <c:v>158.17305194805198</c:v>
                </c:pt>
                <c:pt idx="130">
                  <c:v>159.06012987012983</c:v>
                </c:pt>
                <c:pt idx="131">
                  <c:v>159.94720779220782</c:v>
                </c:pt>
                <c:pt idx="132">
                  <c:v>160.83428571428567</c:v>
                </c:pt>
                <c:pt idx="133">
                  <c:v>161.72136363636366</c:v>
                </c:pt>
                <c:pt idx="134">
                  <c:v>162.60844155844151</c:v>
                </c:pt>
                <c:pt idx="135">
                  <c:v>163.4955194805195</c:v>
                </c:pt>
                <c:pt idx="136">
                  <c:v>164.38259740259738</c:v>
                </c:pt>
                <c:pt idx="137">
                  <c:v>165.26967532467535</c:v>
                </c:pt>
                <c:pt idx="138">
                  <c:v>166.15675324675323</c:v>
                </c:pt>
                <c:pt idx="139">
                  <c:v>167.04383116883122</c:v>
                </c:pt>
                <c:pt idx="140">
                  <c:v>167.93090909090907</c:v>
                </c:pt>
                <c:pt idx="141">
                  <c:v>168.81798701298706</c:v>
                </c:pt>
                <c:pt idx="142">
                  <c:v>169.70506493506491</c:v>
                </c:pt>
                <c:pt idx="143">
                  <c:v>170.5921428571429</c:v>
                </c:pt>
                <c:pt idx="144">
                  <c:v>171.47922077922075</c:v>
                </c:pt>
                <c:pt idx="145">
                  <c:v>172.36629870129877</c:v>
                </c:pt>
                <c:pt idx="146">
                  <c:v>173.25337662337662</c:v>
                </c:pt>
                <c:pt idx="147">
                  <c:v>174.14045454545462</c:v>
                </c:pt>
                <c:pt idx="148">
                  <c:v>175.02753246753247</c:v>
                </c:pt>
                <c:pt idx="149">
                  <c:v>175.91461038961046</c:v>
                </c:pt>
                <c:pt idx="150">
                  <c:v>176.80168831168831</c:v>
                </c:pt>
                <c:pt idx="151">
                  <c:v>177.6887662337663</c:v>
                </c:pt>
                <c:pt idx="152">
                  <c:v>178.57584415584415</c:v>
                </c:pt>
                <c:pt idx="153">
                  <c:v>179.46292207792214</c:v>
                </c:pt>
                <c:pt idx="154">
                  <c:v>180.35</c:v>
                </c:pt>
              </c:numCache>
            </c:numRef>
          </c:val>
          <c:smooth val="0"/>
          <c:extLst>
            <c:ext xmlns:c16="http://schemas.microsoft.com/office/drawing/2014/chart" uri="{C3380CC4-5D6E-409C-BE32-E72D297353CC}">
              <c16:uniqueId val="{00000001-FEE4-E34F-AFEF-4008B1720857}"/>
            </c:ext>
          </c:extLst>
        </c:ser>
        <c:dLbls>
          <c:showLegendKey val="0"/>
          <c:showVal val="0"/>
          <c:showCatName val="0"/>
          <c:showSerName val="0"/>
          <c:showPercent val="0"/>
          <c:showBubbleSize val="0"/>
        </c:dLbls>
        <c:hiLowLines>
          <c:spPr>
            <a:ln w="0">
              <a:noFill/>
            </a:ln>
          </c:spPr>
        </c:hiLowLines>
        <c:marker val="1"/>
        <c:smooth val="0"/>
        <c:axId val="6590505"/>
        <c:axId val="5684671"/>
      </c:lineChart>
      <c:dateAx>
        <c:axId val="91810035"/>
        <c:scaling>
          <c:orientation val="minMax"/>
        </c:scaling>
        <c:delete val="1"/>
        <c:axPos val="b"/>
        <c:numFmt formatCode="mm/dd/yyyy" sourceLinked="1"/>
        <c:majorTickMark val="none"/>
        <c:minorTickMark val="none"/>
        <c:tickLblPos val="nextTo"/>
        <c:crossAx val="40380673"/>
        <c:crosses val="autoZero"/>
        <c:auto val="1"/>
        <c:lblOffset val="100"/>
        <c:baseTimeUnit val="days"/>
      </c:dateAx>
      <c:valAx>
        <c:axId val="403806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1810035"/>
        <c:crosses val="autoZero"/>
        <c:crossBetween val="between"/>
      </c:valAx>
      <c:dateAx>
        <c:axId val="6590505"/>
        <c:scaling>
          <c:orientation val="minMax"/>
        </c:scaling>
        <c:delete val="1"/>
        <c:axPos val="b"/>
        <c:numFmt formatCode="mm/dd/yyyy" sourceLinked="1"/>
        <c:majorTickMark val="none"/>
        <c:minorTickMark val="none"/>
        <c:tickLblPos val="nextTo"/>
        <c:crossAx val="5684671"/>
        <c:crosses val="autoZero"/>
        <c:auto val="1"/>
        <c:lblOffset val="100"/>
        <c:baseTimeUnit val="days"/>
      </c:dateAx>
      <c:valAx>
        <c:axId val="56846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59050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-9.7464414155761236E-3</c:v>
                </c:pt>
                <c:pt idx="1">
                  <c:v>-6.5920986373277923E-3</c:v>
                </c:pt>
                <c:pt idx="2">
                  <c:v>1.7680219965899191E-2</c:v>
                </c:pt>
                <c:pt idx="3">
                  <c:v>-5.2315401799190919E-2</c:v>
                </c:pt>
                <c:pt idx="4">
                  <c:v>-4.9692606632051772E-2</c:v>
                </c:pt>
                <c:pt idx="5">
                  <c:v>-1.6022525391345077E-2</c:v>
                </c:pt>
                <c:pt idx="6">
                  <c:v>2.6571282575369448E-3</c:v>
                </c:pt>
                <c:pt idx="7">
                  <c:v>1.4779329324227986E-2</c:v>
                </c:pt>
                <c:pt idx="8">
                  <c:v>4.0009374581491119E-3</c:v>
                </c:pt>
                <c:pt idx="9">
                  <c:v>-3.2763651521467207E-2</c:v>
                </c:pt>
                <c:pt idx="10">
                  <c:v>1.7066023099465477E-2</c:v>
                </c:pt>
                <c:pt idx="11">
                  <c:v>8.8830508474576186E-2</c:v>
                </c:pt>
                <c:pt idx="12">
                  <c:v>2.9373764418362036E-2</c:v>
                </c:pt>
                <c:pt idx="13">
                  <c:v>3.7518146624727855E-2</c:v>
                </c:pt>
                <c:pt idx="14">
                  <c:v>7.4188517541429189E-3</c:v>
                </c:pt>
                <c:pt idx="15">
                  <c:v>1.4757371451721291E-3</c:v>
                </c:pt>
                <c:pt idx="16">
                  <c:v>6.1109505923142571E-3</c:v>
                </c:pt>
                <c:pt idx="17">
                  <c:v>8.1171115546429862E-2</c:v>
                </c:pt>
                <c:pt idx="18">
                  <c:v>-5.7107947301326956E-4</c:v>
                </c:pt>
                <c:pt idx="19">
                  <c:v>5.8336544722470407E-3</c:v>
                </c:pt>
                <c:pt idx="20">
                  <c:v>-7.0786873117370308E-2</c:v>
                </c:pt>
                <c:pt idx="21">
                  <c:v>1.4047260215543034E-2</c:v>
                </c:pt>
                <c:pt idx="22">
                  <c:v>6.2547320602338807E-2</c:v>
                </c:pt>
                <c:pt idx="23">
                  <c:v>0.14504572265547666</c:v>
                </c:pt>
                <c:pt idx="24">
                  <c:v>2.6401613367905474E-2</c:v>
                </c:pt>
                <c:pt idx="25">
                  <c:v>6.6175645027283236E-2</c:v>
                </c:pt>
                <c:pt idx="26">
                  <c:v>-2.1756529064869357E-2</c:v>
                </c:pt>
                <c:pt idx="27">
                  <c:v>4.6396968587851806E-3</c:v>
                </c:pt>
                <c:pt idx="28">
                  <c:v>6.1816233592285164E-2</c:v>
                </c:pt>
                <c:pt idx="29">
                  <c:v>3.4209942075200672E-3</c:v>
                </c:pt>
                <c:pt idx="30">
                  <c:v>-5.4428610219947049E-2</c:v>
                </c:pt>
                <c:pt idx="31">
                  <c:v>4.227778900458401E-2</c:v>
                </c:pt>
                <c:pt idx="32">
                  <c:v>-9.684068737499496E-3</c:v>
                </c:pt>
                <c:pt idx="33">
                  <c:v>9.3562912815439159E-3</c:v>
                </c:pt>
                <c:pt idx="34">
                  <c:v>-1.8079730488489543E-2</c:v>
                </c:pt>
                <c:pt idx="35">
                  <c:v>-0.10635864592863686</c:v>
                </c:pt>
                <c:pt idx="36">
                  <c:v>6.9141633897200849E-2</c:v>
                </c:pt>
                <c:pt idx="37">
                  <c:v>-1.8868951108306109E-2</c:v>
                </c:pt>
                <c:pt idx="38">
                  <c:v>3.1786874882157923E-2</c:v>
                </c:pt>
                <c:pt idx="39">
                  <c:v>-5.7186468735554996E-3</c:v>
                </c:pt>
                <c:pt idx="40">
                  <c:v>3.3784879509605625E-2</c:v>
                </c:pt>
                <c:pt idx="41">
                  <c:v>4.3190897492209057E-3</c:v>
                </c:pt>
                <c:pt idx="42">
                  <c:v>7.0880408184516019E-2</c:v>
                </c:pt>
                <c:pt idx="43">
                  <c:v>-5.0562999552705712E-4</c:v>
                </c:pt>
                <c:pt idx="44">
                  <c:v>8.4638583519796029E-3</c:v>
                </c:pt>
                <c:pt idx="45">
                  <c:v>-1.3380281690140716E-2</c:v>
                </c:pt>
                <c:pt idx="46">
                  <c:v>5.0599865067026517E-2</c:v>
                </c:pt>
                <c:pt idx="47">
                  <c:v>1.0032760032760102E-2</c:v>
                </c:pt>
                <c:pt idx="48">
                  <c:v>-0.17497189613548825</c:v>
                </c:pt>
                <c:pt idx="49">
                  <c:v>-7.7956598947921396E-3</c:v>
                </c:pt>
                <c:pt idx="50">
                  <c:v>-8.8969934375668358E-2</c:v>
                </c:pt>
                <c:pt idx="51">
                  <c:v>6.3260641255328265E-2</c:v>
                </c:pt>
                <c:pt idx="52">
                  <c:v>6.7526581837197064E-2</c:v>
                </c:pt>
                <c:pt idx="53">
                  <c:v>-1.2409378877930921E-2</c:v>
                </c:pt>
                <c:pt idx="54">
                  <c:v>-3.736525362079246E-3</c:v>
                </c:pt>
                <c:pt idx="55">
                  <c:v>-0.16714793056523625</c:v>
                </c:pt>
                <c:pt idx="56">
                  <c:v>8.4445861395608501E-2</c:v>
                </c:pt>
                <c:pt idx="57">
                  <c:v>-2.5821941300406714E-2</c:v>
                </c:pt>
                <c:pt idx="58">
                  <c:v>5.8168192334775215E-2</c:v>
                </c:pt>
                <c:pt idx="59">
                  <c:v>-1.0148061886541271E-2</c:v>
                </c:pt>
                <c:pt idx="60">
                  <c:v>9.2316926770708019E-3</c:v>
                </c:pt>
                <c:pt idx="61">
                  <c:v>-0.13968287953942604</c:v>
                </c:pt>
                <c:pt idx="62">
                  <c:v>-1.5983187235572238E-2</c:v>
                </c:pt>
                <c:pt idx="63">
                  <c:v>-5.1946044681748016E-2</c:v>
                </c:pt>
                <c:pt idx="64">
                  <c:v>-7.795710876943307E-3</c:v>
                </c:pt>
                <c:pt idx="65">
                  <c:v>-1.6191913005810576E-2</c:v>
                </c:pt>
                <c:pt idx="66">
                  <c:v>2.1635819807782841E-2</c:v>
                </c:pt>
                <c:pt idx="67">
                  <c:v>2.0404827012245885E-2</c:v>
                </c:pt>
                <c:pt idx="68">
                  <c:v>3.2580358573280233E-2</c:v>
                </c:pt>
                <c:pt idx="69">
                  <c:v>1.3540579423961141E-2</c:v>
                </c:pt>
                <c:pt idx="70">
                  <c:v>-1.7952072142280784E-2</c:v>
                </c:pt>
                <c:pt idx="71">
                  <c:v>1.1209046593356975E-2</c:v>
                </c:pt>
                <c:pt idx="72">
                  <c:v>1.0790509956697392E-3</c:v>
                </c:pt>
                <c:pt idx="73">
                  <c:v>3.450641133322141E-2</c:v>
                </c:pt>
                <c:pt idx="74">
                  <c:v>2.3436759989716061E-2</c:v>
                </c:pt>
                <c:pt idx="75">
                  <c:v>-3.1837954332103791E-2</c:v>
                </c:pt>
                <c:pt idx="76">
                  <c:v>9.6415158757254815E-3</c:v>
                </c:pt>
                <c:pt idx="77">
                  <c:v>-1.5703831951414005E-2</c:v>
                </c:pt>
                <c:pt idx="78">
                  <c:v>3.27744949841966E-2</c:v>
                </c:pt>
                <c:pt idx="79">
                  <c:v>-1.9080566828554191E-2</c:v>
                </c:pt>
                <c:pt idx="80">
                  <c:v>-3.8157377138128834E-2</c:v>
                </c:pt>
                <c:pt idx="81">
                  <c:v>3.2633835392339439E-2</c:v>
                </c:pt>
                <c:pt idx="82">
                  <c:v>-2.4883231815574613E-2</c:v>
                </c:pt>
                <c:pt idx="83">
                  <c:v>3.1092436974791138E-3</c:v>
                </c:pt>
                <c:pt idx="84">
                  <c:v>-5.8138560777414749E-2</c:v>
                </c:pt>
                <c:pt idx="85">
                  <c:v>-0.10233033887752396</c:v>
                </c:pt>
                <c:pt idx="86">
                  <c:v>0.10446701345883902</c:v>
                </c:pt>
                <c:pt idx="87">
                  <c:v>-4.2837278150745339E-2</c:v>
                </c:pt>
                <c:pt idx="88">
                  <c:v>5.7969882529367744E-2</c:v>
                </c:pt>
                <c:pt idx="89">
                  <c:v>1.9283299127379028E-2</c:v>
                </c:pt>
                <c:pt idx="90">
                  <c:v>2.3003491083974259E-2</c:v>
                </c:pt>
                <c:pt idx="91">
                  <c:v>5.9316633862448898E-2</c:v>
                </c:pt>
                <c:pt idx="92">
                  <c:v>-2.0866194359042911E-2</c:v>
                </c:pt>
                <c:pt idx="93">
                  <c:v>5.8430831820228679E-3</c:v>
                </c:pt>
                <c:pt idx="94">
                  <c:v>2.2055729739267393E-2</c:v>
                </c:pt>
                <c:pt idx="95">
                  <c:v>1.0597328092215363E-2</c:v>
                </c:pt>
                <c:pt idx="96">
                  <c:v>-5.8738501971090651E-3</c:v>
                </c:pt>
                <c:pt idx="97">
                  <c:v>5.210632757458411E-2</c:v>
                </c:pt>
                <c:pt idx="98">
                  <c:v>-1.8217224700044499E-3</c:v>
                </c:pt>
                <c:pt idx="99">
                  <c:v>9.3517935808684616E-3</c:v>
                </c:pt>
                <c:pt idx="100">
                  <c:v>-8.3984886461411778E-2</c:v>
                </c:pt>
                <c:pt idx="101">
                  <c:v>-3.1759644967192191E-2</c:v>
                </c:pt>
                <c:pt idx="102">
                  <c:v>-3.0130052724077205E-2</c:v>
                </c:pt>
                <c:pt idx="103">
                  <c:v>4.7113739816183831E-2</c:v>
                </c:pt>
                <c:pt idx="104">
                  <c:v>2.7467050614685906E-2</c:v>
                </c:pt>
                <c:pt idx="105">
                  <c:v>1.7152635550285789E-2</c:v>
                </c:pt>
                <c:pt idx="106">
                  <c:v>-1.6254023765051806E-2</c:v>
                </c:pt>
                <c:pt idx="107">
                  <c:v>5.2624491664646778E-2</c:v>
                </c:pt>
                <c:pt idx="108">
                  <c:v>4.1153895356274672E-2</c:v>
                </c:pt>
                <c:pt idx="109">
                  <c:v>0.14533033531153627</c:v>
                </c:pt>
                <c:pt idx="110">
                  <c:v>2.0779917395268965E-2</c:v>
                </c:pt>
                <c:pt idx="111">
                  <c:v>8.4811669749453644E-2</c:v>
                </c:pt>
                <c:pt idx="112">
                  <c:v>-9.3032493073182065E-2</c:v>
                </c:pt>
                <c:pt idx="113">
                  <c:v>9.9424262169004018E-2</c:v>
                </c:pt>
                <c:pt idx="114">
                  <c:v>3.7210838749792696E-3</c:v>
                </c:pt>
                <c:pt idx="115">
                  <c:v>2.5292808053431592E-2</c:v>
                </c:pt>
                <c:pt idx="116">
                  <c:v>-3.9906347063432879E-2</c:v>
                </c:pt>
                <c:pt idx="117">
                  <c:v>-9.8135619886721148E-3</c:v>
                </c:pt>
                <c:pt idx="118">
                  <c:v>-4.0129893344455714E-2</c:v>
                </c:pt>
                <c:pt idx="119">
                  <c:v>9.6661390276958636E-2</c:v>
                </c:pt>
                <c:pt idx="120">
                  <c:v>3.723584905660382E-2</c:v>
                </c:pt>
                <c:pt idx="121">
                  <c:v>-1.693543252658114E-2</c:v>
                </c:pt>
                <c:pt idx="122">
                  <c:v>-2.2972660406161749E-2</c:v>
                </c:pt>
                <c:pt idx="123">
                  <c:v>1.5842502982898132E-2</c:v>
                </c:pt>
                <c:pt idx="124">
                  <c:v>8.4856676765322714E-2</c:v>
                </c:pt>
                <c:pt idx="125">
                  <c:v>9.4605509632404772E-2</c:v>
                </c:pt>
                <c:pt idx="126">
                  <c:v>6.6481929224102565E-2</c:v>
                </c:pt>
                <c:pt idx="127">
                  <c:v>2.2427994140898244E-2</c:v>
                </c:pt>
                <c:pt idx="128">
                  <c:v>2.4448539998848107E-2</c:v>
                </c:pt>
                <c:pt idx="129">
                  <c:v>-7.0203794799719166E-3</c:v>
                </c:pt>
                <c:pt idx="130">
                  <c:v>-4.5293380797022387E-3</c:v>
                </c:pt>
                <c:pt idx="131">
                  <c:v>4.4774315552996269E-2</c:v>
                </c:pt>
                <c:pt idx="132">
                  <c:v>-1.2949189910110959E-2</c:v>
                </c:pt>
                <c:pt idx="133">
                  <c:v>-0.10875799691153765</c:v>
                </c:pt>
                <c:pt idx="134">
                  <c:v>4.0911200495049593E-2</c:v>
                </c:pt>
                <c:pt idx="135">
                  <c:v>-2.1134139363449322E-2</c:v>
                </c:pt>
                <c:pt idx="136">
                  <c:v>-1.1220345416587563E-2</c:v>
                </c:pt>
                <c:pt idx="137">
                  <c:v>1.1332314755810202E-2</c:v>
                </c:pt>
                <c:pt idx="138">
                  <c:v>0.12226414521381979</c:v>
                </c:pt>
                <c:pt idx="139">
                  <c:v>-1.2501014692751E-2</c:v>
                </c:pt>
                <c:pt idx="140">
                  <c:v>-1.4385532264693524E-3</c:v>
                </c:pt>
                <c:pt idx="141">
                  <c:v>-2.1046854634012568E-2</c:v>
                </c:pt>
                <c:pt idx="142">
                  <c:v>0.1156255693683339</c:v>
                </c:pt>
                <c:pt idx="143">
                  <c:v>-5.6663861006771343E-2</c:v>
                </c:pt>
                <c:pt idx="144">
                  <c:v>8.7288005806327229E-2</c:v>
                </c:pt>
                <c:pt idx="145">
                  <c:v>-1.2333884499969416E-2</c:v>
                </c:pt>
                <c:pt idx="146">
                  <c:v>1.7969195664575111E-2</c:v>
                </c:pt>
                <c:pt idx="147">
                  <c:v>0.13510665513418685</c:v>
                </c:pt>
                <c:pt idx="148">
                  <c:v>3.5486034718682058E-2</c:v>
                </c:pt>
                <c:pt idx="149">
                  <c:v>-6.9990879316778054E-2</c:v>
                </c:pt>
                <c:pt idx="150">
                  <c:v>-1.4097691990504924E-2</c:v>
                </c:pt>
                <c:pt idx="151">
                  <c:v>1.5825288811520899E-2</c:v>
                </c:pt>
                <c:pt idx="152">
                  <c:v>-2.7674537644937991E-2</c:v>
                </c:pt>
                <c:pt idx="153">
                  <c:v>5.4418109614438048E-3</c:v>
                </c:pt>
                <c:pt idx="154">
                  <c:v>-7.2898940862448636E-2</c:v>
                </c:pt>
              </c:numCache>
            </c:numRef>
          </c:val>
          <c:extLst>
            <c:ext xmlns:c16="http://schemas.microsoft.com/office/drawing/2014/chart" uri="{C3380CC4-5D6E-409C-BE32-E72D297353CC}">
              <c16:uniqueId val="{00000000-D58A-854D-AC86-940596D1282B}"/>
            </c:ext>
          </c:extLst>
        </c:ser>
        <c:dLbls>
          <c:showLegendKey val="0"/>
          <c:showVal val="0"/>
          <c:showCatName val="0"/>
          <c:showSerName val="0"/>
          <c:showPercent val="0"/>
          <c:showBubbleSize val="0"/>
        </c:dLbls>
        <c:gapWidth val="150"/>
        <c:axId val="26885322"/>
        <c:axId val="28885422"/>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668.06064935064933</c:v>
                </c:pt>
                <c:pt idx="2">
                  <c:v>674.34129870129868</c:v>
                </c:pt>
                <c:pt idx="3">
                  <c:v>680.62194805194804</c:v>
                </c:pt>
                <c:pt idx="4">
                  <c:v>686.90259740259739</c:v>
                </c:pt>
                <c:pt idx="5">
                  <c:v>693.18324675324675</c:v>
                </c:pt>
                <c:pt idx="6">
                  <c:v>699.4638961038961</c:v>
                </c:pt>
                <c:pt idx="7">
                  <c:v>705.74454545454546</c:v>
                </c:pt>
                <c:pt idx="8">
                  <c:v>712.02519480519481</c:v>
                </c:pt>
                <c:pt idx="9">
                  <c:v>718.30584415584406</c:v>
                </c:pt>
                <c:pt idx="10">
                  <c:v>724.58649350649341</c:v>
                </c:pt>
                <c:pt idx="11">
                  <c:v>730.86714285714277</c:v>
                </c:pt>
                <c:pt idx="12">
                  <c:v>737.14779220779212</c:v>
                </c:pt>
                <c:pt idx="13">
                  <c:v>743.42844155844148</c:v>
                </c:pt>
                <c:pt idx="14">
                  <c:v>749.70909090909083</c:v>
                </c:pt>
                <c:pt idx="15">
                  <c:v>755.98974025974019</c:v>
                </c:pt>
                <c:pt idx="16">
                  <c:v>762.27038961038966</c:v>
                </c:pt>
                <c:pt idx="17">
                  <c:v>768.55103896103856</c:v>
                </c:pt>
                <c:pt idx="18">
                  <c:v>774.83168831168837</c:v>
                </c:pt>
                <c:pt idx="19">
                  <c:v>781.11233766233727</c:v>
                </c:pt>
                <c:pt idx="20">
                  <c:v>787.39298701298708</c:v>
                </c:pt>
                <c:pt idx="21">
                  <c:v>793.67363636363598</c:v>
                </c:pt>
                <c:pt idx="22">
                  <c:v>799.95428571428579</c:v>
                </c:pt>
                <c:pt idx="23">
                  <c:v>806.23493506493469</c:v>
                </c:pt>
                <c:pt idx="24">
                  <c:v>812.5155844155845</c:v>
                </c:pt>
                <c:pt idx="25">
                  <c:v>818.7962337662334</c:v>
                </c:pt>
                <c:pt idx="26">
                  <c:v>825.07688311688321</c:v>
                </c:pt>
                <c:pt idx="27">
                  <c:v>831.35753246753211</c:v>
                </c:pt>
                <c:pt idx="28">
                  <c:v>837.63818181818192</c:v>
                </c:pt>
                <c:pt idx="29">
                  <c:v>843.91883116883082</c:v>
                </c:pt>
                <c:pt idx="30">
                  <c:v>850.19948051948063</c:v>
                </c:pt>
                <c:pt idx="31">
                  <c:v>856.48012987012953</c:v>
                </c:pt>
                <c:pt idx="32">
                  <c:v>862.76077922077934</c:v>
                </c:pt>
                <c:pt idx="33">
                  <c:v>869.04142857142824</c:v>
                </c:pt>
                <c:pt idx="34">
                  <c:v>875.32207792207805</c:v>
                </c:pt>
                <c:pt idx="35">
                  <c:v>881.60272727272695</c:v>
                </c:pt>
                <c:pt idx="36">
                  <c:v>887.88337662337688</c:v>
                </c:pt>
                <c:pt idx="37">
                  <c:v>894.16402597402566</c:v>
                </c:pt>
                <c:pt idx="38">
                  <c:v>900.44467532467559</c:v>
                </c:pt>
                <c:pt idx="39">
                  <c:v>906.72532467532437</c:v>
                </c:pt>
                <c:pt idx="40">
                  <c:v>913.00597402597418</c:v>
                </c:pt>
                <c:pt idx="41">
                  <c:v>919.28662337662308</c:v>
                </c:pt>
                <c:pt idx="42">
                  <c:v>925.56727272727289</c:v>
                </c:pt>
                <c:pt idx="43">
                  <c:v>931.84792207792179</c:v>
                </c:pt>
                <c:pt idx="44">
                  <c:v>938.1285714285716</c:v>
                </c:pt>
                <c:pt idx="45">
                  <c:v>944.4092207792205</c:v>
                </c:pt>
                <c:pt idx="46">
                  <c:v>950.68987012987043</c:v>
                </c:pt>
                <c:pt idx="47">
                  <c:v>956.97051948051921</c:v>
                </c:pt>
                <c:pt idx="48">
                  <c:v>963.25116883116914</c:v>
                </c:pt>
                <c:pt idx="49">
                  <c:v>969.53181818181793</c:v>
                </c:pt>
                <c:pt idx="50">
                  <c:v>975.81246753246785</c:v>
                </c:pt>
                <c:pt idx="51">
                  <c:v>982.09311688311664</c:v>
                </c:pt>
                <c:pt idx="52">
                  <c:v>988.37376623376656</c:v>
                </c:pt>
                <c:pt idx="53">
                  <c:v>994.65441558441535</c:v>
                </c:pt>
                <c:pt idx="54">
                  <c:v>1000.9350649350653</c:v>
                </c:pt>
                <c:pt idx="55">
                  <c:v>1007.2157142857141</c:v>
                </c:pt>
                <c:pt idx="56">
                  <c:v>1013.4963636363639</c:v>
                </c:pt>
                <c:pt idx="57">
                  <c:v>1019.7770129870128</c:v>
                </c:pt>
                <c:pt idx="58">
                  <c:v>1026.0576623376628</c:v>
                </c:pt>
                <c:pt idx="59">
                  <c:v>1032.3383116883115</c:v>
                </c:pt>
                <c:pt idx="60">
                  <c:v>1038.6189610389615</c:v>
                </c:pt>
                <c:pt idx="61">
                  <c:v>1044.8996103896102</c:v>
                </c:pt>
                <c:pt idx="62">
                  <c:v>1051.1802597402602</c:v>
                </c:pt>
                <c:pt idx="63">
                  <c:v>1057.4609090909089</c:v>
                </c:pt>
                <c:pt idx="64">
                  <c:v>1063.7415584415589</c:v>
                </c:pt>
                <c:pt idx="65">
                  <c:v>1070.0222077922076</c:v>
                </c:pt>
                <c:pt idx="66">
                  <c:v>1076.3028571428576</c:v>
                </c:pt>
                <c:pt idx="67">
                  <c:v>1082.5835064935063</c:v>
                </c:pt>
                <c:pt idx="68">
                  <c:v>1088.8641558441564</c:v>
                </c:pt>
                <c:pt idx="69">
                  <c:v>1095.144805194805</c:v>
                </c:pt>
                <c:pt idx="70">
                  <c:v>1101.4254545454551</c:v>
                </c:pt>
                <c:pt idx="71">
                  <c:v>1107.7061038961037</c:v>
                </c:pt>
                <c:pt idx="72">
                  <c:v>1113.9867532467538</c:v>
                </c:pt>
                <c:pt idx="73">
                  <c:v>1120.2674025974025</c:v>
                </c:pt>
                <c:pt idx="74">
                  <c:v>1126.5480519480525</c:v>
                </c:pt>
                <c:pt idx="75">
                  <c:v>1132.8287012987012</c:v>
                </c:pt>
                <c:pt idx="76">
                  <c:v>1139.1093506493512</c:v>
                </c:pt>
                <c:pt idx="77">
                  <c:v>1145.3899999999999</c:v>
                </c:pt>
                <c:pt idx="78">
                  <c:v>1151.6706493506488</c:v>
                </c:pt>
                <c:pt idx="79">
                  <c:v>1157.9512987012986</c:v>
                </c:pt>
                <c:pt idx="80">
                  <c:v>1164.2319480519475</c:v>
                </c:pt>
                <c:pt idx="81">
                  <c:v>1170.5125974025973</c:v>
                </c:pt>
                <c:pt idx="82">
                  <c:v>1176.7932467532464</c:v>
                </c:pt>
                <c:pt idx="83">
                  <c:v>1183.073896103896</c:v>
                </c:pt>
                <c:pt idx="84">
                  <c:v>1189.3545454545451</c:v>
                </c:pt>
                <c:pt idx="85">
                  <c:v>1195.6351948051947</c:v>
                </c:pt>
                <c:pt idx="86">
                  <c:v>1201.9158441558438</c:v>
                </c:pt>
                <c:pt idx="87">
                  <c:v>1208.1964935064934</c:v>
                </c:pt>
                <c:pt idx="88">
                  <c:v>1214.4771428571426</c:v>
                </c:pt>
                <c:pt idx="89">
                  <c:v>1220.7577922077921</c:v>
                </c:pt>
                <c:pt idx="90">
                  <c:v>1227.0384415584413</c:v>
                </c:pt>
                <c:pt idx="91">
                  <c:v>1233.3190909090911</c:v>
                </c:pt>
                <c:pt idx="92">
                  <c:v>1239.59974025974</c:v>
                </c:pt>
                <c:pt idx="93">
                  <c:v>1245.8803896103898</c:v>
                </c:pt>
                <c:pt idx="94">
                  <c:v>1252.1610389610387</c:v>
                </c:pt>
                <c:pt idx="95">
                  <c:v>1258.4416883116885</c:v>
                </c:pt>
                <c:pt idx="96">
                  <c:v>1264.7223376623374</c:v>
                </c:pt>
                <c:pt idx="97">
                  <c:v>1271.0029870129872</c:v>
                </c:pt>
                <c:pt idx="98">
                  <c:v>1277.2836363636361</c:v>
                </c:pt>
                <c:pt idx="99">
                  <c:v>1283.5642857142857</c:v>
                </c:pt>
                <c:pt idx="100">
                  <c:v>1289.8449350649348</c:v>
                </c:pt>
                <c:pt idx="101">
                  <c:v>1296.1255844155844</c:v>
                </c:pt>
                <c:pt idx="102">
                  <c:v>1302.4062337662335</c:v>
                </c:pt>
                <c:pt idx="103">
                  <c:v>1308.6868831168831</c:v>
                </c:pt>
                <c:pt idx="104">
                  <c:v>1314.9675324675322</c:v>
                </c:pt>
                <c:pt idx="105">
                  <c:v>1321.2481818181818</c:v>
                </c:pt>
                <c:pt idx="106">
                  <c:v>1327.5288311688309</c:v>
                </c:pt>
                <c:pt idx="107">
                  <c:v>1333.8094805194805</c:v>
                </c:pt>
                <c:pt idx="108">
                  <c:v>1340.0901298701297</c:v>
                </c:pt>
                <c:pt idx="109">
                  <c:v>1346.3707792207792</c:v>
                </c:pt>
                <c:pt idx="110">
                  <c:v>1352.6514285714284</c:v>
                </c:pt>
                <c:pt idx="111">
                  <c:v>1358.932077922078</c:v>
                </c:pt>
                <c:pt idx="112">
                  <c:v>1365.2127272727271</c:v>
                </c:pt>
                <c:pt idx="113">
                  <c:v>1371.4933766233767</c:v>
                </c:pt>
                <c:pt idx="114">
                  <c:v>1377.7740259740258</c:v>
                </c:pt>
                <c:pt idx="115">
                  <c:v>1384.0546753246754</c:v>
                </c:pt>
                <c:pt idx="116">
                  <c:v>1390.3353246753245</c:v>
                </c:pt>
                <c:pt idx="117">
                  <c:v>1396.6159740259743</c:v>
                </c:pt>
                <c:pt idx="118">
                  <c:v>1402.8966233766232</c:v>
                </c:pt>
                <c:pt idx="119">
                  <c:v>1409.177272727273</c:v>
                </c:pt>
                <c:pt idx="120">
                  <c:v>1415.4579220779219</c:v>
                </c:pt>
                <c:pt idx="121">
                  <c:v>1421.7385714285717</c:v>
                </c:pt>
                <c:pt idx="122">
                  <c:v>1428.0192207792206</c:v>
                </c:pt>
                <c:pt idx="123">
                  <c:v>1434.2998701298704</c:v>
                </c:pt>
                <c:pt idx="124">
                  <c:v>1440.5805194805193</c:v>
                </c:pt>
                <c:pt idx="125">
                  <c:v>1446.8611688311692</c:v>
                </c:pt>
                <c:pt idx="126">
                  <c:v>1453.1418181818181</c:v>
                </c:pt>
                <c:pt idx="127">
                  <c:v>1459.4224675324679</c:v>
                </c:pt>
                <c:pt idx="128">
                  <c:v>1465.7031168831168</c:v>
                </c:pt>
                <c:pt idx="129">
                  <c:v>1471.9837662337666</c:v>
                </c:pt>
                <c:pt idx="130">
                  <c:v>1478.2644155844155</c:v>
                </c:pt>
                <c:pt idx="131">
                  <c:v>1484.5450649350653</c:v>
                </c:pt>
                <c:pt idx="132">
                  <c:v>1490.8257142857142</c:v>
                </c:pt>
                <c:pt idx="133">
                  <c:v>1497.106363636364</c:v>
                </c:pt>
                <c:pt idx="134">
                  <c:v>1503.3870129870129</c:v>
                </c:pt>
                <c:pt idx="135">
                  <c:v>1509.6676623376627</c:v>
                </c:pt>
                <c:pt idx="136">
                  <c:v>1515.9483116883116</c:v>
                </c:pt>
                <c:pt idx="137">
                  <c:v>1522.2289610389614</c:v>
                </c:pt>
                <c:pt idx="138">
                  <c:v>1528.5096103896103</c:v>
                </c:pt>
                <c:pt idx="139">
                  <c:v>1534.7902597402601</c:v>
                </c:pt>
                <c:pt idx="140">
                  <c:v>1541.070909090909</c:v>
                </c:pt>
                <c:pt idx="141">
                  <c:v>1547.3515584415588</c:v>
                </c:pt>
                <c:pt idx="142">
                  <c:v>1553.6322077922077</c:v>
                </c:pt>
                <c:pt idx="143">
                  <c:v>1559.9128571428575</c:v>
                </c:pt>
                <c:pt idx="144">
                  <c:v>1566.1935064935064</c:v>
                </c:pt>
                <c:pt idx="145">
                  <c:v>1572.4741558441563</c:v>
                </c:pt>
                <c:pt idx="146">
                  <c:v>1578.7548051948052</c:v>
                </c:pt>
                <c:pt idx="147">
                  <c:v>1585.035454545455</c:v>
                </c:pt>
                <c:pt idx="148">
                  <c:v>1591.3161038961039</c:v>
                </c:pt>
                <c:pt idx="149">
                  <c:v>1597.5967532467537</c:v>
                </c:pt>
                <c:pt idx="150">
                  <c:v>1603.8774025974026</c:v>
                </c:pt>
                <c:pt idx="151">
                  <c:v>1610.1580519480524</c:v>
                </c:pt>
                <c:pt idx="152">
                  <c:v>1616.4387012987013</c:v>
                </c:pt>
                <c:pt idx="153">
                  <c:v>1622.7193506493511</c:v>
                </c:pt>
                <c:pt idx="154">
                  <c:v>1629</c:v>
                </c:pt>
              </c:numCache>
            </c:numRef>
          </c:val>
          <c:smooth val="0"/>
          <c:extLst>
            <c:ext xmlns:c16="http://schemas.microsoft.com/office/drawing/2014/chart" uri="{C3380CC4-5D6E-409C-BE32-E72D297353CC}">
              <c16:uniqueId val="{00000001-D58A-854D-AC86-940596D1282B}"/>
            </c:ext>
          </c:extLst>
        </c:ser>
        <c:dLbls>
          <c:showLegendKey val="0"/>
          <c:showVal val="0"/>
          <c:showCatName val="0"/>
          <c:showSerName val="0"/>
          <c:showPercent val="0"/>
          <c:showBubbleSize val="0"/>
        </c:dLbls>
        <c:hiLowLines>
          <c:spPr>
            <a:ln w="0">
              <a:noFill/>
            </a:ln>
          </c:spPr>
        </c:hiLowLines>
        <c:marker val="1"/>
        <c:smooth val="0"/>
        <c:axId val="57682928"/>
        <c:axId val="98925645"/>
      </c:lineChart>
      <c:dateAx>
        <c:axId val="26885322"/>
        <c:scaling>
          <c:orientation val="minMax"/>
        </c:scaling>
        <c:delete val="1"/>
        <c:axPos val="b"/>
        <c:numFmt formatCode="mm/dd/yyyy" sourceLinked="1"/>
        <c:majorTickMark val="none"/>
        <c:minorTickMark val="none"/>
        <c:tickLblPos val="nextTo"/>
        <c:crossAx val="28885422"/>
        <c:crosses val="autoZero"/>
        <c:auto val="1"/>
        <c:lblOffset val="100"/>
        <c:baseTimeUnit val="days"/>
      </c:dateAx>
      <c:valAx>
        <c:axId val="288854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885322"/>
        <c:crosses val="autoZero"/>
        <c:crossBetween val="between"/>
      </c:valAx>
      <c:dateAx>
        <c:axId val="57682928"/>
        <c:scaling>
          <c:orientation val="minMax"/>
        </c:scaling>
        <c:delete val="1"/>
        <c:axPos val="b"/>
        <c:numFmt formatCode="mm/dd/yyyy" sourceLinked="1"/>
        <c:majorTickMark val="none"/>
        <c:minorTickMark val="none"/>
        <c:tickLblPos val="nextTo"/>
        <c:crossAx val="98925645"/>
        <c:crosses val="autoZero"/>
        <c:auto val="1"/>
        <c:lblOffset val="100"/>
        <c:baseTimeUnit val="days"/>
      </c:dateAx>
      <c:valAx>
        <c:axId val="989256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768292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-4.8204386599181026E-3</c:v>
                </c:pt>
                <c:pt idx="1">
                  <c:v>3.1484620973601496E-2</c:v>
                </c:pt>
                <c:pt idx="2">
                  <c:v>2.4301479220474098E-2</c:v>
                </c:pt>
                <c:pt idx="3">
                  <c:v>-1.7077363896848108E-2</c:v>
                </c:pt>
                <c:pt idx="4">
                  <c:v>-6.8796641791045721E-3</c:v>
                </c:pt>
                <c:pt idx="5">
                  <c:v>-2.6535164964189284E-2</c:v>
                </c:pt>
                <c:pt idx="6">
                  <c:v>1.8091906886985587E-3</c:v>
                </c:pt>
                <c:pt idx="7">
                  <c:v>1.769804960269683E-2</c:v>
                </c:pt>
                <c:pt idx="8">
                  <c:v>4.4836152845143751E-2</c:v>
                </c:pt>
                <c:pt idx="9">
                  <c:v>-3.3514492753623171E-2</c:v>
                </c:pt>
                <c:pt idx="10">
                  <c:v>-1.7806935332708496E-2</c:v>
                </c:pt>
                <c:pt idx="11">
                  <c:v>5.2838740458015288E-2</c:v>
                </c:pt>
                <c:pt idx="12">
                  <c:v>8.4740002265775605E-2</c:v>
                </c:pt>
                <c:pt idx="13">
                  <c:v>2.1096605744125307E-2</c:v>
                </c:pt>
                <c:pt idx="14">
                  <c:v>1.227370359005775E-3</c:v>
                </c:pt>
                <c:pt idx="15">
                  <c:v>-4.995403003371135E-2</c:v>
                </c:pt>
                <c:pt idx="16">
                  <c:v>1.5376344086021509E-2</c:v>
                </c:pt>
                <c:pt idx="17">
                  <c:v>0.19633591019803021</c:v>
                </c:pt>
                <c:pt idx="18">
                  <c:v>-6.8159688412852137E-3</c:v>
                </c:pt>
                <c:pt idx="19">
                  <c:v>-5.080213903743358E-3</c:v>
                </c:pt>
                <c:pt idx="20">
                  <c:v>-6.0019707963808955E-2</c:v>
                </c:pt>
                <c:pt idx="21">
                  <c:v>5.5656151720194336E-2</c:v>
                </c:pt>
                <c:pt idx="22">
                  <c:v>9.3436851132978394E-2</c:v>
                </c:pt>
                <c:pt idx="23">
                  <c:v>-5.201453104359377E-3</c:v>
                </c:pt>
                <c:pt idx="24">
                  <c:v>1.6100921238277222E-2</c:v>
                </c:pt>
                <c:pt idx="25">
                  <c:v>4.827248223474645E-2</c:v>
                </c:pt>
                <c:pt idx="26">
                  <c:v>-2.9530933458002284E-2</c:v>
                </c:pt>
                <c:pt idx="27">
                  <c:v>4.0867121637896409E-2</c:v>
                </c:pt>
                <c:pt idx="28">
                  <c:v>7.9296513421783343E-2</c:v>
                </c:pt>
                <c:pt idx="29">
                  <c:v>-6.4679817038307497E-2</c:v>
                </c:pt>
                <c:pt idx="30">
                  <c:v>-5.593336899212964E-2</c:v>
                </c:pt>
                <c:pt idx="31">
                  <c:v>9.5507891541885881E-2</c:v>
                </c:pt>
                <c:pt idx="32">
                  <c:v>-2.076099002585885E-2</c:v>
                </c:pt>
                <c:pt idx="33">
                  <c:v>1.056284895126014E-2</c:v>
                </c:pt>
                <c:pt idx="34">
                  <c:v>3.5090338957741718E-3</c:v>
                </c:pt>
                <c:pt idx="35">
                  <c:v>-0.10371252138977749</c:v>
                </c:pt>
                <c:pt idx="36">
                  <c:v>0.11571345563210755</c:v>
                </c:pt>
                <c:pt idx="37">
                  <c:v>-4.9103489323711003E-2</c:v>
                </c:pt>
                <c:pt idx="38">
                  <c:v>4.2797903137469673E-2</c:v>
                </c:pt>
                <c:pt idx="39">
                  <c:v>4.6893757503001288E-2</c:v>
                </c:pt>
                <c:pt idx="40">
                  <c:v>8.958646885974364E-3</c:v>
                </c:pt>
                <c:pt idx="41">
                  <c:v>-5.6329024009092232E-2</c:v>
                </c:pt>
                <c:pt idx="42">
                  <c:v>5.8788106887467162E-2</c:v>
                </c:pt>
                <c:pt idx="43">
                  <c:v>0.23347078060571591</c:v>
                </c:pt>
                <c:pt idx="44">
                  <c:v>-4.4034582132564726E-2</c:v>
                </c:pt>
                <c:pt idx="45">
                  <c:v>-3.2014952369468275E-2</c:v>
                </c:pt>
                <c:pt idx="46">
                  <c:v>6.0915602616007369E-2</c:v>
                </c:pt>
                <c:pt idx="47">
                  <c:v>-1.5264486584866122E-3</c:v>
                </c:pt>
                <c:pt idx="48">
                  <c:v>-7.4792732404304063E-2</c:v>
                </c:pt>
                <c:pt idx="49">
                  <c:v>-3.6352081347314935E-2</c:v>
                </c:pt>
                <c:pt idx="50">
                  <c:v>-5.1506957726043634E-2</c:v>
                </c:pt>
                <c:pt idx="51">
                  <c:v>3.0871923237379972E-2</c:v>
                </c:pt>
                <c:pt idx="52">
                  <c:v>0.11776608660461352</c:v>
                </c:pt>
                <c:pt idx="53">
                  <c:v>3.8619357953175726E-3</c:v>
                </c:pt>
                <c:pt idx="54">
                  <c:v>-2.1279153642702719E-2</c:v>
                </c:pt>
                <c:pt idx="55">
                  <c:v>-0.1585800270237071</c:v>
                </c:pt>
                <c:pt idx="56">
                  <c:v>0.22401459854014605</c:v>
                </c:pt>
                <c:pt idx="57">
                  <c:v>2.0335142226727942E-2</c:v>
                </c:pt>
                <c:pt idx="58">
                  <c:v>9.292811221507824E-3</c:v>
                </c:pt>
                <c:pt idx="59">
                  <c:v>2.2873356882274543E-2</c:v>
                </c:pt>
                <c:pt idx="60">
                  <c:v>2.7400362318840576E-2</c:v>
                </c:pt>
                <c:pt idx="61">
                  <c:v>-8.7612960105797333E-3</c:v>
                </c:pt>
                <c:pt idx="62">
                  <c:v>-3.8301184056923621E-2</c:v>
                </c:pt>
                <c:pt idx="63">
                  <c:v>-2.3583815028901833E-2</c:v>
                </c:pt>
                <c:pt idx="64">
                  <c:v>8.7141842292209226E-2</c:v>
                </c:pt>
                <c:pt idx="65">
                  <c:v>-0.10237421041167494</c:v>
                </c:pt>
                <c:pt idx="66">
                  <c:v>-3.7005581169620161E-3</c:v>
                </c:pt>
                <c:pt idx="67">
                  <c:v>-1.3091396212628448E-2</c:v>
                </c:pt>
                <c:pt idx="68">
                  <c:v>0.10766288252714706</c:v>
                </c:pt>
                <c:pt idx="69">
                  <c:v>0.2521584136356041</c:v>
                </c:pt>
                <c:pt idx="70">
                  <c:v>-1.7838078291815052E-2</c:v>
                </c:pt>
                <c:pt idx="71">
                  <c:v>9.4931835680963861E-2</c:v>
                </c:pt>
                <c:pt idx="72">
                  <c:v>-3.8055842812823149E-2</c:v>
                </c:pt>
                <c:pt idx="73">
                  <c:v>-3.5433240163405766E-2</c:v>
                </c:pt>
                <c:pt idx="74">
                  <c:v>5.8535063082341354E-2</c:v>
                </c:pt>
                <c:pt idx="75">
                  <c:v>3.0576145552560607E-2</c:v>
                </c:pt>
                <c:pt idx="76">
                  <c:v>-9.5749897834082498E-2</c:v>
                </c:pt>
                <c:pt idx="77">
                  <c:v>1.6269715731911161E-2</c:v>
                </c:pt>
                <c:pt idx="78">
                  <c:v>3.6332102992840287E-2</c:v>
                </c:pt>
                <c:pt idx="79">
                  <c:v>-6.1706144867833879E-2</c:v>
                </c:pt>
                <c:pt idx="80">
                  <c:v>-8.794475441324423E-2</c:v>
                </c:pt>
                <c:pt idx="81">
                  <c:v>-2.2413879556736682E-2</c:v>
                </c:pt>
                <c:pt idx="82">
                  <c:v>2.9749692244562809E-3</c:v>
                </c:pt>
                <c:pt idx="83">
                  <c:v>-1.984248747059425E-2</c:v>
                </c:pt>
                <c:pt idx="84">
                  <c:v>-0.11760409057706356</c:v>
                </c:pt>
                <c:pt idx="85">
                  <c:v>-0.13499290444654688</c:v>
                </c:pt>
                <c:pt idx="86">
                  <c:v>0.24369403240139453</c:v>
                </c:pt>
                <c:pt idx="87">
                  <c:v>-6.018467626690116E-2</c:v>
                </c:pt>
                <c:pt idx="88">
                  <c:v>0.12468565413182042</c:v>
                </c:pt>
                <c:pt idx="89">
                  <c:v>5.8915293016483794E-2</c:v>
                </c:pt>
                <c:pt idx="90">
                  <c:v>2.2392457277548683E-2</c:v>
                </c:pt>
                <c:pt idx="91">
                  <c:v>9.8030739673391043E-2</c:v>
                </c:pt>
                <c:pt idx="92">
                  <c:v>4.8116880276438678E-4</c:v>
                </c:pt>
                <c:pt idx="93">
                  <c:v>5.8368310598111206E-2</c:v>
                </c:pt>
                <c:pt idx="94">
                  <c:v>2.0076837278473203E-2</c:v>
                </c:pt>
                <c:pt idx="95">
                  <c:v>7.1680233264486137E-3</c:v>
                </c:pt>
                <c:pt idx="96">
                  <c:v>5.1869722557298381E-3</c:v>
                </c:pt>
                <c:pt idx="97">
                  <c:v>7.7443097723909116E-2</c:v>
                </c:pt>
                <c:pt idx="98">
                  <c:v>2.1644700204195289E-2</c:v>
                </c:pt>
                <c:pt idx="99">
                  <c:v>-2.9071880223854318E-3</c:v>
                </c:pt>
                <c:pt idx="100">
                  <c:v>3.2655441358699466E-2</c:v>
                </c:pt>
                <c:pt idx="101">
                  <c:v>2.4140608456271639E-2</c:v>
                </c:pt>
                <c:pt idx="102">
                  <c:v>-5.3070507960576441E-3</c:v>
                </c:pt>
                <c:pt idx="103">
                  <c:v>5.6575665188470126E-2</c:v>
                </c:pt>
                <c:pt idx="104">
                  <c:v>4.4922451388660356E-3</c:v>
                </c:pt>
                <c:pt idx="105">
                  <c:v>-4.028203956388321E-2</c:v>
                </c:pt>
                <c:pt idx="106">
                  <c:v>1.1530612244897931E-2</c:v>
                </c:pt>
                <c:pt idx="107">
                  <c:v>0.12609704428528201</c:v>
                </c:pt>
                <c:pt idx="108">
                  <c:v>7.4591656961987551E-2</c:v>
                </c:pt>
                <c:pt idx="109">
                  <c:v>-4.1487203712451737E-2</c:v>
                </c:pt>
                <c:pt idx="110">
                  <c:v>-3.017916159332068E-2</c:v>
                </c:pt>
                <c:pt idx="111">
                  <c:v>1.1478791139808209E-2</c:v>
                </c:pt>
                <c:pt idx="112">
                  <c:v>-4.0606436740845853E-2</c:v>
                </c:pt>
                <c:pt idx="113">
                  <c:v>7.6086621692388334E-2</c:v>
                </c:pt>
                <c:pt idx="114">
                  <c:v>1.3740589127758884E-2</c:v>
                </c:pt>
                <c:pt idx="115">
                  <c:v>4.3769237285742557E-2</c:v>
                </c:pt>
                <c:pt idx="116">
                  <c:v>-5.4649243838432948E-2</c:v>
                </c:pt>
                <c:pt idx="117">
                  <c:v>-1.9946770454740692E-2</c:v>
                </c:pt>
                <c:pt idx="118">
                  <c:v>-6.599310868422581E-3</c:v>
                </c:pt>
                <c:pt idx="119">
                  <c:v>0.18447971781305106</c:v>
                </c:pt>
                <c:pt idx="120">
                  <c:v>-3.1566408576533589E-2</c:v>
                </c:pt>
                <c:pt idx="121">
                  <c:v>-7.7670151701517032E-2</c:v>
                </c:pt>
                <c:pt idx="122">
                  <c:v>-5.4371683382880009E-2</c:v>
                </c:pt>
                <c:pt idx="123">
                  <c:v>3.4581031848630817E-2</c:v>
                </c:pt>
                <c:pt idx="124">
                  <c:v>-1.2807769857723028E-2</c:v>
                </c:pt>
                <c:pt idx="125">
                  <c:v>-7.6232667855703484E-3</c:v>
                </c:pt>
                <c:pt idx="126">
                  <c:v>1.953793083456512E-2</c:v>
                </c:pt>
                <c:pt idx="127">
                  <c:v>-9.0017343834408958E-2</c:v>
                </c:pt>
                <c:pt idx="128">
                  <c:v>3.5150757694110357E-2</c:v>
                </c:pt>
                <c:pt idx="129">
                  <c:v>4.8898279504980824E-3</c:v>
                </c:pt>
                <c:pt idx="130">
                  <c:v>-2.3278865793584069E-2</c:v>
                </c:pt>
                <c:pt idx="131">
                  <c:v>2.3003352092751284E-2</c:v>
                </c:pt>
                <c:pt idx="132">
                  <c:v>-3.9380730497519778E-2</c:v>
                </c:pt>
                <c:pt idx="133">
                  <c:v>3.4204349867000383E-2</c:v>
                </c:pt>
                <c:pt idx="134">
                  <c:v>-2.5175502299685237E-2</c:v>
                </c:pt>
                <c:pt idx="135">
                  <c:v>-3.6162155450707778E-2</c:v>
                </c:pt>
                <c:pt idx="136">
                  <c:v>-3.1657595568580721E-2</c:v>
                </c:pt>
                <c:pt idx="137">
                  <c:v>4.6128774777171699E-2</c:v>
                </c:pt>
                <c:pt idx="138">
                  <c:v>0.18121125417262762</c:v>
                </c:pt>
                <c:pt idx="139">
                  <c:v>9.4173058807697441E-2</c:v>
                </c:pt>
                <c:pt idx="140">
                  <c:v>3.9897673045702575E-2</c:v>
                </c:pt>
                <c:pt idx="141">
                  <c:v>-3.5008042388117167E-3</c:v>
                </c:pt>
                <c:pt idx="142">
                  <c:v>2.0698822635776715E-2</c:v>
                </c:pt>
                <c:pt idx="143">
                  <c:v>-1.1186046511627912E-2</c:v>
                </c:pt>
                <c:pt idx="144">
                  <c:v>-2.5988381664667548E-2</c:v>
                </c:pt>
                <c:pt idx="145">
                  <c:v>7.8789781233399303E-2</c:v>
                </c:pt>
                <c:pt idx="146">
                  <c:v>-0.13662510911654757</c:v>
                </c:pt>
                <c:pt idx="147">
                  <c:v>-9.4885023202758711E-3</c:v>
                </c:pt>
                <c:pt idx="148">
                  <c:v>7.6635171565420102E-2</c:v>
                </c:pt>
                <c:pt idx="149">
                  <c:v>-0.11262914792755574</c:v>
                </c:pt>
                <c:pt idx="150">
                  <c:v>-1.251986192537391E-2</c:v>
                </c:pt>
                <c:pt idx="151">
                  <c:v>0.10964072686919146</c:v>
                </c:pt>
                <c:pt idx="152">
                  <c:v>-7.2855464159812144E-2</c:v>
                </c:pt>
                <c:pt idx="153">
                  <c:v>2.9905886794488135E-2</c:v>
                </c:pt>
                <c:pt idx="154">
                  <c:v>1.9271051529115901E-2</c:v>
                </c:pt>
              </c:numCache>
            </c:numRef>
          </c:val>
          <c:extLst>
            <c:ext xmlns:c16="http://schemas.microsoft.com/office/drawing/2014/chart" uri="{C3380CC4-5D6E-409C-BE32-E72D297353CC}">
              <c16:uniqueId val="{00000000-5E7F-6647-B62E-0C908C3B1087}"/>
            </c:ext>
          </c:extLst>
        </c:ser>
        <c:dLbls>
          <c:showLegendKey val="0"/>
          <c:showVal val="0"/>
          <c:showCatName val="0"/>
          <c:showSerName val="0"/>
          <c:showPercent val="0"/>
          <c:showBubbleSize val="0"/>
        </c:dLbls>
        <c:gapWidth val="150"/>
        <c:axId val="46729174"/>
        <c:axId val="69938156"/>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84.968961038961041</c:v>
                </c:pt>
                <c:pt idx="2">
                  <c:v>86.957922077922092</c:v>
                </c:pt>
                <c:pt idx="3">
                  <c:v>88.946883116883129</c:v>
                </c:pt>
                <c:pt idx="4">
                  <c:v>90.935844155844165</c:v>
                </c:pt>
                <c:pt idx="5">
                  <c:v>92.924805194805202</c:v>
                </c:pt>
                <c:pt idx="6">
                  <c:v>94.913766233766253</c:v>
                </c:pt>
                <c:pt idx="7">
                  <c:v>96.90272727272729</c:v>
                </c:pt>
                <c:pt idx="8">
                  <c:v>98.891688311688327</c:v>
                </c:pt>
                <c:pt idx="9">
                  <c:v>100.88064935064934</c:v>
                </c:pt>
                <c:pt idx="10">
                  <c:v>102.86961038961039</c:v>
                </c:pt>
                <c:pt idx="11">
                  <c:v>104.85857142857142</c:v>
                </c:pt>
                <c:pt idx="12">
                  <c:v>106.84753246753246</c:v>
                </c:pt>
                <c:pt idx="13">
                  <c:v>108.8364935064935</c:v>
                </c:pt>
                <c:pt idx="14">
                  <c:v>110.82545454545453</c:v>
                </c:pt>
                <c:pt idx="15">
                  <c:v>112.81441558441558</c:v>
                </c:pt>
                <c:pt idx="16">
                  <c:v>114.80337662337665</c:v>
                </c:pt>
                <c:pt idx="17">
                  <c:v>116.79233766233753</c:v>
                </c:pt>
                <c:pt idx="18">
                  <c:v>118.78129870129874</c:v>
                </c:pt>
                <c:pt idx="19">
                  <c:v>120.77025974025963</c:v>
                </c:pt>
                <c:pt idx="20">
                  <c:v>122.75922077922081</c:v>
                </c:pt>
                <c:pt idx="21">
                  <c:v>124.74818181818171</c:v>
                </c:pt>
                <c:pt idx="22">
                  <c:v>126.73714285714289</c:v>
                </c:pt>
                <c:pt idx="23">
                  <c:v>128.72610389610378</c:v>
                </c:pt>
                <c:pt idx="24">
                  <c:v>130.71506493506499</c:v>
                </c:pt>
                <c:pt idx="25">
                  <c:v>132.70402597402585</c:v>
                </c:pt>
                <c:pt idx="26">
                  <c:v>134.69298701298706</c:v>
                </c:pt>
                <c:pt idx="27">
                  <c:v>136.68194805194796</c:v>
                </c:pt>
                <c:pt idx="28">
                  <c:v>138.67090909090913</c:v>
                </c:pt>
                <c:pt idx="29">
                  <c:v>140.65987012987003</c:v>
                </c:pt>
                <c:pt idx="30">
                  <c:v>142.64883116883124</c:v>
                </c:pt>
                <c:pt idx="31">
                  <c:v>144.6377922077921</c:v>
                </c:pt>
                <c:pt idx="32">
                  <c:v>146.62675324675331</c:v>
                </c:pt>
                <c:pt idx="33">
                  <c:v>148.6157142857142</c:v>
                </c:pt>
                <c:pt idx="34">
                  <c:v>150.60467532467538</c:v>
                </c:pt>
                <c:pt idx="35">
                  <c:v>152.59363636363628</c:v>
                </c:pt>
                <c:pt idx="36">
                  <c:v>154.58259740259746</c:v>
                </c:pt>
                <c:pt idx="37">
                  <c:v>156.57155844155835</c:v>
                </c:pt>
                <c:pt idx="38">
                  <c:v>158.56051948051953</c:v>
                </c:pt>
                <c:pt idx="39">
                  <c:v>160.54948051948043</c:v>
                </c:pt>
                <c:pt idx="40">
                  <c:v>162.53844155844163</c:v>
                </c:pt>
                <c:pt idx="41">
                  <c:v>164.5274025974025</c:v>
                </c:pt>
                <c:pt idx="42">
                  <c:v>166.51636363636371</c:v>
                </c:pt>
                <c:pt idx="43">
                  <c:v>168.50532467532457</c:v>
                </c:pt>
                <c:pt idx="44">
                  <c:v>170.49428571428578</c:v>
                </c:pt>
                <c:pt idx="45">
                  <c:v>172.4832467532467</c:v>
                </c:pt>
                <c:pt idx="46">
                  <c:v>174.47220779220788</c:v>
                </c:pt>
                <c:pt idx="47">
                  <c:v>176.46116883116878</c:v>
                </c:pt>
                <c:pt idx="48">
                  <c:v>178.45012987012996</c:v>
                </c:pt>
                <c:pt idx="49">
                  <c:v>180.43909090909085</c:v>
                </c:pt>
                <c:pt idx="50">
                  <c:v>182.42805194805203</c:v>
                </c:pt>
                <c:pt idx="51">
                  <c:v>184.41701298701292</c:v>
                </c:pt>
                <c:pt idx="52">
                  <c:v>186.4059740259741</c:v>
                </c:pt>
                <c:pt idx="53">
                  <c:v>188.394935064935</c:v>
                </c:pt>
                <c:pt idx="54">
                  <c:v>190.38389610389618</c:v>
                </c:pt>
                <c:pt idx="55">
                  <c:v>192.37285714285707</c:v>
                </c:pt>
                <c:pt idx="56">
                  <c:v>194.36181818181828</c:v>
                </c:pt>
                <c:pt idx="57">
                  <c:v>196.35077922077915</c:v>
                </c:pt>
                <c:pt idx="58">
                  <c:v>198.33974025974038</c:v>
                </c:pt>
                <c:pt idx="59">
                  <c:v>200.32870129870128</c:v>
                </c:pt>
                <c:pt idx="60">
                  <c:v>202.31766233766245</c:v>
                </c:pt>
                <c:pt idx="61">
                  <c:v>204.30662337662335</c:v>
                </c:pt>
                <c:pt idx="62">
                  <c:v>206.29558441558453</c:v>
                </c:pt>
                <c:pt idx="63">
                  <c:v>208.28454545454542</c:v>
                </c:pt>
                <c:pt idx="64">
                  <c:v>210.2735064935066</c:v>
                </c:pt>
                <c:pt idx="65">
                  <c:v>212.2624675324675</c:v>
                </c:pt>
                <c:pt idx="66">
                  <c:v>214.25142857142868</c:v>
                </c:pt>
                <c:pt idx="67">
                  <c:v>216.24038961038957</c:v>
                </c:pt>
                <c:pt idx="68">
                  <c:v>218.22935064935075</c:v>
                </c:pt>
                <c:pt idx="69">
                  <c:v>220.21831168831164</c:v>
                </c:pt>
                <c:pt idx="70">
                  <c:v>222.20727272727282</c:v>
                </c:pt>
                <c:pt idx="71">
                  <c:v>224.19623376623372</c:v>
                </c:pt>
                <c:pt idx="72">
                  <c:v>226.18519480519495</c:v>
                </c:pt>
                <c:pt idx="73">
                  <c:v>228.17415584415585</c:v>
                </c:pt>
                <c:pt idx="74">
                  <c:v>230.16311688311703</c:v>
                </c:pt>
                <c:pt idx="75">
                  <c:v>232.15207792207792</c:v>
                </c:pt>
                <c:pt idx="76">
                  <c:v>234.1410389610391</c:v>
                </c:pt>
                <c:pt idx="77">
                  <c:v>236.13</c:v>
                </c:pt>
                <c:pt idx="78">
                  <c:v>238.11896103896089</c:v>
                </c:pt>
                <c:pt idx="79">
                  <c:v>240.10792207792207</c:v>
                </c:pt>
                <c:pt idx="80">
                  <c:v>242.09688311688296</c:v>
                </c:pt>
                <c:pt idx="81">
                  <c:v>244.08584415584414</c:v>
                </c:pt>
                <c:pt idx="82">
                  <c:v>246.07480519480504</c:v>
                </c:pt>
                <c:pt idx="83">
                  <c:v>248.06376623376622</c:v>
                </c:pt>
                <c:pt idx="84">
                  <c:v>250.05272727272711</c:v>
                </c:pt>
                <c:pt idx="85">
                  <c:v>252.04168831168829</c:v>
                </c:pt>
                <c:pt idx="86">
                  <c:v>254.03064935064918</c:v>
                </c:pt>
                <c:pt idx="87">
                  <c:v>256.01961038961036</c:v>
                </c:pt>
                <c:pt idx="88">
                  <c:v>258.00857142857126</c:v>
                </c:pt>
                <c:pt idx="89">
                  <c:v>259.99753246753244</c:v>
                </c:pt>
                <c:pt idx="90">
                  <c:v>261.98649350649339</c:v>
                </c:pt>
                <c:pt idx="91">
                  <c:v>263.97545454545457</c:v>
                </c:pt>
                <c:pt idx="92">
                  <c:v>265.96441558441546</c:v>
                </c:pt>
                <c:pt idx="93">
                  <c:v>267.95337662337664</c:v>
                </c:pt>
                <c:pt idx="94">
                  <c:v>269.94233766233754</c:v>
                </c:pt>
                <c:pt idx="95">
                  <c:v>271.93129870129872</c:v>
                </c:pt>
                <c:pt idx="96">
                  <c:v>273.92025974025961</c:v>
                </c:pt>
                <c:pt idx="97">
                  <c:v>275.90922077922079</c:v>
                </c:pt>
                <c:pt idx="98">
                  <c:v>277.89818181818168</c:v>
                </c:pt>
                <c:pt idx="99">
                  <c:v>279.88714285714286</c:v>
                </c:pt>
                <c:pt idx="100">
                  <c:v>281.87610389610376</c:v>
                </c:pt>
                <c:pt idx="101">
                  <c:v>283.86506493506494</c:v>
                </c:pt>
                <c:pt idx="102">
                  <c:v>285.85402597402583</c:v>
                </c:pt>
                <c:pt idx="103">
                  <c:v>287.84298701298701</c:v>
                </c:pt>
                <c:pt idx="104">
                  <c:v>289.8319480519479</c:v>
                </c:pt>
                <c:pt idx="105">
                  <c:v>291.82090909090914</c:v>
                </c:pt>
                <c:pt idx="106">
                  <c:v>293.80987012986998</c:v>
                </c:pt>
                <c:pt idx="107">
                  <c:v>295.79883116883121</c:v>
                </c:pt>
                <c:pt idx="108">
                  <c:v>297.78779220779211</c:v>
                </c:pt>
                <c:pt idx="109">
                  <c:v>299.77675324675329</c:v>
                </c:pt>
                <c:pt idx="110">
                  <c:v>301.76571428571418</c:v>
                </c:pt>
                <c:pt idx="111">
                  <c:v>303.75467532467536</c:v>
                </c:pt>
                <c:pt idx="112">
                  <c:v>305.74363636363626</c:v>
                </c:pt>
                <c:pt idx="113">
                  <c:v>307.73259740259743</c:v>
                </c:pt>
                <c:pt idx="114">
                  <c:v>309.72155844155833</c:v>
                </c:pt>
                <c:pt idx="115">
                  <c:v>311.71051948051951</c:v>
                </c:pt>
                <c:pt idx="116">
                  <c:v>313.6994805194804</c:v>
                </c:pt>
                <c:pt idx="117">
                  <c:v>315.68844155844164</c:v>
                </c:pt>
                <c:pt idx="118">
                  <c:v>317.67740259740253</c:v>
                </c:pt>
                <c:pt idx="119">
                  <c:v>319.66636363636371</c:v>
                </c:pt>
                <c:pt idx="120">
                  <c:v>321.65532467532461</c:v>
                </c:pt>
                <c:pt idx="121">
                  <c:v>323.64428571428579</c:v>
                </c:pt>
                <c:pt idx="122">
                  <c:v>325.63324675324668</c:v>
                </c:pt>
                <c:pt idx="123">
                  <c:v>327.62220779220786</c:v>
                </c:pt>
                <c:pt idx="124">
                  <c:v>329.61116883116875</c:v>
                </c:pt>
                <c:pt idx="125">
                  <c:v>331.60012987012993</c:v>
                </c:pt>
                <c:pt idx="126">
                  <c:v>333.58909090909083</c:v>
                </c:pt>
                <c:pt idx="127">
                  <c:v>335.57805194805201</c:v>
                </c:pt>
                <c:pt idx="128">
                  <c:v>337.5670129870129</c:v>
                </c:pt>
                <c:pt idx="129">
                  <c:v>339.55597402597408</c:v>
                </c:pt>
                <c:pt idx="130">
                  <c:v>341.54493506493498</c:v>
                </c:pt>
                <c:pt idx="131">
                  <c:v>343.53389610389621</c:v>
                </c:pt>
                <c:pt idx="132">
                  <c:v>345.52285714285705</c:v>
                </c:pt>
                <c:pt idx="133">
                  <c:v>347.51181818181828</c:v>
                </c:pt>
                <c:pt idx="134">
                  <c:v>349.50077922077918</c:v>
                </c:pt>
                <c:pt idx="135">
                  <c:v>351.48974025974036</c:v>
                </c:pt>
                <c:pt idx="136">
                  <c:v>353.47870129870125</c:v>
                </c:pt>
                <c:pt idx="137">
                  <c:v>355.46766233766243</c:v>
                </c:pt>
                <c:pt idx="138">
                  <c:v>357.45662337662333</c:v>
                </c:pt>
                <c:pt idx="139">
                  <c:v>359.44558441558451</c:v>
                </c:pt>
                <c:pt idx="140">
                  <c:v>361.4345454545454</c:v>
                </c:pt>
                <c:pt idx="141">
                  <c:v>363.42350649350658</c:v>
                </c:pt>
                <c:pt idx="142">
                  <c:v>365.41246753246747</c:v>
                </c:pt>
                <c:pt idx="143">
                  <c:v>367.40142857142871</c:v>
                </c:pt>
                <c:pt idx="144">
                  <c:v>369.3903896103896</c:v>
                </c:pt>
                <c:pt idx="145">
                  <c:v>371.37935064935078</c:v>
                </c:pt>
                <c:pt idx="146">
                  <c:v>373.36831168831168</c:v>
                </c:pt>
                <c:pt idx="147">
                  <c:v>375.35727272727286</c:v>
                </c:pt>
                <c:pt idx="148">
                  <c:v>377.34623376623375</c:v>
                </c:pt>
                <c:pt idx="149">
                  <c:v>379.33519480519493</c:v>
                </c:pt>
                <c:pt idx="150">
                  <c:v>381.32415584415583</c:v>
                </c:pt>
                <c:pt idx="151">
                  <c:v>383.313116883117</c:v>
                </c:pt>
                <c:pt idx="152">
                  <c:v>385.3020779220779</c:v>
                </c:pt>
                <c:pt idx="153">
                  <c:v>387.29103896103908</c:v>
                </c:pt>
                <c:pt idx="154">
                  <c:v>389.28</c:v>
                </c:pt>
              </c:numCache>
            </c:numRef>
          </c:val>
          <c:smooth val="0"/>
          <c:extLst>
            <c:ext xmlns:c16="http://schemas.microsoft.com/office/drawing/2014/chart" uri="{C3380CC4-5D6E-409C-BE32-E72D297353CC}">
              <c16:uniqueId val="{00000001-5E7F-6647-B62E-0C908C3B1087}"/>
            </c:ext>
          </c:extLst>
        </c:ser>
        <c:dLbls>
          <c:showLegendKey val="0"/>
          <c:showVal val="0"/>
          <c:showCatName val="0"/>
          <c:showSerName val="0"/>
          <c:showPercent val="0"/>
          <c:showBubbleSize val="0"/>
        </c:dLbls>
        <c:hiLowLines>
          <c:spPr>
            <a:ln w="0">
              <a:noFill/>
            </a:ln>
          </c:spPr>
        </c:hiLowLines>
        <c:marker val="1"/>
        <c:smooth val="0"/>
        <c:axId val="64272426"/>
        <c:axId val="80450909"/>
      </c:lineChart>
      <c:dateAx>
        <c:axId val="46729174"/>
        <c:scaling>
          <c:orientation val="minMax"/>
        </c:scaling>
        <c:delete val="1"/>
        <c:axPos val="b"/>
        <c:numFmt formatCode="mm/dd/yyyy" sourceLinked="1"/>
        <c:majorTickMark val="none"/>
        <c:minorTickMark val="none"/>
        <c:tickLblPos val="nextTo"/>
        <c:crossAx val="69938156"/>
        <c:crosses val="autoZero"/>
        <c:auto val="1"/>
        <c:lblOffset val="100"/>
        <c:baseTimeUnit val="days"/>
      </c:dateAx>
      <c:valAx>
        <c:axId val="699381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6729174"/>
        <c:crosses val="autoZero"/>
        <c:crossBetween val="between"/>
      </c:valAx>
      <c:dateAx>
        <c:axId val="64272426"/>
        <c:scaling>
          <c:orientation val="minMax"/>
        </c:scaling>
        <c:delete val="1"/>
        <c:axPos val="b"/>
        <c:numFmt formatCode="mm/dd/yyyy" sourceLinked="1"/>
        <c:majorTickMark val="none"/>
        <c:minorTickMark val="none"/>
        <c:tickLblPos val="nextTo"/>
        <c:crossAx val="80450909"/>
        <c:crosses val="autoZero"/>
        <c:auto val="1"/>
        <c:lblOffset val="100"/>
        <c:baseTimeUnit val="days"/>
      </c:dateAx>
      <c:valAx>
        <c:axId val="804509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427242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-9.7139773340528812E-3</c:v>
                </c:pt>
                <c:pt idx="1">
                  <c:v>1.9073569482288777E-2</c:v>
                </c:pt>
                <c:pt idx="2">
                  <c:v>7.780748663101611E-2</c:v>
                </c:pt>
                <c:pt idx="3">
                  <c:v>4.242123542545273E-2</c:v>
                </c:pt>
                <c:pt idx="4">
                  <c:v>-1.5706806282722585E-2</c:v>
                </c:pt>
                <c:pt idx="5">
                  <c:v>-1.7408123791102459E-2</c:v>
                </c:pt>
                <c:pt idx="6">
                  <c:v>2.9773622047244208E-2</c:v>
                </c:pt>
                <c:pt idx="7">
                  <c:v>5.5436081242532964E-2</c:v>
                </c:pt>
                <c:pt idx="8">
                  <c:v>5.1165949739642169E-2</c:v>
                </c:pt>
                <c:pt idx="9">
                  <c:v>-3.7475769976308415E-2</c:v>
                </c:pt>
                <c:pt idx="10">
                  <c:v>-3.3117028417990579E-2</c:v>
                </c:pt>
                <c:pt idx="11">
                  <c:v>8.9099745429298771E-2</c:v>
                </c:pt>
                <c:pt idx="12">
                  <c:v>4.2923926901827336E-2</c:v>
                </c:pt>
                <c:pt idx="13">
                  <c:v>5.4808475957620395E-2</c:v>
                </c:pt>
                <c:pt idx="14">
                  <c:v>1.7384585667374886E-2</c:v>
                </c:pt>
                <c:pt idx="15">
                  <c:v>0.11562559331687861</c:v>
                </c:pt>
                <c:pt idx="16">
                  <c:v>3.1994554118447871E-2</c:v>
                </c:pt>
                <c:pt idx="17">
                  <c:v>7.2229551451187257E-2</c:v>
                </c:pt>
                <c:pt idx="18">
                  <c:v>-1.7071670255306093E-2</c:v>
                </c:pt>
                <c:pt idx="19">
                  <c:v>-1.2517602879048573E-3</c:v>
                </c:pt>
                <c:pt idx="20">
                  <c:v>-3.0706564311452356E-2</c:v>
                </c:pt>
                <c:pt idx="21">
                  <c:v>0.14498141263940534</c:v>
                </c:pt>
                <c:pt idx="22">
                  <c:v>2.5409373235460109E-2</c:v>
                </c:pt>
                <c:pt idx="23">
                  <c:v>-8.2599118942738858E-4</c:v>
                </c:pt>
                <c:pt idx="24">
                  <c:v>4.5604849820887416E-2</c:v>
                </c:pt>
                <c:pt idx="25">
                  <c:v>8.499143497166961E-2</c:v>
                </c:pt>
                <c:pt idx="26">
                  <c:v>-3.6434296818077527E-4</c:v>
                </c:pt>
                <c:pt idx="27">
                  <c:v>-5.3942412829546815E-2</c:v>
                </c:pt>
                <c:pt idx="28">
                  <c:v>1.001669449081799E-2</c:v>
                </c:pt>
                <c:pt idx="29">
                  <c:v>2.6191989828353357E-2</c:v>
                </c:pt>
                <c:pt idx="30">
                  <c:v>-2.2302069136414304E-2</c:v>
                </c:pt>
                <c:pt idx="31">
                  <c:v>3.7891268533772671E-2</c:v>
                </c:pt>
                <c:pt idx="32">
                  <c:v>-2.1367521367521403E-2</c:v>
                </c:pt>
                <c:pt idx="33">
                  <c:v>-1.5845290081098029E-2</c:v>
                </c:pt>
                <c:pt idx="34">
                  <c:v>-2.0537525354969444E-2</c:v>
                </c:pt>
                <c:pt idx="35">
                  <c:v>-8.5425834843386061E-2</c:v>
                </c:pt>
                <c:pt idx="36">
                  <c:v>7.5856212850268889E-2</c:v>
                </c:pt>
                <c:pt idx="37">
                  <c:v>2.0126282557221709E-2</c:v>
                </c:pt>
                <c:pt idx="38">
                  <c:v>3.4042553191489411E-2</c:v>
                </c:pt>
                <c:pt idx="39">
                  <c:v>7.8438708068337748E-2</c:v>
                </c:pt>
                <c:pt idx="40">
                  <c:v>1.6073080481036062E-2</c:v>
                </c:pt>
                <c:pt idx="41">
                  <c:v>-0.10754523728234899</c:v>
                </c:pt>
                <c:pt idx="42">
                  <c:v>0.11298138230043353</c:v>
                </c:pt>
                <c:pt idx="43">
                  <c:v>0.10403299725022919</c:v>
                </c:pt>
                <c:pt idx="44">
                  <c:v>-1.2453300124533051E-2</c:v>
                </c:pt>
                <c:pt idx="45">
                  <c:v>6.7255149222362753E-3</c:v>
                </c:pt>
                <c:pt idx="46">
                  <c:v>1.6910229645094033E-2</c:v>
                </c:pt>
                <c:pt idx="47">
                  <c:v>-4.711558201601318E-2</c:v>
                </c:pt>
                <c:pt idx="48">
                  <c:v>-0.17871377787353226</c:v>
                </c:pt>
                <c:pt idx="49">
                  <c:v>-0.16002098635886663</c:v>
                </c:pt>
                <c:pt idx="50">
                  <c:v>-0.14943785134291077</c:v>
                </c:pt>
                <c:pt idx="51">
                  <c:v>0.1057462823572608</c:v>
                </c:pt>
                <c:pt idx="52">
                  <c:v>8.9822347667275482E-2</c:v>
                </c:pt>
                <c:pt idx="53">
                  <c:v>3.427787934186477E-2</c:v>
                </c:pt>
                <c:pt idx="54">
                  <c:v>2.1063485049344521E-2</c:v>
                </c:pt>
                <c:pt idx="55">
                  <c:v>-0.11136757068667036</c:v>
                </c:pt>
                <c:pt idx="56">
                  <c:v>5.1623376623376682E-2</c:v>
                </c:pt>
                <c:pt idx="57">
                  <c:v>0.15714726767520837</c:v>
                </c:pt>
                <c:pt idx="58">
                  <c:v>-4.6558164354322251E-2</c:v>
                </c:pt>
                <c:pt idx="59">
                  <c:v>2.224709668392344E-2</c:v>
                </c:pt>
                <c:pt idx="60">
                  <c:v>9.5674787845606346E-2</c:v>
                </c:pt>
                <c:pt idx="61">
                  <c:v>-3.1355402873204152E-2</c:v>
                </c:pt>
                <c:pt idx="62">
                  <c:v>-3.0693835439773109E-2</c:v>
                </c:pt>
                <c:pt idx="63">
                  <c:v>8.2490686535392488E-3</c:v>
                </c:pt>
                <c:pt idx="64">
                  <c:v>8.8809712325151891E-2</c:v>
                </c:pt>
                <c:pt idx="65">
                  <c:v>2.0361168343230984E-2</c:v>
                </c:pt>
                <c:pt idx="66">
                  <c:v>0.10547570970424025</c:v>
                </c:pt>
                <c:pt idx="67">
                  <c:v>-7.0699473514558964E-2</c:v>
                </c:pt>
                <c:pt idx="68">
                  <c:v>5.6885189039195261E-2</c:v>
                </c:pt>
                <c:pt idx="69">
                  <c:v>6.5638332786348563E-3</c:v>
                </c:pt>
                <c:pt idx="70">
                  <c:v>-1.5650472774698554E-2</c:v>
                </c:pt>
                <c:pt idx="71">
                  <c:v>-2.0094954179087909E-2</c:v>
                </c:pt>
                <c:pt idx="72">
                  <c:v>1.1380281690140936E-2</c:v>
                </c:pt>
                <c:pt idx="73">
                  <c:v>-2.840909090909105E-2</c:v>
                </c:pt>
                <c:pt idx="74">
                  <c:v>2.3391812865497075E-2</c:v>
                </c:pt>
                <c:pt idx="75">
                  <c:v>5.0196078431372637E-2</c:v>
                </c:pt>
                <c:pt idx="76">
                  <c:v>6.1773178278032637E-2</c:v>
                </c:pt>
                <c:pt idx="77">
                  <c:v>5.9083601286173737E-2</c:v>
                </c:pt>
                <c:pt idx="78">
                  <c:v>7.1537001897533203E-2</c:v>
                </c:pt>
                <c:pt idx="79">
                  <c:v>-9.9787497786435253E-2</c:v>
                </c:pt>
                <c:pt idx="80">
                  <c:v>-4.1801908134159516E-2</c:v>
                </c:pt>
                <c:pt idx="81">
                  <c:v>-0.14411825087251084</c:v>
                </c:pt>
                <c:pt idx="82">
                  <c:v>6.0566082993523729E-2</c:v>
                </c:pt>
                <c:pt idx="83">
                  <c:v>2.4086848354630819E-2</c:v>
                </c:pt>
                <c:pt idx="84">
                  <c:v>-1.4134275618374548E-2</c:v>
                </c:pt>
                <c:pt idx="85">
                  <c:v>-9.9350358422939156E-2</c:v>
                </c:pt>
                <c:pt idx="86">
                  <c:v>0.17497823653774414</c:v>
                </c:pt>
                <c:pt idx="87">
                  <c:v>-6.0330228619814852E-3</c:v>
                </c:pt>
                <c:pt idx="88">
                  <c:v>0.13108295176232576</c:v>
                </c:pt>
                <c:pt idx="89">
                  <c:v>3.699868198079459E-2</c:v>
                </c:pt>
                <c:pt idx="90">
                  <c:v>-6.8179754879709509E-2</c:v>
                </c:pt>
                <c:pt idx="91">
                  <c:v>6.9953234606391135E-2</c:v>
                </c:pt>
                <c:pt idx="92">
                  <c:v>3.7151702786377916E-2</c:v>
                </c:pt>
                <c:pt idx="93">
                  <c:v>3.4591747146619722E-2</c:v>
                </c:pt>
                <c:pt idx="94">
                  <c:v>-6.2797012898846427E-3</c:v>
                </c:pt>
                <c:pt idx="95">
                  <c:v>2.6131511528608042E-2</c:v>
                </c:pt>
                <c:pt idx="96">
                  <c:v>-8.9880159786950298E-3</c:v>
                </c:pt>
                <c:pt idx="97">
                  <c:v>4.8286865972455573E-2</c:v>
                </c:pt>
                <c:pt idx="98">
                  <c:v>2.9640310822719007E-2</c:v>
                </c:pt>
                <c:pt idx="99">
                  <c:v>-6.9400140045125625E-2</c:v>
                </c:pt>
                <c:pt idx="100">
                  <c:v>-5.1835130841902943E-3</c:v>
                </c:pt>
                <c:pt idx="101">
                  <c:v>-1.6892175813093435E-2</c:v>
                </c:pt>
                <c:pt idx="102">
                  <c:v>-4.5392374764917087E-2</c:v>
                </c:pt>
                <c:pt idx="103">
                  <c:v>-4.970000895495652E-2</c:v>
                </c:pt>
                <c:pt idx="104">
                  <c:v>8.1040331699961943E-3</c:v>
                </c:pt>
                <c:pt idx="105">
                  <c:v>-1.7199476537670622E-2</c:v>
                </c:pt>
                <c:pt idx="106">
                  <c:v>7.5137911356286669E-3</c:v>
                </c:pt>
                <c:pt idx="107">
                  <c:v>-1.43490984612481E-2</c:v>
                </c:pt>
                <c:pt idx="108">
                  <c:v>4.4248635188200325E-2</c:v>
                </c:pt>
                <c:pt idx="109">
                  <c:v>0.15234339172704758</c:v>
                </c:pt>
                <c:pt idx="110">
                  <c:v>-4.2024832855778405E-2</c:v>
                </c:pt>
                <c:pt idx="111">
                  <c:v>1.7530741110003412E-2</c:v>
                </c:pt>
                <c:pt idx="112">
                  <c:v>7.7570017147057246E-3</c:v>
                </c:pt>
                <c:pt idx="113">
                  <c:v>-1.83114568141306E-2</c:v>
                </c:pt>
                <c:pt idx="114">
                  <c:v>8.8065368108286801E-2</c:v>
                </c:pt>
                <c:pt idx="115">
                  <c:v>2.9735265114162024E-2</c:v>
                </c:pt>
                <c:pt idx="116">
                  <c:v>-5.8931860036832706E-3</c:v>
                </c:pt>
                <c:pt idx="117">
                  <c:v>-4.1496850685439624E-3</c:v>
                </c:pt>
                <c:pt idx="118">
                  <c:v>-8.7208869707567471E-2</c:v>
                </c:pt>
                <c:pt idx="119">
                  <c:v>3.7662020053802925E-2</c:v>
                </c:pt>
                <c:pt idx="120">
                  <c:v>5.6563752062219752E-3</c:v>
                </c:pt>
                <c:pt idx="121">
                  <c:v>-1.4139520349972567E-2</c:v>
                </c:pt>
                <c:pt idx="122">
                  <c:v>-4.6592709984152214E-2</c:v>
                </c:pt>
                <c:pt idx="123">
                  <c:v>-1.6622340425531679E-4</c:v>
                </c:pt>
                <c:pt idx="124">
                  <c:v>-5.7356608478802973E-2</c:v>
                </c:pt>
                <c:pt idx="125">
                  <c:v>3.7477954144620851E-2</c:v>
                </c:pt>
                <c:pt idx="126">
                  <c:v>-3.5529111772205746E-2</c:v>
                </c:pt>
                <c:pt idx="127">
                  <c:v>-3.0845157310301907E-3</c:v>
                </c:pt>
                <c:pt idx="128">
                  <c:v>-2.4487270155587049E-2</c:v>
                </c:pt>
                <c:pt idx="129">
                  <c:v>-0.10394200271862253</c:v>
                </c:pt>
                <c:pt idx="130">
                  <c:v>8.6266181229773586E-2</c:v>
                </c:pt>
                <c:pt idx="131">
                  <c:v>-9.5521832231635684E-2</c:v>
                </c:pt>
                <c:pt idx="132">
                  <c:v>-4.2717447246526041E-2</c:v>
                </c:pt>
                <c:pt idx="133">
                  <c:v>0.15322580645161299</c:v>
                </c:pt>
                <c:pt idx="134">
                  <c:v>2.9836829836829892E-2</c:v>
                </c:pt>
                <c:pt idx="135">
                  <c:v>-7.4241738343141739E-2</c:v>
                </c:pt>
                <c:pt idx="136">
                  <c:v>-9.6332518337408302E-2</c:v>
                </c:pt>
                <c:pt idx="137">
                  <c:v>7.9870129870129869E-2</c:v>
                </c:pt>
                <c:pt idx="138">
                  <c:v>-5.0310683503708153E-2</c:v>
                </c:pt>
                <c:pt idx="139">
                  <c:v>0.11850991979738268</c:v>
                </c:pt>
                <c:pt idx="140">
                  <c:v>5.6986508161147365E-2</c:v>
                </c:pt>
                <c:pt idx="141">
                  <c:v>1.6781219316254425E-2</c:v>
                </c:pt>
                <c:pt idx="142">
                  <c:v>0.15828285488543581</c:v>
                </c:pt>
                <c:pt idx="143">
                  <c:v>0.12566318023343959</c:v>
                </c:pt>
                <c:pt idx="144">
                  <c:v>0.11681928359816851</c:v>
                </c:pt>
                <c:pt idx="145">
                  <c:v>0.10176644360040998</c:v>
                </c:pt>
                <c:pt idx="146">
                  <c:v>-8.2024623803009677E-2</c:v>
                </c:pt>
                <c:pt idx="147">
                  <c:v>1.7525035765379116E-2</c:v>
                </c:pt>
                <c:pt idx="148">
                  <c:v>3.0462800234329901E-3</c:v>
                </c:pt>
                <c:pt idx="149">
                  <c:v>2.365377876416308E-2</c:v>
                </c:pt>
                <c:pt idx="150">
                  <c:v>0.10674958635248455</c:v>
                </c:pt>
                <c:pt idx="151">
                  <c:v>-3.5055160325806689E-2</c:v>
                </c:pt>
                <c:pt idx="152">
                  <c:v>8.4944972753499437E-2</c:v>
                </c:pt>
                <c:pt idx="153">
                  <c:v>-9.7498522749655314E-2</c:v>
                </c:pt>
                <c:pt idx="154">
                  <c:v>4.1357485814055073E-2</c:v>
                </c:pt>
              </c:numCache>
            </c:numRef>
          </c:val>
          <c:extLst>
            <c:ext xmlns:c16="http://schemas.microsoft.com/office/drawing/2014/chart" uri="{C3380CC4-5D6E-409C-BE32-E72D297353CC}">
              <c16:uniqueId val="{00000000-2429-0D4C-80CE-0768FFBFDE19}"/>
            </c:ext>
          </c:extLst>
        </c:ser>
        <c:dLbls>
          <c:showLegendKey val="0"/>
          <c:showVal val="0"/>
          <c:showCatName val="0"/>
          <c:showSerName val="0"/>
          <c:showPercent val="0"/>
          <c:showBubbleSize val="0"/>
        </c:dLbls>
        <c:gapWidth val="150"/>
        <c:axId val="78924661"/>
        <c:axId val="19069825"/>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38.058701298701301</c:v>
                </c:pt>
                <c:pt idx="2">
                  <c:v>39.0574025974026</c:v>
                </c:pt>
                <c:pt idx="3">
                  <c:v>40.056103896103899</c:v>
                </c:pt>
                <c:pt idx="4">
                  <c:v>41.054805194805198</c:v>
                </c:pt>
                <c:pt idx="5">
                  <c:v>42.053506493506504</c:v>
                </c:pt>
                <c:pt idx="6">
                  <c:v>43.052207792207803</c:v>
                </c:pt>
                <c:pt idx="7">
                  <c:v>44.050909090909101</c:v>
                </c:pt>
                <c:pt idx="8">
                  <c:v>45.0496103896104</c:v>
                </c:pt>
                <c:pt idx="9">
                  <c:v>46.048311688311685</c:v>
                </c:pt>
                <c:pt idx="10">
                  <c:v>47.047012987012984</c:v>
                </c:pt>
                <c:pt idx="11">
                  <c:v>48.045714285714283</c:v>
                </c:pt>
                <c:pt idx="12">
                  <c:v>49.044415584415589</c:v>
                </c:pt>
                <c:pt idx="13">
                  <c:v>50.04311688311688</c:v>
                </c:pt>
                <c:pt idx="14">
                  <c:v>51.041818181818186</c:v>
                </c:pt>
                <c:pt idx="15">
                  <c:v>52.040519480519478</c:v>
                </c:pt>
                <c:pt idx="16">
                  <c:v>53.039220779220798</c:v>
                </c:pt>
                <c:pt idx="17">
                  <c:v>54.037922077922019</c:v>
                </c:pt>
                <c:pt idx="18">
                  <c:v>55.036623376623396</c:v>
                </c:pt>
                <c:pt idx="19">
                  <c:v>56.035324675324617</c:v>
                </c:pt>
                <c:pt idx="20">
                  <c:v>57.034025974025994</c:v>
                </c:pt>
                <c:pt idx="21">
                  <c:v>58.032727272727215</c:v>
                </c:pt>
                <c:pt idx="22">
                  <c:v>59.031428571428592</c:v>
                </c:pt>
                <c:pt idx="23">
                  <c:v>60.030129870129826</c:v>
                </c:pt>
                <c:pt idx="24">
                  <c:v>61.028831168831196</c:v>
                </c:pt>
                <c:pt idx="25">
                  <c:v>62.027532467532424</c:v>
                </c:pt>
                <c:pt idx="26">
                  <c:v>63.026233766233801</c:v>
                </c:pt>
                <c:pt idx="27">
                  <c:v>64.024935064935022</c:v>
                </c:pt>
                <c:pt idx="28">
                  <c:v>65.023636363636399</c:v>
                </c:pt>
                <c:pt idx="29">
                  <c:v>66.02233766233762</c:v>
                </c:pt>
                <c:pt idx="30">
                  <c:v>67.021038961038997</c:v>
                </c:pt>
                <c:pt idx="31">
                  <c:v>68.019740259740217</c:v>
                </c:pt>
                <c:pt idx="32">
                  <c:v>69.018441558441594</c:v>
                </c:pt>
                <c:pt idx="33">
                  <c:v>70.017142857142815</c:v>
                </c:pt>
                <c:pt idx="34">
                  <c:v>71.015844155844192</c:v>
                </c:pt>
                <c:pt idx="35">
                  <c:v>72.014545454545413</c:v>
                </c:pt>
                <c:pt idx="36">
                  <c:v>73.01324675324679</c:v>
                </c:pt>
                <c:pt idx="37">
                  <c:v>74.011948051948025</c:v>
                </c:pt>
                <c:pt idx="38">
                  <c:v>75.010649350649402</c:v>
                </c:pt>
                <c:pt idx="39">
                  <c:v>76.009350649350608</c:v>
                </c:pt>
                <c:pt idx="40">
                  <c:v>77.008051948051985</c:v>
                </c:pt>
                <c:pt idx="41">
                  <c:v>78.00675324675322</c:v>
                </c:pt>
                <c:pt idx="42">
                  <c:v>79.005454545454597</c:v>
                </c:pt>
                <c:pt idx="43">
                  <c:v>80.004155844155804</c:v>
                </c:pt>
                <c:pt idx="44">
                  <c:v>81.002857142857181</c:v>
                </c:pt>
                <c:pt idx="45">
                  <c:v>82.001558441558416</c:v>
                </c:pt>
                <c:pt idx="46">
                  <c:v>83.000259740259793</c:v>
                </c:pt>
                <c:pt idx="47">
                  <c:v>83.998961038961028</c:v>
                </c:pt>
                <c:pt idx="48">
                  <c:v>84.997662337662391</c:v>
                </c:pt>
                <c:pt idx="49">
                  <c:v>85.996363636363611</c:v>
                </c:pt>
                <c:pt idx="50">
                  <c:v>86.995064935064988</c:v>
                </c:pt>
                <c:pt idx="51">
                  <c:v>87.993766233766223</c:v>
                </c:pt>
                <c:pt idx="52">
                  <c:v>88.9924675324676</c:v>
                </c:pt>
                <c:pt idx="53">
                  <c:v>89.991168831168807</c:v>
                </c:pt>
                <c:pt idx="54">
                  <c:v>90.989870129870184</c:v>
                </c:pt>
                <c:pt idx="55">
                  <c:v>91.988571428571419</c:v>
                </c:pt>
                <c:pt idx="56">
                  <c:v>92.987272727272796</c:v>
                </c:pt>
                <c:pt idx="57">
                  <c:v>93.985974025974002</c:v>
                </c:pt>
                <c:pt idx="58">
                  <c:v>94.984675324675393</c:v>
                </c:pt>
                <c:pt idx="59">
                  <c:v>95.983376623376614</c:v>
                </c:pt>
                <c:pt idx="60">
                  <c:v>96.982077922077991</c:v>
                </c:pt>
                <c:pt idx="61">
                  <c:v>97.980779220779212</c:v>
                </c:pt>
                <c:pt idx="62">
                  <c:v>98.979480519480589</c:v>
                </c:pt>
                <c:pt idx="63">
                  <c:v>99.97818181818181</c:v>
                </c:pt>
                <c:pt idx="64">
                  <c:v>100.97688311688319</c:v>
                </c:pt>
                <c:pt idx="65">
                  <c:v>101.97558441558441</c:v>
                </c:pt>
                <c:pt idx="66">
                  <c:v>102.97428571428578</c:v>
                </c:pt>
                <c:pt idx="67">
                  <c:v>103.97298701298701</c:v>
                </c:pt>
                <c:pt idx="68">
                  <c:v>104.97168831168838</c:v>
                </c:pt>
                <c:pt idx="69">
                  <c:v>105.9703896103896</c:v>
                </c:pt>
                <c:pt idx="70">
                  <c:v>106.96909090909098</c:v>
                </c:pt>
                <c:pt idx="71">
                  <c:v>107.96779220779221</c:v>
                </c:pt>
                <c:pt idx="72">
                  <c:v>108.96649350649359</c:v>
                </c:pt>
                <c:pt idx="73">
                  <c:v>109.96519480519481</c:v>
                </c:pt>
                <c:pt idx="74">
                  <c:v>110.96389610389619</c:v>
                </c:pt>
                <c:pt idx="75">
                  <c:v>111.96259740259741</c:v>
                </c:pt>
                <c:pt idx="76">
                  <c:v>112.96129870129879</c:v>
                </c:pt>
                <c:pt idx="77">
                  <c:v>113.96000000000001</c:v>
                </c:pt>
                <c:pt idx="78">
                  <c:v>114.95870129870123</c:v>
                </c:pt>
                <c:pt idx="79">
                  <c:v>115.95740259740261</c:v>
                </c:pt>
                <c:pt idx="80">
                  <c:v>116.95610389610383</c:v>
                </c:pt>
                <c:pt idx="81">
                  <c:v>117.9548051948052</c:v>
                </c:pt>
                <c:pt idx="82">
                  <c:v>118.95350649350642</c:v>
                </c:pt>
                <c:pt idx="83">
                  <c:v>119.9522077922078</c:v>
                </c:pt>
                <c:pt idx="84">
                  <c:v>120.95090909090902</c:v>
                </c:pt>
                <c:pt idx="85">
                  <c:v>121.9496103896104</c:v>
                </c:pt>
                <c:pt idx="86">
                  <c:v>122.94831168831162</c:v>
                </c:pt>
                <c:pt idx="87">
                  <c:v>123.947012987013</c:v>
                </c:pt>
                <c:pt idx="88">
                  <c:v>124.94571428571422</c:v>
                </c:pt>
                <c:pt idx="89">
                  <c:v>125.94441558441559</c:v>
                </c:pt>
                <c:pt idx="90">
                  <c:v>126.94311688311684</c:v>
                </c:pt>
                <c:pt idx="91">
                  <c:v>127.94181818181821</c:v>
                </c:pt>
                <c:pt idx="92">
                  <c:v>128.94051948051944</c:v>
                </c:pt>
                <c:pt idx="93">
                  <c:v>129.93922077922082</c:v>
                </c:pt>
                <c:pt idx="94">
                  <c:v>130.93792207792205</c:v>
                </c:pt>
                <c:pt idx="95">
                  <c:v>131.9366233766234</c:v>
                </c:pt>
                <c:pt idx="96">
                  <c:v>132.93532467532464</c:v>
                </c:pt>
                <c:pt idx="97">
                  <c:v>133.93402597402601</c:v>
                </c:pt>
                <c:pt idx="98">
                  <c:v>134.93272727272722</c:v>
                </c:pt>
                <c:pt idx="99">
                  <c:v>135.93142857142863</c:v>
                </c:pt>
                <c:pt idx="100">
                  <c:v>136.93012987012983</c:v>
                </c:pt>
                <c:pt idx="101">
                  <c:v>137.92883116883121</c:v>
                </c:pt>
                <c:pt idx="102">
                  <c:v>138.92753246753244</c:v>
                </c:pt>
                <c:pt idx="103">
                  <c:v>139.92623376623379</c:v>
                </c:pt>
                <c:pt idx="104">
                  <c:v>140.92493506493503</c:v>
                </c:pt>
                <c:pt idx="105">
                  <c:v>141.9236363636364</c:v>
                </c:pt>
                <c:pt idx="106">
                  <c:v>142.92233766233761</c:v>
                </c:pt>
                <c:pt idx="107">
                  <c:v>143.92103896103902</c:v>
                </c:pt>
                <c:pt idx="108">
                  <c:v>144.91974025974022</c:v>
                </c:pt>
                <c:pt idx="109">
                  <c:v>145.9184415584416</c:v>
                </c:pt>
                <c:pt idx="110">
                  <c:v>146.91714285714284</c:v>
                </c:pt>
                <c:pt idx="111">
                  <c:v>147.91584415584418</c:v>
                </c:pt>
                <c:pt idx="112">
                  <c:v>148.91454545454542</c:v>
                </c:pt>
                <c:pt idx="113">
                  <c:v>149.9132467532468</c:v>
                </c:pt>
                <c:pt idx="114">
                  <c:v>150.911948051948</c:v>
                </c:pt>
                <c:pt idx="115">
                  <c:v>151.91064935064941</c:v>
                </c:pt>
                <c:pt idx="116">
                  <c:v>152.90935064935064</c:v>
                </c:pt>
                <c:pt idx="117">
                  <c:v>153.90805194805199</c:v>
                </c:pt>
                <c:pt idx="118">
                  <c:v>154.90675324675323</c:v>
                </c:pt>
                <c:pt idx="119">
                  <c:v>155.9054545454546</c:v>
                </c:pt>
                <c:pt idx="120">
                  <c:v>156.90415584415581</c:v>
                </c:pt>
                <c:pt idx="121">
                  <c:v>157.90285714285721</c:v>
                </c:pt>
                <c:pt idx="122">
                  <c:v>158.90155844155842</c:v>
                </c:pt>
                <c:pt idx="123">
                  <c:v>159.9002597402598</c:v>
                </c:pt>
                <c:pt idx="124">
                  <c:v>160.89896103896103</c:v>
                </c:pt>
                <c:pt idx="125">
                  <c:v>161.89766233766238</c:v>
                </c:pt>
                <c:pt idx="126">
                  <c:v>162.89636363636362</c:v>
                </c:pt>
                <c:pt idx="127">
                  <c:v>163.89506493506499</c:v>
                </c:pt>
                <c:pt idx="128">
                  <c:v>164.8937662337662</c:v>
                </c:pt>
                <c:pt idx="129">
                  <c:v>165.89246753246761</c:v>
                </c:pt>
                <c:pt idx="130">
                  <c:v>166.89116883116881</c:v>
                </c:pt>
                <c:pt idx="131">
                  <c:v>167.88987012987019</c:v>
                </c:pt>
                <c:pt idx="132">
                  <c:v>168.88857142857142</c:v>
                </c:pt>
                <c:pt idx="133">
                  <c:v>169.8872727272728</c:v>
                </c:pt>
                <c:pt idx="134">
                  <c:v>170.88597402597401</c:v>
                </c:pt>
                <c:pt idx="135">
                  <c:v>171.88467532467538</c:v>
                </c:pt>
                <c:pt idx="136">
                  <c:v>172.88337662337662</c:v>
                </c:pt>
                <c:pt idx="137">
                  <c:v>173.882077922078</c:v>
                </c:pt>
                <c:pt idx="138">
                  <c:v>174.8807792207792</c:v>
                </c:pt>
                <c:pt idx="139">
                  <c:v>175.87948051948058</c:v>
                </c:pt>
                <c:pt idx="140">
                  <c:v>176.87818181818182</c:v>
                </c:pt>
                <c:pt idx="141">
                  <c:v>177.87688311688319</c:v>
                </c:pt>
                <c:pt idx="142">
                  <c:v>178.87558441558443</c:v>
                </c:pt>
                <c:pt idx="143">
                  <c:v>179.8742857142858</c:v>
                </c:pt>
                <c:pt idx="144">
                  <c:v>180.87298701298701</c:v>
                </c:pt>
                <c:pt idx="145">
                  <c:v>181.87168831168839</c:v>
                </c:pt>
                <c:pt idx="146">
                  <c:v>182.87038961038962</c:v>
                </c:pt>
                <c:pt idx="147">
                  <c:v>183.869090909091</c:v>
                </c:pt>
                <c:pt idx="148">
                  <c:v>184.86779220779221</c:v>
                </c:pt>
                <c:pt idx="149">
                  <c:v>185.86649350649358</c:v>
                </c:pt>
                <c:pt idx="150">
                  <c:v>186.86519480519482</c:v>
                </c:pt>
                <c:pt idx="151">
                  <c:v>187.8638961038962</c:v>
                </c:pt>
                <c:pt idx="152">
                  <c:v>188.8625974025974</c:v>
                </c:pt>
                <c:pt idx="153">
                  <c:v>189.86129870129878</c:v>
                </c:pt>
                <c:pt idx="154">
                  <c:v>190.86</c:v>
                </c:pt>
              </c:numCache>
            </c:numRef>
          </c:val>
          <c:smooth val="0"/>
          <c:extLst>
            <c:ext xmlns:c16="http://schemas.microsoft.com/office/drawing/2014/chart" uri="{C3380CC4-5D6E-409C-BE32-E72D297353CC}">
              <c16:uniqueId val="{00000001-2429-0D4C-80CE-0768FFBFDE19}"/>
            </c:ext>
          </c:extLst>
        </c:ser>
        <c:dLbls>
          <c:showLegendKey val="0"/>
          <c:showVal val="0"/>
          <c:showCatName val="0"/>
          <c:showSerName val="0"/>
          <c:showPercent val="0"/>
          <c:showBubbleSize val="0"/>
        </c:dLbls>
        <c:hiLowLines>
          <c:spPr>
            <a:ln w="0">
              <a:noFill/>
            </a:ln>
          </c:spPr>
        </c:hiLowLines>
        <c:marker val="1"/>
        <c:smooth val="0"/>
        <c:axId val="24212511"/>
        <c:axId val="2592976"/>
      </c:lineChart>
      <c:dateAx>
        <c:axId val="78924661"/>
        <c:scaling>
          <c:orientation val="minMax"/>
        </c:scaling>
        <c:delete val="1"/>
        <c:axPos val="b"/>
        <c:numFmt formatCode="mm/dd/yyyy" sourceLinked="1"/>
        <c:majorTickMark val="none"/>
        <c:minorTickMark val="none"/>
        <c:tickLblPos val="nextTo"/>
        <c:crossAx val="19069825"/>
        <c:crosses val="autoZero"/>
        <c:auto val="1"/>
        <c:lblOffset val="100"/>
        <c:baseTimeUnit val="days"/>
      </c:dateAx>
      <c:valAx>
        <c:axId val="190698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8924661"/>
        <c:crosses val="autoZero"/>
        <c:crossBetween val="between"/>
      </c:valAx>
      <c:dateAx>
        <c:axId val="24212511"/>
        <c:scaling>
          <c:orientation val="minMax"/>
        </c:scaling>
        <c:delete val="1"/>
        <c:axPos val="b"/>
        <c:numFmt formatCode="mm/dd/yyyy" sourceLinked="1"/>
        <c:majorTickMark val="none"/>
        <c:minorTickMark val="none"/>
        <c:tickLblPos val="nextTo"/>
        <c:crossAx val="2592976"/>
        <c:crosses val="autoZero"/>
        <c:auto val="1"/>
        <c:lblOffset val="100"/>
        <c:baseTimeUnit val="days"/>
      </c:dateAx>
      <c:valAx>
        <c:axId val="25929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421251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-2.0876826722338038E-3</c:v>
                </c:pt>
                <c:pt idx="1">
                  <c:v>7.7405857740586725E-3</c:v>
                </c:pt>
                <c:pt idx="2">
                  <c:v>5.2522316794685553E-2</c:v>
                </c:pt>
                <c:pt idx="3">
                  <c:v>-1.834319526627215E-2</c:v>
                </c:pt>
                <c:pt idx="4">
                  <c:v>-8.7402049427365958E-2</c:v>
                </c:pt>
                <c:pt idx="5">
                  <c:v>-5.2840158520476299E-3</c:v>
                </c:pt>
                <c:pt idx="6">
                  <c:v>1.5272244355909681E-2</c:v>
                </c:pt>
                <c:pt idx="7">
                  <c:v>2.0492696751689632E-2</c:v>
                </c:pt>
                <c:pt idx="8">
                  <c:v>3.99487289040803E-2</c:v>
                </c:pt>
                <c:pt idx="9">
                  <c:v>-5.0123253903040177E-2</c:v>
                </c:pt>
                <c:pt idx="10">
                  <c:v>-9.7318339100346263E-3</c:v>
                </c:pt>
                <c:pt idx="11">
                  <c:v>9.1067918759554445E-2</c:v>
                </c:pt>
                <c:pt idx="12">
                  <c:v>6.9455564451561314E-2</c:v>
                </c:pt>
                <c:pt idx="13">
                  <c:v>1.9090398652442442E-2</c:v>
                </c:pt>
                <c:pt idx="14">
                  <c:v>2.0385674931129527E-2</c:v>
                </c:pt>
                <c:pt idx="15">
                  <c:v>-1.1879049676025932E-2</c:v>
                </c:pt>
                <c:pt idx="16">
                  <c:v>-2.6593806921675789E-2</c:v>
                </c:pt>
                <c:pt idx="17">
                  <c:v>9.4872754491017952E-2</c:v>
                </c:pt>
                <c:pt idx="18">
                  <c:v>-4.1018629294137243E-3</c:v>
                </c:pt>
                <c:pt idx="19">
                  <c:v>-2.402608546421825E-3</c:v>
                </c:pt>
                <c:pt idx="20">
                  <c:v>-6.36504386719422E-2</c:v>
                </c:pt>
                <c:pt idx="21">
                  <c:v>2.9946720558515549E-2</c:v>
                </c:pt>
                <c:pt idx="22">
                  <c:v>9.3471280770602849E-2</c:v>
                </c:pt>
                <c:pt idx="23">
                  <c:v>-2.2185970636215302E-2</c:v>
                </c:pt>
                <c:pt idx="24">
                  <c:v>8.1748415081748238E-3</c:v>
                </c:pt>
                <c:pt idx="25">
                  <c:v>7.5293728280655392E-2</c:v>
                </c:pt>
                <c:pt idx="26">
                  <c:v>1.7851646660510978E-2</c:v>
                </c:pt>
                <c:pt idx="27">
                  <c:v>1.1188388267311611E-2</c:v>
                </c:pt>
                <c:pt idx="28">
                  <c:v>7.2966507177033568E-2</c:v>
                </c:pt>
                <c:pt idx="29">
                  <c:v>-2.5641025641025661E-2</c:v>
                </c:pt>
                <c:pt idx="30">
                  <c:v>-2.1882151029748331E-2</c:v>
                </c:pt>
                <c:pt idx="31">
                  <c:v>3.9040795437929487E-2</c:v>
                </c:pt>
                <c:pt idx="32">
                  <c:v>-1.6887137630171689E-2</c:v>
                </c:pt>
                <c:pt idx="33">
                  <c:v>-2.2616661895218937E-2</c:v>
                </c:pt>
                <c:pt idx="34">
                  <c:v>-2.9291154071471315E-3</c:v>
                </c:pt>
                <c:pt idx="35">
                  <c:v>-7.726204465334896E-2</c:v>
                </c:pt>
                <c:pt idx="36">
                  <c:v>0.12432346386501103</c:v>
                </c:pt>
                <c:pt idx="37">
                  <c:v>-1.3733540988248638E-2</c:v>
                </c:pt>
                <c:pt idx="38">
                  <c:v>3.1151306345104768E-2</c:v>
                </c:pt>
                <c:pt idx="39">
                  <c:v>4.0929973548656573E-2</c:v>
                </c:pt>
                <c:pt idx="40">
                  <c:v>4.1995452721679927E-2</c:v>
                </c:pt>
                <c:pt idx="41">
                  <c:v>-2.5157232704402399E-2</c:v>
                </c:pt>
                <c:pt idx="42">
                  <c:v>1.2508229098090906E-2</c:v>
                </c:pt>
                <c:pt idx="43">
                  <c:v>7.2561768530559068E-2</c:v>
                </c:pt>
                <c:pt idx="44">
                  <c:v>-9.9418040737149216E-3</c:v>
                </c:pt>
                <c:pt idx="45">
                  <c:v>9.6742591231937514E-3</c:v>
                </c:pt>
                <c:pt idx="46">
                  <c:v>3.7234687689508661E-2</c:v>
                </c:pt>
                <c:pt idx="47">
                  <c:v>2.9232927970066491E-3</c:v>
                </c:pt>
                <c:pt idx="48">
                  <c:v>-0.110877929345925</c:v>
                </c:pt>
                <c:pt idx="49">
                  <c:v>3.2520325203251987E-2</c:v>
                </c:pt>
                <c:pt idx="50">
                  <c:v>-0.11582423164846323</c:v>
                </c:pt>
                <c:pt idx="51">
                  <c:v>7.2680264291870245E-2</c:v>
                </c:pt>
                <c:pt idx="52">
                  <c:v>9.7482592394215084E-2</c:v>
                </c:pt>
                <c:pt idx="53">
                  <c:v>-2.1961932650071958E-3</c:v>
                </c:pt>
                <c:pt idx="54">
                  <c:v>1.9564685742234911E-3</c:v>
                </c:pt>
                <c:pt idx="55">
                  <c:v>-0.14229924334879174</c:v>
                </c:pt>
                <c:pt idx="56">
                  <c:v>6.9294251565167997E-2</c:v>
                </c:pt>
                <c:pt idx="57">
                  <c:v>9.8469727212242564E-3</c:v>
                </c:pt>
                <c:pt idx="58">
                  <c:v>3.0965871656344568E-2</c:v>
                </c:pt>
                <c:pt idx="59">
                  <c:v>6.3905930470347094E-3</c:v>
                </c:pt>
                <c:pt idx="60">
                  <c:v>2.0701041402082954E-2</c:v>
                </c:pt>
                <c:pt idx="61">
                  <c:v>-0.15577951972128912</c:v>
                </c:pt>
                <c:pt idx="62">
                  <c:v>-7.9587324981575946E-3</c:v>
                </c:pt>
                <c:pt idx="63">
                  <c:v>-5.4969543901353113E-3</c:v>
                </c:pt>
                <c:pt idx="64">
                  <c:v>2.6889752016731272E-2</c:v>
                </c:pt>
                <c:pt idx="65">
                  <c:v>-0.10605178935117821</c:v>
                </c:pt>
                <c:pt idx="66">
                  <c:v>4.0846216436126959E-2</c:v>
                </c:pt>
                <c:pt idx="67">
                  <c:v>1.1569731081926271E-2</c:v>
                </c:pt>
                <c:pt idx="68">
                  <c:v>2.0092735703245435E-3</c:v>
                </c:pt>
                <c:pt idx="69">
                  <c:v>8.4837266697517233E-3</c:v>
                </c:pt>
                <c:pt idx="70">
                  <c:v>-3.7320281431630464E-2</c:v>
                </c:pt>
                <c:pt idx="71">
                  <c:v>2.4467747060692879E-2</c:v>
                </c:pt>
                <c:pt idx="72">
                  <c:v>1.8920595533498785E-2</c:v>
                </c:pt>
                <c:pt idx="73">
                  <c:v>3.9726027397260166E-2</c:v>
                </c:pt>
                <c:pt idx="74">
                  <c:v>0.1089152393500219</c:v>
                </c:pt>
                <c:pt idx="75">
                  <c:v>-1.0165016501650137E-2</c:v>
                </c:pt>
                <c:pt idx="76">
                  <c:v>-1.5470792211256468E-2</c:v>
                </c:pt>
                <c:pt idx="77">
                  <c:v>1.2869141154158825E-2</c:v>
                </c:pt>
                <c:pt idx="78">
                  <c:v>4.0123044001605379E-3</c:v>
                </c:pt>
                <c:pt idx="79">
                  <c:v>4.7955241774346735E-3</c:v>
                </c:pt>
                <c:pt idx="80">
                  <c:v>-6.0320827257059673E-2</c:v>
                </c:pt>
                <c:pt idx="81">
                  <c:v>3.5270880361173429E-3</c:v>
                </c:pt>
                <c:pt idx="82">
                  <c:v>2.389990158863986E-3</c:v>
                </c:pt>
                <c:pt idx="83">
                  <c:v>-9.1164095371667475E-3</c:v>
                </c:pt>
                <c:pt idx="84">
                  <c:v>-4.6567586694975294E-2</c:v>
                </c:pt>
                <c:pt idx="85">
                  <c:v>-0.14415083135391926</c:v>
                </c:pt>
                <c:pt idx="86">
                  <c:v>0.16253252385082395</c:v>
                </c:pt>
                <c:pt idx="87">
                  <c:v>-5.3416890480453616E-2</c:v>
                </c:pt>
                <c:pt idx="88">
                  <c:v>9.4892812105926705E-2</c:v>
                </c:pt>
                <c:pt idx="89">
                  <c:v>5.1828390440540328E-3</c:v>
                </c:pt>
                <c:pt idx="90">
                  <c:v>4.2967631051276101E-3</c:v>
                </c:pt>
                <c:pt idx="91">
                  <c:v>0.1283513976041073</c:v>
                </c:pt>
                <c:pt idx="92">
                  <c:v>-4.2972699696663397E-2</c:v>
                </c:pt>
                <c:pt idx="93">
                  <c:v>-3.961965134706702E-4</c:v>
                </c:pt>
                <c:pt idx="94">
                  <c:v>6.7512220901043696E-2</c:v>
                </c:pt>
                <c:pt idx="95">
                  <c:v>7.3886138613861396E-2</c:v>
                </c:pt>
                <c:pt idx="96">
                  <c:v>-2.0398755330183205E-2</c:v>
                </c:pt>
                <c:pt idx="97">
                  <c:v>4.6941176470588264E-2</c:v>
                </c:pt>
                <c:pt idx="98">
                  <c:v>3.8993145297224308E-2</c:v>
                </c:pt>
                <c:pt idx="99">
                  <c:v>0</c:v>
                </c:pt>
                <c:pt idx="100">
                  <c:v>7.0300670560243805E-3</c:v>
                </c:pt>
                <c:pt idx="101">
                  <c:v>-3.114595639566109E-2</c:v>
                </c:pt>
                <c:pt idx="102">
                  <c:v>-1.7182130584192379E-2</c:v>
                </c:pt>
                <c:pt idx="103">
                  <c:v>3.1806902774644819E-2</c:v>
                </c:pt>
                <c:pt idx="104">
                  <c:v>-4.3616090948841335E-2</c:v>
                </c:pt>
                <c:pt idx="105">
                  <c:v>-5.2577437421419404E-3</c:v>
                </c:pt>
                <c:pt idx="106">
                  <c:v>1.9533494197403467E-3</c:v>
                </c:pt>
                <c:pt idx="107">
                  <c:v>3.795871559633035E-2</c:v>
                </c:pt>
                <c:pt idx="108">
                  <c:v>6.5075682245055777E-2</c:v>
                </c:pt>
                <c:pt idx="109">
                  <c:v>8.381742738589204E-2</c:v>
                </c:pt>
                <c:pt idx="110">
                  <c:v>1.8663859111791803E-2</c:v>
                </c:pt>
                <c:pt idx="111">
                  <c:v>3.5046509442826279E-2</c:v>
                </c:pt>
                <c:pt idx="112">
                  <c:v>-0.10784313725490191</c:v>
                </c:pt>
                <c:pt idx="113">
                  <c:v>0.12606837606837606</c:v>
                </c:pt>
                <c:pt idx="114">
                  <c:v>6.8762989066594393E-2</c:v>
                </c:pt>
                <c:pt idx="115">
                  <c:v>2.1897193101116041E-2</c:v>
                </c:pt>
                <c:pt idx="116">
                  <c:v>-1.2658227848101222E-2</c:v>
                </c:pt>
                <c:pt idx="117">
                  <c:v>-4.9522373051784752E-2</c:v>
                </c:pt>
                <c:pt idx="118">
                  <c:v>-3.2795556731023634E-2</c:v>
                </c:pt>
                <c:pt idx="119">
                  <c:v>7.146112478352018E-2</c:v>
                </c:pt>
                <c:pt idx="120">
                  <c:v>3.3177371331348349E-2</c:v>
                </c:pt>
                <c:pt idx="121">
                  <c:v>-1.696171263894608E-2</c:v>
                </c:pt>
                <c:pt idx="122">
                  <c:v>4.3387218359996593E-2</c:v>
                </c:pt>
                <c:pt idx="123">
                  <c:v>2.7213614835032596E-2</c:v>
                </c:pt>
                <c:pt idx="124">
                  <c:v>-3.9856205064081607E-3</c:v>
                </c:pt>
                <c:pt idx="125">
                  <c:v>9.8469988230678762E-2</c:v>
                </c:pt>
                <c:pt idx="126">
                  <c:v>0.11985714285714288</c:v>
                </c:pt>
                <c:pt idx="127">
                  <c:v>-3.5081005230258921E-2</c:v>
                </c:pt>
                <c:pt idx="128">
                  <c:v>-5.6121099947118003E-2</c:v>
                </c:pt>
                <c:pt idx="129">
                  <c:v>1.0504937320540586E-2</c:v>
                </c:pt>
                <c:pt idx="130">
                  <c:v>1.4692632892092439E-2</c:v>
                </c:pt>
                <c:pt idx="131">
                  <c:v>2.1788129226145703E-2</c:v>
                </c:pt>
                <c:pt idx="132">
                  <c:v>1.9117647058823684E-2</c:v>
                </c:pt>
                <c:pt idx="133">
                  <c:v>-0.11806375442739081</c:v>
                </c:pt>
                <c:pt idx="134">
                  <c:v>5.5034954633348177E-2</c:v>
                </c:pt>
                <c:pt idx="135">
                  <c:v>5.6464119554490377E-2</c:v>
                </c:pt>
                <c:pt idx="136">
                  <c:v>-3.7032094481884381E-2</c:v>
                </c:pt>
                <c:pt idx="137">
                  <c:v>5.0997782705099803E-2</c:v>
                </c:pt>
                <c:pt idx="138">
                  <c:v>0.14537183544303778</c:v>
                </c:pt>
                <c:pt idx="139">
                  <c:v>3.1140275139584395E-2</c:v>
                </c:pt>
                <c:pt idx="140">
                  <c:v>8.0160768114324155E-2</c:v>
                </c:pt>
                <c:pt idx="141">
                  <c:v>-0.10785529715762276</c:v>
                </c:pt>
                <c:pt idx="142">
                  <c:v>8.2778196142037741E-2</c:v>
                </c:pt>
                <c:pt idx="143">
                  <c:v>-3.4720736143804776E-2</c:v>
                </c:pt>
                <c:pt idx="144">
                  <c:v>4.6610874023166771E-2</c:v>
                </c:pt>
                <c:pt idx="145">
                  <c:v>1.7633975852573425E-2</c:v>
                </c:pt>
                <c:pt idx="146">
                  <c:v>3.9027944007909987E-3</c:v>
                </c:pt>
                <c:pt idx="147">
                  <c:v>0.31940700808625344</c:v>
                </c:pt>
                <c:pt idx="148">
                  <c:v>1.9721851182525452E-2</c:v>
                </c:pt>
                <c:pt idx="149">
                  <c:v>-4.2071197411003292E-2</c:v>
                </c:pt>
                <c:pt idx="150">
                  <c:v>-5.2646396396396344E-2</c:v>
                </c:pt>
                <c:pt idx="151">
                  <c:v>-1.7108894077690562E-2</c:v>
                </c:pt>
                <c:pt idx="152">
                  <c:v>-8.1072909467864607E-2</c:v>
                </c:pt>
                <c:pt idx="153">
                  <c:v>-1.0481786133960003E-2</c:v>
                </c:pt>
                <c:pt idx="154">
                  <c:v>-0.13157894736842113</c:v>
                </c:pt>
              </c:numCache>
            </c:numRef>
          </c:val>
          <c:extLst>
            <c:ext xmlns:c16="http://schemas.microsoft.com/office/drawing/2014/chart" uri="{C3380CC4-5D6E-409C-BE32-E72D297353CC}">
              <c16:uniqueId val="{00000000-DD35-0B4B-BC48-1704C1322208}"/>
            </c:ext>
          </c:extLst>
        </c:ser>
        <c:dLbls>
          <c:showLegendKey val="0"/>
          <c:showVal val="0"/>
          <c:showCatName val="0"/>
          <c:showSerName val="0"/>
          <c:showPercent val="0"/>
          <c:showBubbleSize val="0"/>
        </c:dLbls>
        <c:gapWidth val="150"/>
        <c:axId val="1130899"/>
        <c:axId val="82598810"/>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48.776103896103891</c:v>
                </c:pt>
                <c:pt idx="2">
                  <c:v>49.65220779220779</c:v>
                </c:pt>
                <c:pt idx="3">
                  <c:v>50.528311688311689</c:v>
                </c:pt>
                <c:pt idx="4">
                  <c:v>51.404415584415588</c:v>
                </c:pt>
                <c:pt idx="5">
                  <c:v>52.28051948051948</c:v>
                </c:pt>
                <c:pt idx="6">
                  <c:v>53.156623376623379</c:v>
                </c:pt>
                <c:pt idx="7">
                  <c:v>54.032727272727278</c:v>
                </c:pt>
                <c:pt idx="8">
                  <c:v>54.908831168831171</c:v>
                </c:pt>
                <c:pt idx="9">
                  <c:v>55.784935064935055</c:v>
                </c:pt>
                <c:pt idx="10">
                  <c:v>56.661038961038955</c:v>
                </c:pt>
                <c:pt idx="11">
                  <c:v>57.537142857142854</c:v>
                </c:pt>
                <c:pt idx="12">
                  <c:v>58.413246753246753</c:v>
                </c:pt>
                <c:pt idx="13">
                  <c:v>59.289350649350645</c:v>
                </c:pt>
                <c:pt idx="14">
                  <c:v>60.165454545454537</c:v>
                </c:pt>
                <c:pt idx="15">
                  <c:v>61.041558441558436</c:v>
                </c:pt>
                <c:pt idx="16">
                  <c:v>61.91766233766235</c:v>
                </c:pt>
                <c:pt idx="17">
                  <c:v>62.793766233766178</c:v>
                </c:pt>
                <c:pt idx="18">
                  <c:v>63.669870129870141</c:v>
                </c:pt>
                <c:pt idx="19">
                  <c:v>64.545974025973976</c:v>
                </c:pt>
                <c:pt idx="20">
                  <c:v>65.422077922077932</c:v>
                </c:pt>
                <c:pt idx="21">
                  <c:v>66.29818181818176</c:v>
                </c:pt>
                <c:pt idx="22">
                  <c:v>67.17428571428573</c:v>
                </c:pt>
                <c:pt idx="23">
                  <c:v>68.050389610389558</c:v>
                </c:pt>
                <c:pt idx="24">
                  <c:v>68.926493506493529</c:v>
                </c:pt>
                <c:pt idx="25">
                  <c:v>69.802597402597357</c:v>
                </c:pt>
                <c:pt idx="26">
                  <c:v>70.678701298701313</c:v>
                </c:pt>
                <c:pt idx="27">
                  <c:v>71.554805194805141</c:v>
                </c:pt>
                <c:pt idx="28">
                  <c:v>72.430909090909111</c:v>
                </c:pt>
                <c:pt idx="29">
                  <c:v>73.307012987012939</c:v>
                </c:pt>
                <c:pt idx="30">
                  <c:v>74.183116883116909</c:v>
                </c:pt>
                <c:pt idx="31">
                  <c:v>75.059220779220738</c:v>
                </c:pt>
                <c:pt idx="32">
                  <c:v>75.935324675324694</c:v>
                </c:pt>
                <c:pt idx="33">
                  <c:v>76.811428571428536</c:v>
                </c:pt>
                <c:pt idx="34">
                  <c:v>77.687532467532492</c:v>
                </c:pt>
                <c:pt idx="35">
                  <c:v>78.56363636363632</c:v>
                </c:pt>
                <c:pt idx="36">
                  <c:v>79.43974025974029</c:v>
                </c:pt>
                <c:pt idx="37">
                  <c:v>80.315844155844118</c:v>
                </c:pt>
                <c:pt idx="38">
                  <c:v>81.191948051948089</c:v>
                </c:pt>
                <c:pt idx="39">
                  <c:v>82.068051948051902</c:v>
                </c:pt>
                <c:pt idx="40">
                  <c:v>82.944155844155873</c:v>
                </c:pt>
                <c:pt idx="41">
                  <c:v>83.820259740259701</c:v>
                </c:pt>
                <c:pt idx="42">
                  <c:v>84.696363636363657</c:v>
                </c:pt>
                <c:pt idx="43">
                  <c:v>85.572467532467499</c:v>
                </c:pt>
                <c:pt idx="44">
                  <c:v>86.448571428571455</c:v>
                </c:pt>
                <c:pt idx="45">
                  <c:v>87.324675324675297</c:v>
                </c:pt>
                <c:pt idx="46">
                  <c:v>88.200779220779253</c:v>
                </c:pt>
                <c:pt idx="47">
                  <c:v>89.076883116883096</c:v>
                </c:pt>
                <c:pt idx="48">
                  <c:v>89.952987012987052</c:v>
                </c:pt>
                <c:pt idx="49">
                  <c:v>90.82909090909088</c:v>
                </c:pt>
                <c:pt idx="50">
                  <c:v>91.70519480519485</c:v>
                </c:pt>
                <c:pt idx="51">
                  <c:v>92.581298701298664</c:v>
                </c:pt>
                <c:pt idx="52">
                  <c:v>93.457402597402634</c:v>
                </c:pt>
                <c:pt idx="53">
                  <c:v>94.333506493506462</c:v>
                </c:pt>
                <c:pt idx="54">
                  <c:v>95.209610389610432</c:v>
                </c:pt>
                <c:pt idx="55">
                  <c:v>96.085714285714261</c:v>
                </c:pt>
                <c:pt idx="56">
                  <c:v>96.961818181818217</c:v>
                </c:pt>
                <c:pt idx="57">
                  <c:v>97.837922077922059</c:v>
                </c:pt>
                <c:pt idx="58">
                  <c:v>98.714025974026015</c:v>
                </c:pt>
                <c:pt idx="59">
                  <c:v>99.590129870129857</c:v>
                </c:pt>
                <c:pt idx="60">
                  <c:v>100.46623376623381</c:v>
                </c:pt>
                <c:pt idx="61">
                  <c:v>101.34233766233764</c:v>
                </c:pt>
                <c:pt idx="62">
                  <c:v>102.21844155844161</c:v>
                </c:pt>
                <c:pt idx="63">
                  <c:v>103.09454545454544</c:v>
                </c:pt>
                <c:pt idx="64">
                  <c:v>103.97064935064941</c:v>
                </c:pt>
                <c:pt idx="65">
                  <c:v>104.84675324675322</c:v>
                </c:pt>
                <c:pt idx="66">
                  <c:v>105.72285714285719</c:v>
                </c:pt>
                <c:pt idx="67">
                  <c:v>106.59896103896102</c:v>
                </c:pt>
                <c:pt idx="68">
                  <c:v>107.47506493506498</c:v>
                </c:pt>
                <c:pt idx="69">
                  <c:v>108.35116883116882</c:v>
                </c:pt>
                <c:pt idx="70">
                  <c:v>109.22727272727278</c:v>
                </c:pt>
                <c:pt idx="71">
                  <c:v>110.10337662337662</c:v>
                </c:pt>
                <c:pt idx="72">
                  <c:v>110.97948051948057</c:v>
                </c:pt>
                <c:pt idx="73">
                  <c:v>111.85558441558442</c:v>
                </c:pt>
                <c:pt idx="74">
                  <c:v>112.73168831168837</c:v>
                </c:pt>
                <c:pt idx="75">
                  <c:v>113.60779220779219</c:v>
                </c:pt>
                <c:pt idx="76">
                  <c:v>114.48389610389617</c:v>
                </c:pt>
                <c:pt idx="77">
                  <c:v>115.35999999999999</c:v>
                </c:pt>
                <c:pt idx="78">
                  <c:v>116.23610389610383</c:v>
                </c:pt>
                <c:pt idx="79">
                  <c:v>117.11220779220778</c:v>
                </c:pt>
                <c:pt idx="80">
                  <c:v>117.98831168831163</c:v>
                </c:pt>
                <c:pt idx="81">
                  <c:v>118.86441558441558</c:v>
                </c:pt>
                <c:pt idx="82">
                  <c:v>119.7405194805194</c:v>
                </c:pt>
                <c:pt idx="83">
                  <c:v>120.61662337662338</c:v>
                </c:pt>
                <c:pt idx="84">
                  <c:v>121.49272727272719</c:v>
                </c:pt>
                <c:pt idx="85">
                  <c:v>122.36883116883115</c:v>
                </c:pt>
                <c:pt idx="86">
                  <c:v>123.24493506493499</c:v>
                </c:pt>
                <c:pt idx="87">
                  <c:v>124.12103896103895</c:v>
                </c:pt>
                <c:pt idx="88">
                  <c:v>124.99714285714279</c:v>
                </c:pt>
                <c:pt idx="89">
                  <c:v>125.87324675324675</c:v>
                </c:pt>
                <c:pt idx="90">
                  <c:v>126.74935064935059</c:v>
                </c:pt>
                <c:pt idx="91">
                  <c:v>127.62545454545455</c:v>
                </c:pt>
                <c:pt idx="92">
                  <c:v>128.50155844155839</c:v>
                </c:pt>
                <c:pt idx="93">
                  <c:v>129.37766233766234</c:v>
                </c:pt>
                <c:pt idx="94">
                  <c:v>130.25376623376619</c:v>
                </c:pt>
                <c:pt idx="95">
                  <c:v>131.12987012987014</c:v>
                </c:pt>
                <c:pt idx="96">
                  <c:v>132.00597402597398</c:v>
                </c:pt>
                <c:pt idx="97">
                  <c:v>132.88207792207794</c:v>
                </c:pt>
                <c:pt idx="98">
                  <c:v>133.75818181818175</c:v>
                </c:pt>
                <c:pt idx="99">
                  <c:v>134.63428571428574</c:v>
                </c:pt>
                <c:pt idx="100">
                  <c:v>135.51038961038955</c:v>
                </c:pt>
                <c:pt idx="101">
                  <c:v>136.38649350649351</c:v>
                </c:pt>
                <c:pt idx="102">
                  <c:v>137.26259740259735</c:v>
                </c:pt>
                <c:pt idx="103">
                  <c:v>138.13870129870131</c:v>
                </c:pt>
                <c:pt idx="104">
                  <c:v>139.01480519480515</c:v>
                </c:pt>
                <c:pt idx="105">
                  <c:v>139.8909090909091</c:v>
                </c:pt>
                <c:pt idx="106">
                  <c:v>140.76701298701295</c:v>
                </c:pt>
                <c:pt idx="107">
                  <c:v>141.6431168831169</c:v>
                </c:pt>
                <c:pt idx="108">
                  <c:v>142.51922077922072</c:v>
                </c:pt>
                <c:pt idx="109">
                  <c:v>143.3953246753247</c:v>
                </c:pt>
                <c:pt idx="110">
                  <c:v>144.27142857142852</c:v>
                </c:pt>
                <c:pt idx="111">
                  <c:v>145.14753246753247</c:v>
                </c:pt>
                <c:pt idx="112">
                  <c:v>146.02363636363631</c:v>
                </c:pt>
                <c:pt idx="113">
                  <c:v>146.89974025974027</c:v>
                </c:pt>
                <c:pt idx="114">
                  <c:v>147.77584415584411</c:v>
                </c:pt>
                <c:pt idx="115">
                  <c:v>148.65194805194807</c:v>
                </c:pt>
                <c:pt idx="116">
                  <c:v>149.52805194805191</c:v>
                </c:pt>
                <c:pt idx="117">
                  <c:v>150.40415584415587</c:v>
                </c:pt>
                <c:pt idx="118">
                  <c:v>151.28025974025971</c:v>
                </c:pt>
                <c:pt idx="119">
                  <c:v>152.15636363636366</c:v>
                </c:pt>
                <c:pt idx="120">
                  <c:v>153.03246753246751</c:v>
                </c:pt>
                <c:pt idx="121">
                  <c:v>153.90857142857146</c:v>
                </c:pt>
                <c:pt idx="122">
                  <c:v>154.78467532467528</c:v>
                </c:pt>
                <c:pt idx="123">
                  <c:v>155.66077922077926</c:v>
                </c:pt>
                <c:pt idx="124">
                  <c:v>156.53688311688308</c:v>
                </c:pt>
                <c:pt idx="125">
                  <c:v>157.41298701298703</c:v>
                </c:pt>
                <c:pt idx="126">
                  <c:v>158.28909090909087</c:v>
                </c:pt>
                <c:pt idx="127">
                  <c:v>159.16519480519483</c:v>
                </c:pt>
                <c:pt idx="128">
                  <c:v>160.04129870129867</c:v>
                </c:pt>
                <c:pt idx="129">
                  <c:v>160.91740259740263</c:v>
                </c:pt>
                <c:pt idx="130">
                  <c:v>161.79350649350647</c:v>
                </c:pt>
                <c:pt idx="131">
                  <c:v>162.66961038961043</c:v>
                </c:pt>
                <c:pt idx="132">
                  <c:v>163.54571428571424</c:v>
                </c:pt>
                <c:pt idx="133">
                  <c:v>164.42181818181822</c:v>
                </c:pt>
                <c:pt idx="134">
                  <c:v>165.29792207792204</c:v>
                </c:pt>
                <c:pt idx="135">
                  <c:v>166.17402597402599</c:v>
                </c:pt>
                <c:pt idx="136">
                  <c:v>167.05012987012984</c:v>
                </c:pt>
                <c:pt idx="137">
                  <c:v>167.92623376623379</c:v>
                </c:pt>
                <c:pt idx="138">
                  <c:v>168.80233766233764</c:v>
                </c:pt>
                <c:pt idx="139">
                  <c:v>169.67844155844159</c:v>
                </c:pt>
                <c:pt idx="140">
                  <c:v>170.55454545454543</c:v>
                </c:pt>
                <c:pt idx="141">
                  <c:v>171.43064935064939</c:v>
                </c:pt>
                <c:pt idx="142">
                  <c:v>172.30675324675323</c:v>
                </c:pt>
                <c:pt idx="143">
                  <c:v>173.18285714285719</c:v>
                </c:pt>
                <c:pt idx="144">
                  <c:v>174.05896103896103</c:v>
                </c:pt>
                <c:pt idx="145">
                  <c:v>174.93506493506499</c:v>
                </c:pt>
                <c:pt idx="146">
                  <c:v>175.81116883116883</c:v>
                </c:pt>
                <c:pt idx="147">
                  <c:v>176.68727272727278</c:v>
                </c:pt>
                <c:pt idx="148">
                  <c:v>177.56337662337663</c:v>
                </c:pt>
                <c:pt idx="149">
                  <c:v>178.43948051948058</c:v>
                </c:pt>
                <c:pt idx="150">
                  <c:v>179.3155844155844</c:v>
                </c:pt>
                <c:pt idx="151">
                  <c:v>180.19168831168838</c:v>
                </c:pt>
                <c:pt idx="152">
                  <c:v>181.06779220779219</c:v>
                </c:pt>
                <c:pt idx="153">
                  <c:v>181.94389610389615</c:v>
                </c:pt>
                <c:pt idx="154">
                  <c:v>182.82</c:v>
                </c:pt>
              </c:numCache>
            </c:numRef>
          </c:val>
          <c:smooth val="0"/>
          <c:extLst>
            <c:ext xmlns:c16="http://schemas.microsoft.com/office/drawing/2014/chart" uri="{C3380CC4-5D6E-409C-BE32-E72D297353CC}">
              <c16:uniqueId val="{00000001-DD35-0B4B-BC48-1704C1322208}"/>
            </c:ext>
          </c:extLst>
        </c:ser>
        <c:dLbls>
          <c:showLegendKey val="0"/>
          <c:showVal val="0"/>
          <c:showCatName val="0"/>
          <c:showSerName val="0"/>
          <c:showPercent val="0"/>
          <c:showBubbleSize val="0"/>
        </c:dLbls>
        <c:hiLowLines>
          <c:spPr>
            <a:ln w="0">
              <a:noFill/>
            </a:ln>
          </c:spPr>
        </c:hiLowLines>
        <c:marker val="1"/>
        <c:smooth val="0"/>
        <c:axId val="32060662"/>
        <c:axId val="44849444"/>
      </c:lineChart>
      <c:dateAx>
        <c:axId val="1130899"/>
        <c:scaling>
          <c:orientation val="minMax"/>
        </c:scaling>
        <c:delete val="1"/>
        <c:axPos val="b"/>
        <c:numFmt formatCode="mm/dd/yyyy" sourceLinked="1"/>
        <c:majorTickMark val="none"/>
        <c:minorTickMark val="none"/>
        <c:tickLblPos val="nextTo"/>
        <c:crossAx val="82598810"/>
        <c:crosses val="autoZero"/>
        <c:auto val="1"/>
        <c:lblOffset val="100"/>
        <c:baseTimeUnit val="days"/>
      </c:dateAx>
      <c:valAx>
        <c:axId val="825988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130899"/>
        <c:crosses val="autoZero"/>
        <c:crossBetween val="between"/>
      </c:valAx>
      <c:dateAx>
        <c:axId val="32060662"/>
        <c:scaling>
          <c:orientation val="minMax"/>
        </c:scaling>
        <c:delete val="1"/>
        <c:axPos val="b"/>
        <c:numFmt formatCode="mm/dd/yyyy" sourceLinked="1"/>
        <c:majorTickMark val="none"/>
        <c:minorTickMark val="none"/>
        <c:tickLblPos val="nextTo"/>
        <c:crossAx val="44849444"/>
        <c:crosses val="autoZero"/>
        <c:auto val="1"/>
        <c:lblOffset val="100"/>
        <c:baseTimeUnit val="days"/>
      </c:dateAx>
      <c:valAx>
        <c:axId val="448494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206066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-1.2117446015224465E-2</c:v>
                </c:pt>
                <c:pt idx="1">
                  <c:v>2.0443465953765561E-3</c:v>
                </c:pt>
                <c:pt idx="2">
                  <c:v>0.10467671060891393</c:v>
                </c:pt>
                <c:pt idx="3">
                  <c:v>-2.9833783207841025E-3</c:v>
                </c:pt>
                <c:pt idx="4">
                  <c:v>-4.274722143060905E-3</c:v>
                </c:pt>
                <c:pt idx="5">
                  <c:v>-1.4310246136233551E-2</c:v>
                </c:pt>
                <c:pt idx="6">
                  <c:v>-1.2340301974448242E-2</c:v>
                </c:pt>
                <c:pt idx="7">
                  <c:v>2.8369836836689588E-2</c:v>
                </c:pt>
                <c:pt idx="8">
                  <c:v>-1.0720411663807883E-2</c:v>
                </c:pt>
                <c:pt idx="9">
                  <c:v>-2.8753070365554079E-2</c:v>
                </c:pt>
                <c:pt idx="10">
                  <c:v>-2.3356144004760382E-2</c:v>
                </c:pt>
                <c:pt idx="11">
                  <c:v>0.10555978674790545</c:v>
                </c:pt>
                <c:pt idx="12">
                  <c:v>3.8302562689446207E-2</c:v>
                </c:pt>
                <c:pt idx="13">
                  <c:v>2.9193205944798351E-2</c:v>
                </c:pt>
                <c:pt idx="14">
                  <c:v>-8.8963383187209422E-3</c:v>
                </c:pt>
                <c:pt idx="15">
                  <c:v>-1.2228437621959132E-2</c:v>
                </c:pt>
                <c:pt idx="16">
                  <c:v>-1.2774924272356269E-2</c:v>
                </c:pt>
                <c:pt idx="17">
                  <c:v>8.6045891141942388E-2</c:v>
                </c:pt>
                <c:pt idx="18">
                  <c:v>6.240019653605211E-2</c:v>
                </c:pt>
                <c:pt idx="19">
                  <c:v>-1.3296334836397139E-2</c:v>
                </c:pt>
                <c:pt idx="20">
                  <c:v>-2.2146707288493106E-2</c:v>
                </c:pt>
                <c:pt idx="21">
                  <c:v>-1.2702216896345098E-2</c:v>
                </c:pt>
                <c:pt idx="22">
                  <c:v>6.2143464012623051E-2</c:v>
                </c:pt>
                <c:pt idx="23">
                  <c:v>6.1707233459031841E-3</c:v>
                </c:pt>
                <c:pt idx="24">
                  <c:v>-1.7830777967064115E-2</c:v>
                </c:pt>
                <c:pt idx="25">
                  <c:v>-1.0638297872340496E-2</c:v>
                </c:pt>
                <c:pt idx="26">
                  <c:v>-7.0827489481065986E-2</c:v>
                </c:pt>
                <c:pt idx="27">
                  <c:v>8.1761006289308158E-2</c:v>
                </c:pt>
                <c:pt idx="28">
                  <c:v>0.10639534883720936</c:v>
                </c:pt>
                <c:pt idx="29">
                  <c:v>2.5959012086179678E-2</c:v>
                </c:pt>
                <c:pt idx="30">
                  <c:v>-4.4765416922761814E-2</c:v>
                </c:pt>
                <c:pt idx="31">
                  <c:v>0.18187667560321708</c:v>
                </c:pt>
                <c:pt idx="32">
                  <c:v>6.9685146538426723E-2</c:v>
                </c:pt>
                <c:pt idx="33">
                  <c:v>4.8265332089235669E-2</c:v>
                </c:pt>
                <c:pt idx="34">
                  <c:v>-8.5774397151643367E-3</c:v>
                </c:pt>
                <c:pt idx="35">
                  <c:v>-0.12855044074436828</c:v>
                </c:pt>
                <c:pt idx="36">
                  <c:v>7.5583028940713781E-2</c:v>
                </c:pt>
                <c:pt idx="37">
                  <c:v>-1.2190874259839779E-3</c:v>
                </c:pt>
                <c:pt idx="38">
                  <c:v>5.7018308631211712E-2</c:v>
                </c:pt>
                <c:pt idx="39">
                  <c:v>3.340481689211483E-2</c:v>
                </c:pt>
                <c:pt idx="40">
                  <c:v>3.3522228430042267E-2</c:v>
                </c:pt>
                <c:pt idx="41">
                  <c:v>-3.4674492238782939E-2</c:v>
                </c:pt>
                <c:pt idx="42">
                  <c:v>4.7520000000000007E-2</c:v>
                </c:pt>
                <c:pt idx="43">
                  <c:v>7.9578432870016869E-2</c:v>
                </c:pt>
                <c:pt idx="44">
                  <c:v>-1.2874929258630652E-2</c:v>
                </c:pt>
                <c:pt idx="45">
                  <c:v>-5.7402895227174899E-2</c:v>
                </c:pt>
                <c:pt idx="46">
                  <c:v>5.3219797764758603E-4</c:v>
                </c:pt>
                <c:pt idx="47">
                  <c:v>1.4817629179331382E-2</c:v>
                </c:pt>
                <c:pt idx="48">
                  <c:v>-0.14444028453762636</c:v>
                </c:pt>
                <c:pt idx="49">
                  <c:v>-4.2447050586381985E-2</c:v>
                </c:pt>
                <c:pt idx="50">
                  <c:v>-0.15272826981080334</c:v>
                </c:pt>
                <c:pt idx="51">
                  <c:v>4.0992448759438194E-3</c:v>
                </c:pt>
                <c:pt idx="52">
                  <c:v>0.16018478727975927</c:v>
                </c:pt>
                <c:pt idx="53">
                  <c:v>-4.7596999722196554E-2</c:v>
                </c:pt>
                <c:pt idx="54">
                  <c:v>-6.4268351968886694E-2</c:v>
                </c:pt>
                <c:pt idx="55">
                  <c:v>-0.10245220282626766</c:v>
                </c:pt>
                <c:pt idx="56">
                  <c:v>5.6031488770548865E-2</c:v>
                </c:pt>
                <c:pt idx="57">
                  <c:v>-3.5080026310019274E-3</c:v>
                </c:pt>
                <c:pt idx="58">
                  <c:v>0.18261826182618246</c:v>
                </c:pt>
                <c:pt idx="59">
                  <c:v>-4.8837209302325602E-2</c:v>
                </c:pt>
                <c:pt idx="60">
                  <c:v>4.5672371638141751E-2</c:v>
                </c:pt>
                <c:pt idx="61">
                  <c:v>3.9562289562289576E-2</c:v>
                </c:pt>
                <c:pt idx="62">
                  <c:v>-2.9149797570850233E-2</c:v>
                </c:pt>
                <c:pt idx="63">
                  <c:v>-7.5803910666295882E-2</c:v>
                </c:pt>
                <c:pt idx="64">
                  <c:v>0.12202947959490618</c:v>
                </c:pt>
                <c:pt idx="65">
                  <c:v>-0.13905272564789994</c:v>
                </c:pt>
                <c:pt idx="66">
                  <c:v>6.539339838073488E-2</c:v>
                </c:pt>
                <c:pt idx="67">
                  <c:v>-4.5693686671862799E-2</c:v>
                </c:pt>
                <c:pt idx="68">
                  <c:v>3.2873915262889186E-2</c:v>
                </c:pt>
                <c:pt idx="69">
                  <c:v>1.3146189581891843E-2</c:v>
                </c:pt>
                <c:pt idx="70">
                  <c:v>-0.12078048780487805</c:v>
                </c:pt>
                <c:pt idx="71">
                  <c:v>-1.6533510874389812E-2</c:v>
                </c:pt>
                <c:pt idx="72">
                  <c:v>1.3990748053706481E-2</c:v>
                </c:pt>
                <c:pt idx="73">
                  <c:v>0.10537442973183486</c:v>
                </c:pt>
                <c:pt idx="74">
                  <c:v>6.4525870746929614E-2</c:v>
                </c:pt>
                <c:pt idx="75">
                  <c:v>-2.4208037825059092E-2</c:v>
                </c:pt>
                <c:pt idx="76">
                  <c:v>-0.11580579513518752</c:v>
                </c:pt>
                <c:pt idx="77">
                  <c:v>1.1617711530030661E-2</c:v>
                </c:pt>
                <c:pt idx="78">
                  <c:v>7.8223185265438699E-2</c:v>
                </c:pt>
                <c:pt idx="79">
                  <c:v>-6.8327974276526371E-3</c:v>
                </c:pt>
                <c:pt idx="80">
                  <c:v>-5.2711452853095975E-2</c:v>
                </c:pt>
                <c:pt idx="81">
                  <c:v>-7.1558261241055909E-3</c:v>
                </c:pt>
                <c:pt idx="82">
                  <c:v>8.4229776247848775E-2</c:v>
                </c:pt>
                <c:pt idx="83">
                  <c:v>-6.0224228594106588E-2</c:v>
                </c:pt>
                <c:pt idx="84">
                  <c:v>-6.6300675675675658E-2</c:v>
                </c:pt>
                <c:pt idx="85">
                  <c:v>-0.26820443238353686</c:v>
                </c:pt>
                <c:pt idx="86">
                  <c:v>7.4629171817057971E-2</c:v>
                </c:pt>
                <c:pt idx="87">
                  <c:v>-1.0783608914450071E-2</c:v>
                </c:pt>
                <c:pt idx="88">
                  <c:v>0.15959302325581404</c:v>
                </c:pt>
                <c:pt idx="89">
                  <c:v>1.1782401604412129E-2</c:v>
                </c:pt>
                <c:pt idx="90">
                  <c:v>6.3676907829534279E-2</c:v>
                </c:pt>
                <c:pt idx="91">
                  <c:v>0.14139296529233647</c:v>
                </c:pt>
                <c:pt idx="92">
                  <c:v>-4.7244897959183629E-2</c:v>
                </c:pt>
                <c:pt idx="93">
                  <c:v>1.1673985220091998E-2</c:v>
                </c:pt>
                <c:pt idx="94">
                  <c:v>0.14926953207706983</c:v>
                </c:pt>
                <c:pt idx="95">
                  <c:v>6.4848931466469972E-2</c:v>
                </c:pt>
                <c:pt idx="96">
                  <c:v>6.9204152249134898E-2</c:v>
                </c:pt>
                <c:pt idx="97">
                  <c:v>9.3851132686084693E-3</c:v>
                </c:pt>
                <c:pt idx="98">
                  <c:v>-1.9798012183392055E-2</c:v>
                </c:pt>
                <c:pt idx="99">
                  <c:v>1.831711505437883E-2</c:v>
                </c:pt>
                <c:pt idx="100">
                  <c:v>-8.1426162370513144E-2</c:v>
                </c:pt>
                <c:pt idx="101">
                  <c:v>-2.7362531689832936E-2</c:v>
                </c:pt>
                <c:pt idx="102">
                  <c:v>-5.7343160165378437E-2</c:v>
                </c:pt>
                <c:pt idx="103">
                  <c:v>0.13358123569794045</c:v>
                </c:pt>
                <c:pt idx="104">
                  <c:v>1.6654049962149919E-2</c:v>
                </c:pt>
                <c:pt idx="105">
                  <c:v>-2.6391991395714354E-2</c:v>
                </c:pt>
                <c:pt idx="106">
                  <c:v>1.1301835486063894E-2</c:v>
                </c:pt>
                <c:pt idx="107">
                  <c:v>0.10385681875472641</c:v>
                </c:pt>
                <c:pt idx="108">
                  <c:v>0.19684859556976475</c:v>
                </c:pt>
                <c:pt idx="109">
                  <c:v>3.4980601666348754E-2</c:v>
                </c:pt>
                <c:pt idx="110">
                  <c:v>-3.355251029312345E-2</c:v>
                </c:pt>
                <c:pt idx="111">
                  <c:v>0.19431550836141676</c:v>
                </c:pt>
                <c:pt idx="112">
                  <c:v>-3.3168290475430018E-2</c:v>
                </c:pt>
                <c:pt idx="113">
                  <c:v>0.11442731277533036</c:v>
                </c:pt>
                <c:pt idx="114">
                  <c:v>8.2221563395592501E-2</c:v>
                </c:pt>
                <c:pt idx="115">
                  <c:v>2.168751712172412E-2</c:v>
                </c:pt>
                <c:pt idx="116">
                  <c:v>6.3234571211511659E-2</c:v>
                </c:pt>
                <c:pt idx="117">
                  <c:v>3.7449562878278497E-2</c:v>
                </c:pt>
                <c:pt idx="118">
                  <c:v>-0.15986711501843376</c:v>
                </c:pt>
                <c:pt idx="119">
                  <c:v>0.14037710372763645</c:v>
                </c:pt>
                <c:pt idx="120">
                  <c:v>3.1292286874153863E-3</c:v>
                </c:pt>
                <c:pt idx="121">
                  <c:v>1.652474496248213E-2</c:v>
                </c:pt>
                <c:pt idx="122">
                  <c:v>0.10276188106494155</c:v>
                </c:pt>
                <c:pt idx="123">
                  <c:v>7.0961191335740192E-2</c:v>
                </c:pt>
                <c:pt idx="124">
                  <c:v>0.10755293374065089</c:v>
                </c:pt>
                <c:pt idx="125">
                  <c:v>9.4065056115655077E-2</c:v>
                </c:pt>
                <c:pt idx="126">
                  <c:v>5.1175055782549661E-2</c:v>
                </c:pt>
                <c:pt idx="127">
                  <c:v>0.10172294968986906</c:v>
                </c:pt>
                <c:pt idx="128">
                  <c:v>3.8108344801701444E-2</c:v>
                </c:pt>
                <c:pt idx="129">
                  <c:v>-4.8664674122637863E-2</c:v>
                </c:pt>
                <c:pt idx="130">
                  <c:v>4.2995768831234793E-2</c:v>
                </c:pt>
                <c:pt idx="131">
                  <c:v>4.0105912646358544E-2</c:v>
                </c:pt>
                <c:pt idx="132">
                  <c:v>-3.6901230819534336E-2</c:v>
                </c:pt>
                <c:pt idx="133">
                  <c:v>-0.10202003055508402</c:v>
                </c:pt>
                <c:pt idx="134">
                  <c:v>0.1507696462327841</c:v>
                </c:pt>
                <c:pt idx="135">
                  <c:v>-7.5798465257082004E-3</c:v>
                </c:pt>
                <c:pt idx="136">
                  <c:v>-0.15530858358950095</c:v>
                </c:pt>
                <c:pt idx="137">
                  <c:v>2.5250545882089526E-2</c:v>
                </c:pt>
                <c:pt idx="138">
                  <c:v>0.14839995631280023</c:v>
                </c:pt>
                <c:pt idx="139">
                  <c:v>8.198007560807441E-2</c:v>
                </c:pt>
                <c:pt idx="140">
                  <c:v>9.1524380864482557E-2</c:v>
                </c:pt>
                <c:pt idx="141">
                  <c:v>9.1580769850217347E-2</c:v>
                </c:pt>
                <c:pt idx="142">
                  <c:v>0.37734457129156573</c:v>
                </c:pt>
                <c:pt idx="143">
                  <c:v>-2.9659485009574049E-2</c:v>
                </c:pt>
                <c:pt idx="144">
                  <c:v>3.6348080479121192E-2</c:v>
                </c:pt>
                <c:pt idx="145">
                  <c:v>0.29294274300932099</c:v>
                </c:pt>
                <c:pt idx="146">
                  <c:v>-0.11018537590113286</c:v>
                </c:pt>
                <c:pt idx="147">
                  <c:v>0.13610953576926188</c:v>
                </c:pt>
                <c:pt idx="148">
                  <c:v>0.15523476737197051</c:v>
                </c:pt>
                <c:pt idx="149">
                  <c:v>-1.4638577059763458E-3</c:v>
                </c:pt>
                <c:pt idx="150">
                  <c:v>-0.13844903870779723</c:v>
                </c:pt>
                <c:pt idx="151">
                  <c:v>3.8336955184714583E-3</c:v>
                </c:pt>
                <c:pt idx="152">
                  <c:v>-0.13310527928111904</c:v>
                </c:pt>
                <c:pt idx="153">
                  <c:v>8.4810648448082837E-2</c:v>
                </c:pt>
                <c:pt idx="154">
                  <c:v>-0.1063249904989414</c:v>
                </c:pt>
              </c:numCache>
            </c:numRef>
          </c:val>
          <c:extLst>
            <c:ext xmlns:c16="http://schemas.microsoft.com/office/drawing/2014/chart" uri="{C3380CC4-5D6E-409C-BE32-E72D297353CC}">
              <c16:uniqueId val="{00000000-FC69-7149-8A09-4B62DF4DB0B8}"/>
            </c:ext>
          </c:extLst>
        </c:ser>
        <c:dLbls>
          <c:showLegendKey val="0"/>
          <c:showVal val="0"/>
          <c:showCatName val="0"/>
          <c:showSerName val="0"/>
          <c:showPercent val="0"/>
          <c:showBubbleSize val="0"/>
        </c:dLbls>
        <c:gapWidth val="150"/>
        <c:axId val="44165612"/>
        <c:axId val="20290731"/>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69.296363636363637</c:v>
                </c:pt>
                <c:pt idx="2">
                  <c:v>74.222727272727283</c:v>
                </c:pt>
                <c:pt idx="3">
                  <c:v>79.14909090909093</c:v>
                </c:pt>
                <c:pt idx="4">
                  <c:v>84.075454545454562</c:v>
                </c:pt>
                <c:pt idx="5">
                  <c:v>89.001818181818209</c:v>
                </c:pt>
                <c:pt idx="6">
                  <c:v>93.928181818181855</c:v>
                </c:pt>
                <c:pt idx="7">
                  <c:v>98.854545454545487</c:v>
                </c:pt>
                <c:pt idx="8">
                  <c:v>103.78090909090913</c:v>
                </c:pt>
                <c:pt idx="9">
                  <c:v>108.7072727272727</c:v>
                </c:pt>
                <c:pt idx="10">
                  <c:v>113.63363636363634</c:v>
                </c:pt>
                <c:pt idx="11">
                  <c:v>118.55999999999997</c:v>
                </c:pt>
                <c:pt idx="12">
                  <c:v>123.48636363636362</c:v>
                </c:pt>
                <c:pt idx="13">
                  <c:v>128.41272727272727</c:v>
                </c:pt>
                <c:pt idx="14">
                  <c:v>133.33909090909088</c:v>
                </c:pt>
                <c:pt idx="15">
                  <c:v>138.26545454545453</c:v>
                </c:pt>
                <c:pt idx="16">
                  <c:v>143.19181818181826</c:v>
                </c:pt>
                <c:pt idx="17">
                  <c:v>148.11818181818154</c:v>
                </c:pt>
                <c:pt idx="18">
                  <c:v>153.04454545454553</c:v>
                </c:pt>
                <c:pt idx="19">
                  <c:v>157.9709090909088</c:v>
                </c:pt>
                <c:pt idx="20">
                  <c:v>162.89727272727282</c:v>
                </c:pt>
                <c:pt idx="21">
                  <c:v>167.82363636363607</c:v>
                </c:pt>
                <c:pt idx="22">
                  <c:v>172.75000000000011</c:v>
                </c:pt>
                <c:pt idx="23">
                  <c:v>177.67636363636336</c:v>
                </c:pt>
                <c:pt idx="24">
                  <c:v>182.60272727272741</c:v>
                </c:pt>
                <c:pt idx="25">
                  <c:v>187.52909090909066</c:v>
                </c:pt>
                <c:pt idx="26">
                  <c:v>192.45545454545467</c:v>
                </c:pt>
                <c:pt idx="27">
                  <c:v>197.38181818181792</c:v>
                </c:pt>
                <c:pt idx="28">
                  <c:v>202.30818181818194</c:v>
                </c:pt>
                <c:pt idx="29">
                  <c:v>207.23454545454521</c:v>
                </c:pt>
                <c:pt idx="30">
                  <c:v>212.16090909090926</c:v>
                </c:pt>
                <c:pt idx="31">
                  <c:v>217.08727272727251</c:v>
                </c:pt>
                <c:pt idx="32">
                  <c:v>222.01363636363652</c:v>
                </c:pt>
                <c:pt idx="33">
                  <c:v>226.93999999999977</c:v>
                </c:pt>
                <c:pt idx="34">
                  <c:v>231.86636363636379</c:v>
                </c:pt>
                <c:pt idx="35">
                  <c:v>236.79272727272706</c:v>
                </c:pt>
                <c:pt idx="36">
                  <c:v>241.71909090909108</c:v>
                </c:pt>
                <c:pt idx="37">
                  <c:v>246.64545454545436</c:v>
                </c:pt>
                <c:pt idx="38">
                  <c:v>251.57181818181837</c:v>
                </c:pt>
                <c:pt idx="39">
                  <c:v>256.49818181818159</c:v>
                </c:pt>
                <c:pt idx="40">
                  <c:v>261.42454545454564</c:v>
                </c:pt>
                <c:pt idx="41">
                  <c:v>266.35090909090889</c:v>
                </c:pt>
                <c:pt idx="42">
                  <c:v>271.27727272727293</c:v>
                </c:pt>
                <c:pt idx="43">
                  <c:v>276.20363636363618</c:v>
                </c:pt>
                <c:pt idx="44">
                  <c:v>281.13000000000022</c:v>
                </c:pt>
                <c:pt idx="45">
                  <c:v>286.05636363636347</c:v>
                </c:pt>
                <c:pt idx="46">
                  <c:v>290.98272727272752</c:v>
                </c:pt>
                <c:pt idx="47">
                  <c:v>295.90909090909076</c:v>
                </c:pt>
                <c:pt idx="48">
                  <c:v>300.83545454545481</c:v>
                </c:pt>
                <c:pt idx="49">
                  <c:v>305.76181818181806</c:v>
                </c:pt>
                <c:pt idx="50">
                  <c:v>310.6881818181821</c:v>
                </c:pt>
                <c:pt idx="51">
                  <c:v>315.61454545454535</c:v>
                </c:pt>
                <c:pt idx="52">
                  <c:v>320.54090909090934</c:v>
                </c:pt>
                <c:pt idx="53">
                  <c:v>325.46727272727259</c:v>
                </c:pt>
                <c:pt idx="54">
                  <c:v>330.39363636363663</c:v>
                </c:pt>
                <c:pt idx="55">
                  <c:v>335.31999999999988</c:v>
                </c:pt>
                <c:pt idx="56">
                  <c:v>340.24636363636387</c:v>
                </c:pt>
                <c:pt idx="57">
                  <c:v>345.17272727272717</c:v>
                </c:pt>
                <c:pt idx="58">
                  <c:v>350.09909090909122</c:v>
                </c:pt>
                <c:pt idx="59">
                  <c:v>355.02545454545447</c:v>
                </c:pt>
                <c:pt idx="60">
                  <c:v>359.95181818181851</c:v>
                </c:pt>
                <c:pt idx="61">
                  <c:v>364.87818181818176</c:v>
                </c:pt>
                <c:pt idx="62">
                  <c:v>369.80454545454575</c:v>
                </c:pt>
                <c:pt idx="63">
                  <c:v>374.73090909090899</c:v>
                </c:pt>
                <c:pt idx="64">
                  <c:v>379.65727272727304</c:v>
                </c:pt>
                <c:pt idx="65">
                  <c:v>384.58363636363629</c:v>
                </c:pt>
                <c:pt idx="66">
                  <c:v>389.51000000000033</c:v>
                </c:pt>
                <c:pt idx="67">
                  <c:v>394.43636363636358</c:v>
                </c:pt>
                <c:pt idx="68">
                  <c:v>399.36272727272757</c:v>
                </c:pt>
                <c:pt idx="69">
                  <c:v>404.28909090909082</c:v>
                </c:pt>
                <c:pt idx="70">
                  <c:v>409.21545454545486</c:v>
                </c:pt>
                <c:pt idx="71">
                  <c:v>414.14181818181817</c:v>
                </c:pt>
                <c:pt idx="72">
                  <c:v>419.06818181818215</c:v>
                </c:pt>
                <c:pt idx="73">
                  <c:v>423.99454545454546</c:v>
                </c:pt>
                <c:pt idx="74">
                  <c:v>428.92090909090945</c:v>
                </c:pt>
                <c:pt idx="75">
                  <c:v>433.8472727272727</c:v>
                </c:pt>
                <c:pt idx="76">
                  <c:v>438.77363636363674</c:v>
                </c:pt>
                <c:pt idx="77">
                  <c:v>443.7</c:v>
                </c:pt>
                <c:pt idx="78">
                  <c:v>448.62636363636324</c:v>
                </c:pt>
                <c:pt idx="79">
                  <c:v>453.55272727272728</c:v>
                </c:pt>
                <c:pt idx="80">
                  <c:v>458.47909090909053</c:v>
                </c:pt>
                <c:pt idx="81">
                  <c:v>463.40545454545452</c:v>
                </c:pt>
                <c:pt idx="82">
                  <c:v>468.33181818181782</c:v>
                </c:pt>
                <c:pt idx="83">
                  <c:v>473.25818181818181</c:v>
                </c:pt>
                <c:pt idx="84">
                  <c:v>478.18454545454506</c:v>
                </c:pt>
                <c:pt idx="85">
                  <c:v>483.1109090909091</c:v>
                </c:pt>
                <c:pt idx="86">
                  <c:v>488.03727272727235</c:v>
                </c:pt>
                <c:pt idx="87">
                  <c:v>492.96363636363634</c:v>
                </c:pt>
                <c:pt idx="88">
                  <c:v>497.88999999999965</c:v>
                </c:pt>
                <c:pt idx="89">
                  <c:v>502.81636363636363</c:v>
                </c:pt>
                <c:pt idx="90">
                  <c:v>507.742727272727</c:v>
                </c:pt>
                <c:pt idx="91">
                  <c:v>512.66909090909098</c:v>
                </c:pt>
                <c:pt idx="92">
                  <c:v>517.59545454545423</c:v>
                </c:pt>
                <c:pt idx="93">
                  <c:v>522.52181818181828</c:v>
                </c:pt>
                <c:pt idx="94">
                  <c:v>527.44818181818152</c:v>
                </c:pt>
                <c:pt idx="95">
                  <c:v>532.37454545454557</c:v>
                </c:pt>
                <c:pt idx="96">
                  <c:v>537.30090909090882</c:v>
                </c:pt>
                <c:pt idx="97">
                  <c:v>542.22727272727275</c:v>
                </c:pt>
                <c:pt idx="98">
                  <c:v>547.15363636363611</c:v>
                </c:pt>
                <c:pt idx="99">
                  <c:v>552.08000000000015</c:v>
                </c:pt>
                <c:pt idx="100">
                  <c:v>557.0063636363634</c:v>
                </c:pt>
                <c:pt idx="101">
                  <c:v>561.93272727272733</c:v>
                </c:pt>
                <c:pt idx="102">
                  <c:v>566.85909090909058</c:v>
                </c:pt>
                <c:pt idx="103">
                  <c:v>571.78545454545474</c:v>
                </c:pt>
                <c:pt idx="104">
                  <c:v>576.71181818181788</c:v>
                </c:pt>
                <c:pt idx="105">
                  <c:v>581.63818181818192</c:v>
                </c:pt>
                <c:pt idx="106">
                  <c:v>586.56454545454517</c:v>
                </c:pt>
                <c:pt idx="107">
                  <c:v>591.49090909090921</c:v>
                </c:pt>
                <c:pt idx="108">
                  <c:v>596.41727272727246</c:v>
                </c:pt>
                <c:pt idx="109">
                  <c:v>601.34363636363651</c:v>
                </c:pt>
                <c:pt idx="110">
                  <c:v>606.26999999999975</c:v>
                </c:pt>
                <c:pt idx="111">
                  <c:v>611.1963636363638</c:v>
                </c:pt>
                <c:pt idx="112">
                  <c:v>616.12272727272705</c:v>
                </c:pt>
                <c:pt idx="113">
                  <c:v>621.04909090909098</c:v>
                </c:pt>
                <c:pt idx="114">
                  <c:v>625.97545454545434</c:v>
                </c:pt>
                <c:pt idx="115">
                  <c:v>630.90181818181827</c:v>
                </c:pt>
                <c:pt idx="116">
                  <c:v>635.82818181818163</c:v>
                </c:pt>
                <c:pt idx="117">
                  <c:v>640.75454545454568</c:v>
                </c:pt>
                <c:pt idx="118">
                  <c:v>645.68090909090893</c:v>
                </c:pt>
                <c:pt idx="119">
                  <c:v>650.60727272727297</c:v>
                </c:pt>
                <c:pt idx="120">
                  <c:v>655.53363636363622</c:v>
                </c:pt>
                <c:pt idx="121">
                  <c:v>660.46000000000026</c:v>
                </c:pt>
                <c:pt idx="122">
                  <c:v>665.38636363636351</c:v>
                </c:pt>
                <c:pt idx="123">
                  <c:v>670.31272727272744</c:v>
                </c:pt>
                <c:pt idx="124">
                  <c:v>675.23909090909081</c:v>
                </c:pt>
                <c:pt idx="125">
                  <c:v>680.16545454545474</c:v>
                </c:pt>
                <c:pt idx="126">
                  <c:v>685.09181818181798</c:v>
                </c:pt>
                <c:pt idx="127">
                  <c:v>690.01818181818203</c:v>
                </c:pt>
                <c:pt idx="128">
                  <c:v>694.94454545454528</c:v>
                </c:pt>
                <c:pt idx="129">
                  <c:v>699.87090909090932</c:v>
                </c:pt>
                <c:pt idx="130">
                  <c:v>704.79727272727257</c:v>
                </c:pt>
                <c:pt idx="131">
                  <c:v>709.72363636363661</c:v>
                </c:pt>
                <c:pt idx="132">
                  <c:v>714.64999999999986</c:v>
                </c:pt>
                <c:pt idx="133">
                  <c:v>719.57636363636391</c:v>
                </c:pt>
                <c:pt idx="134">
                  <c:v>724.50272727272716</c:v>
                </c:pt>
                <c:pt idx="135">
                  <c:v>729.4290909090912</c:v>
                </c:pt>
                <c:pt idx="136">
                  <c:v>734.35545454545445</c:v>
                </c:pt>
                <c:pt idx="137">
                  <c:v>739.28181818181838</c:v>
                </c:pt>
                <c:pt idx="138">
                  <c:v>744.20818181818163</c:v>
                </c:pt>
                <c:pt idx="139">
                  <c:v>749.13454545454567</c:v>
                </c:pt>
                <c:pt idx="140">
                  <c:v>754.06090909090892</c:v>
                </c:pt>
                <c:pt idx="141">
                  <c:v>758.98727272727297</c:v>
                </c:pt>
                <c:pt idx="142">
                  <c:v>763.91363636363633</c:v>
                </c:pt>
                <c:pt idx="143">
                  <c:v>768.84000000000037</c:v>
                </c:pt>
                <c:pt idx="144">
                  <c:v>773.76636363636362</c:v>
                </c:pt>
                <c:pt idx="145">
                  <c:v>778.69272727272767</c:v>
                </c:pt>
                <c:pt idx="146">
                  <c:v>783.61909090909091</c:v>
                </c:pt>
                <c:pt idx="147">
                  <c:v>788.54545454545485</c:v>
                </c:pt>
                <c:pt idx="148">
                  <c:v>793.47181818181809</c:v>
                </c:pt>
                <c:pt idx="149">
                  <c:v>798.39818181818214</c:v>
                </c:pt>
                <c:pt idx="150">
                  <c:v>803.32454545454539</c:v>
                </c:pt>
                <c:pt idx="151">
                  <c:v>808.25090909090943</c:v>
                </c:pt>
                <c:pt idx="152">
                  <c:v>813.17727272727268</c:v>
                </c:pt>
                <c:pt idx="153">
                  <c:v>818.10363636363672</c:v>
                </c:pt>
                <c:pt idx="154">
                  <c:v>823.03</c:v>
                </c:pt>
              </c:numCache>
            </c:numRef>
          </c:val>
          <c:smooth val="0"/>
          <c:extLst>
            <c:ext xmlns:c16="http://schemas.microsoft.com/office/drawing/2014/chart" uri="{C3380CC4-5D6E-409C-BE32-E72D297353CC}">
              <c16:uniqueId val="{00000001-FC69-7149-8A09-4B62DF4DB0B8}"/>
            </c:ext>
          </c:extLst>
        </c:ser>
        <c:dLbls>
          <c:showLegendKey val="0"/>
          <c:showVal val="0"/>
          <c:showCatName val="0"/>
          <c:showSerName val="0"/>
          <c:showPercent val="0"/>
          <c:showBubbleSize val="0"/>
        </c:dLbls>
        <c:hiLowLines>
          <c:spPr>
            <a:ln w="0">
              <a:noFill/>
            </a:ln>
          </c:spPr>
        </c:hiLowLines>
        <c:marker val="1"/>
        <c:smooth val="0"/>
        <c:axId val="12789030"/>
        <c:axId val="66460601"/>
      </c:lineChart>
      <c:dateAx>
        <c:axId val="44165612"/>
        <c:scaling>
          <c:orientation val="minMax"/>
        </c:scaling>
        <c:delete val="1"/>
        <c:axPos val="b"/>
        <c:numFmt formatCode="mm/dd/yyyy" sourceLinked="1"/>
        <c:majorTickMark val="none"/>
        <c:minorTickMark val="none"/>
        <c:tickLblPos val="nextTo"/>
        <c:crossAx val="20290731"/>
        <c:crosses val="autoZero"/>
        <c:auto val="1"/>
        <c:lblOffset val="100"/>
        <c:baseTimeUnit val="days"/>
      </c:dateAx>
      <c:valAx>
        <c:axId val="202907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4165612"/>
        <c:crosses val="autoZero"/>
        <c:crossBetween val="between"/>
      </c:valAx>
      <c:dateAx>
        <c:axId val="12789030"/>
        <c:scaling>
          <c:orientation val="minMax"/>
        </c:scaling>
        <c:delete val="1"/>
        <c:axPos val="b"/>
        <c:numFmt formatCode="mm/dd/yyyy" sourceLinked="1"/>
        <c:majorTickMark val="none"/>
        <c:minorTickMark val="none"/>
        <c:tickLblPos val="nextTo"/>
        <c:crossAx val="66460601"/>
        <c:crosses val="autoZero"/>
        <c:auto val="1"/>
        <c:lblOffset val="100"/>
        <c:baseTimeUnit val="days"/>
      </c:dateAx>
      <c:valAx>
        <c:axId val="664606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278903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5.9975520195838294E-2</c:v>
                </c:pt>
                <c:pt idx="1">
                  <c:v>6.2817551963048723E-2</c:v>
                </c:pt>
                <c:pt idx="2">
                  <c:v>5.4106910039113387E-2</c:v>
                </c:pt>
                <c:pt idx="3">
                  <c:v>-6.0606060606060552E-2</c:v>
                </c:pt>
                <c:pt idx="4">
                  <c:v>-3.6646916831248655E-2</c:v>
                </c:pt>
                <c:pt idx="5">
                  <c:v>-5.2164009111617338E-2</c:v>
                </c:pt>
                <c:pt idx="6">
                  <c:v>4.5421773612112526E-2</c:v>
                </c:pt>
                <c:pt idx="7">
                  <c:v>5.1954022988505599E-2</c:v>
                </c:pt>
                <c:pt idx="8">
                  <c:v>-6.5559440559439519E-3</c:v>
                </c:pt>
                <c:pt idx="9">
                  <c:v>-8.9529256489221276E-2</c:v>
                </c:pt>
                <c:pt idx="10">
                  <c:v>-2.1502778448900695E-2</c:v>
                </c:pt>
                <c:pt idx="11">
                  <c:v>0.11135802469135792</c:v>
                </c:pt>
                <c:pt idx="12">
                  <c:v>7.3983559209064742E-2</c:v>
                </c:pt>
                <c:pt idx="13">
                  <c:v>1.9859329747620835E-2</c:v>
                </c:pt>
                <c:pt idx="14">
                  <c:v>-3.0831643002028342E-2</c:v>
                </c:pt>
                <c:pt idx="15">
                  <c:v>-2.1138551695269903E-2</c:v>
                </c:pt>
                <c:pt idx="16">
                  <c:v>1.5822108189009976E-2</c:v>
                </c:pt>
                <c:pt idx="17">
                  <c:v>2.9046516522837296E-2</c:v>
                </c:pt>
                <c:pt idx="18">
                  <c:v>-1.227244835344643E-3</c:v>
                </c:pt>
                <c:pt idx="19">
                  <c:v>1.4130657382756651E-2</c:v>
                </c:pt>
                <c:pt idx="20">
                  <c:v>-8.4814216478190652E-3</c:v>
                </c:pt>
                <c:pt idx="21">
                  <c:v>0.11425661914460283</c:v>
                </c:pt>
                <c:pt idx="22">
                  <c:v>8.7369767866934733E-2</c:v>
                </c:pt>
                <c:pt idx="23">
                  <c:v>2.588670364767176E-2</c:v>
                </c:pt>
                <c:pt idx="24">
                  <c:v>8.4057021137145638E-2</c:v>
                </c:pt>
                <c:pt idx="25">
                  <c:v>9.0235792019347061E-2</c:v>
                </c:pt>
                <c:pt idx="26">
                  <c:v>6.6546513239984506E-3</c:v>
                </c:pt>
                <c:pt idx="27">
                  <c:v>8.5525409723178569E-2</c:v>
                </c:pt>
                <c:pt idx="28">
                  <c:v>4.3897487947221592E-2</c:v>
                </c:pt>
                <c:pt idx="29">
                  <c:v>6.3806514341273601E-2</c:v>
                </c:pt>
                <c:pt idx="30">
                  <c:v>3.5416428653034515E-3</c:v>
                </c:pt>
                <c:pt idx="31">
                  <c:v>7.3428961748633892E-2</c:v>
                </c:pt>
                <c:pt idx="32">
                  <c:v>-4.1679923639834637E-2</c:v>
                </c:pt>
                <c:pt idx="33">
                  <c:v>-2.6007082779991086E-2</c:v>
                </c:pt>
                <c:pt idx="34">
                  <c:v>2.045222133848279E-3</c:v>
                </c:pt>
                <c:pt idx="35">
                  <c:v>-0.13595645764825937</c:v>
                </c:pt>
                <c:pt idx="36">
                  <c:v>0.15144356955380567</c:v>
                </c:pt>
                <c:pt idx="37">
                  <c:v>1.1967175746524061E-2</c:v>
                </c:pt>
                <c:pt idx="38">
                  <c:v>1.2276157224912598E-2</c:v>
                </c:pt>
                <c:pt idx="39">
                  <c:v>2.8927458834000941E-2</c:v>
                </c:pt>
                <c:pt idx="40">
                  <c:v>0.15127595155709339</c:v>
                </c:pt>
                <c:pt idx="41">
                  <c:v>2.9679721987414309E-2</c:v>
                </c:pt>
                <c:pt idx="42">
                  <c:v>0.10270911246921477</c:v>
                </c:pt>
                <c:pt idx="43">
                  <c:v>9.0909090909090828E-2</c:v>
                </c:pt>
                <c:pt idx="44">
                  <c:v>-4.0263876251137365E-2</c:v>
                </c:pt>
                <c:pt idx="45">
                  <c:v>-2.3939322114244987E-2</c:v>
                </c:pt>
                <c:pt idx="46">
                  <c:v>1.8536506394689845E-2</c:v>
                </c:pt>
                <c:pt idx="47">
                  <c:v>2.7100055630612907E-2</c:v>
                </c:pt>
                <c:pt idx="48">
                  <c:v>-8.75116063138347E-2</c:v>
                </c:pt>
                <c:pt idx="49">
                  <c:v>-4.1295683880267942E-2</c:v>
                </c:pt>
                <c:pt idx="50">
                  <c:v>-5.1211745975588197E-2</c:v>
                </c:pt>
                <c:pt idx="51">
                  <c:v>-2.3492122681085026E-2</c:v>
                </c:pt>
                <c:pt idx="52">
                  <c:v>0.18930787589498799</c:v>
                </c:pt>
                <c:pt idx="53">
                  <c:v>3.8449189275967299E-2</c:v>
                </c:pt>
                <c:pt idx="54">
                  <c:v>-7.7297673340032458E-2</c:v>
                </c:pt>
                <c:pt idx="55">
                  <c:v>-0.13856077741476092</c:v>
                </c:pt>
                <c:pt idx="56">
                  <c:v>0.15822230866478648</c:v>
                </c:pt>
                <c:pt idx="57">
                  <c:v>-2.6028547439126748E-2</c:v>
                </c:pt>
                <c:pt idx="58">
                  <c:v>4.6551724137931183E-2</c:v>
                </c:pt>
                <c:pt idx="59">
                  <c:v>2.8995057660625934E-2</c:v>
                </c:pt>
                <c:pt idx="60">
                  <c:v>7.9090617995517309E-2</c:v>
                </c:pt>
                <c:pt idx="61">
                  <c:v>2.3738872403560762E-2</c:v>
                </c:pt>
                <c:pt idx="62">
                  <c:v>2.565217391304353E-2</c:v>
                </c:pt>
                <c:pt idx="63">
                  <c:v>-4.3379963261268806E-2</c:v>
                </c:pt>
                <c:pt idx="64">
                  <c:v>9.0324963072378139E-2</c:v>
                </c:pt>
                <c:pt idx="65">
                  <c:v>-3.8271354060827822E-2</c:v>
                </c:pt>
                <c:pt idx="66">
                  <c:v>-2.1129736582614633E-4</c:v>
                </c:pt>
                <c:pt idx="67">
                  <c:v>-2.6065516026769875E-2</c:v>
                </c:pt>
                <c:pt idx="68">
                  <c:v>3.0307414104882469E-2</c:v>
                </c:pt>
                <c:pt idx="69">
                  <c:v>-5.7497893850042114E-2</c:v>
                </c:pt>
                <c:pt idx="70">
                  <c:v>3.3519553072625108E-3</c:v>
                </c:pt>
                <c:pt idx="71">
                  <c:v>1.714922048997769E-2</c:v>
                </c:pt>
                <c:pt idx="72">
                  <c:v>5.4448580395591639E-2</c:v>
                </c:pt>
                <c:pt idx="73">
                  <c:v>-5.9251055582473899E-2</c:v>
                </c:pt>
                <c:pt idx="74">
                  <c:v>1.3244058568170125E-2</c:v>
                </c:pt>
                <c:pt idx="75">
                  <c:v>3.5654636555079389E-2</c:v>
                </c:pt>
                <c:pt idx="76">
                  <c:v>-0.15811246669471335</c:v>
                </c:pt>
                <c:pt idx="77">
                  <c:v>8.1369201299242189E-2</c:v>
                </c:pt>
                <c:pt idx="78">
                  <c:v>6.9393099199014152E-2</c:v>
                </c:pt>
                <c:pt idx="79">
                  <c:v>-3.1832913215700254E-2</c:v>
                </c:pt>
                <c:pt idx="80">
                  <c:v>-7.0743137692479419E-2</c:v>
                </c:pt>
                <c:pt idx="81">
                  <c:v>-9.7902657700928652E-2</c:v>
                </c:pt>
                <c:pt idx="82">
                  <c:v>7.9687638654716508E-2</c:v>
                </c:pt>
                <c:pt idx="83">
                  <c:v>-3.2629243034437372E-2</c:v>
                </c:pt>
                <c:pt idx="84">
                  <c:v>-6.8224299065420602E-2</c:v>
                </c:pt>
                <c:pt idx="85">
                  <c:v>-0.14005653323607181</c:v>
                </c:pt>
                <c:pt idx="86">
                  <c:v>0.17622733538331037</c:v>
                </c:pt>
                <c:pt idx="87">
                  <c:v>-8.5098710898765084E-2</c:v>
                </c:pt>
                <c:pt idx="88">
                  <c:v>9.3802345058626502E-2</c:v>
                </c:pt>
                <c:pt idx="89">
                  <c:v>3.1438609134312179E-2</c:v>
                </c:pt>
                <c:pt idx="90">
                  <c:v>1.8777292576419358E-2</c:v>
                </c:pt>
                <c:pt idx="91">
                  <c:v>0.16073724817831114</c:v>
                </c:pt>
                <c:pt idx="92">
                  <c:v>-3.0354505169867152E-2</c:v>
                </c:pt>
                <c:pt idx="93">
                  <c:v>2.924822911112801E-2</c:v>
                </c:pt>
                <c:pt idx="94">
                  <c:v>4.8767853178420806E-2</c:v>
                </c:pt>
                <c:pt idx="95">
                  <c:v>1.7640417725091062E-3</c:v>
                </c:pt>
                <c:pt idx="96">
                  <c:v>1.3242234274846831E-2</c:v>
                </c:pt>
                <c:pt idx="97">
                  <c:v>9.6628432394855857E-2</c:v>
                </c:pt>
                <c:pt idx="98">
                  <c:v>1.0079239302694054E-2</c:v>
                </c:pt>
                <c:pt idx="99">
                  <c:v>3.5019455252918164E-2</c:v>
                </c:pt>
                <c:pt idx="100">
                  <c:v>4.5415959252971261E-2</c:v>
                </c:pt>
                <c:pt idx="101">
                  <c:v>6.3221390870600302E-3</c:v>
                </c:pt>
                <c:pt idx="102">
                  <c:v>1.2680115273775439E-3</c:v>
                </c:pt>
                <c:pt idx="103">
                  <c:v>5.1692378540179496E-2</c:v>
                </c:pt>
                <c:pt idx="104">
                  <c:v>-1.2315270935960632E-2</c:v>
                </c:pt>
                <c:pt idx="105">
                  <c:v>-1.3632585203657399E-2</c:v>
                </c:pt>
                <c:pt idx="106">
                  <c:v>-2.1405696949266861E-2</c:v>
                </c:pt>
                <c:pt idx="107">
                  <c:v>-4.1106900907107558E-2</c:v>
                </c:pt>
                <c:pt idx="108">
                  <c:v>6.4662914621003376E-2</c:v>
                </c:pt>
                <c:pt idx="109">
                  <c:v>-6.46721403666628E-3</c:v>
                </c:pt>
                <c:pt idx="110">
                  <c:v>8.6036112526179931E-3</c:v>
                </c:pt>
                <c:pt idx="111">
                  <c:v>5.292103934003034E-2</c:v>
                </c:pt>
                <c:pt idx="112">
                  <c:v>-2.3771452936787174E-2</c:v>
                </c:pt>
                <c:pt idx="113">
                  <c:v>3.2758244158115346E-4</c:v>
                </c:pt>
                <c:pt idx="114">
                  <c:v>1.6592075100971382E-2</c:v>
                </c:pt>
                <c:pt idx="115">
                  <c:v>8.7136261140341453E-2</c:v>
                </c:pt>
                <c:pt idx="116">
                  <c:v>-7.0818312015408225E-2</c:v>
                </c:pt>
                <c:pt idx="117">
                  <c:v>1.0736114802019525E-2</c:v>
                </c:pt>
                <c:pt idx="118">
                  <c:v>-5.9367933953830776E-2</c:v>
                </c:pt>
                <c:pt idx="119">
                  <c:v>-1.0509838998211118E-2</c:v>
                </c:pt>
                <c:pt idx="120">
                  <c:v>3.0564971751412484E-2</c:v>
                </c:pt>
                <c:pt idx="121">
                  <c:v>-4.0513129762622557E-2</c:v>
                </c:pt>
                <c:pt idx="122">
                  <c:v>3.4110387384298946E-2</c:v>
                </c:pt>
                <c:pt idx="123">
                  <c:v>5.2710094480358016E-2</c:v>
                </c:pt>
                <c:pt idx="124">
                  <c:v>-8.817509053692385E-3</c:v>
                </c:pt>
                <c:pt idx="125">
                  <c:v>-2.1127879269261185E-2</c:v>
                </c:pt>
                <c:pt idx="126">
                  <c:v>7.4110137401275367E-3</c:v>
                </c:pt>
                <c:pt idx="127">
                  <c:v>7.7323739461956364E-3</c:v>
                </c:pt>
                <c:pt idx="128">
                  <c:v>1.8436617466830008E-2</c:v>
                </c:pt>
                <c:pt idx="129">
                  <c:v>-2.9927274629833134E-2</c:v>
                </c:pt>
                <c:pt idx="130">
                  <c:v>-1.4022976107006091E-2</c:v>
                </c:pt>
                <c:pt idx="131">
                  <c:v>3.8345823532629497E-2</c:v>
                </c:pt>
                <c:pt idx="132">
                  <c:v>-6.6536718996944466E-2</c:v>
                </c:pt>
                <c:pt idx="133">
                  <c:v>3.5555053896947353E-3</c:v>
                </c:pt>
                <c:pt idx="134">
                  <c:v>1.3665504442694987E-2</c:v>
                </c:pt>
                <c:pt idx="135">
                  <c:v>-4.1886269070735116E-2</c:v>
                </c:pt>
                <c:pt idx="136">
                  <c:v>-2.9994209612043909E-2</c:v>
                </c:pt>
                <c:pt idx="137">
                  <c:v>5.8918338108882473E-2</c:v>
                </c:pt>
                <c:pt idx="138">
                  <c:v>6.3363211004002551E-2</c:v>
                </c:pt>
                <c:pt idx="139">
                  <c:v>6.9183056777819107E-2</c:v>
                </c:pt>
                <c:pt idx="140">
                  <c:v>3.2675525585085241E-2</c:v>
                </c:pt>
                <c:pt idx="141">
                  <c:v>-4.715033370144539E-2</c:v>
                </c:pt>
                <c:pt idx="142">
                  <c:v>8.4404132023179645E-2</c:v>
                </c:pt>
                <c:pt idx="143">
                  <c:v>4.702602230483266E-2</c:v>
                </c:pt>
                <c:pt idx="144">
                  <c:v>-4.4336943014379515E-2</c:v>
                </c:pt>
                <c:pt idx="145">
                  <c:v>-1.9458505549621585E-2</c:v>
                </c:pt>
                <c:pt idx="146">
                  <c:v>-2.8606611726816333E-2</c:v>
                </c:pt>
                <c:pt idx="147">
                  <c:v>4.388103364212359E-4</c:v>
                </c:pt>
                <c:pt idx="148">
                  <c:v>2.6804425166918389E-2</c:v>
                </c:pt>
                <c:pt idx="149">
                  <c:v>-8.6192984954198137E-2</c:v>
                </c:pt>
                <c:pt idx="150">
                  <c:v>1.1946190204124019E-2</c:v>
                </c:pt>
                <c:pt idx="151">
                  <c:v>8.2790124724118508E-2</c:v>
                </c:pt>
                <c:pt idx="152">
                  <c:v>-3.8632916192643196E-2</c:v>
                </c:pt>
                <c:pt idx="153">
                  <c:v>1.9870815048567581E-2</c:v>
                </c:pt>
                <c:pt idx="154">
                  <c:v>-2.9443047766389507E-2</c:v>
                </c:pt>
              </c:numCache>
            </c:numRef>
          </c:val>
          <c:extLst>
            <c:ext xmlns:c16="http://schemas.microsoft.com/office/drawing/2014/chart" uri="{C3380CC4-5D6E-409C-BE32-E72D297353CC}">
              <c16:uniqueId val="{00000000-3EE8-2F4C-9570-C2AE539BB1B3}"/>
            </c:ext>
          </c:extLst>
        </c:ser>
        <c:dLbls>
          <c:showLegendKey val="0"/>
          <c:showVal val="0"/>
          <c:showCatName val="0"/>
          <c:showSerName val="0"/>
          <c:showPercent val="0"/>
          <c:showBubbleSize val="0"/>
        </c:dLbls>
        <c:gapWidth val="150"/>
        <c:axId val="73313591"/>
        <c:axId val="93960867"/>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41.888311688311688</c:v>
                </c:pt>
                <c:pt idx="2">
                  <c:v>42.926623376623382</c:v>
                </c:pt>
                <c:pt idx="3">
                  <c:v>43.964935064935069</c:v>
                </c:pt>
                <c:pt idx="4">
                  <c:v>45.003246753246756</c:v>
                </c:pt>
                <c:pt idx="5">
                  <c:v>46.04155844155845</c:v>
                </c:pt>
                <c:pt idx="6">
                  <c:v>47.079870129870137</c:v>
                </c:pt>
                <c:pt idx="7">
                  <c:v>48.118181818181824</c:v>
                </c:pt>
                <c:pt idx="8">
                  <c:v>49.156493506493518</c:v>
                </c:pt>
                <c:pt idx="9">
                  <c:v>50.194805194805191</c:v>
                </c:pt>
                <c:pt idx="10">
                  <c:v>51.233116883116878</c:v>
                </c:pt>
                <c:pt idx="11">
                  <c:v>52.271428571428572</c:v>
                </c:pt>
                <c:pt idx="12">
                  <c:v>53.309740259740259</c:v>
                </c:pt>
                <c:pt idx="13">
                  <c:v>54.348051948051946</c:v>
                </c:pt>
                <c:pt idx="14">
                  <c:v>55.38636363636364</c:v>
                </c:pt>
                <c:pt idx="15">
                  <c:v>56.424675324675327</c:v>
                </c:pt>
                <c:pt idx="16">
                  <c:v>57.462987012987028</c:v>
                </c:pt>
                <c:pt idx="17">
                  <c:v>58.501298701298637</c:v>
                </c:pt>
                <c:pt idx="18">
                  <c:v>59.539610389610417</c:v>
                </c:pt>
                <c:pt idx="19">
                  <c:v>60.577922077922025</c:v>
                </c:pt>
                <c:pt idx="20">
                  <c:v>61.61623376623379</c:v>
                </c:pt>
                <c:pt idx="21">
                  <c:v>62.654545454545399</c:v>
                </c:pt>
                <c:pt idx="22">
                  <c:v>63.692857142857164</c:v>
                </c:pt>
                <c:pt idx="23">
                  <c:v>64.731168831168787</c:v>
                </c:pt>
                <c:pt idx="24">
                  <c:v>65.769480519480553</c:v>
                </c:pt>
                <c:pt idx="25">
                  <c:v>66.807792207792161</c:v>
                </c:pt>
                <c:pt idx="26">
                  <c:v>67.846103896103926</c:v>
                </c:pt>
                <c:pt idx="27">
                  <c:v>68.884415584415535</c:v>
                </c:pt>
                <c:pt idx="28">
                  <c:v>69.9227272727273</c:v>
                </c:pt>
                <c:pt idx="29">
                  <c:v>70.961038961038923</c:v>
                </c:pt>
                <c:pt idx="30">
                  <c:v>71.999350649350689</c:v>
                </c:pt>
                <c:pt idx="31">
                  <c:v>73.037662337662283</c:v>
                </c:pt>
                <c:pt idx="32">
                  <c:v>74.075974025974062</c:v>
                </c:pt>
                <c:pt idx="33">
                  <c:v>75.114285714285671</c:v>
                </c:pt>
                <c:pt idx="34">
                  <c:v>76.152597402597436</c:v>
                </c:pt>
                <c:pt idx="35">
                  <c:v>77.190909090909045</c:v>
                </c:pt>
                <c:pt idx="36">
                  <c:v>78.229220779220825</c:v>
                </c:pt>
                <c:pt idx="37">
                  <c:v>79.267532467532433</c:v>
                </c:pt>
                <c:pt idx="38">
                  <c:v>80.305844155844198</c:v>
                </c:pt>
                <c:pt idx="39">
                  <c:v>81.344155844155807</c:v>
                </c:pt>
                <c:pt idx="40">
                  <c:v>82.382467532467572</c:v>
                </c:pt>
                <c:pt idx="41">
                  <c:v>83.420779220779181</c:v>
                </c:pt>
                <c:pt idx="42">
                  <c:v>84.459090909090946</c:v>
                </c:pt>
                <c:pt idx="43">
                  <c:v>85.497402597402555</c:v>
                </c:pt>
                <c:pt idx="44">
                  <c:v>86.535714285714334</c:v>
                </c:pt>
                <c:pt idx="45">
                  <c:v>87.574025974025943</c:v>
                </c:pt>
                <c:pt idx="46">
                  <c:v>88.612337662337723</c:v>
                </c:pt>
                <c:pt idx="47">
                  <c:v>89.650649350649331</c:v>
                </c:pt>
                <c:pt idx="48">
                  <c:v>90.688961038961097</c:v>
                </c:pt>
                <c:pt idx="49">
                  <c:v>91.727272727272705</c:v>
                </c:pt>
                <c:pt idx="50">
                  <c:v>92.76558441558447</c:v>
                </c:pt>
                <c:pt idx="51">
                  <c:v>93.803896103896079</c:v>
                </c:pt>
                <c:pt idx="52">
                  <c:v>94.842207792207859</c:v>
                </c:pt>
                <c:pt idx="53">
                  <c:v>95.880519480519467</c:v>
                </c:pt>
                <c:pt idx="54">
                  <c:v>96.918831168831218</c:v>
                </c:pt>
                <c:pt idx="55">
                  <c:v>97.957142857142827</c:v>
                </c:pt>
                <c:pt idx="56">
                  <c:v>98.995454545454606</c:v>
                </c:pt>
                <c:pt idx="57">
                  <c:v>100.03376623376622</c:v>
                </c:pt>
                <c:pt idx="58">
                  <c:v>101.07207792207799</c:v>
                </c:pt>
                <c:pt idx="59">
                  <c:v>102.1103896103896</c:v>
                </c:pt>
                <c:pt idx="60">
                  <c:v>103.14870129870137</c:v>
                </c:pt>
                <c:pt idx="61">
                  <c:v>104.18701298701298</c:v>
                </c:pt>
                <c:pt idx="62">
                  <c:v>105.22532467532474</c:v>
                </c:pt>
                <c:pt idx="63">
                  <c:v>106.26363636363635</c:v>
                </c:pt>
                <c:pt idx="64">
                  <c:v>107.30194805194813</c:v>
                </c:pt>
                <c:pt idx="65">
                  <c:v>108.34025974025974</c:v>
                </c:pt>
                <c:pt idx="66">
                  <c:v>109.37857142857149</c:v>
                </c:pt>
                <c:pt idx="67">
                  <c:v>110.4168831168831</c:v>
                </c:pt>
                <c:pt idx="68">
                  <c:v>111.45519480519488</c:v>
                </c:pt>
                <c:pt idx="69">
                  <c:v>112.49350649350649</c:v>
                </c:pt>
                <c:pt idx="70">
                  <c:v>113.53181818181827</c:v>
                </c:pt>
                <c:pt idx="71">
                  <c:v>114.57012987012988</c:v>
                </c:pt>
                <c:pt idx="72">
                  <c:v>115.60844155844165</c:v>
                </c:pt>
                <c:pt idx="73">
                  <c:v>116.64675324675326</c:v>
                </c:pt>
                <c:pt idx="74">
                  <c:v>117.68506493506501</c:v>
                </c:pt>
                <c:pt idx="75">
                  <c:v>118.72337662337662</c:v>
                </c:pt>
                <c:pt idx="76">
                  <c:v>119.7616883116884</c:v>
                </c:pt>
                <c:pt idx="77">
                  <c:v>120.80000000000001</c:v>
                </c:pt>
                <c:pt idx="78">
                  <c:v>121.83831168831162</c:v>
                </c:pt>
                <c:pt idx="79">
                  <c:v>122.87662337662337</c:v>
                </c:pt>
                <c:pt idx="80">
                  <c:v>123.91493506493498</c:v>
                </c:pt>
                <c:pt idx="81">
                  <c:v>124.95324675324676</c:v>
                </c:pt>
                <c:pt idx="82">
                  <c:v>125.99155844155837</c:v>
                </c:pt>
                <c:pt idx="83">
                  <c:v>127.02987012987015</c:v>
                </c:pt>
                <c:pt idx="84">
                  <c:v>128.06818181818176</c:v>
                </c:pt>
                <c:pt idx="85">
                  <c:v>129.10649350649351</c:v>
                </c:pt>
                <c:pt idx="86">
                  <c:v>130.14480519480512</c:v>
                </c:pt>
                <c:pt idx="87">
                  <c:v>131.1831168831169</c:v>
                </c:pt>
                <c:pt idx="88">
                  <c:v>132.2214285714285</c:v>
                </c:pt>
                <c:pt idx="89">
                  <c:v>133.25974025974025</c:v>
                </c:pt>
                <c:pt idx="90">
                  <c:v>134.29805194805189</c:v>
                </c:pt>
                <c:pt idx="91">
                  <c:v>135.33636363636367</c:v>
                </c:pt>
                <c:pt idx="92">
                  <c:v>136.37467532467528</c:v>
                </c:pt>
                <c:pt idx="93">
                  <c:v>137.41298701298703</c:v>
                </c:pt>
                <c:pt idx="94">
                  <c:v>138.45129870129864</c:v>
                </c:pt>
                <c:pt idx="95">
                  <c:v>139.48961038961042</c:v>
                </c:pt>
                <c:pt idx="96">
                  <c:v>140.52792207792203</c:v>
                </c:pt>
                <c:pt idx="97">
                  <c:v>141.56623376623381</c:v>
                </c:pt>
                <c:pt idx="98">
                  <c:v>142.60454545454542</c:v>
                </c:pt>
                <c:pt idx="99">
                  <c:v>143.64285714285717</c:v>
                </c:pt>
                <c:pt idx="100">
                  <c:v>144.68116883116878</c:v>
                </c:pt>
                <c:pt idx="101">
                  <c:v>145.71948051948056</c:v>
                </c:pt>
                <c:pt idx="102">
                  <c:v>146.75779220779216</c:v>
                </c:pt>
                <c:pt idx="103">
                  <c:v>147.79610389610392</c:v>
                </c:pt>
                <c:pt idx="104">
                  <c:v>148.83441558441552</c:v>
                </c:pt>
                <c:pt idx="105">
                  <c:v>149.8727272727273</c:v>
                </c:pt>
                <c:pt idx="106">
                  <c:v>150.91103896103891</c:v>
                </c:pt>
                <c:pt idx="107">
                  <c:v>151.94935064935069</c:v>
                </c:pt>
                <c:pt idx="108">
                  <c:v>152.9876623376623</c:v>
                </c:pt>
                <c:pt idx="109">
                  <c:v>154.02597402597405</c:v>
                </c:pt>
                <c:pt idx="110">
                  <c:v>155.06428571428566</c:v>
                </c:pt>
                <c:pt idx="111">
                  <c:v>156.10259740259744</c:v>
                </c:pt>
                <c:pt idx="112">
                  <c:v>157.14090909090905</c:v>
                </c:pt>
                <c:pt idx="113">
                  <c:v>158.17922077922083</c:v>
                </c:pt>
                <c:pt idx="114">
                  <c:v>159.21753246753244</c:v>
                </c:pt>
                <c:pt idx="115">
                  <c:v>160.25584415584419</c:v>
                </c:pt>
                <c:pt idx="116">
                  <c:v>161.29415584415582</c:v>
                </c:pt>
                <c:pt idx="117">
                  <c:v>162.33246753246758</c:v>
                </c:pt>
                <c:pt idx="118">
                  <c:v>163.37077922077918</c:v>
                </c:pt>
                <c:pt idx="119">
                  <c:v>164.40909090909096</c:v>
                </c:pt>
                <c:pt idx="120">
                  <c:v>165.44740259740257</c:v>
                </c:pt>
                <c:pt idx="121">
                  <c:v>166.48571428571435</c:v>
                </c:pt>
                <c:pt idx="122">
                  <c:v>167.52402597402596</c:v>
                </c:pt>
                <c:pt idx="123">
                  <c:v>168.56233766233771</c:v>
                </c:pt>
                <c:pt idx="124">
                  <c:v>169.60064935064932</c:v>
                </c:pt>
                <c:pt idx="125">
                  <c:v>170.6389610389611</c:v>
                </c:pt>
                <c:pt idx="126">
                  <c:v>171.67727272727271</c:v>
                </c:pt>
                <c:pt idx="127">
                  <c:v>172.71558441558446</c:v>
                </c:pt>
                <c:pt idx="128">
                  <c:v>173.75389610389607</c:v>
                </c:pt>
                <c:pt idx="129">
                  <c:v>174.79220779220785</c:v>
                </c:pt>
                <c:pt idx="130">
                  <c:v>175.83051948051946</c:v>
                </c:pt>
                <c:pt idx="131">
                  <c:v>176.86883116883124</c:v>
                </c:pt>
                <c:pt idx="132">
                  <c:v>177.90714285714284</c:v>
                </c:pt>
                <c:pt idx="133">
                  <c:v>178.9454545454546</c:v>
                </c:pt>
                <c:pt idx="134">
                  <c:v>179.9837662337662</c:v>
                </c:pt>
                <c:pt idx="135">
                  <c:v>181.02207792207798</c:v>
                </c:pt>
                <c:pt idx="136">
                  <c:v>182.06038961038959</c:v>
                </c:pt>
                <c:pt idx="137">
                  <c:v>183.09870129870134</c:v>
                </c:pt>
                <c:pt idx="138">
                  <c:v>184.13701298701295</c:v>
                </c:pt>
                <c:pt idx="139">
                  <c:v>185.17532467532473</c:v>
                </c:pt>
                <c:pt idx="140">
                  <c:v>186.21363636363634</c:v>
                </c:pt>
                <c:pt idx="141">
                  <c:v>187.25194805194812</c:v>
                </c:pt>
                <c:pt idx="142">
                  <c:v>188.29025974025973</c:v>
                </c:pt>
                <c:pt idx="143">
                  <c:v>189.32857142857151</c:v>
                </c:pt>
                <c:pt idx="144">
                  <c:v>190.36688311688312</c:v>
                </c:pt>
                <c:pt idx="145">
                  <c:v>191.4051948051949</c:v>
                </c:pt>
                <c:pt idx="146">
                  <c:v>192.4435064935065</c:v>
                </c:pt>
                <c:pt idx="147">
                  <c:v>193.48181818181826</c:v>
                </c:pt>
                <c:pt idx="148">
                  <c:v>194.52012987012986</c:v>
                </c:pt>
                <c:pt idx="149">
                  <c:v>195.55844155844164</c:v>
                </c:pt>
                <c:pt idx="150">
                  <c:v>196.59675324675325</c:v>
                </c:pt>
                <c:pt idx="151">
                  <c:v>197.635064935065</c:v>
                </c:pt>
                <c:pt idx="152">
                  <c:v>198.67337662337661</c:v>
                </c:pt>
                <c:pt idx="153">
                  <c:v>199.71168831168839</c:v>
                </c:pt>
                <c:pt idx="154">
                  <c:v>200.75</c:v>
                </c:pt>
              </c:numCache>
            </c:numRef>
          </c:val>
          <c:smooth val="0"/>
          <c:extLst>
            <c:ext xmlns:c16="http://schemas.microsoft.com/office/drawing/2014/chart" uri="{C3380CC4-5D6E-409C-BE32-E72D297353CC}">
              <c16:uniqueId val="{00000001-3EE8-2F4C-9570-C2AE539BB1B3}"/>
            </c:ext>
          </c:extLst>
        </c:ser>
        <c:dLbls>
          <c:showLegendKey val="0"/>
          <c:showVal val="0"/>
          <c:showCatName val="0"/>
          <c:showSerName val="0"/>
          <c:showPercent val="0"/>
          <c:showBubbleSize val="0"/>
        </c:dLbls>
        <c:hiLowLines>
          <c:spPr>
            <a:ln w="0">
              <a:noFill/>
            </a:ln>
          </c:spPr>
        </c:hiLowLines>
        <c:marker val="1"/>
        <c:smooth val="0"/>
        <c:axId val="21311369"/>
        <c:axId val="89712017"/>
      </c:lineChart>
      <c:dateAx>
        <c:axId val="73313591"/>
        <c:scaling>
          <c:orientation val="minMax"/>
        </c:scaling>
        <c:delete val="1"/>
        <c:axPos val="b"/>
        <c:numFmt formatCode="mm/dd/yyyy" sourceLinked="1"/>
        <c:majorTickMark val="none"/>
        <c:minorTickMark val="none"/>
        <c:tickLblPos val="nextTo"/>
        <c:crossAx val="93960867"/>
        <c:crosses val="autoZero"/>
        <c:auto val="1"/>
        <c:lblOffset val="100"/>
        <c:baseTimeUnit val="days"/>
      </c:dateAx>
      <c:valAx>
        <c:axId val="939608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3313591"/>
        <c:crosses val="autoZero"/>
        <c:crossBetween val="between"/>
      </c:valAx>
      <c:dateAx>
        <c:axId val="21311369"/>
        <c:scaling>
          <c:orientation val="minMax"/>
        </c:scaling>
        <c:delete val="1"/>
        <c:axPos val="b"/>
        <c:numFmt formatCode="mm/dd/yyyy" sourceLinked="1"/>
        <c:majorTickMark val="none"/>
        <c:minorTickMark val="none"/>
        <c:tickLblPos val="nextTo"/>
        <c:crossAx val="89712017"/>
        <c:crosses val="autoZero"/>
        <c:auto val="1"/>
        <c:lblOffset val="100"/>
        <c:baseTimeUnit val="days"/>
      </c:dateAx>
      <c:valAx>
        <c:axId val="897120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131136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-1.651688122419237E-2</c:v>
                </c:pt>
                <c:pt idx="1">
                  <c:v>9.7966576109327352E-3</c:v>
                </c:pt>
                <c:pt idx="2">
                  <c:v>1.5734550790803992E-2</c:v>
                </c:pt>
                <c:pt idx="3">
                  <c:v>-1.6935548599406047E-2</c:v>
                </c:pt>
                <c:pt idx="4">
                  <c:v>5.7152188112346014E-3</c:v>
                </c:pt>
                <c:pt idx="5">
                  <c:v>-7.3956811170644676E-2</c:v>
                </c:pt>
                <c:pt idx="6">
                  <c:v>-1.6305777154378864E-2</c:v>
                </c:pt>
                <c:pt idx="7">
                  <c:v>-2.9409143570091723E-2</c:v>
                </c:pt>
                <c:pt idx="8">
                  <c:v>6.7946010467359041E-3</c:v>
                </c:pt>
                <c:pt idx="9">
                  <c:v>-6.5845873233014163E-2</c:v>
                </c:pt>
                <c:pt idx="10">
                  <c:v>-4.9887728204627724E-2</c:v>
                </c:pt>
                <c:pt idx="11">
                  <c:v>9.4841759145088522E-2</c:v>
                </c:pt>
                <c:pt idx="12">
                  <c:v>-1.8770530267480101E-2</c:v>
                </c:pt>
                <c:pt idx="13">
                  <c:v>5.2797704447632654E-2</c:v>
                </c:pt>
                <c:pt idx="14">
                  <c:v>1.7534296356863877E-2</c:v>
                </c:pt>
                <c:pt idx="15">
                  <c:v>5.5892857142857189E-2</c:v>
                </c:pt>
                <c:pt idx="16">
                  <c:v>1.3444951801116156E-2</c:v>
                </c:pt>
                <c:pt idx="17">
                  <c:v>0.12023362536503956</c:v>
                </c:pt>
                <c:pt idx="18">
                  <c:v>-1.3853716669149252E-2</c:v>
                </c:pt>
                <c:pt idx="19">
                  <c:v>6.7975830815709681E-3</c:v>
                </c:pt>
                <c:pt idx="20">
                  <c:v>-2.0555138784696281E-2</c:v>
                </c:pt>
                <c:pt idx="21">
                  <c:v>7.5827205882352811E-3</c:v>
                </c:pt>
                <c:pt idx="22">
                  <c:v>-2.3641201064234285E-2</c:v>
                </c:pt>
                <c:pt idx="23">
                  <c:v>-1.2223606353160998E-2</c:v>
                </c:pt>
                <c:pt idx="24">
                  <c:v>1.875935997477729E-2</c:v>
                </c:pt>
                <c:pt idx="25">
                  <c:v>2.499032882011587E-2</c:v>
                </c:pt>
                <c:pt idx="26">
                  <c:v>6.8689613526569104E-3</c:v>
                </c:pt>
                <c:pt idx="27">
                  <c:v>-1.3494264937400358E-3</c:v>
                </c:pt>
                <c:pt idx="28">
                  <c:v>1.0434652053149085E-2</c:v>
                </c:pt>
                <c:pt idx="29">
                  <c:v>3.4918276374442669E-3</c:v>
                </c:pt>
                <c:pt idx="30">
                  <c:v>-4.4791589546161137E-2</c:v>
                </c:pt>
                <c:pt idx="31">
                  <c:v>-3.1002945279802185E-3</c:v>
                </c:pt>
                <c:pt idx="32">
                  <c:v>1.2439744985227819E-2</c:v>
                </c:pt>
                <c:pt idx="33">
                  <c:v>-4.2082629396406168E-2</c:v>
                </c:pt>
                <c:pt idx="34">
                  <c:v>-4.6015712682379362E-2</c:v>
                </c:pt>
                <c:pt idx="35">
                  <c:v>-0.13033613445378156</c:v>
                </c:pt>
                <c:pt idx="36">
                  <c:v>5.5077785293264903E-3</c:v>
                </c:pt>
                <c:pt idx="37">
                  <c:v>1.7586008072266068E-2</c:v>
                </c:pt>
                <c:pt idx="38">
                  <c:v>1.5110019831900967E-2</c:v>
                </c:pt>
                <c:pt idx="39">
                  <c:v>3.7305795887989657E-2</c:v>
                </c:pt>
                <c:pt idx="40">
                  <c:v>-6.0538116591928204E-2</c:v>
                </c:pt>
                <c:pt idx="41">
                  <c:v>5.4797136038186034E-2</c:v>
                </c:pt>
                <c:pt idx="42">
                  <c:v>-2.624671916010457E-3</c:v>
                </c:pt>
                <c:pt idx="43">
                  <c:v>1.8965517241379404E-2</c:v>
                </c:pt>
                <c:pt idx="44">
                  <c:v>-2.5736931160388332E-2</c:v>
                </c:pt>
                <c:pt idx="45">
                  <c:v>2.6599634369286917E-2</c:v>
                </c:pt>
                <c:pt idx="46">
                  <c:v>1.9143442258035659E-2</c:v>
                </c:pt>
                <c:pt idx="47">
                  <c:v>4.9711689673248349E-2</c:v>
                </c:pt>
                <c:pt idx="48">
                  <c:v>2.9962546816479252E-2</c:v>
                </c:pt>
                <c:pt idx="49">
                  <c:v>-8.6464646464645689E-3</c:v>
                </c:pt>
                <c:pt idx="50">
                  <c:v>1.0596674274535367E-2</c:v>
                </c:pt>
                <c:pt idx="51">
                  <c:v>-1.677689949991934E-2</c:v>
                </c:pt>
                <c:pt idx="52">
                  <c:v>7.7932731747332173E-3</c:v>
                </c:pt>
                <c:pt idx="53">
                  <c:v>4.8921448921449118E-2</c:v>
                </c:pt>
                <c:pt idx="54">
                  <c:v>-8.0707744839362272E-3</c:v>
                </c:pt>
                <c:pt idx="55">
                  <c:v>-4.6158660616490987E-3</c:v>
                </c:pt>
                <c:pt idx="56">
                  <c:v>2.1614399119704419E-2</c:v>
                </c:pt>
                <c:pt idx="57">
                  <c:v>-3.4697645791660237E-2</c:v>
                </c:pt>
                <c:pt idx="58">
                  <c:v>9.5640392125617701E-4</c:v>
                </c:pt>
                <c:pt idx="59">
                  <c:v>-2.5240863126045121E-2</c:v>
                </c:pt>
                <c:pt idx="60">
                  <c:v>-1.7807547786309441E-2</c:v>
                </c:pt>
                <c:pt idx="61">
                  <c:v>1.8795741849634062E-2</c:v>
                </c:pt>
                <c:pt idx="62">
                  <c:v>-4.0489795918367322E-2</c:v>
                </c:pt>
                <c:pt idx="63">
                  <c:v>-3.5222052067381271E-2</c:v>
                </c:pt>
                <c:pt idx="64">
                  <c:v>2.1428571428571352E-2</c:v>
                </c:pt>
                <c:pt idx="65">
                  <c:v>-2.0806354139687455E-2</c:v>
                </c:pt>
                <c:pt idx="66">
                  <c:v>2.0983953447363701E-2</c:v>
                </c:pt>
                <c:pt idx="67">
                  <c:v>8.4628670120898697E-3</c:v>
                </c:pt>
                <c:pt idx="68">
                  <c:v>-4.0931666381229692E-2</c:v>
                </c:pt>
                <c:pt idx="69">
                  <c:v>-7.7678571428572152E-3</c:v>
                </c:pt>
                <c:pt idx="70">
                  <c:v>-7.0278052731035712E-2</c:v>
                </c:pt>
                <c:pt idx="71">
                  <c:v>1.8583042973286945E-2</c:v>
                </c:pt>
                <c:pt idx="72">
                  <c:v>3.7058152793614241E-3</c:v>
                </c:pt>
                <c:pt idx="73">
                  <c:v>-1.9312695257029167E-2</c:v>
                </c:pt>
                <c:pt idx="74">
                  <c:v>5.6858770151559046E-2</c:v>
                </c:pt>
                <c:pt idx="75">
                  <c:v>8.6317135549872193E-2</c:v>
                </c:pt>
                <c:pt idx="76">
                  <c:v>2.6906583704700004E-3</c:v>
                </c:pt>
                <c:pt idx="77">
                  <c:v>-1.5932914046121627E-2</c:v>
                </c:pt>
                <c:pt idx="78">
                  <c:v>2.9825308904985137E-2</c:v>
                </c:pt>
                <c:pt idx="79">
                  <c:v>9.9296648738111948E-4</c:v>
                </c:pt>
                <c:pt idx="80">
                  <c:v>2.4386211457386064E-2</c:v>
                </c:pt>
                <c:pt idx="81">
                  <c:v>-3.2359586830213116E-2</c:v>
                </c:pt>
                <c:pt idx="82">
                  <c:v>-6.6883495955299743E-2</c:v>
                </c:pt>
                <c:pt idx="83">
                  <c:v>-3.1012601662346984E-2</c:v>
                </c:pt>
                <c:pt idx="84">
                  <c:v>1.8723482752259768E-2</c:v>
                </c:pt>
                <c:pt idx="85">
                  <c:v>-0.11063829787234036</c:v>
                </c:pt>
                <c:pt idx="86">
                  <c:v>-2.0360378703043858E-2</c:v>
                </c:pt>
                <c:pt idx="87">
                  <c:v>6.0999688246908379E-2</c:v>
                </c:pt>
                <c:pt idx="88">
                  <c:v>1.3712047012732764E-3</c:v>
                </c:pt>
                <c:pt idx="89">
                  <c:v>3.1005477308294171E-2</c:v>
                </c:pt>
                <c:pt idx="90">
                  <c:v>1.4230148942225629E-2</c:v>
                </c:pt>
                <c:pt idx="91">
                  <c:v>3.4047329529510728E-2</c:v>
                </c:pt>
                <c:pt idx="92">
                  <c:v>-5.8887381275440909E-2</c:v>
                </c:pt>
                <c:pt idx="93">
                  <c:v>4.3829296424451991E-2</c:v>
                </c:pt>
                <c:pt idx="94">
                  <c:v>1.7495395948434744E-3</c:v>
                </c:pt>
                <c:pt idx="95">
                  <c:v>-1.3879952201489187E-2</c:v>
                </c:pt>
                <c:pt idx="96">
                  <c:v>-1.4821029082774051E-2</c:v>
                </c:pt>
                <c:pt idx="97">
                  <c:v>-6.6231431545082931E-4</c:v>
                </c:pt>
                <c:pt idx="98">
                  <c:v>2.2722969134633564E-2</c:v>
                </c:pt>
                <c:pt idx="99">
                  <c:v>1.0646176633956728E-2</c:v>
                </c:pt>
                <c:pt idx="100">
                  <c:v>-2.1892461298891663E-2</c:v>
                </c:pt>
                <c:pt idx="101">
                  <c:v>3.2871324218018305E-2</c:v>
                </c:pt>
                <c:pt idx="102">
                  <c:v>-4.8780487804878092E-2</c:v>
                </c:pt>
                <c:pt idx="103">
                  <c:v>7.3396244399963617E-3</c:v>
                </c:pt>
                <c:pt idx="104">
                  <c:v>8.6109008327024394E-3</c:v>
                </c:pt>
                <c:pt idx="105">
                  <c:v>5.3382118397598211E-2</c:v>
                </c:pt>
                <c:pt idx="106">
                  <c:v>1.3359458496615684E-2</c:v>
                </c:pt>
                <c:pt idx="107">
                  <c:v>-1.1425558094567689E-3</c:v>
                </c:pt>
                <c:pt idx="108">
                  <c:v>1.4958205015398018E-2</c:v>
                </c:pt>
                <c:pt idx="109">
                  <c:v>-1.5951452102297314E-2</c:v>
                </c:pt>
                <c:pt idx="110">
                  <c:v>5.9906616157165971E-3</c:v>
                </c:pt>
                <c:pt idx="111">
                  <c:v>2.513354934757861E-2</c:v>
                </c:pt>
                <c:pt idx="112">
                  <c:v>-4.9803519562617415E-2</c:v>
                </c:pt>
                <c:pt idx="113">
                  <c:v>0.11552638676616023</c:v>
                </c:pt>
                <c:pt idx="114">
                  <c:v>1.8939393939394034E-2</c:v>
                </c:pt>
                <c:pt idx="115">
                  <c:v>-1.8508265443328398E-2</c:v>
                </c:pt>
                <c:pt idx="116">
                  <c:v>1.2168587315657842E-2</c:v>
                </c:pt>
                <c:pt idx="117">
                  <c:v>-2.2054140127388489E-2</c:v>
                </c:pt>
                <c:pt idx="118">
                  <c:v>2.4098347309289281E-2</c:v>
                </c:pt>
                <c:pt idx="119">
                  <c:v>2.1782335638762973E-2</c:v>
                </c:pt>
                <c:pt idx="120">
                  <c:v>-4.2791566171321849E-3</c:v>
                </c:pt>
                <c:pt idx="121">
                  <c:v>1.7190185966557303E-2</c:v>
                </c:pt>
                <c:pt idx="122">
                  <c:v>-2.2660931018589681E-2</c:v>
                </c:pt>
                <c:pt idx="123">
                  <c:v>1.1632476617150056E-2</c:v>
                </c:pt>
                <c:pt idx="124">
                  <c:v>2.6415973894802214E-3</c:v>
                </c:pt>
                <c:pt idx="125">
                  <c:v>2.7121270825261057E-3</c:v>
                </c:pt>
                <c:pt idx="126">
                  <c:v>2.9443585780525527E-2</c:v>
                </c:pt>
                <c:pt idx="127">
                  <c:v>-4.5492080174161065E-2</c:v>
                </c:pt>
                <c:pt idx="128">
                  <c:v>2.6818718049547829E-2</c:v>
                </c:pt>
                <c:pt idx="129">
                  <c:v>4.8943014705882248E-2</c:v>
                </c:pt>
                <c:pt idx="130">
                  <c:v>1.4749908725812499E-2</c:v>
                </c:pt>
                <c:pt idx="131">
                  <c:v>1.8277326041591602E-2</c:v>
                </c:pt>
                <c:pt idx="132">
                  <c:v>7.4906367041198685E-3</c:v>
                </c:pt>
                <c:pt idx="133">
                  <c:v>-5.6323209651399364E-2</c:v>
                </c:pt>
                <c:pt idx="134">
                  <c:v>-2.0737327188940058E-2</c:v>
                </c:pt>
                <c:pt idx="135">
                  <c:v>-2.8387096774193599E-2</c:v>
                </c:pt>
                <c:pt idx="136">
                  <c:v>6.9525818295446129E-3</c:v>
                </c:pt>
                <c:pt idx="137">
                  <c:v>3.7781225756400305E-2</c:v>
                </c:pt>
                <c:pt idx="138">
                  <c:v>2.5566270464229657E-2</c:v>
                </c:pt>
                <c:pt idx="139">
                  <c:v>5.7657263648954071E-2</c:v>
                </c:pt>
                <c:pt idx="140">
                  <c:v>-2.0675396278428626E-2</c:v>
                </c:pt>
                <c:pt idx="141">
                  <c:v>-4.8557353976073081E-3</c:v>
                </c:pt>
                <c:pt idx="142">
                  <c:v>1.8951983593805233E-2</c:v>
                </c:pt>
                <c:pt idx="143">
                  <c:v>-2.4706780484419433E-2</c:v>
                </c:pt>
                <c:pt idx="144">
                  <c:v>3.8212481320714531E-2</c:v>
                </c:pt>
                <c:pt idx="145">
                  <c:v>-1.6655243317340696E-2</c:v>
                </c:pt>
                <c:pt idx="146">
                  <c:v>7.4580051578727602E-3</c:v>
                </c:pt>
                <c:pt idx="147">
                  <c:v>2.9057700290577193E-2</c:v>
                </c:pt>
                <c:pt idx="148">
                  <c:v>-5.5129756622294024E-2</c:v>
                </c:pt>
                <c:pt idx="149">
                  <c:v>-4.0557848299416221E-3</c:v>
                </c:pt>
                <c:pt idx="150">
                  <c:v>-3.8579695649066936E-3</c:v>
                </c:pt>
                <c:pt idx="151">
                  <c:v>1.0327763035214765E-2</c:v>
                </c:pt>
                <c:pt idx="152">
                  <c:v>6.3320792219776934E-2</c:v>
                </c:pt>
                <c:pt idx="153">
                  <c:v>-1.4420188263568945E-2</c:v>
                </c:pt>
                <c:pt idx="154">
                  <c:v>-2.0456546772336104E-2</c:v>
                </c:pt>
              </c:numCache>
            </c:numRef>
          </c:val>
          <c:extLst>
            <c:ext xmlns:c16="http://schemas.microsoft.com/office/drawing/2014/chart" uri="{C3380CC4-5D6E-409C-BE32-E72D297353CC}">
              <c16:uniqueId val="{00000000-69EB-B14A-97AA-80108B0F6352}"/>
            </c:ext>
          </c:extLst>
        </c:ser>
        <c:dLbls>
          <c:showLegendKey val="0"/>
          <c:showVal val="0"/>
          <c:showCatName val="0"/>
          <c:showSerName val="0"/>
          <c:showPercent val="0"/>
          <c:showBubbleSize val="0"/>
        </c:dLbls>
        <c:gapWidth val="150"/>
        <c:axId val="48484399"/>
        <c:axId val="70004218"/>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123.64701298701299</c:v>
                </c:pt>
                <c:pt idx="2">
                  <c:v>123.78402597402598</c:v>
                </c:pt>
                <c:pt idx="3">
                  <c:v>123.92103896103896</c:v>
                </c:pt>
                <c:pt idx="4">
                  <c:v>124.05805194805195</c:v>
                </c:pt>
                <c:pt idx="5">
                  <c:v>124.19506493506493</c:v>
                </c:pt>
                <c:pt idx="6">
                  <c:v>124.33207792207793</c:v>
                </c:pt>
                <c:pt idx="7">
                  <c:v>124.46909090909091</c:v>
                </c:pt>
                <c:pt idx="8">
                  <c:v>124.6061038961039</c:v>
                </c:pt>
                <c:pt idx="9">
                  <c:v>124.74311688311688</c:v>
                </c:pt>
                <c:pt idx="10">
                  <c:v>124.88012987012988</c:v>
                </c:pt>
                <c:pt idx="11">
                  <c:v>125.01714285714286</c:v>
                </c:pt>
                <c:pt idx="12">
                  <c:v>125.15415584415585</c:v>
                </c:pt>
                <c:pt idx="13">
                  <c:v>125.29116883116883</c:v>
                </c:pt>
                <c:pt idx="14">
                  <c:v>125.42818181818183</c:v>
                </c:pt>
                <c:pt idx="15">
                  <c:v>125.56519480519481</c:v>
                </c:pt>
                <c:pt idx="16">
                  <c:v>125.7022077922078</c:v>
                </c:pt>
                <c:pt idx="17">
                  <c:v>125.83922077922078</c:v>
                </c:pt>
                <c:pt idx="18">
                  <c:v>125.97623376623378</c:v>
                </c:pt>
                <c:pt idx="19">
                  <c:v>126.11324675324676</c:v>
                </c:pt>
                <c:pt idx="20">
                  <c:v>126.25025974025975</c:v>
                </c:pt>
                <c:pt idx="21">
                  <c:v>126.38727272727273</c:v>
                </c:pt>
                <c:pt idx="22">
                  <c:v>126.52428571428572</c:v>
                </c:pt>
                <c:pt idx="23">
                  <c:v>126.6612987012987</c:v>
                </c:pt>
                <c:pt idx="24">
                  <c:v>126.7983116883117</c:v>
                </c:pt>
                <c:pt idx="25">
                  <c:v>126.93532467532468</c:v>
                </c:pt>
                <c:pt idx="26">
                  <c:v>127.07233766233767</c:v>
                </c:pt>
                <c:pt idx="27">
                  <c:v>127.20935064935065</c:v>
                </c:pt>
                <c:pt idx="28">
                  <c:v>127.34636363636365</c:v>
                </c:pt>
                <c:pt idx="29">
                  <c:v>127.48337662337663</c:v>
                </c:pt>
                <c:pt idx="30">
                  <c:v>127.62038961038962</c:v>
                </c:pt>
                <c:pt idx="31">
                  <c:v>127.7574025974026</c:v>
                </c:pt>
                <c:pt idx="32">
                  <c:v>127.8944155844156</c:v>
                </c:pt>
                <c:pt idx="33">
                  <c:v>128.03142857142856</c:v>
                </c:pt>
                <c:pt idx="34">
                  <c:v>128.16844155844157</c:v>
                </c:pt>
                <c:pt idx="35">
                  <c:v>128.30545454545455</c:v>
                </c:pt>
                <c:pt idx="36">
                  <c:v>128.44246753246753</c:v>
                </c:pt>
                <c:pt idx="37">
                  <c:v>128.57948051948051</c:v>
                </c:pt>
                <c:pt idx="38">
                  <c:v>128.71649350649352</c:v>
                </c:pt>
                <c:pt idx="39">
                  <c:v>128.8535064935065</c:v>
                </c:pt>
                <c:pt idx="40">
                  <c:v>128.99051948051948</c:v>
                </c:pt>
                <c:pt idx="41">
                  <c:v>129.12753246753246</c:v>
                </c:pt>
                <c:pt idx="42">
                  <c:v>129.26454545454547</c:v>
                </c:pt>
                <c:pt idx="43">
                  <c:v>129.40155844155845</c:v>
                </c:pt>
                <c:pt idx="44">
                  <c:v>129.53857142857143</c:v>
                </c:pt>
                <c:pt idx="45">
                  <c:v>129.67558441558441</c:v>
                </c:pt>
                <c:pt idx="46">
                  <c:v>129.81259740259742</c:v>
                </c:pt>
                <c:pt idx="47">
                  <c:v>129.9496103896104</c:v>
                </c:pt>
                <c:pt idx="48">
                  <c:v>130.08662337662338</c:v>
                </c:pt>
                <c:pt idx="49">
                  <c:v>130.22363636363636</c:v>
                </c:pt>
                <c:pt idx="50">
                  <c:v>130.36064935064937</c:v>
                </c:pt>
                <c:pt idx="51">
                  <c:v>130.49766233766235</c:v>
                </c:pt>
                <c:pt idx="52">
                  <c:v>130.63467532467533</c:v>
                </c:pt>
                <c:pt idx="53">
                  <c:v>130.77168831168831</c:v>
                </c:pt>
                <c:pt idx="54">
                  <c:v>130.90870129870132</c:v>
                </c:pt>
                <c:pt idx="55">
                  <c:v>131.0457142857143</c:v>
                </c:pt>
                <c:pt idx="56">
                  <c:v>131.18272727272728</c:v>
                </c:pt>
                <c:pt idx="57">
                  <c:v>131.31974025974026</c:v>
                </c:pt>
                <c:pt idx="58">
                  <c:v>131.45675324675327</c:v>
                </c:pt>
                <c:pt idx="59">
                  <c:v>131.59376623376625</c:v>
                </c:pt>
                <c:pt idx="60">
                  <c:v>131.73077922077923</c:v>
                </c:pt>
                <c:pt idx="61">
                  <c:v>131.86779220779221</c:v>
                </c:pt>
                <c:pt idx="62">
                  <c:v>132.00480519480521</c:v>
                </c:pt>
                <c:pt idx="63">
                  <c:v>132.14181818181819</c:v>
                </c:pt>
                <c:pt idx="64">
                  <c:v>132.27883116883118</c:v>
                </c:pt>
                <c:pt idx="65">
                  <c:v>132.41584415584416</c:v>
                </c:pt>
                <c:pt idx="66">
                  <c:v>132.55285714285716</c:v>
                </c:pt>
                <c:pt idx="67">
                  <c:v>132.68987012987014</c:v>
                </c:pt>
                <c:pt idx="68">
                  <c:v>132.82688311688312</c:v>
                </c:pt>
                <c:pt idx="69">
                  <c:v>132.9638961038961</c:v>
                </c:pt>
                <c:pt idx="70">
                  <c:v>133.10090909090911</c:v>
                </c:pt>
                <c:pt idx="71">
                  <c:v>133.23792207792209</c:v>
                </c:pt>
                <c:pt idx="72">
                  <c:v>133.37493506493507</c:v>
                </c:pt>
                <c:pt idx="73">
                  <c:v>133.51194805194805</c:v>
                </c:pt>
                <c:pt idx="74">
                  <c:v>133.64896103896106</c:v>
                </c:pt>
                <c:pt idx="75">
                  <c:v>133.78597402597404</c:v>
                </c:pt>
                <c:pt idx="76">
                  <c:v>133.92298701298702</c:v>
                </c:pt>
                <c:pt idx="77">
                  <c:v>134.06</c:v>
                </c:pt>
                <c:pt idx="78">
                  <c:v>134.19701298701298</c:v>
                </c:pt>
                <c:pt idx="79">
                  <c:v>134.33402597402599</c:v>
                </c:pt>
                <c:pt idx="80">
                  <c:v>134.47103896103897</c:v>
                </c:pt>
                <c:pt idx="81">
                  <c:v>134.60805194805195</c:v>
                </c:pt>
                <c:pt idx="82">
                  <c:v>134.74506493506493</c:v>
                </c:pt>
                <c:pt idx="83">
                  <c:v>134.88207792207794</c:v>
                </c:pt>
                <c:pt idx="84">
                  <c:v>135.01909090909092</c:v>
                </c:pt>
                <c:pt idx="85">
                  <c:v>135.1561038961039</c:v>
                </c:pt>
                <c:pt idx="86">
                  <c:v>135.29311688311688</c:v>
                </c:pt>
                <c:pt idx="87">
                  <c:v>135.43012987012989</c:v>
                </c:pt>
                <c:pt idx="88">
                  <c:v>135.56714285714287</c:v>
                </c:pt>
                <c:pt idx="89">
                  <c:v>135.70415584415585</c:v>
                </c:pt>
                <c:pt idx="90">
                  <c:v>135.84116883116883</c:v>
                </c:pt>
                <c:pt idx="91">
                  <c:v>135.97818181818184</c:v>
                </c:pt>
                <c:pt idx="92">
                  <c:v>136.11519480519482</c:v>
                </c:pt>
                <c:pt idx="93">
                  <c:v>136.2522077922078</c:v>
                </c:pt>
                <c:pt idx="94">
                  <c:v>136.38922077922078</c:v>
                </c:pt>
                <c:pt idx="95">
                  <c:v>136.52623376623379</c:v>
                </c:pt>
                <c:pt idx="96">
                  <c:v>136.66324675324677</c:v>
                </c:pt>
                <c:pt idx="97">
                  <c:v>136.80025974025975</c:v>
                </c:pt>
                <c:pt idx="98">
                  <c:v>136.93727272727273</c:v>
                </c:pt>
                <c:pt idx="99">
                  <c:v>137.07428571428574</c:v>
                </c:pt>
                <c:pt idx="100">
                  <c:v>137.21129870129872</c:v>
                </c:pt>
                <c:pt idx="101">
                  <c:v>137.3483116883117</c:v>
                </c:pt>
                <c:pt idx="102">
                  <c:v>137.48532467532468</c:v>
                </c:pt>
                <c:pt idx="103">
                  <c:v>137.62233766233769</c:v>
                </c:pt>
                <c:pt idx="104">
                  <c:v>137.75935064935067</c:v>
                </c:pt>
                <c:pt idx="105">
                  <c:v>137.89636363636365</c:v>
                </c:pt>
                <c:pt idx="106">
                  <c:v>138.03337662337663</c:v>
                </c:pt>
                <c:pt idx="107">
                  <c:v>138.17038961038963</c:v>
                </c:pt>
                <c:pt idx="108">
                  <c:v>138.30740259740261</c:v>
                </c:pt>
                <c:pt idx="109">
                  <c:v>138.44441558441559</c:v>
                </c:pt>
                <c:pt idx="110">
                  <c:v>138.58142857142857</c:v>
                </c:pt>
                <c:pt idx="111">
                  <c:v>138.71844155844158</c:v>
                </c:pt>
                <c:pt idx="112">
                  <c:v>138.85545454545456</c:v>
                </c:pt>
                <c:pt idx="113">
                  <c:v>138.99246753246754</c:v>
                </c:pt>
                <c:pt idx="114">
                  <c:v>139.12948051948052</c:v>
                </c:pt>
                <c:pt idx="115">
                  <c:v>139.26649350649353</c:v>
                </c:pt>
                <c:pt idx="116">
                  <c:v>139.40350649350651</c:v>
                </c:pt>
                <c:pt idx="117">
                  <c:v>139.54051948051949</c:v>
                </c:pt>
                <c:pt idx="118">
                  <c:v>139.67753246753247</c:v>
                </c:pt>
                <c:pt idx="119">
                  <c:v>139.81454545454548</c:v>
                </c:pt>
                <c:pt idx="120">
                  <c:v>139.95155844155846</c:v>
                </c:pt>
                <c:pt idx="121">
                  <c:v>140.08857142857144</c:v>
                </c:pt>
                <c:pt idx="122">
                  <c:v>140.22558441558442</c:v>
                </c:pt>
                <c:pt idx="123">
                  <c:v>140.36259740259743</c:v>
                </c:pt>
                <c:pt idx="124">
                  <c:v>140.49961038961041</c:v>
                </c:pt>
                <c:pt idx="125">
                  <c:v>140.63662337662339</c:v>
                </c:pt>
                <c:pt idx="126">
                  <c:v>140.77363636363637</c:v>
                </c:pt>
                <c:pt idx="127">
                  <c:v>140.91064935064938</c:v>
                </c:pt>
                <c:pt idx="128">
                  <c:v>141.04766233766236</c:v>
                </c:pt>
                <c:pt idx="129">
                  <c:v>141.18467532467534</c:v>
                </c:pt>
                <c:pt idx="130">
                  <c:v>141.32168831168832</c:v>
                </c:pt>
                <c:pt idx="131">
                  <c:v>141.45870129870133</c:v>
                </c:pt>
                <c:pt idx="132">
                  <c:v>141.59571428571428</c:v>
                </c:pt>
                <c:pt idx="133">
                  <c:v>141.73272727272729</c:v>
                </c:pt>
                <c:pt idx="134">
                  <c:v>141.86974025974027</c:v>
                </c:pt>
                <c:pt idx="135">
                  <c:v>142.00675324675328</c:v>
                </c:pt>
                <c:pt idx="136">
                  <c:v>142.14376623376626</c:v>
                </c:pt>
                <c:pt idx="137">
                  <c:v>142.28077922077924</c:v>
                </c:pt>
                <c:pt idx="138">
                  <c:v>142.41779220779222</c:v>
                </c:pt>
                <c:pt idx="139">
                  <c:v>142.55480519480523</c:v>
                </c:pt>
                <c:pt idx="140">
                  <c:v>142.69181818181818</c:v>
                </c:pt>
                <c:pt idx="141">
                  <c:v>142.82883116883119</c:v>
                </c:pt>
                <c:pt idx="142">
                  <c:v>142.96584415584417</c:v>
                </c:pt>
                <c:pt idx="143">
                  <c:v>143.10285714285718</c:v>
                </c:pt>
                <c:pt idx="144">
                  <c:v>143.23987012987016</c:v>
                </c:pt>
                <c:pt idx="145">
                  <c:v>143.37688311688314</c:v>
                </c:pt>
                <c:pt idx="146">
                  <c:v>143.51389610389612</c:v>
                </c:pt>
                <c:pt idx="147">
                  <c:v>143.65090909090912</c:v>
                </c:pt>
                <c:pt idx="148">
                  <c:v>143.78792207792208</c:v>
                </c:pt>
                <c:pt idx="149">
                  <c:v>143.92493506493508</c:v>
                </c:pt>
                <c:pt idx="150">
                  <c:v>144.06194805194806</c:v>
                </c:pt>
                <c:pt idx="151">
                  <c:v>144.19896103896107</c:v>
                </c:pt>
                <c:pt idx="152">
                  <c:v>144.33597402597405</c:v>
                </c:pt>
                <c:pt idx="153">
                  <c:v>144.47298701298703</c:v>
                </c:pt>
                <c:pt idx="154">
                  <c:v>144.61000000000001</c:v>
                </c:pt>
              </c:numCache>
            </c:numRef>
          </c:val>
          <c:smooth val="0"/>
          <c:extLst>
            <c:ext xmlns:c16="http://schemas.microsoft.com/office/drawing/2014/chart" uri="{C3380CC4-5D6E-409C-BE32-E72D297353CC}">
              <c16:uniqueId val="{00000001-69EB-B14A-97AA-80108B0F6352}"/>
            </c:ext>
          </c:extLst>
        </c:ser>
        <c:dLbls>
          <c:showLegendKey val="0"/>
          <c:showVal val="0"/>
          <c:showCatName val="0"/>
          <c:showSerName val="0"/>
          <c:showPercent val="0"/>
          <c:showBubbleSize val="0"/>
        </c:dLbls>
        <c:hiLowLines>
          <c:spPr>
            <a:ln w="0">
              <a:noFill/>
            </a:ln>
          </c:spPr>
        </c:hiLowLines>
        <c:marker val="1"/>
        <c:smooth val="0"/>
        <c:axId val="13149781"/>
        <c:axId val="53384264"/>
      </c:lineChart>
      <c:dateAx>
        <c:axId val="48484399"/>
        <c:scaling>
          <c:orientation val="minMax"/>
        </c:scaling>
        <c:delete val="1"/>
        <c:axPos val="b"/>
        <c:numFmt formatCode="mm/dd/yyyy" sourceLinked="1"/>
        <c:majorTickMark val="none"/>
        <c:minorTickMark val="none"/>
        <c:tickLblPos val="nextTo"/>
        <c:crossAx val="70004218"/>
        <c:crosses val="autoZero"/>
        <c:auto val="1"/>
        <c:lblOffset val="100"/>
        <c:baseTimeUnit val="days"/>
      </c:dateAx>
      <c:valAx>
        <c:axId val="700042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8484399"/>
        <c:crosses val="autoZero"/>
        <c:crossBetween val="between"/>
      </c:valAx>
      <c:dateAx>
        <c:axId val="13149781"/>
        <c:scaling>
          <c:orientation val="minMax"/>
        </c:scaling>
        <c:delete val="1"/>
        <c:axPos val="b"/>
        <c:numFmt formatCode="mm/dd/yyyy" sourceLinked="1"/>
        <c:majorTickMark val="none"/>
        <c:minorTickMark val="none"/>
        <c:tickLblPos val="nextTo"/>
        <c:crossAx val="53384264"/>
        <c:crosses val="autoZero"/>
        <c:auto val="1"/>
        <c:lblOffset val="100"/>
        <c:baseTimeUnit val="days"/>
      </c:dateAx>
      <c:valAx>
        <c:axId val="533842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314978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-6.5541855937702787E-2</c:v>
                </c:pt>
                <c:pt idx="1">
                  <c:v>9.0277777777776347E-3</c:v>
                </c:pt>
                <c:pt idx="2">
                  <c:v>4.4735030970405987E-2</c:v>
                </c:pt>
                <c:pt idx="3">
                  <c:v>-3.2938076416336726E-3</c:v>
                </c:pt>
                <c:pt idx="4">
                  <c:v>1.3218770654329193E-2</c:v>
                </c:pt>
                <c:pt idx="5">
                  <c:v>-7.8277886497064575E-2</c:v>
                </c:pt>
                <c:pt idx="6">
                  <c:v>0.13234253361641901</c:v>
                </c:pt>
                <c:pt idx="7">
                  <c:v>3.8124999999999964E-2</c:v>
                </c:pt>
                <c:pt idx="8">
                  <c:v>4.5153521974714117E-2</c:v>
                </c:pt>
                <c:pt idx="9">
                  <c:v>-7.2004608294930827E-2</c:v>
                </c:pt>
                <c:pt idx="10">
                  <c:v>-6.4556176288019795E-2</c:v>
                </c:pt>
                <c:pt idx="11">
                  <c:v>0.25348374253483752</c:v>
                </c:pt>
                <c:pt idx="12">
                  <c:v>4.1291688724192754E-2</c:v>
                </c:pt>
                <c:pt idx="13">
                  <c:v>4.1687849517030751E-2</c:v>
                </c:pt>
                <c:pt idx="14">
                  <c:v>-6.2957540263543166E-2</c:v>
                </c:pt>
                <c:pt idx="15">
                  <c:v>5.5729166666666607E-2</c:v>
                </c:pt>
                <c:pt idx="16">
                  <c:v>-0.12333497779970404</c:v>
                </c:pt>
                <c:pt idx="17">
                  <c:v>2.4198086662915008E-2</c:v>
                </c:pt>
                <c:pt idx="18">
                  <c:v>-4.3406593406593363E-2</c:v>
                </c:pt>
                <c:pt idx="19">
                  <c:v>-1.378518093049963E-2</c:v>
                </c:pt>
                <c:pt idx="20">
                  <c:v>-6.9306930693069368E-2</c:v>
                </c:pt>
                <c:pt idx="21">
                  <c:v>4.8811013767209088E-2</c:v>
                </c:pt>
                <c:pt idx="22">
                  <c:v>1.1933174224343368E-3</c:v>
                </c:pt>
                <c:pt idx="23">
                  <c:v>-2.5625744934445804E-2</c:v>
                </c:pt>
                <c:pt idx="24">
                  <c:v>4.0978593272171127E-2</c:v>
                </c:pt>
                <c:pt idx="25">
                  <c:v>0.43243243243243246</c:v>
                </c:pt>
                <c:pt idx="26">
                  <c:v>2.4610336341264194E-3</c:v>
                </c:pt>
                <c:pt idx="27">
                  <c:v>-6.0147299509001773E-2</c:v>
                </c:pt>
                <c:pt idx="28">
                  <c:v>8.5328689595124185E-2</c:v>
                </c:pt>
                <c:pt idx="29">
                  <c:v>4.4524669073405576E-2</c:v>
                </c:pt>
                <c:pt idx="30">
                  <c:v>-9.7926267281105983E-2</c:v>
                </c:pt>
                <c:pt idx="31">
                  <c:v>2.9374201787994991E-2</c:v>
                </c:pt>
                <c:pt idx="32">
                  <c:v>-4.8387096774193505E-2</c:v>
                </c:pt>
                <c:pt idx="33">
                  <c:v>-2.1729682746631784E-3</c:v>
                </c:pt>
                <c:pt idx="34">
                  <c:v>-1.2630662020905903E-2</c:v>
                </c:pt>
                <c:pt idx="35">
                  <c:v>-9.7044552271724815E-2</c:v>
                </c:pt>
                <c:pt idx="36">
                  <c:v>0.10014655593551547</c:v>
                </c:pt>
                <c:pt idx="37">
                  <c:v>3.5968028419182785E-2</c:v>
                </c:pt>
                <c:pt idx="38">
                  <c:v>-0.11701671667381042</c:v>
                </c:pt>
                <c:pt idx="39">
                  <c:v>5.6310679611650594E-2</c:v>
                </c:pt>
                <c:pt idx="40">
                  <c:v>-3.4466911764705843E-2</c:v>
                </c:pt>
                <c:pt idx="41">
                  <c:v>3.188957639219403E-2</c:v>
                </c:pt>
                <c:pt idx="42">
                  <c:v>7.5184501845018348E-2</c:v>
                </c:pt>
                <c:pt idx="43">
                  <c:v>1.1154011154011156E-2</c:v>
                </c:pt>
                <c:pt idx="44">
                  <c:v>1.1455239711497756E-2</c:v>
                </c:pt>
                <c:pt idx="45">
                  <c:v>6.25E-2</c:v>
                </c:pt>
                <c:pt idx="46">
                  <c:v>7.500986971970014E-2</c:v>
                </c:pt>
                <c:pt idx="47">
                  <c:v>3.084832904884327E-2</c:v>
                </c:pt>
                <c:pt idx="48">
                  <c:v>1.8168863555397152E-2</c:v>
                </c:pt>
                <c:pt idx="49">
                  <c:v>-4.8985304408677321E-2</c:v>
                </c:pt>
                <c:pt idx="50">
                  <c:v>-8.9771891096394496E-2</c:v>
                </c:pt>
                <c:pt idx="51">
                  <c:v>0.21301535974130981</c:v>
                </c:pt>
                <c:pt idx="52">
                  <c:v>6.8977007664111856E-2</c:v>
                </c:pt>
                <c:pt idx="53">
                  <c:v>-9.3516209476308676E-3</c:v>
                </c:pt>
                <c:pt idx="54">
                  <c:v>-9.4398993077406956E-3</c:v>
                </c:pt>
                <c:pt idx="55">
                  <c:v>-3.6531130876747198E-2</c:v>
                </c:pt>
                <c:pt idx="56">
                  <c:v>0.17342565117045838</c:v>
                </c:pt>
                <c:pt idx="57">
                  <c:v>4.5237426243326828E-2</c:v>
                </c:pt>
                <c:pt idx="58">
                  <c:v>-9.6774193548386789E-3</c:v>
                </c:pt>
                <c:pt idx="59">
                  <c:v>8.6047774158523271E-2</c:v>
                </c:pt>
                <c:pt idx="60">
                  <c:v>8.7478130467383064E-2</c:v>
                </c:pt>
                <c:pt idx="61">
                  <c:v>-1.2410940013789951E-2</c:v>
                </c:pt>
                <c:pt idx="62">
                  <c:v>4.3984175005818082E-2</c:v>
                </c:pt>
                <c:pt idx="63">
                  <c:v>-6.553722692822106E-2</c:v>
                </c:pt>
                <c:pt idx="64">
                  <c:v>0.39289122137404586</c:v>
                </c:pt>
                <c:pt idx="65">
                  <c:v>0.1263915053947593</c:v>
                </c:pt>
                <c:pt idx="66">
                  <c:v>-2.1590390755663713E-2</c:v>
                </c:pt>
                <c:pt idx="67">
                  <c:v>4.2424242424242475E-2</c:v>
                </c:pt>
                <c:pt idx="68">
                  <c:v>0.13804412641621955</c:v>
                </c:pt>
                <c:pt idx="69">
                  <c:v>-3.5368090123134577E-3</c:v>
                </c:pt>
                <c:pt idx="70">
                  <c:v>5.889312475351649E-2</c:v>
                </c:pt>
                <c:pt idx="71">
                  <c:v>-1.8249534450651805E-2</c:v>
                </c:pt>
                <c:pt idx="72">
                  <c:v>1.0242792109256493E-2</c:v>
                </c:pt>
                <c:pt idx="73">
                  <c:v>-0.15809237701840029</c:v>
                </c:pt>
                <c:pt idx="74">
                  <c:v>6.7053226286053924E-2</c:v>
                </c:pt>
                <c:pt idx="75">
                  <c:v>0.10045980214574346</c:v>
                </c:pt>
                <c:pt idx="76">
                  <c:v>4.4441630792605658E-2</c:v>
                </c:pt>
                <c:pt idx="77">
                  <c:v>0.34379924839374465</c:v>
                </c:pt>
                <c:pt idx="78">
                  <c:v>7.4966170500676554E-2</c:v>
                </c:pt>
                <c:pt idx="79">
                  <c:v>-0.14946290701577714</c:v>
                </c:pt>
                <c:pt idx="80">
                  <c:v>-0.16211149481993092</c:v>
                </c:pt>
                <c:pt idx="81">
                  <c:v>-1.1775788977863577E-4</c:v>
                </c:pt>
                <c:pt idx="82">
                  <c:v>1.5663643858202736E-2</c:v>
                </c:pt>
                <c:pt idx="83">
                  <c:v>5.4730983302411884E-2</c:v>
                </c:pt>
                <c:pt idx="84">
                  <c:v>-5.6178540017590151E-2</c:v>
                </c:pt>
                <c:pt idx="85">
                  <c:v>-0.13791496796738489</c:v>
                </c:pt>
                <c:pt idx="86">
                  <c:v>0.19645993784623683</c:v>
                </c:pt>
                <c:pt idx="87">
                  <c:v>5.9062676453980778E-2</c:v>
                </c:pt>
                <c:pt idx="88">
                  <c:v>0.20260183407976107</c:v>
                </c:pt>
                <c:pt idx="89">
                  <c:v>0.10196843411952483</c:v>
                </c:pt>
                <c:pt idx="90">
                  <c:v>-5.6163501770196356E-2</c:v>
                </c:pt>
                <c:pt idx="91">
                  <c:v>0.10417732310315442</c:v>
                </c:pt>
                <c:pt idx="92">
                  <c:v>-4.7946263125386079E-2</c:v>
                </c:pt>
                <c:pt idx="93">
                  <c:v>6.8688670829616383E-2</c:v>
                </c:pt>
                <c:pt idx="94">
                  <c:v>-3.0808923964182777E-2</c:v>
                </c:pt>
                <c:pt idx="95">
                  <c:v>7.5790792358283898E-2</c:v>
                </c:pt>
                <c:pt idx="96">
                  <c:v>-7.2780203784561515E-4</c:v>
                </c:pt>
                <c:pt idx="97">
                  <c:v>-4.7778587035688269E-2</c:v>
                </c:pt>
                <c:pt idx="98">
                  <c:v>2.7688542144714834E-2</c:v>
                </c:pt>
                <c:pt idx="99">
                  <c:v>5.760643048526326E-2</c:v>
                </c:pt>
                <c:pt idx="100">
                  <c:v>8.0365939479239978E-2</c:v>
                </c:pt>
                <c:pt idx="101">
                  <c:v>3.4392912975508061E-2</c:v>
                </c:pt>
                <c:pt idx="102">
                  <c:v>-2.8526448362720447E-2</c:v>
                </c:pt>
                <c:pt idx="103">
                  <c:v>0.21190121216049773</c:v>
                </c:pt>
                <c:pt idx="104">
                  <c:v>-5.2364142062473418E-2</c:v>
                </c:pt>
                <c:pt idx="105">
                  <c:v>-0.10402438336061404</c:v>
                </c:pt>
                <c:pt idx="106">
                  <c:v>-1.2788207131157914E-2</c:v>
                </c:pt>
                <c:pt idx="107">
                  <c:v>-2.2972369344649302E-2</c:v>
                </c:pt>
                <c:pt idx="108">
                  <c:v>0.1196525373914179</c:v>
                </c:pt>
                <c:pt idx="109">
                  <c:v>6.3932800559995284E-2</c:v>
                </c:pt>
                <c:pt idx="110">
                  <c:v>-2.6426887439004343E-2</c:v>
                </c:pt>
                <c:pt idx="111">
                  <c:v>-2.5342118601115016E-2</c:v>
                </c:pt>
                <c:pt idx="112">
                  <c:v>1.3693881088576942E-2</c:v>
                </c:pt>
                <c:pt idx="113">
                  <c:v>1.5446876424988654E-2</c:v>
                </c:pt>
                <c:pt idx="114">
                  <c:v>3.6373842267751755E-2</c:v>
                </c:pt>
                <c:pt idx="115">
                  <c:v>8.5793208037697077E-2</c:v>
                </c:pt>
                <c:pt idx="116">
                  <c:v>-0.1124357759265725</c:v>
                </c:pt>
                <c:pt idx="117">
                  <c:v>-2.2031135839937099E-2</c:v>
                </c:pt>
                <c:pt idx="118">
                  <c:v>-0.11010861444744557</c:v>
                </c:pt>
                <c:pt idx="119">
                  <c:v>8.782692928640623E-2</c:v>
                </c:pt>
                <c:pt idx="120">
                  <c:v>7.9014544375185514E-2</c:v>
                </c:pt>
                <c:pt idx="121">
                  <c:v>9.9581866197182567E-3</c:v>
                </c:pt>
                <c:pt idx="122">
                  <c:v>5.3440104592253679E-2</c:v>
                </c:pt>
                <c:pt idx="123">
                  <c:v>-2.4149343261971157E-2</c:v>
                </c:pt>
                <c:pt idx="124">
                  <c:v>-0.1104869906205288</c:v>
                </c:pt>
                <c:pt idx="125">
                  <c:v>5.7369236268318913E-2</c:v>
                </c:pt>
                <c:pt idx="126">
                  <c:v>-3.6790805115781144E-2</c:v>
                </c:pt>
                <c:pt idx="127">
                  <c:v>-7.9550772110436041E-3</c:v>
                </c:pt>
                <c:pt idx="128">
                  <c:v>-0.13567216981132069</c:v>
                </c:pt>
                <c:pt idx="129">
                  <c:v>-7.2924483252609251E-2</c:v>
                </c:pt>
                <c:pt idx="130">
                  <c:v>-3.303899926416487E-2</c:v>
                </c:pt>
                <c:pt idx="131">
                  <c:v>2.9145422722776093E-2</c:v>
                </c:pt>
                <c:pt idx="132">
                  <c:v>1.4418811002661958E-2</c:v>
                </c:pt>
                <c:pt idx="133">
                  <c:v>0.14556454552081055</c:v>
                </c:pt>
                <c:pt idx="134">
                  <c:v>-3.9513871214049479E-2</c:v>
                </c:pt>
                <c:pt idx="135">
                  <c:v>-1.7886717456110368E-3</c:v>
                </c:pt>
                <c:pt idx="136">
                  <c:v>-5.0570745951685758E-2</c:v>
                </c:pt>
                <c:pt idx="137">
                  <c:v>3.7746400111841272E-2</c:v>
                </c:pt>
                <c:pt idx="138">
                  <c:v>-0.13741075037047024</c:v>
                </c:pt>
                <c:pt idx="139">
                  <c:v>0.14313602998594388</c:v>
                </c:pt>
                <c:pt idx="140">
                  <c:v>-2.2542523396406722E-2</c:v>
                </c:pt>
                <c:pt idx="141">
                  <c:v>6.8488363966734411E-3</c:v>
                </c:pt>
                <c:pt idx="142">
                  <c:v>-4.3520510862774864E-2</c:v>
                </c:pt>
                <c:pt idx="143">
                  <c:v>-2.7648766328011609E-2</c:v>
                </c:pt>
                <c:pt idx="144">
                  <c:v>2.1568773789088613E-2</c:v>
                </c:pt>
                <c:pt idx="145">
                  <c:v>0.14362945645821146</c:v>
                </c:pt>
                <c:pt idx="146">
                  <c:v>-0.13421489715088786</c:v>
                </c:pt>
                <c:pt idx="147">
                  <c:v>-5.5633439090976178E-2</c:v>
                </c:pt>
                <c:pt idx="148">
                  <c:v>3.7502929916399808E-3</c:v>
                </c:pt>
                <c:pt idx="149">
                  <c:v>-0.12096209231727251</c:v>
                </c:pt>
                <c:pt idx="150">
                  <c:v>0.14495705304170725</c:v>
                </c:pt>
                <c:pt idx="151">
                  <c:v>-1.9412219644238227E-2</c:v>
                </c:pt>
                <c:pt idx="152">
                  <c:v>4.4088650524489292E-2</c:v>
                </c:pt>
                <c:pt idx="153">
                  <c:v>-7.1460945762199635E-2</c:v>
                </c:pt>
                <c:pt idx="154">
                  <c:v>1.138952164009055E-3</c:v>
                </c:pt>
              </c:numCache>
            </c:numRef>
          </c:val>
          <c:extLst>
            <c:ext xmlns:c16="http://schemas.microsoft.com/office/drawing/2014/chart" uri="{C3380CC4-5D6E-409C-BE32-E72D297353CC}">
              <c16:uniqueId val="{00000000-FE5C-3D42-A5FA-1E392A53D287}"/>
            </c:ext>
          </c:extLst>
        </c:ser>
        <c:dLbls>
          <c:showLegendKey val="0"/>
          <c:showVal val="0"/>
          <c:showCatName val="0"/>
          <c:showSerName val="0"/>
          <c:showPercent val="0"/>
          <c:showBubbleSize val="0"/>
        </c:dLbls>
        <c:gapWidth val="150"/>
        <c:axId val="75471002"/>
        <c:axId val="22274487"/>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16.109025974025975</c:v>
                </c:pt>
                <c:pt idx="2">
                  <c:v>16.808051948051951</c:v>
                </c:pt>
                <c:pt idx="3">
                  <c:v>17.507077922077926</c:v>
                </c:pt>
                <c:pt idx="4">
                  <c:v>18.206103896103897</c:v>
                </c:pt>
                <c:pt idx="5">
                  <c:v>18.905129870129873</c:v>
                </c:pt>
                <c:pt idx="6">
                  <c:v>19.604155844155848</c:v>
                </c:pt>
                <c:pt idx="7">
                  <c:v>20.303181818181823</c:v>
                </c:pt>
                <c:pt idx="8">
                  <c:v>21.002207792207798</c:v>
                </c:pt>
                <c:pt idx="9">
                  <c:v>21.701233766233763</c:v>
                </c:pt>
                <c:pt idx="10">
                  <c:v>22.400259740259738</c:v>
                </c:pt>
                <c:pt idx="11">
                  <c:v>23.099285714285713</c:v>
                </c:pt>
                <c:pt idx="12">
                  <c:v>23.798311688311685</c:v>
                </c:pt>
                <c:pt idx="13">
                  <c:v>24.497337662337664</c:v>
                </c:pt>
                <c:pt idx="14">
                  <c:v>25.196363636363635</c:v>
                </c:pt>
                <c:pt idx="15">
                  <c:v>25.895389610389611</c:v>
                </c:pt>
                <c:pt idx="16">
                  <c:v>26.594415584415596</c:v>
                </c:pt>
                <c:pt idx="17">
                  <c:v>27.293441558441515</c:v>
                </c:pt>
                <c:pt idx="18">
                  <c:v>27.992467532467547</c:v>
                </c:pt>
                <c:pt idx="19">
                  <c:v>28.691493506493465</c:v>
                </c:pt>
                <c:pt idx="20">
                  <c:v>29.390519480519494</c:v>
                </c:pt>
                <c:pt idx="21">
                  <c:v>30.089545454545416</c:v>
                </c:pt>
                <c:pt idx="22">
                  <c:v>30.788571428571444</c:v>
                </c:pt>
                <c:pt idx="23">
                  <c:v>31.487597402597366</c:v>
                </c:pt>
                <c:pt idx="24">
                  <c:v>32.186623376623395</c:v>
                </c:pt>
                <c:pt idx="25">
                  <c:v>32.885649350649317</c:v>
                </c:pt>
                <c:pt idx="26">
                  <c:v>33.584675324675345</c:v>
                </c:pt>
                <c:pt idx="27">
                  <c:v>34.28370129870126</c:v>
                </c:pt>
                <c:pt idx="28">
                  <c:v>34.982727272727288</c:v>
                </c:pt>
                <c:pt idx="29">
                  <c:v>35.681753246753217</c:v>
                </c:pt>
                <c:pt idx="30">
                  <c:v>36.380779220779246</c:v>
                </c:pt>
                <c:pt idx="31">
                  <c:v>37.079805194805161</c:v>
                </c:pt>
                <c:pt idx="32">
                  <c:v>37.778831168831189</c:v>
                </c:pt>
                <c:pt idx="33">
                  <c:v>38.477857142857118</c:v>
                </c:pt>
                <c:pt idx="34">
                  <c:v>39.17688311688314</c:v>
                </c:pt>
                <c:pt idx="35">
                  <c:v>39.875909090909062</c:v>
                </c:pt>
                <c:pt idx="36">
                  <c:v>40.57493506493509</c:v>
                </c:pt>
                <c:pt idx="37">
                  <c:v>41.273961038961012</c:v>
                </c:pt>
                <c:pt idx="38">
                  <c:v>41.972987012987041</c:v>
                </c:pt>
                <c:pt idx="39">
                  <c:v>42.672012987012963</c:v>
                </c:pt>
                <c:pt idx="40">
                  <c:v>43.371038961038991</c:v>
                </c:pt>
                <c:pt idx="41">
                  <c:v>44.070064935064906</c:v>
                </c:pt>
                <c:pt idx="42">
                  <c:v>44.769090909090934</c:v>
                </c:pt>
                <c:pt idx="43">
                  <c:v>45.468116883116863</c:v>
                </c:pt>
                <c:pt idx="44">
                  <c:v>46.167142857142892</c:v>
                </c:pt>
                <c:pt idx="45">
                  <c:v>46.866168831168814</c:v>
                </c:pt>
                <c:pt idx="46">
                  <c:v>47.565194805194835</c:v>
                </c:pt>
                <c:pt idx="47">
                  <c:v>48.264220779220764</c:v>
                </c:pt>
                <c:pt idx="48">
                  <c:v>48.963246753246793</c:v>
                </c:pt>
                <c:pt idx="49">
                  <c:v>49.662272727272708</c:v>
                </c:pt>
                <c:pt idx="50">
                  <c:v>50.361298701298736</c:v>
                </c:pt>
                <c:pt idx="51">
                  <c:v>51.060324675324665</c:v>
                </c:pt>
                <c:pt idx="52">
                  <c:v>51.759350649350694</c:v>
                </c:pt>
                <c:pt idx="53">
                  <c:v>52.458376623376608</c:v>
                </c:pt>
                <c:pt idx="54">
                  <c:v>53.157402597402637</c:v>
                </c:pt>
                <c:pt idx="55">
                  <c:v>53.856428571428552</c:v>
                </c:pt>
                <c:pt idx="56">
                  <c:v>54.55545454545458</c:v>
                </c:pt>
                <c:pt idx="57">
                  <c:v>55.254480519480509</c:v>
                </c:pt>
                <c:pt idx="58">
                  <c:v>55.953506493506538</c:v>
                </c:pt>
                <c:pt idx="59">
                  <c:v>56.652532467532453</c:v>
                </c:pt>
                <c:pt idx="60">
                  <c:v>57.351558441558481</c:v>
                </c:pt>
                <c:pt idx="61">
                  <c:v>58.05058441558441</c:v>
                </c:pt>
                <c:pt idx="62">
                  <c:v>58.749610389610439</c:v>
                </c:pt>
                <c:pt idx="63">
                  <c:v>59.448636363636354</c:v>
                </c:pt>
                <c:pt idx="64">
                  <c:v>60.147662337662382</c:v>
                </c:pt>
                <c:pt idx="65">
                  <c:v>60.846688311688311</c:v>
                </c:pt>
                <c:pt idx="66">
                  <c:v>61.54571428571434</c:v>
                </c:pt>
                <c:pt idx="67">
                  <c:v>62.244740259740254</c:v>
                </c:pt>
                <c:pt idx="68">
                  <c:v>62.943766233766283</c:v>
                </c:pt>
                <c:pt idx="69">
                  <c:v>63.642792207792198</c:v>
                </c:pt>
                <c:pt idx="70">
                  <c:v>64.341818181818226</c:v>
                </c:pt>
                <c:pt idx="71">
                  <c:v>65.040844155844155</c:v>
                </c:pt>
                <c:pt idx="72">
                  <c:v>65.739870129870184</c:v>
                </c:pt>
                <c:pt idx="73">
                  <c:v>66.438896103896113</c:v>
                </c:pt>
                <c:pt idx="74">
                  <c:v>67.137922077922127</c:v>
                </c:pt>
                <c:pt idx="75">
                  <c:v>67.836948051948056</c:v>
                </c:pt>
                <c:pt idx="76">
                  <c:v>68.535974025974085</c:v>
                </c:pt>
                <c:pt idx="77">
                  <c:v>69.234999999999999</c:v>
                </c:pt>
                <c:pt idx="78">
                  <c:v>69.934025974025928</c:v>
                </c:pt>
                <c:pt idx="79">
                  <c:v>70.633051948051957</c:v>
                </c:pt>
                <c:pt idx="80">
                  <c:v>71.332077922077872</c:v>
                </c:pt>
                <c:pt idx="81">
                  <c:v>72.0311038961039</c:v>
                </c:pt>
                <c:pt idx="82">
                  <c:v>72.730129870129815</c:v>
                </c:pt>
                <c:pt idx="83">
                  <c:v>73.429155844155844</c:v>
                </c:pt>
                <c:pt idx="84">
                  <c:v>74.128181818181773</c:v>
                </c:pt>
                <c:pt idx="85">
                  <c:v>74.827207792207801</c:v>
                </c:pt>
                <c:pt idx="86">
                  <c:v>75.526233766233716</c:v>
                </c:pt>
                <c:pt idx="87">
                  <c:v>76.225259740259744</c:v>
                </c:pt>
                <c:pt idx="88">
                  <c:v>76.924285714285674</c:v>
                </c:pt>
                <c:pt idx="89">
                  <c:v>77.623311688311688</c:v>
                </c:pt>
                <c:pt idx="90">
                  <c:v>78.322337662337631</c:v>
                </c:pt>
                <c:pt idx="91">
                  <c:v>79.02136363636366</c:v>
                </c:pt>
                <c:pt idx="92">
                  <c:v>79.720389610389574</c:v>
                </c:pt>
                <c:pt idx="93">
                  <c:v>80.419415584415603</c:v>
                </c:pt>
                <c:pt idx="94">
                  <c:v>81.118441558441518</c:v>
                </c:pt>
                <c:pt idx="95">
                  <c:v>81.817467532467546</c:v>
                </c:pt>
                <c:pt idx="96">
                  <c:v>82.516493506493475</c:v>
                </c:pt>
                <c:pt idx="97">
                  <c:v>83.215519480519504</c:v>
                </c:pt>
                <c:pt idx="98">
                  <c:v>83.914545454545419</c:v>
                </c:pt>
                <c:pt idx="99">
                  <c:v>84.613571428571447</c:v>
                </c:pt>
                <c:pt idx="100">
                  <c:v>85.312597402597362</c:v>
                </c:pt>
                <c:pt idx="101">
                  <c:v>86.01162337662339</c:v>
                </c:pt>
                <c:pt idx="102">
                  <c:v>86.710649350649319</c:v>
                </c:pt>
                <c:pt idx="103">
                  <c:v>87.409675324675348</c:v>
                </c:pt>
                <c:pt idx="104">
                  <c:v>88.108701298701263</c:v>
                </c:pt>
                <c:pt idx="105">
                  <c:v>88.807727272727291</c:v>
                </c:pt>
                <c:pt idx="106">
                  <c:v>89.506753246753206</c:v>
                </c:pt>
                <c:pt idx="107">
                  <c:v>90.205779220779235</c:v>
                </c:pt>
                <c:pt idx="108">
                  <c:v>90.904805194805164</c:v>
                </c:pt>
                <c:pt idx="109">
                  <c:v>91.603831168831192</c:v>
                </c:pt>
                <c:pt idx="110">
                  <c:v>92.302857142857107</c:v>
                </c:pt>
                <c:pt idx="111">
                  <c:v>93.001883116883135</c:v>
                </c:pt>
                <c:pt idx="112">
                  <c:v>93.700909090909065</c:v>
                </c:pt>
                <c:pt idx="113">
                  <c:v>94.399935064935093</c:v>
                </c:pt>
                <c:pt idx="114">
                  <c:v>95.098961038961008</c:v>
                </c:pt>
                <c:pt idx="115">
                  <c:v>95.797987012987036</c:v>
                </c:pt>
                <c:pt idx="116">
                  <c:v>96.497012987012965</c:v>
                </c:pt>
                <c:pt idx="117">
                  <c:v>97.196038961038994</c:v>
                </c:pt>
                <c:pt idx="118">
                  <c:v>97.895064935064909</c:v>
                </c:pt>
                <c:pt idx="119">
                  <c:v>98.594090909090937</c:v>
                </c:pt>
                <c:pt idx="120">
                  <c:v>99.293116883116866</c:v>
                </c:pt>
                <c:pt idx="121">
                  <c:v>99.992142857142895</c:v>
                </c:pt>
                <c:pt idx="122">
                  <c:v>100.69116883116881</c:v>
                </c:pt>
                <c:pt idx="123">
                  <c:v>101.39019480519484</c:v>
                </c:pt>
                <c:pt idx="124">
                  <c:v>102.08922077922077</c:v>
                </c:pt>
                <c:pt idx="125">
                  <c:v>102.7882467532468</c:v>
                </c:pt>
                <c:pt idx="126">
                  <c:v>103.48727272727271</c:v>
                </c:pt>
                <c:pt idx="127">
                  <c:v>104.18629870129874</c:v>
                </c:pt>
                <c:pt idx="128">
                  <c:v>104.88532467532465</c:v>
                </c:pt>
                <c:pt idx="129">
                  <c:v>105.58435064935068</c:v>
                </c:pt>
                <c:pt idx="130">
                  <c:v>106.28337662337661</c:v>
                </c:pt>
                <c:pt idx="131">
                  <c:v>106.98240259740264</c:v>
                </c:pt>
                <c:pt idx="132">
                  <c:v>107.68142857142855</c:v>
                </c:pt>
                <c:pt idx="133">
                  <c:v>108.38045454545458</c:v>
                </c:pt>
                <c:pt idx="134">
                  <c:v>109.0794805194805</c:v>
                </c:pt>
                <c:pt idx="135">
                  <c:v>109.77850649350653</c:v>
                </c:pt>
                <c:pt idx="136">
                  <c:v>110.47753246753246</c:v>
                </c:pt>
                <c:pt idx="137">
                  <c:v>111.17655844155848</c:v>
                </c:pt>
                <c:pt idx="138">
                  <c:v>111.8755844155844</c:v>
                </c:pt>
                <c:pt idx="139">
                  <c:v>112.57461038961043</c:v>
                </c:pt>
                <c:pt idx="140">
                  <c:v>113.27363636363636</c:v>
                </c:pt>
                <c:pt idx="141">
                  <c:v>113.97266233766238</c:v>
                </c:pt>
                <c:pt idx="142">
                  <c:v>114.67168831168831</c:v>
                </c:pt>
                <c:pt idx="143">
                  <c:v>115.37071428571434</c:v>
                </c:pt>
                <c:pt idx="144">
                  <c:v>116.06974025974026</c:v>
                </c:pt>
                <c:pt idx="145">
                  <c:v>116.76876623376629</c:v>
                </c:pt>
                <c:pt idx="146">
                  <c:v>117.46779220779221</c:v>
                </c:pt>
                <c:pt idx="147">
                  <c:v>118.16681818181823</c:v>
                </c:pt>
                <c:pt idx="148">
                  <c:v>118.86584415584416</c:v>
                </c:pt>
                <c:pt idx="149">
                  <c:v>119.56487012987019</c:v>
                </c:pt>
                <c:pt idx="150">
                  <c:v>120.2638961038961</c:v>
                </c:pt>
                <c:pt idx="151">
                  <c:v>120.96292207792213</c:v>
                </c:pt>
                <c:pt idx="152">
                  <c:v>121.66194805194806</c:v>
                </c:pt>
                <c:pt idx="153">
                  <c:v>122.36097402597409</c:v>
                </c:pt>
                <c:pt idx="154">
                  <c:v>123.06</c:v>
                </c:pt>
              </c:numCache>
            </c:numRef>
          </c:val>
          <c:smooth val="0"/>
          <c:extLst>
            <c:ext xmlns:c16="http://schemas.microsoft.com/office/drawing/2014/chart" uri="{C3380CC4-5D6E-409C-BE32-E72D297353CC}">
              <c16:uniqueId val="{00000001-FE5C-3D42-A5FA-1E392A53D287}"/>
            </c:ext>
          </c:extLst>
        </c:ser>
        <c:dLbls>
          <c:showLegendKey val="0"/>
          <c:showVal val="0"/>
          <c:showCatName val="0"/>
          <c:showSerName val="0"/>
          <c:showPercent val="0"/>
          <c:showBubbleSize val="0"/>
        </c:dLbls>
        <c:hiLowLines>
          <c:spPr>
            <a:ln w="0">
              <a:noFill/>
            </a:ln>
          </c:spPr>
        </c:hiLowLines>
        <c:marker val="1"/>
        <c:smooth val="0"/>
        <c:axId val="95253397"/>
        <c:axId val="82768777"/>
      </c:lineChart>
      <c:dateAx>
        <c:axId val="75471002"/>
        <c:scaling>
          <c:orientation val="minMax"/>
        </c:scaling>
        <c:delete val="1"/>
        <c:axPos val="b"/>
        <c:numFmt formatCode="mm/dd/yyyy" sourceLinked="1"/>
        <c:majorTickMark val="none"/>
        <c:minorTickMark val="none"/>
        <c:tickLblPos val="nextTo"/>
        <c:crossAx val="22274487"/>
        <c:crosses val="autoZero"/>
        <c:auto val="1"/>
        <c:lblOffset val="100"/>
        <c:baseTimeUnit val="days"/>
      </c:dateAx>
      <c:valAx>
        <c:axId val="222744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5471002"/>
        <c:crosses val="autoZero"/>
        <c:crossBetween val="between"/>
      </c:valAx>
      <c:dateAx>
        <c:axId val="95253397"/>
        <c:scaling>
          <c:orientation val="minMax"/>
        </c:scaling>
        <c:delete val="1"/>
        <c:axPos val="b"/>
        <c:numFmt formatCode="mm/dd/yyyy" sourceLinked="1"/>
        <c:majorTickMark val="none"/>
        <c:minorTickMark val="none"/>
        <c:tickLblPos val="nextTo"/>
        <c:crossAx val="82768777"/>
        <c:crosses val="autoZero"/>
        <c:auto val="1"/>
        <c:lblOffset val="100"/>
        <c:baseTimeUnit val="days"/>
      </c:dateAx>
      <c:valAx>
        <c:axId val="827687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525339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-9.6749646700728942E-3</c:v>
                </c:pt>
                <c:pt idx="1">
                  <c:v>2.1953896816685026E-2</c:v>
                </c:pt>
                <c:pt idx="2">
                  <c:v>9.6670247046182212E-4</c:v>
                </c:pt>
                <c:pt idx="3">
                  <c:v>-3.8094216117609103E-2</c:v>
                </c:pt>
                <c:pt idx="4">
                  <c:v>-4.3507362784471759E-3</c:v>
                </c:pt>
                <c:pt idx="5">
                  <c:v>-4.0448179271708629E-2</c:v>
                </c:pt>
                <c:pt idx="6">
                  <c:v>1.4712751050910855E-2</c:v>
                </c:pt>
                <c:pt idx="7">
                  <c:v>2.7502876869965442E-2</c:v>
                </c:pt>
                <c:pt idx="8">
                  <c:v>1.3103371038190037E-2</c:v>
                </c:pt>
                <c:pt idx="9">
                  <c:v>9.3964183064338958E-3</c:v>
                </c:pt>
                <c:pt idx="10">
                  <c:v>-5.8263059905815484E-2</c:v>
                </c:pt>
                <c:pt idx="11">
                  <c:v>6.744970345389012E-2</c:v>
                </c:pt>
                <c:pt idx="12">
                  <c:v>6.155354613792352E-2</c:v>
                </c:pt>
                <c:pt idx="13">
                  <c:v>2.1962233169129819E-2</c:v>
                </c:pt>
                <c:pt idx="14">
                  <c:v>-1.7573810002008416E-2</c:v>
                </c:pt>
                <c:pt idx="15">
                  <c:v>7.3597056117755688E-3</c:v>
                </c:pt>
                <c:pt idx="16">
                  <c:v>1.8264840182648401E-2</c:v>
                </c:pt>
                <c:pt idx="17">
                  <c:v>2.1823617339312484E-2</c:v>
                </c:pt>
                <c:pt idx="18">
                  <c:v>5.9488979910278239E-3</c:v>
                </c:pt>
                <c:pt idx="19">
                  <c:v>8.2404265632574081E-3</c:v>
                </c:pt>
                <c:pt idx="20">
                  <c:v>-4.2211538461538467E-2</c:v>
                </c:pt>
                <c:pt idx="21">
                  <c:v>1.6363818893685433E-2</c:v>
                </c:pt>
                <c:pt idx="22">
                  <c:v>0.12801264322402228</c:v>
                </c:pt>
                <c:pt idx="23">
                  <c:v>2.6795096322241641E-2</c:v>
                </c:pt>
                <c:pt idx="24">
                  <c:v>-1.2877366535903212E-2</c:v>
                </c:pt>
                <c:pt idx="25">
                  <c:v>0.14997840172786181</c:v>
                </c:pt>
                <c:pt idx="26">
                  <c:v>-4.8230786567500683E-2</c:v>
                </c:pt>
                <c:pt idx="27">
                  <c:v>2.2416923198358196E-2</c:v>
                </c:pt>
                <c:pt idx="28">
                  <c:v>3.373735814097123E-2</c:v>
                </c:pt>
                <c:pt idx="29">
                  <c:v>9.3129200896191255E-2</c:v>
                </c:pt>
                <c:pt idx="30">
                  <c:v>-6.415249026439851E-2</c:v>
                </c:pt>
                <c:pt idx="31">
                  <c:v>2.5989195502993168E-2</c:v>
                </c:pt>
                <c:pt idx="32">
                  <c:v>-3.1948199800768351E-2</c:v>
                </c:pt>
                <c:pt idx="33">
                  <c:v>3.902976846747519E-2</c:v>
                </c:pt>
                <c:pt idx="34">
                  <c:v>8.2059988681379981E-3</c:v>
                </c:pt>
                <c:pt idx="35">
                  <c:v>-0.10398540555711488</c:v>
                </c:pt>
                <c:pt idx="36">
                  <c:v>8.3007047768206776E-2</c:v>
                </c:pt>
                <c:pt idx="37">
                  <c:v>2.357194504699911E-2</c:v>
                </c:pt>
                <c:pt idx="38">
                  <c:v>5.4393896580954948E-2</c:v>
                </c:pt>
                <c:pt idx="39">
                  <c:v>1.6213319040600416E-2</c:v>
                </c:pt>
                <c:pt idx="40">
                  <c:v>5.4852320675105481E-2</c:v>
                </c:pt>
                <c:pt idx="41">
                  <c:v>-5.600000000000005E-2</c:v>
                </c:pt>
                <c:pt idx="42">
                  <c:v>8.8387182203389703E-2</c:v>
                </c:pt>
                <c:pt idx="43">
                  <c:v>4.9394732039661715E-2</c:v>
                </c:pt>
                <c:pt idx="44">
                  <c:v>8.4053098371110746E-3</c:v>
                </c:pt>
                <c:pt idx="45">
                  <c:v>-8.6226718785931133E-4</c:v>
                </c:pt>
                <c:pt idx="46">
                  <c:v>5.856970254876015E-2</c:v>
                </c:pt>
                <c:pt idx="47">
                  <c:v>1.8261862057720402E-2</c:v>
                </c:pt>
                <c:pt idx="48">
                  <c:v>-0.11518548171870824</c:v>
                </c:pt>
                <c:pt idx="49">
                  <c:v>-2.3104301140133954E-2</c:v>
                </c:pt>
                <c:pt idx="50">
                  <c:v>-7.4595529208348665E-2</c:v>
                </c:pt>
                <c:pt idx="51">
                  <c:v>0.11517416255171486</c:v>
                </c:pt>
                <c:pt idx="52">
                  <c:v>4.4399234083293271E-2</c:v>
                </c:pt>
                <c:pt idx="53">
                  <c:v>-1.867766701042739E-2</c:v>
                </c:pt>
                <c:pt idx="54">
                  <c:v>2.4521251751516981E-3</c:v>
                </c:pt>
                <c:pt idx="55">
                  <c:v>-8.6662783925451348E-2</c:v>
                </c:pt>
                <c:pt idx="56">
                  <c:v>9.9987246524678053E-2</c:v>
                </c:pt>
                <c:pt idx="57">
                  <c:v>9.1594202898550581E-3</c:v>
                </c:pt>
                <c:pt idx="58">
                  <c:v>2.234604779411753E-2</c:v>
                </c:pt>
                <c:pt idx="59">
                  <c:v>1.792436927572072E-2</c:v>
                </c:pt>
                <c:pt idx="60">
                  <c:v>5.32678295429454E-2</c:v>
                </c:pt>
                <c:pt idx="61">
                  <c:v>5.225093024474603E-2</c:v>
                </c:pt>
                <c:pt idx="62">
                  <c:v>1.3248331507122124E-2</c:v>
                </c:pt>
                <c:pt idx="63">
                  <c:v>-5.1563114431773527E-2</c:v>
                </c:pt>
                <c:pt idx="64">
                  <c:v>4.275719098211983E-2</c:v>
                </c:pt>
                <c:pt idx="65">
                  <c:v>-7.549701789264418E-2</c:v>
                </c:pt>
                <c:pt idx="66">
                  <c:v>2.1880544056771312E-2</c:v>
                </c:pt>
                <c:pt idx="67">
                  <c:v>-2.8514309764309798E-2</c:v>
                </c:pt>
                <c:pt idx="68">
                  <c:v>9.9425972056752965E-2</c:v>
                </c:pt>
                <c:pt idx="69">
                  <c:v>-9.9990148753817953E-3</c:v>
                </c:pt>
                <c:pt idx="70">
                  <c:v>-1.8806905816209807E-2</c:v>
                </c:pt>
                <c:pt idx="71">
                  <c:v>2.2412656558997934E-2</c:v>
                </c:pt>
                <c:pt idx="72">
                  <c:v>3.4617864405098508E-2</c:v>
                </c:pt>
                <c:pt idx="73">
                  <c:v>-1.1504721729543865E-3</c:v>
                </c:pt>
                <c:pt idx="74">
                  <c:v>1.502135624130152E-2</c:v>
                </c:pt>
                <c:pt idx="75">
                  <c:v>4.9078014184397167E-2</c:v>
                </c:pt>
                <c:pt idx="76">
                  <c:v>-5.6607175049576353E-2</c:v>
                </c:pt>
                <c:pt idx="77">
                  <c:v>-1.528759793617418E-2</c:v>
                </c:pt>
                <c:pt idx="78">
                  <c:v>-1.0770424995148464E-2</c:v>
                </c:pt>
                <c:pt idx="79">
                  <c:v>-2.7758705247670434E-2</c:v>
                </c:pt>
                <c:pt idx="80">
                  <c:v>-8.9336158192090398E-2</c:v>
                </c:pt>
                <c:pt idx="81">
                  <c:v>-1.8999612252811215E-2</c:v>
                </c:pt>
                <c:pt idx="82">
                  <c:v>-1.6996047430829941E-2</c:v>
                </c:pt>
                <c:pt idx="83">
                  <c:v>1.5164570049974069E-2</c:v>
                </c:pt>
                <c:pt idx="84">
                  <c:v>-6.4957845300741224E-2</c:v>
                </c:pt>
                <c:pt idx="85">
                  <c:v>-0.11164901664145233</c:v>
                </c:pt>
                <c:pt idx="86">
                  <c:v>7.0027247956403249E-2</c:v>
                </c:pt>
                <c:pt idx="87">
                  <c:v>-3.3995416348357566E-2</c:v>
                </c:pt>
                <c:pt idx="88">
                  <c:v>8.804534071437975E-2</c:v>
                </c:pt>
                <c:pt idx="89">
                  <c:v>8.5887341005451256E-2</c:v>
                </c:pt>
                <c:pt idx="90">
                  <c:v>-1.53949129852744E-2</c:v>
                </c:pt>
                <c:pt idx="91">
                  <c:v>0.10027192386131878</c:v>
                </c:pt>
                <c:pt idx="92">
                  <c:v>-1.1533312738132073E-2</c:v>
                </c:pt>
                <c:pt idx="93">
                  <c:v>6.9798937389311533E-3</c:v>
                </c:pt>
                <c:pt idx="94">
                  <c:v>6.1349058555762559E-2</c:v>
                </c:pt>
                <c:pt idx="95">
                  <c:v>2.8852714689540759E-2</c:v>
                </c:pt>
                <c:pt idx="96">
                  <c:v>-7.531975367124577E-3</c:v>
                </c:pt>
                <c:pt idx="97">
                  <c:v>9.0974177843539783E-2</c:v>
                </c:pt>
                <c:pt idx="98">
                  <c:v>2.725642035262732E-2</c:v>
                </c:pt>
                <c:pt idx="99">
                  <c:v>-1.8739352640545159E-2</c:v>
                </c:pt>
                <c:pt idx="100">
                  <c:v>4.3402777777777679E-2</c:v>
                </c:pt>
                <c:pt idx="101">
                  <c:v>2.1630615640598982E-2</c:v>
                </c:pt>
                <c:pt idx="102">
                  <c:v>-4.2304560260586266E-2</c:v>
                </c:pt>
                <c:pt idx="103">
                  <c:v>2.8145061859614851E-2</c:v>
                </c:pt>
                <c:pt idx="104">
                  <c:v>-1.2198651945581673E-2</c:v>
                </c:pt>
                <c:pt idx="105">
                  <c:v>-2.4656731413261856E-2</c:v>
                </c:pt>
                <c:pt idx="106">
                  <c:v>-9.0991029657925271E-3</c:v>
                </c:pt>
                <c:pt idx="107">
                  <c:v>5.431628189024118E-2</c:v>
                </c:pt>
                <c:pt idx="108">
                  <c:v>6.5404050778521849E-2</c:v>
                </c:pt>
                <c:pt idx="109">
                  <c:v>2.1362742451702443E-2</c:v>
                </c:pt>
                <c:pt idx="110">
                  <c:v>3.2053460188016691E-2</c:v>
                </c:pt>
                <c:pt idx="111">
                  <c:v>6.8883523558677107E-2</c:v>
                </c:pt>
                <c:pt idx="112">
                  <c:v>-3.9460624935829358E-2</c:v>
                </c:pt>
                <c:pt idx="113">
                  <c:v>5.1378892610275617E-2</c:v>
                </c:pt>
                <c:pt idx="114">
                  <c:v>-4.0666937779587631E-4</c:v>
                </c:pt>
                <c:pt idx="115">
                  <c:v>1.8544887442365265E-2</c:v>
                </c:pt>
                <c:pt idx="116">
                  <c:v>-4.636687414705587E-2</c:v>
                </c:pt>
                <c:pt idx="117">
                  <c:v>-5.8638743455498021E-3</c:v>
                </c:pt>
                <c:pt idx="118">
                  <c:v>-3.4267256512885313E-2</c:v>
                </c:pt>
                <c:pt idx="119">
                  <c:v>5.9805133425434365E-2</c:v>
                </c:pt>
                <c:pt idx="120">
                  <c:v>1.1011629103632847E-2</c:v>
                </c:pt>
                <c:pt idx="121">
                  <c:v>-9.0933767643865959E-3</c:v>
                </c:pt>
                <c:pt idx="122">
                  <c:v>-1.0580742364059814E-2</c:v>
                </c:pt>
                <c:pt idx="123">
                  <c:v>4.8070600449904743E-2</c:v>
                </c:pt>
                <c:pt idx="124">
                  <c:v>5.5375775987320131E-2</c:v>
                </c:pt>
                <c:pt idx="125">
                  <c:v>1.2577829229373227E-2</c:v>
                </c:pt>
                <c:pt idx="126">
                  <c:v>5.7998331427865146E-2</c:v>
                </c:pt>
                <c:pt idx="127">
                  <c:v>-2.1991822429906493E-2</c:v>
                </c:pt>
                <c:pt idx="128">
                  <c:v>-1.2870666228685712E-2</c:v>
                </c:pt>
                <c:pt idx="129">
                  <c:v>5.5330348499516013E-2</c:v>
                </c:pt>
                <c:pt idx="130">
                  <c:v>5.0193492905260095E-2</c:v>
                </c:pt>
                <c:pt idx="131">
                  <c:v>1.1409542526476635E-2</c:v>
                </c:pt>
                <c:pt idx="132">
                  <c:v>1.0903006423058192E-2</c:v>
                </c:pt>
                <c:pt idx="133">
                  <c:v>-9.52800469859576E-2</c:v>
                </c:pt>
                <c:pt idx="134">
                  <c:v>-1.7114697984595972E-3</c:v>
                </c:pt>
                <c:pt idx="135">
                  <c:v>-2.6809730720345204E-2</c:v>
                </c:pt>
                <c:pt idx="136">
                  <c:v>-7.5932450492042225E-3</c:v>
                </c:pt>
                <c:pt idx="137">
                  <c:v>3.7644610393585243E-2</c:v>
                </c:pt>
                <c:pt idx="138">
                  <c:v>9.3086361491269365E-2</c:v>
                </c:pt>
                <c:pt idx="139">
                  <c:v>-2.6983270372371582E-4</c:v>
                </c:pt>
                <c:pt idx="140">
                  <c:v>8.6261808367071424E-2</c:v>
                </c:pt>
                <c:pt idx="141">
                  <c:v>-1.190180390597817E-2</c:v>
                </c:pt>
                <c:pt idx="142">
                  <c:v>3.523021600824805E-2</c:v>
                </c:pt>
                <c:pt idx="143">
                  <c:v>-1.7805091333074174E-2</c:v>
                </c:pt>
                <c:pt idx="144">
                  <c:v>4.2042784716200821E-4</c:v>
                </c:pt>
                <c:pt idx="145">
                  <c:v>3.4435874616829842E-2</c:v>
                </c:pt>
                <c:pt idx="146">
                  <c:v>-7.8384514278885264E-3</c:v>
                </c:pt>
                <c:pt idx="147">
                  <c:v>2.1099790447286715E-2</c:v>
                </c:pt>
                <c:pt idx="148">
                  <c:v>9.0085627344137054E-2</c:v>
                </c:pt>
                <c:pt idx="149">
                  <c:v>-6.4420496840647434E-2</c:v>
                </c:pt>
                <c:pt idx="150">
                  <c:v>4.186423036891318E-3</c:v>
                </c:pt>
                <c:pt idx="151">
                  <c:v>-1.1516491615992663E-4</c:v>
                </c:pt>
                <c:pt idx="152">
                  <c:v>-8.2329363525373789E-2</c:v>
                </c:pt>
                <c:pt idx="153">
                  <c:v>1.265155508697946E-2</c:v>
                </c:pt>
                <c:pt idx="154">
                  <c:v>2.0822488287348673E-3</c:v>
                </c:pt>
              </c:numCache>
            </c:numRef>
          </c:val>
          <c:extLst>
            <c:ext xmlns:c16="http://schemas.microsoft.com/office/drawing/2014/chart" uri="{C3380CC4-5D6E-409C-BE32-E72D297353CC}">
              <c16:uniqueId val="{00000000-40CF-9944-AB66-2CFC47EE46F9}"/>
            </c:ext>
          </c:extLst>
        </c:ser>
        <c:dLbls>
          <c:showLegendKey val="0"/>
          <c:showVal val="0"/>
          <c:showCatName val="0"/>
          <c:showSerName val="0"/>
          <c:showPercent val="0"/>
          <c:showBubbleSize val="0"/>
        </c:dLbls>
        <c:gapWidth val="150"/>
        <c:axId val="24761952"/>
        <c:axId val="71467598"/>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94.01766233766233</c:v>
                </c:pt>
                <c:pt idx="2">
                  <c:v>96.045324675324679</c:v>
                </c:pt>
                <c:pt idx="3">
                  <c:v>98.072987012987014</c:v>
                </c:pt>
                <c:pt idx="4">
                  <c:v>100.10064935064935</c:v>
                </c:pt>
                <c:pt idx="5">
                  <c:v>102.1283116883117</c:v>
                </c:pt>
                <c:pt idx="6">
                  <c:v>104.15597402597403</c:v>
                </c:pt>
                <c:pt idx="7">
                  <c:v>106.18363636363637</c:v>
                </c:pt>
                <c:pt idx="8">
                  <c:v>108.21129870129872</c:v>
                </c:pt>
                <c:pt idx="9">
                  <c:v>110.23896103896102</c:v>
                </c:pt>
                <c:pt idx="10">
                  <c:v>112.26662337662336</c:v>
                </c:pt>
                <c:pt idx="11">
                  <c:v>114.29428571428571</c:v>
                </c:pt>
                <c:pt idx="12">
                  <c:v>116.32194805194804</c:v>
                </c:pt>
                <c:pt idx="13">
                  <c:v>118.34961038961038</c:v>
                </c:pt>
                <c:pt idx="14">
                  <c:v>120.37727272727273</c:v>
                </c:pt>
                <c:pt idx="15">
                  <c:v>122.40493506493506</c:v>
                </c:pt>
                <c:pt idx="16">
                  <c:v>124.43259740259742</c:v>
                </c:pt>
                <c:pt idx="17">
                  <c:v>126.4602597402596</c:v>
                </c:pt>
                <c:pt idx="18">
                  <c:v>128.48792207792212</c:v>
                </c:pt>
                <c:pt idx="19">
                  <c:v>130.5155844155843</c:v>
                </c:pt>
                <c:pt idx="20">
                  <c:v>132.54324675324679</c:v>
                </c:pt>
                <c:pt idx="21">
                  <c:v>134.57090909090897</c:v>
                </c:pt>
                <c:pt idx="22">
                  <c:v>136.59857142857146</c:v>
                </c:pt>
                <c:pt idx="23">
                  <c:v>138.62623376623367</c:v>
                </c:pt>
                <c:pt idx="24">
                  <c:v>140.65389610389616</c:v>
                </c:pt>
                <c:pt idx="25">
                  <c:v>142.68155844155834</c:v>
                </c:pt>
                <c:pt idx="26">
                  <c:v>144.70922077922083</c:v>
                </c:pt>
                <c:pt idx="27">
                  <c:v>146.73688311688301</c:v>
                </c:pt>
                <c:pt idx="28">
                  <c:v>148.7645454545455</c:v>
                </c:pt>
                <c:pt idx="29">
                  <c:v>150.79220779220771</c:v>
                </c:pt>
                <c:pt idx="30">
                  <c:v>152.8198701298702</c:v>
                </c:pt>
                <c:pt idx="31">
                  <c:v>154.84753246753237</c:v>
                </c:pt>
                <c:pt idx="32">
                  <c:v>156.87519480519487</c:v>
                </c:pt>
                <c:pt idx="33">
                  <c:v>158.90285714285704</c:v>
                </c:pt>
                <c:pt idx="34">
                  <c:v>160.93051948051954</c:v>
                </c:pt>
                <c:pt idx="35">
                  <c:v>162.95818181818174</c:v>
                </c:pt>
                <c:pt idx="36">
                  <c:v>164.98584415584423</c:v>
                </c:pt>
                <c:pt idx="37">
                  <c:v>167.01350649350641</c:v>
                </c:pt>
                <c:pt idx="38">
                  <c:v>169.0411688311689</c:v>
                </c:pt>
                <c:pt idx="39">
                  <c:v>171.06883116883108</c:v>
                </c:pt>
                <c:pt idx="40">
                  <c:v>173.09649350649357</c:v>
                </c:pt>
                <c:pt idx="41">
                  <c:v>175.12415584415578</c:v>
                </c:pt>
                <c:pt idx="42">
                  <c:v>177.15181818181827</c:v>
                </c:pt>
                <c:pt idx="43">
                  <c:v>179.17948051948042</c:v>
                </c:pt>
                <c:pt idx="44">
                  <c:v>181.20714285714291</c:v>
                </c:pt>
                <c:pt idx="45">
                  <c:v>183.23480519480512</c:v>
                </c:pt>
                <c:pt idx="46">
                  <c:v>185.26246753246761</c:v>
                </c:pt>
                <c:pt idx="47">
                  <c:v>187.29012987012982</c:v>
                </c:pt>
                <c:pt idx="48">
                  <c:v>189.31779220779231</c:v>
                </c:pt>
                <c:pt idx="49">
                  <c:v>191.34545454545449</c:v>
                </c:pt>
                <c:pt idx="50">
                  <c:v>193.37311688311698</c:v>
                </c:pt>
                <c:pt idx="51">
                  <c:v>195.40077922077916</c:v>
                </c:pt>
                <c:pt idx="52">
                  <c:v>197.42844155844165</c:v>
                </c:pt>
                <c:pt idx="53">
                  <c:v>199.45610389610385</c:v>
                </c:pt>
                <c:pt idx="54">
                  <c:v>201.48376623376635</c:v>
                </c:pt>
                <c:pt idx="55">
                  <c:v>203.5114285714285</c:v>
                </c:pt>
                <c:pt idx="56">
                  <c:v>205.53909090909099</c:v>
                </c:pt>
                <c:pt idx="57">
                  <c:v>207.56675324675319</c:v>
                </c:pt>
                <c:pt idx="58">
                  <c:v>209.59441558441569</c:v>
                </c:pt>
                <c:pt idx="59">
                  <c:v>211.62207792207789</c:v>
                </c:pt>
                <c:pt idx="60">
                  <c:v>213.64974025974038</c:v>
                </c:pt>
                <c:pt idx="61">
                  <c:v>215.67740259740256</c:v>
                </c:pt>
                <c:pt idx="62">
                  <c:v>217.70506493506505</c:v>
                </c:pt>
                <c:pt idx="63">
                  <c:v>219.73272727272723</c:v>
                </c:pt>
                <c:pt idx="64">
                  <c:v>221.76038961038972</c:v>
                </c:pt>
                <c:pt idx="65">
                  <c:v>223.78805194805193</c:v>
                </c:pt>
                <c:pt idx="66">
                  <c:v>225.81571428571442</c:v>
                </c:pt>
                <c:pt idx="67">
                  <c:v>227.84337662337657</c:v>
                </c:pt>
                <c:pt idx="68">
                  <c:v>229.87103896103906</c:v>
                </c:pt>
                <c:pt idx="69">
                  <c:v>231.89870129870127</c:v>
                </c:pt>
                <c:pt idx="70">
                  <c:v>233.92636363636376</c:v>
                </c:pt>
                <c:pt idx="71">
                  <c:v>235.95402597402597</c:v>
                </c:pt>
                <c:pt idx="72">
                  <c:v>237.98168831168846</c:v>
                </c:pt>
                <c:pt idx="73">
                  <c:v>240.00935064935067</c:v>
                </c:pt>
                <c:pt idx="74">
                  <c:v>242.03701298701316</c:v>
                </c:pt>
                <c:pt idx="75">
                  <c:v>244.06467532467531</c:v>
                </c:pt>
                <c:pt idx="76">
                  <c:v>246.0923376623378</c:v>
                </c:pt>
                <c:pt idx="77">
                  <c:v>248.12</c:v>
                </c:pt>
                <c:pt idx="78">
                  <c:v>250.14766233766215</c:v>
                </c:pt>
                <c:pt idx="79">
                  <c:v>252.17532467532465</c:v>
                </c:pt>
                <c:pt idx="80">
                  <c:v>254.20298701298685</c:v>
                </c:pt>
                <c:pt idx="81">
                  <c:v>256.23064935064934</c:v>
                </c:pt>
                <c:pt idx="82">
                  <c:v>258.25831168831155</c:v>
                </c:pt>
                <c:pt idx="83">
                  <c:v>260.28597402597404</c:v>
                </c:pt>
                <c:pt idx="84">
                  <c:v>262.31363636363619</c:v>
                </c:pt>
                <c:pt idx="85">
                  <c:v>264.34129870129868</c:v>
                </c:pt>
                <c:pt idx="86">
                  <c:v>266.36896103896089</c:v>
                </c:pt>
                <c:pt idx="87">
                  <c:v>268.39662337662338</c:v>
                </c:pt>
                <c:pt idx="88">
                  <c:v>270.42428571428553</c:v>
                </c:pt>
                <c:pt idx="89">
                  <c:v>272.45194805194802</c:v>
                </c:pt>
                <c:pt idx="90">
                  <c:v>274.47961038961029</c:v>
                </c:pt>
                <c:pt idx="91">
                  <c:v>276.50727272727278</c:v>
                </c:pt>
                <c:pt idx="92">
                  <c:v>278.53493506493493</c:v>
                </c:pt>
                <c:pt idx="93">
                  <c:v>280.56259740259742</c:v>
                </c:pt>
                <c:pt idx="94">
                  <c:v>282.59025974025963</c:v>
                </c:pt>
                <c:pt idx="95">
                  <c:v>284.61792207792212</c:v>
                </c:pt>
                <c:pt idx="96">
                  <c:v>286.64558441558432</c:v>
                </c:pt>
                <c:pt idx="97">
                  <c:v>288.67324675324681</c:v>
                </c:pt>
                <c:pt idx="98">
                  <c:v>290.70090909090897</c:v>
                </c:pt>
                <c:pt idx="99">
                  <c:v>292.72857142857146</c:v>
                </c:pt>
                <c:pt idx="100">
                  <c:v>294.75623376623366</c:v>
                </c:pt>
                <c:pt idx="101">
                  <c:v>296.78389610389615</c:v>
                </c:pt>
                <c:pt idx="102">
                  <c:v>298.8115584415583</c:v>
                </c:pt>
                <c:pt idx="103">
                  <c:v>300.8392207792208</c:v>
                </c:pt>
                <c:pt idx="104">
                  <c:v>302.866883116883</c:v>
                </c:pt>
                <c:pt idx="105">
                  <c:v>304.89454545454549</c:v>
                </c:pt>
                <c:pt idx="106">
                  <c:v>306.9222077922077</c:v>
                </c:pt>
                <c:pt idx="107">
                  <c:v>308.94987012987019</c:v>
                </c:pt>
                <c:pt idx="108">
                  <c:v>310.97753246753234</c:v>
                </c:pt>
                <c:pt idx="109">
                  <c:v>313.00519480519483</c:v>
                </c:pt>
                <c:pt idx="110">
                  <c:v>315.03285714285704</c:v>
                </c:pt>
                <c:pt idx="111">
                  <c:v>317.06051948051953</c:v>
                </c:pt>
                <c:pt idx="112">
                  <c:v>319.08818181818168</c:v>
                </c:pt>
                <c:pt idx="113">
                  <c:v>321.11584415584423</c:v>
                </c:pt>
                <c:pt idx="114">
                  <c:v>323.14350649350638</c:v>
                </c:pt>
                <c:pt idx="115">
                  <c:v>325.17116883116887</c:v>
                </c:pt>
                <c:pt idx="116">
                  <c:v>327.19883116883108</c:v>
                </c:pt>
                <c:pt idx="117">
                  <c:v>329.22649350649357</c:v>
                </c:pt>
                <c:pt idx="118">
                  <c:v>331.25415584415578</c:v>
                </c:pt>
                <c:pt idx="119">
                  <c:v>333.28181818181827</c:v>
                </c:pt>
                <c:pt idx="120">
                  <c:v>335.30948051948047</c:v>
                </c:pt>
                <c:pt idx="121">
                  <c:v>337.33714285714296</c:v>
                </c:pt>
                <c:pt idx="122">
                  <c:v>339.36480519480511</c:v>
                </c:pt>
                <c:pt idx="123">
                  <c:v>341.39246753246761</c:v>
                </c:pt>
                <c:pt idx="124">
                  <c:v>343.42012987012981</c:v>
                </c:pt>
                <c:pt idx="125">
                  <c:v>345.4477922077923</c:v>
                </c:pt>
                <c:pt idx="126">
                  <c:v>347.47545454545445</c:v>
                </c:pt>
                <c:pt idx="127">
                  <c:v>349.503116883117</c:v>
                </c:pt>
                <c:pt idx="128">
                  <c:v>351.53077922077915</c:v>
                </c:pt>
                <c:pt idx="129">
                  <c:v>353.55844155844164</c:v>
                </c:pt>
                <c:pt idx="130">
                  <c:v>355.58610389610385</c:v>
                </c:pt>
                <c:pt idx="131">
                  <c:v>357.61376623376634</c:v>
                </c:pt>
                <c:pt idx="132">
                  <c:v>359.64142857142855</c:v>
                </c:pt>
                <c:pt idx="133">
                  <c:v>361.66909090909104</c:v>
                </c:pt>
                <c:pt idx="134">
                  <c:v>363.69675324675319</c:v>
                </c:pt>
                <c:pt idx="135">
                  <c:v>365.72441558441568</c:v>
                </c:pt>
                <c:pt idx="136">
                  <c:v>367.75207792207789</c:v>
                </c:pt>
                <c:pt idx="137">
                  <c:v>369.77974025974038</c:v>
                </c:pt>
                <c:pt idx="138">
                  <c:v>371.80740259740253</c:v>
                </c:pt>
                <c:pt idx="139">
                  <c:v>373.83506493506502</c:v>
                </c:pt>
                <c:pt idx="140">
                  <c:v>375.86272727272723</c:v>
                </c:pt>
                <c:pt idx="141">
                  <c:v>377.89038961038972</c:v>
                </c:pt>
                <c:pt idx="142">
                  <c:v>379.91805194805193</c:v>
                </c:pt>
                <c:pt idx="143">
                  <c:v>381.94571428571442</c:v>
                </c:pt>
                <c:pt idx="144">
                  <c:v>383.97337662337662</c:v>
                </c:pt>
                <c:pt idx="145">
                  <c:v>386.00103896103911</c:v>
                </c:pt>
                <c:pt idx="146">
                  <c:v>388.02870129870132</c:v>
                </c:pt>
                <c:pt idx="147">
                  <c:v>390.05636363636381</c:v>
                </c:pt>
                <c:pt idx="148">
                  <c:v>392.08402597402596</c:v>
                </c:pt>
                <c:pt idx="149">
                  <c:v>394.11168831168845</c:v>
                </c:pt>
                <c:pt idx="150">
                  <c:v>396.13935064935066</c:v>
                </c:pt>
                <c:pt idx="151">
                  <c:v>398.16701298701315</c:v>
                </c:pt>
                <c:pt idx="152">
                  <c:v>400.1946753246753</c:v>
                </c:pt>
                <c:pt idx="153">
                  <c:v>402.22233766233779</c:v>
                </c:pt>
                <c:pt idx="154">
                  <c:v>404.25</c:v>
                </c:pt>
              </c:numCache>
            </c:numRef>
          </c:val>
          <c:smooth val="0"/>
          <c:extLst>
            <c:ext xmlns:c16="http://schemas.microsoft.com/office/drawing/2014/chart" uri="{C3380CC4-5D6E-409C-BE32-E72D297353CC}">
              <c16:uniqueId val="{00000001-40CF-9944-AB66-2CFC47EE46F9}"/>
            </c:ext>
          </c:extLst>
        </c:ser>
        <c:dLbls>
          <c:showLegendKey val="0"/>
          <c:showVal val="0"/>
          <c:showCatName val="0"/>
          <c:showSerName val="0"/>
          <c:showPercent val="0"/>
          <c:showBubbleSize val="0"/>
        </c:dLbls>
        <c:hiLowLines>
          <c:spPr>
            <a:ln w="0">
              <a:noFill/>
            </a:ln>
          </c:spPr>
        </c:hiLowLines>
        <c:marker val="1"/>
        <c:smooth val="0"/>
        <c:axId val="81581614"/>
        <c:axId val="15215516"/>
      </c:lineChart>
      <c:dateAx>
        <c:axId val="24761952"/>
        <c:scaling>
          <c:orientation val="minMax"/>
        </c:scaling>
        <c:delete val="1"/>
        <c:axPos val="b"/>
        <c:numFmt formatCode="mm/dd/yyyy" sourceLinked="1"/>
        <c:majorTickMark val="none"/>
        <c:minorTickMark val="none"/>
        <c:tickLblPos val="nextTo"/>
        <c:crossAx val="71467598"/>
        <c:crosses val="autoZero"/>
        <c:auto val="1"/>
        <c:lblOffset val="100"/>
        <c:baseTimeUnit val="days"/>
      </c:dateAx>
      <c:valAx>
        <c:axId val="714675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4761952"/>
        <c:crosses val="autoZero"/>
        <c:crossBetween val="between"/>
      </c:valAx>
      <c:dateAx>
        <c:axId val="81581614"/>
        <c:scaling>
          <c:orientation val="minMax"/>
        </c:scaling>
        <c:delete val="1"/>
        <c:axPos val="b"/>
        <c:numFmt formatCode="mm/dd/yyyy" sourceLinked="1"/>
        <c:majorTickMark val="none"/>
        <c:minorTickMark val="none"/>
        <c:tickLblPos val="nextTo"/>
        <c:crossAx val="15215516"/>
        <c:crosses val="autoZero"/>
        <c:auto val="1"/>
        <c:lblOffset val="100"/>
        <c:baseTimeUnit val="days"/>
      </c:dateAx>
      <c:valAx>
        <c:axId val="152155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58161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1.372724559832883E-2</c:v>
                </c:pt>
                <c:pt idx="1">
                  <c:v>0.10391521931115699</c:v>
                </c:pt>
                <c:pt idx="2">
                  <c:v>6.3199999999999923E-2</c:v>
                </c:pt>
                <c:pt idx="3">
                  <c:v>-1.6804614998745748E-2</c:v>
                </c:pt>
                <c:pt idx="4">
                  <c:v>-2.6275510204081698E-2</c:v>
                </c:pt>
                <c:pt idx="5">
                  <c:v>-4.5061566675399511E-2</c:v>
                </c:pt>
                <c:pt idx="6">
                  <c:v>2.0576131687242816E-2</c:v>
                </c:pt>
                <c:pt idx="7">
                  <c:v>6.9086021505376349E-2</c:v>
                </c:pt>
                <c:pt idx="8">
                  <c:v>-1.6846869499622885E-2</c:v>
                </c:pt>
                <c:pt idx="9">
                  <c:v>-6.0358056265984672E-2</c:v>
                </c:pt>
                <c:pt idx="10">
                  <c:v>-8.7098530212302849E-3</c:v>
                </c:pt>
                <c:pt idx="11">
                  <c:v>0.11037891268533762</c:v>
                </c:pt>
                <c:pt idx="12">
                  <c:v>3.4371909000989076E-2</c:v>
                </c:pt>
                <c:pt idx="13">
                  <c:v>3.4903179536218021E-2</c:v>
                </c:pt>
                <c:pt idx="14">
                  <c:v>-1.4091014091014098E-2</c:v>
                </c:pt>
                <c:pt idx="15">
                  <c:v>5.7638238050609303E-2</c:v>
                </c:pt>
                <c:pt idx="16">
                  <c:v>4.4306601683650859E-2</c:v>
                </c:pt>
                <c:pt idx="17">
                  <c:v>1.2515910055154844E-2</c:v>
                </c:pt>
                <c:pt idx="18">
                  <c:v>2.1998742928975634E-2</c:v>
                </c:pt>
                <c:pt idx="19">
                  <c:v>-1.5375153751537529E-2</c:v>
                </c:pt>
                <c:pt idx="20">
                  <c:v>-3.5810951488652876E-2</c:v>
                </c:pt>
                <c:pt idx="21">
                  <c:v>6.9315482617145374E-2</c:v>
                </c:pt>
                <c:pt idx="22">
                  <c:v>8.3804523424878763E-2</c:v>
                </c:pt>
                <c:pt idx="23">
                  <c:v>-3.9128004471772337E-3</c:v>
                </c:pt>
                <c:pt idx="24">
                  <c:v>0.14983164983164987</c:v>
                </c:pt>
                <c:pt idx="25">
                  <c:v>3.3349601431592824E-2</c:v>
                </c:pt>
                <c:pt idx="26">
                  <c:v>-8.6586901763224811E-3</c:v>
                </c:pt>
                <c:pt idx="27">
                  <c:v>-4.2877560743210807E-3</c:v>
                </c:pt>
                <c:pt idx="28">
                  <c:v>0.12551834130781492</c:v>
                </c:pt>
                <c:pt idx="29">
                  <c:v>-1.7004392801473589E-2</c:v>
                </c:pt>
                <c:pt idx="30">
                  <c:v>6.9050021623179969E-2</c:v>
                </c:pt>
                <c:pt idx="31">
                  <c:v>0.11245954692556648</c:v>
                </c:pt>
                <c:pt idx="32">
                  <c:v>-1.0060606060605992E-2</c:v>
                </c:pt>
                <c:pt idx="33">
                  <c:v>4.4936941349332793E-2</c:v>
                </c:pt>
                <c:pt idx="34">
                  <c:v>-1.6990860089055593E-2</c:v>
                </c:pt>
                <c:pt idx="35">
                  <c:v>-0.10585290261056135</c:v>
                </c:pt>
                <c:pt idx="36">
                  <c:v>0.24636715104652707</c:v>
                </c:pt>
                <c:pt idx="37">
                  <c:v>-5.1342389560379287E-3</c:v>
                </c:pt>
                <c:pt idx="38">
                  <c:v>2.5696161703042675E-2</c:v>
                </c:pt>
                <c:pt idx="39">
                  <c:v>1.477987421383653E-2</c:v>
                </c:pt>
                <c:pt idx="40">
                  <c:v>9.6684226836070586E-2</c:v>
                </c:pt>
                <c:pt idx="41">
                  <c:v>-7.6292738061599419E-2</c:v>
                </c:pt>
                <c:pt idx="42">
                  <c:v>-0.10594473335372678</c:v>
                </c:pt>
                <c:pt idx="43">
                  <c:v>4.3339416058394198E-2</c:v>
                </c:pt>
                <c:pt idx="44">
                  <c:v>-9.4009619588981685E-3</c:v>
                </c:pt>
                <c:pt idx="45">
                  <c:v>-4.4692120944603952E-2</c:v>
                </c:pt>
                <c:pt idx="46">
                  <c:v>6.0182511262562244E-2</c:v>
                </c:pt>
                <c:pt idx="47">
                  <c:v>-2.2989758117236914E-2</c:v>
                </c:pt>
                <c:pt idx="48">
                  <c:v>-4.8622727779636388E-2</c:v>
                </c:pt>
                <c:pt idx="49">
                  <c:v>-9.6002813269253306E-2</c:v>
                </c:pt>
                <c:pt idx="50">
                  <c:v>-9.9325726141078929E-2</c:v>
                </c:pt>
                <c:pt idx="51">
                  <c:v>2.879355024474517E-2</c:v>
                </c:pt>
                <c:pt idx="52">
                  <c:v>0.11139098796529545</c:v>
                </c:pt>
                <c:pt idx="53">
                  <c:v>-1.0954419541677196E-2</c:v>
                </c:pt>
                <c:pt idx="54">
                  <c:v>5.7033736473583785E-2</c:v>
                </c:pt>
                <c:pt idx="55">
                  <c:v>-0.13561363362640011</c:v>
                </c:pt>
                <c:pt idx="56">
                  <c:v>0.19492824299846756</c:v>
                </c:pt>
                <c:pt idx="57">
                  <c:v>0.10237873134328357</c:v>
                </c:pt>
                <c:pt idx="58">
                  <c:v>4.0935053945419853E-2</c:v>
                </c:pt>
                <c:pt idx="59">
                  <c:v>6.8997053145005705E-2</c:v>
                </c:pt>
                <c:pt idx="60">
                  <c:v>6.3117870722433356E-2</c:v>
                </c:pt>
                <c:pt idx="61">
                  <c:v>3.6659513590844295E-3</c:v>
                </c:pt>
                <c:pt idx="62">
                  <c:v>-7.1269487750558191E-4</c:v>
                </c:pt>
                <c:pt idx="63">
                  <c:v>-4.6982259071052801E-2</c:v>
                </c:pt>
                <c:pt idx="64">
                  <c:v>0.17633302151543484</c:v>
                </c:pt>
                <c:pt idx="65">
                  <c:v>-3.8807157057654029E-2</c:v>
                </c:pt>
                <c:pt idx="66">
                  <c:v>0.15951021758914541</c:v>
                </c:pt>
                <c:pt idx="67">
                  <c:v>-8.9546914020692148E-2</c:v>
                </c:pt>
                <c:pt idx="68">
                  <c:v>4.8981191222570608E-2</c:v>
                </c:pt>
                <c:pt idx="69">
                  <c:v>-6.0291370937616717E-2</c:v>
                </c:pt>
                <c:pt idx="70">
                  <c:v>-4.5635236126570167E-2</c:v>
                </c:pt>
                <c:pt idx="71">
                  <c:v>-4.1069643452182669E-2</c:v>
                </c:pt>
                <c:pt idx="72">
                  <c:v>9.1738337242637469E-2</c:v>
                </c:pt>
                <c:pt idx="73">
                  <c:v>2.5940956473303078E-2</c:v>
                </c:pt>
                <c:pt idx="74">
                  <c:v>5.3905219886760225E-2</c:v>
                </c:pt>
                <c:pt idx="75">
                  <c:v>7.6832499264056553E-2</c:v>
                </c:pt>
                <c:pt idx="76">
                  <c:v>-0.20024603608529246</c:v>
                </c:pt>
                <c:pt idx="77">
                  <c:v>3.7258588275508542E-2</c:v>
                </c:pt>
                <c:pt idx="78">
                  <c:v>-0.10982039874773442</c:v>
                </c:pt>
                <c:pt idx="79">
                  <c:v>-0.1116149930587691</c:v>
                </c:pt>
                <c:pt idx="80">
                  <c:v>-8.5425565163037565E-3</c:v>
                </c:pt>
                <c:pt idx="81">
                  <c:v>-0.10644110539035401</c:v>
                </c:pt>
                <c:pt idx="82">
                  <c:v>2.833960489181564E-2</c:v>
                </c:pt>
                <c:pt idx="83">
                  <c:v>1.3493424814179367E-2</c:v>
                </c:pt>
                <c:pt idx="84">
                  <c:v>-0.16224754597765989</c:v>
                </c:pt>
                <c:pt idx="85">
                  <c:v>-0.19986531986531986</c:v>
                </c:pt>
                <c:pt idx="86">
                  <c:v>0.17168826796835557</c:v>
                </c:pt>
                <c:pt idx="87">
                  <c:v>5.1716707369630743E-2</c:v>
                </c:pt>
                <c:pt idx="88">
                  <c:v>0.18767927878705115</c:v>
                </c:pt>
                <c:pt idx="89">
                  <c:v>9.2581943645773324E-2</c:v>
                </c:pt>
                <c:pt idx="90">
                  <c:v>-9.8947368421052895E-3</c:v>
                </c:pt>
                <c:pt idx="91">
                  <c:v>0.12736551137571772</c:v>
                </c:pt>
                <c:pt idx="92">
                  <c:v>-1.791776688042257E-2</c:v>
                </c:pt>
                <c:pt idx="93">
                  <c:v>3.6393316689072419E-2</c:v>
                </c:pt>
                <c:pt idx="94">
                  <c:v>6.8840915408134862E-2</c:v>
                </c:pt>
                <c:pt idx="95">
                  <c:v>-3.8054785020804394E-2</c:v>
                </c:pt>
                <c:pt idx="96">
                  <c:v>6.8216635126610914E-2</c:v>
                </c:pt>
                <c:pt idx="97">
                  <c:v>7.2718069849839528E-2</c:v>
                </c:pt>
                <c:pt idx="98">
                  <c:v>5.3475935828877219E-3</c:v>
                </c:pt>
                <c:pt idx="99">
                  <c:v>-3.5513141426783523E-2</c:v>
                </c:pt>
                <c:pt idx="100">
                  <c:v>4.6715328467153316E-2</c:v>
                </c:pt>
                <c:pt idx="101">
                  <c:v>6.5163489849682232E-2</c:v>
                </c:pt>
                <c:pt idx="102">
                  <c:v>2.9970175310976899E-2</c:v>
                </c:pt>
                <c:pt idx="103">
                  <c:v>-1.1723991807330969E-2</c:v>
                </c:pt>
                <c:pt idx="104">
                  <c:v>-4.9024512256128139E-2</c:v>
                </c:pt>
                <c:pt idx="105">
                  <c:v>-5.3355376869316906E-2</c:v>
                </c:pt>
                <c:pt idx="106">
                  <c:v>1.2542668889418129E-2</c:v>
                </c:pt>
                <c:pt idx="107">
                  <c:v>-2.7832222657781291E-2</c:v>
                </c:pt>
                <c:pt idx="108">
                  <c:v>8.7419354838709662E-2</c:v>
                </c:pt>
                <c:pt idx="109">
                  <c:v>6.4965885493918574E-2</c:v>
                </c:pt>
                <c:pt idx="110">
                  <c:v>-3.4679665738161503E-2</c:v>
                </c:pt>
                <c:pt idx="111">
                  <c:v>0.15567739142980797</c:v>
                </c:pt>
                <c:pt idx="112">
                  <c:v>5.4993757802746623E-2</c:v>
                </c:pt>
                <c:pt idx="113">
                  <c:v>2.9524880184604418E-2</c:v>
                </c:pt>
                <c:pt idx="114">
                  <c:v>6.9310344827586245E-2</c:v>
                </c:pt>
                <c:pt idx="115">
                  <c:v>3.6547350317102101E-2</c:v>
                </c:pt>
                <c:pt idx="116">
                  <c:v>-6.771751529606973E-2</c:v>
                </c:pt>
                <c:pt idx="117">
                  <c:v>-4.9110122358175801E-2</c:v>
                </c:pt>
                <c:pt idx="118">
                  <c:v>-6.5157629993566002E-2</c:v>
                </c:pt>
                <c:pt idx="119">
                  <c:v>0.12450728899455665</c:v>
                </c:pt>
                <c:pt idx="120">
                  <c:v>5.1688644077227064E-2</c:v>
                </c:pt>
                <c:pt idx="121">
                  <c:v>-0.14680986139032903</c:v>
                </c:pt>
                <c:pt idx="122">
                  <c:v>-8.9911328827433357E-3</c:v>
                </c:pt>
                <c:pt idx="123">
                  <c:v>4.8554623951946096E-2</c:v>
                </c:pt>
                <c:pt idx="124">
                  <c:v>4.7917412579066676E-2</c:v>
                </c:pt>
                <c:pt idx="125">
                  <c:v>-6.85040715221229E-2</c:v>
                </c:pt>
                <c:pt idx="126">
                  <c:v>8.1611443941802086E-2</c:v>
                </c:pt>
                <c:pt idx="127">
                  <c:v>3.1424857288192998E-2</c:v>
                </c:pt>
                <c:pt idx="128">
                  <c:v>2.0220286043070912E-2</c:v>
                </c:pt>
                <c:pt idx="129">
                  <c:v>5.0488774304436657E-2</c:v>
                </c:pt>
                <c:pt idx="130">
                  <c:v>0.19915124245832905</c:v>
                </c:pt>
                <c:pt idx="131">
                  <c:v>3.9312667888969477E-2</c:v>
                </c:pt>
                <c:pt idx="132">
                  <c:v>4.5702564102564125E-2</c:v>
                </c:pt>
                <c:pt idx="133">
                  <c:v>-5.1433951900819896E-2</c:v>
                </c:pt>
                <c:pt idx="134">
                  <c:v>7.0725452891057916E-2</c:v>
                </c:pt>
                <c:pt idx="135">
                  <c:v>-1.1588380716934465E-2</c:v>
                </c:pt>
                <c:pt idx="136">
                  <c:v>-1.879787400343913E-2</c:v>
                </c:pt>
                <c:pt idx="137">
                  <c:v>4.0705779264746944E-2</c:v>
                </c:pt>
                <c:pt idx="138">
                  <c:v>0.12943472769719455</c:v>
                </c:pt>
                <c:pt idx="139">
                  <c:v>4.1442174104570961E-2</c:v>
                </c:pt>
                <c:pt idx="140">
                  <c:v>5.2450055313333799E-2</c:v>
                </c:pt>
                <c:pt idx="141">
                  <c:v>1.499412601248995E-2</c:v>
                </c:pt>
                <c:pt idx="142">
                  <c:v>3.5515214279187468E-2</c:v>
                </c:pt>
                <c:pt idx="143">
                  <c:v>9.109627320057645E-2</c:v>
                </c:pt>
                <c:pt idx="144">
                  <c:v>-0.11721572221922683</c:v>
                </c:pt>
                <c:pt idx="145">
                  <c:v>-3.5882245159714166E-2</c:v>
                </c:pt>
                <c:pt idx="146">
                  <c:v>-4.8145449938234441E-2</c:v>
                </c:pt>
                <c:pt idx="147">
                  <c:v>7.8533160294167459E-3</c:v>
                </c:pt>
                <c:pt idx="148">
                  <c:v>9.9646713111235963E-2</c:v>
                </c:pt>
                <c:pt idx="149">
                  <c:v>-8.7374268127908827E-2</c:v>
                </c:pt>
                <c:pt idx="150">
                  <c:v>-1.1251850633327898E-2</c:v>
                </c:pt>
                <c:pt idx="151">
                  <c:v>6.0992247030246638E-2</c:v>
                </c:pt>
                <c:pt idx="152">
                  <c:v>-9.188985761776336E-2</c:v>
                </c:pt>
                <c:pt idx="153">
                  <c:v>2.7628125431689021E-3</c:v>
                </c:pt>
                <c:pt idx="154">
                  <c:v>-0.16803278688524592</c:v>
                </c:pt>
              </c:numCache>
            </c:numRef>
          </c:val>
          <c:extLst>
            <c:ext xmlns:c16="http://schemas.microsoft.com/office/drawing/2014/chart" uri="{C3380CC4-5D6E-409C-BE32-E72D297353CC}">
              <c16:uniqueId val="{00000000-4B80-AF49-80F4-A6F4FCEC0165}"/>
            </c:ext>
          </c:extLst>
        </c:ser>
        <c:dLbls>
          <c:showLegendKey val="0"/>
          <c:showVal val="0"/>
          <c:showCatName val="0"/>
          <c:showSerName val="0"/>
          <c:showPercent val="0"/>
          <c:showBubbleSize val="0"/>
        </c:dLbls>
        <c:gapWidth val="150"/>
        <c:axId val="59026900"/>
        <c:axId val="14730650"/>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34.861038961038957</c:v>
                </c:pt>
                <c:pt idx="2">
                  <c:v>36.212077922077924</c:v>
                </c:pt>
                <c:pt idx="3">
                  <c:v>37.563116883116884</c:v>
                </c:pt>
                <c:pt idx="4">
                  <c:v>38.91415584415585</c:v>
                </c:pt>
                <c:pt idx="5">
                  <c:v>40.26519480519481</c:v>
                </c:pt>
                <c:pt idx="6">
                  <c:v>41.616233766233776</c:v>
                </c:pt>
                <c:pt idx="7">
                  <c:v>42.967272727272736</c:v>
                </c:pt>
                <c:pt idx="8">
                  <c:v>44.318311688311695</c:v>
                </c:pt>
                <c:pt idx="9">
                  <c:v>45.66935064935064</c:v>
                </c:pt>
                <c:pt idx="10">
                  <c:v>47.0203896103896</c:v>
                </c:pt>
                <c:pt idx="11">
                  <c:v>48.371428571428567</c:v>
                </c:pt>
                <c:pt idx="12">
                  <c:v>49.722467532467526</c:v>
                </c:pt>
                <c:pt idx="13">
                  <c:v>51.073506493506486</c:v>
                </c:pt>
                <c:pt idx="14">
                  <c:v>52.424545454545452</c:v>
                </c:pt>
                <c:pt idx="15">
                  <c:v>53.775584415584412</c:v>
                </c:pt>
                <c:pt idx="16">
                  <c:v>55.1266233766234</c:v>
                </c:pt>
                <c:pt idx="17">
                  <c:v>56.477662337662252</c:v>
                </c:pt>
                <c:pt idx="18">
                  <c:v>57.828701298701318</c:v>
                </c:pt>
                <c:pt idx="19">
                  <c:v>59.179740259740178</c:v>
                </c:pt>
                <c:pt idx="20">
                  <c:v>60.530779220779245</c:v>
                </c:pt>
                <c:pt idx="21">
                  <c:v>61.881818181818105</c:v>
                </c:pt>
                <c:pt idx="22">
                  <c:v>63.232857142857171</c:v>
                </c:pt>
                <c:pt idx="23">
                  <c:v>64.583896103896024</c:v>
                </c:pt>
                <c:pt idx="24">
                  <c:v>65.934935064935104</c:v>
                </c:pt>
                <c:pt idx="25">
                  <c:v>67.285974025973957</c:v>
                </c:pt>
                <c:pt idx="26">
                  <c:v>68.637012987013023</c:v>
                </c:pt>
                <c:pt idx="27">
                  <c:v>69.988051948051876</c:v>
                </c:pt>
                <c:pt idx="28">
                  <c:v>71.339090909090942</c:v>
                </c:pt>
                <c:pt idx="29">
                  <c:v>72.690129870129809</c:v>
                </c:pt>
                <c:pt idx="30">
                  <c:v>74.041168831168875</c:v>
                </c:pt>
                <c:pt idx="31">
                  <c:v>75.392207792207728</c:v>
                </c:pt>
                <c:pt idx="32">
                  <c:v>76.743246753246794</c:v>
                </c:pt>
                <c:pt idx="33">
                  <c:v>78.094285714285661</c:v>
                </c:pt>
                <c:pt idx="34">
                  <c:v>79.445324675324713</c:v>
                </c:pt>
                <c:pt idx="35">
                  <c:v>80.796363636363566</c:v>
                </c:pt>
                <c:pt idx="36">
                  <c:v>82.147402597402646</c:v>
                </c:pt>
                <c:pt idx="37">
                  <c:v>83.498441558441499</c:v>
                </c:pt>
                <c:pt idx="38">
                  <c:v>84.849480519480579</c:v>
                </c:pt>
                <c:pt idx="39">
                  <c:v>86.200519480519432</c:v>
                </c:pt>
                <c:pt idx="40">
                  <c:v>87.551558441558484</c:v>
                </c:pt>
                <c:pt idx="41">
                  <c:v>88.902597402597351</c:v>
                </c:pt>
                <c:pt idx="42">
                  <c:v>90.253636363636417</c:v>
                </c:pt>
                <c:pt idx="43">
                  <c:v>91.60467532467527</c:v>
                </c:pt>
                <c:pt idx="44">
                  <c:v>92.955714285714336</c:v>
                </c:pt>
                <c:pt idx="45">
                  <c:v>94.306753246753203</c:v>
                </c:pt>
                <c:pt idx="46">
                  <c:v>95.657792207792284</c:v>
                </c:pt>
                <c:pt idx="47">
                  <c:v>97.008831168831136</c:v>
                </c:pt>
                <c:pt idx="48">
                  <c:v>98.359870129870188</c:v>
                </c:pt>
                <c:pt idx="49">
                  <c:v>99.710909090909041</c:v>
                </c:pt>
                <c:pt idx="50">
                  <c:v>101.06194805194812</c:v>
                </c:pt>
                <c:pt idx="51">
                  <c:v>102.41298701298697</c:v>
                </c:pt>
                <c:pt idx="52">
                  <c:v>103.76402597402605</c:v>
                </c:pt>
                <c:pt idx="53">
                  <c:v>105.11506493506491</c:v>
                </c:pt>
                <c:pt idx="54">
                  <c:v>106.46610389610396</c:v>
                </c:pt>
                <c:pt idx="55">
                  <c:v>107.81714285714281</c:v>
                </c:pt>
                <c:pt idx="56">
                  <c:v>109.16818181818189</c:v>
                </c:pt>
                <c:pt idx="57">
                  <c:v>110.51922077922075</c:v>
                </c:pt>
                <c:pt idx="58">
                  <c:v>111.87025974025983</c:v>
                </c:pt>
                <c:pt idx="59">
                  <c:v>113.22129870129868</c:v>
                </c:pt>
                <c:pt idx="60">
                  <c:v>114.57233766233776</c:v>
                </c:pt>
                <c:pt idx="61">
                  <c:v>115.92337662337661</c:v>
                </c:pt>
                <c:pt idx="62">
                  <c:v>117.27441558441566</c:v>
                </c:pt>
                <c:pt idx="63">
                  <c:v>118.62545454545452</c:v>
                </c:pt>
                <c:pt idx="64">
                  <c:v>119.9764935064936</c:v>
                </c:pt>
                <c:pt idx="65">
                  <c:v>121.32753246753245</c:v>
                </c:pt>
                <c:pt idx="66">
                  <c:v>122.6785714285715</c:v>
                </c:pt>
                <c:pt idx="67">
                  <c:v>124.02961038961038</c:v>
                </c:pt>
                <c:pt idx="68">
                  <c:v>125.38064935064943</c:v>
                </c:pt>
                <c:pt idx="69">
                  <c:v>126.73168831168829</c:v>
                </c:pt>
                <c:pt idx="70">
                  <c:v>128.08272727272737</c:v>
                </c:pt>
                <c:pt idx="71">
                  <c:v>129.43376623376622</c:v>
                </c:pt>
                <c:pt idx="72">
                  <c:v>130.7848051948053</c:v>
                </c:pt>
                <c:pt idx="73">
                  <c:v>132.13584415584415</c:v>
                </c:pt>
                <c:pt idx="74">
                  <c:v>133.48688311688321</c:v>
                </c:pt>
                <c:pt idx="75">
                  <c:v>134.83792207792209</c:v>
                </c:pt>
                <c:pt idx="76">
                  <c:v>136.18896103896114</c:v>
                </c:pt>
                <c:pt idx="77">
                  <c:v>137.54</c:v>
                </c:pt>
                <c:pt idx="78">
                  <c:v>138.89103896103884</c:v>
                </c:pt>
                <c:pt idx="79">
                  <c:v>140.24207792207793</c:v>
                </c:pt>
                <c:pt idx="80">
                  <c:v>141.59311688311678</c:v>
                </c:pt>
                <c:pt idx="81">
                  <c:v>142.94415584415586</c:v>
                </c:pt>
                <c:pt idx="82">
                  <c:v>144.29519480519471</c:v>
                </c:pt>
                <c:pt idx="83">
                  <c:v>145.64623376623376</c:v>
                </c:pt>
                <c:pt idx="84">
                  <c:v>146.99727272727262</c:v>
                </c:pt>
                <c:pt idx="85">
                  <c:v>148.3483116883117</c:v>
                </c:pt>
                <c:pt idx="86">
                  <c:v>149.69935064935055</c:v>
                </c:pt>
                <c:pt idx="87">
                  <c:v>151.0503896103896</c:v>
                </c:pt>
                <c:pt idx="88">
                  <c:v>152.40142857142848</c:v>
                </c:pt>
                <c:pt idx="89">
                  <c:v>153.75246753246753</c:v>
                </c:pt>
                <c:pt idx="90">
                  <c:v>155.10350649350642</c:v>
                </c:pt>
                <c:pt idx="91">
                  <c:v>156.4545454545455</c:v>
                </c:pt>
                <c:pt idx="92">
                  <c:v>157.80558441558435</c:v>
                </c:pt>
                <c:pt idx="93">
                  <c:v>159.1566233766234</c:v>
                </c:pt>
                <c:pt idx="94">
                  <c:v>160.50766233766225</c:v>
                </c:pt>
                <c:pt idx="95">
                  <c:v>161.85870129870133</c:v>
                </c:pt>
                <c:pt idx="96">
                  <c:v>163.20974025974019</c:v>
                </c:pt>
                <c:pt idx="97">
                  <c:v>164.56077922077924</c:v>
                </c:pt>
                <c:pt idx="98">
                  <c:v>165.91181818181809</c:v>
                </c:pt>
                <c:pt idx="99">
                  <c:v>167.26285714285717</c:v>
                </c:pt>
                <c:pt idx="100">
                  <c:v>168.61389610389602</c:v>
                </c:pt>
                <c:pt idx="101">
                  <c:v>169.9649350649351</c:v>
                </c:pt>
                <c:pt idx="102">
                  <c:v>171.31597402597396</c:v>
                </c:pt>
                <c:pt idx="103">
                  <c:v>172.66701298701301</c:v>
                </c:pt>
                <c:pt idx="104">
                  <c:v>174.01805194805186</c:v>
                </c:pt>
                <c:pt idx="105">
                  <c:v>175.36909090909094</c:v>
                </c:pt>
                <c:pt idx="106">
                  <c:v>176.7201298701298</c:v>
                </c:pt>
                <c:pt idx="107">
                  <c:v>178.07116883116885</c:v>
                </c:pt>
                <c:pt idx="108">
                  <c:v>179.42220779220773</c:v>
                </c:pt>
                <c:pt idx="109">
                  <c:v>180.77324675324678</c:v>
                </c:pt>
                <c:pt idx="110">
                  <c:v>182.12428571428563</c:v>
                </c:pt>
                <c:pt idx="111">
                  <c:v>183.47532467532471</c:v>
                </c:pt>
                <c:pt idx="112">
                  <c:v>184.82636363636357</c:v>
                </c:pt>
                <c:pt idx="113">
                  <c:v>186.17740259740262</c:v>
                </c:pt>
                <c:pt idx="114">
                  <c:v>187.5284415584415</c:v>
                </c:pt>
                <c:pt idx="115">
                  <c:v>188.87948051948055</c:v>
                </c:pt>
                <c:pt idx="116">
                  <c:v>190.23051948051943</c:v>
                </c:pt>
                <c:pt idx="117">
                  <c:v>191.58155844155849</c:v>
                </c:pt>
                <c:pt idx="118">
                  <c:v>192.93259740259737</c:v>
                </c:pt>
                <c:pt idx="119">
                  <c:v>194.28363636363642</c:v>
                </c:pt>
                <c:pt idx="120">
                  <c:v>195.63467532467527</c:v>
                </c:pt>
                <c:pt idx="121">
                  <c:v>196.98571428571435</c:v>
                </c:pt>
                <c:pt idx="122">
                  <c:v>198.3367532467532</c:v>
                </c:pt>
                <c:pt idx="123">
                  <c:v>199.68779220779226</c:v>
                </c:pt>
                <c:pt idx="124">
                  <c:v>201.03883116883114</c:v>
                </c:pt>
                <c:pt idx="125">
                  <c:v>202.38987012987019</c:v>
                </c:pt>
                <c:pt idx="126">
                  <c:v>203.74090909090904</c:v>
                </c:pt>
                <c:pt idx="127">
                  <c:v>205.09194805194812</c:v>
                </c:pt>
                <c:pt idx="128">
                  <c:v>206.44298701298698</c:v>
                </c:pt>
                <c:pt idx="129">
                  <c:v>207.79402597402603</c:v>
                </c:pt>
                <c:pt idx="130">
                  <c:v>209.14506493506488</c:v>
                </c:pt>
                <c:pt idx="131">
                  <c:v>210.49610389610396</c:v>
                </c:pt>
                <c:pt idx="132">
                  <c:v>211.84714285714281</c:v>
                </c:pt>
                <c:pt idx="133">
                  <c:v>213.19818181818189</c:v>
                </c:pt>
                <c:pt idx="134">
                  <c:v>214.54922077922075</c:v>
                </c:pt>
                <c:pt idx="135">
                  <c:v>215.9002597402598</c:v>
                </c:pt>
                <c:pt idx="136">
                  <c:v>217.25129870129865</c:v>
                </c:pt>
                <c:pt idx="137">
                  <c:v>218.60233766233773</c:v>
                </c:pt>
                <c:pt idx="138">
                  <c:v>219.95337662337658</c:v>
                </c:pt>
                <c:pt idx="139">
                  <c:v>221.30441558441566</c:v>
                </c:pt>
                <c:pt idx="140">
                  <c:v>222.65545454545452</c:v>
                </c:pt>
                <c:pt idx="141">
                  <c:v>224.00649350649357</c:v>
                </c:pt>
                <c:pt idx="142">
                  <c:v>225.35753246753245</c:v>
                </c:pt>
                <c:pt idx="143">
                  <c:v>226.70857142857153</c:v>
                </c:pt>
                <c:pt idx="144">
                  <c:v>228.05961038961038</c:v>
                </c:pt>
                <c:pt idx="145">
                  <c:v>229.41064935064944</c:v>
                </c:pt>
                <c:pt idx="146">
                  <c:v>230.76168831168829</c:v>
                </c:pt>
                <c:pt idx="147">
                  <c:v>232.11272727272737</c:v>
                </c:pt>
                <c:pt idx="148">
                  <c:v>233.46376623376622</c:v>
                </c:pt>
                <c:pt idx="149">
                  <c:v>234.8148051948053</c:v>
                </c:pt>
                <c:pt idx="150">
                  <c:v>236.16584415584416</c:v>
                </c:pt>
                <c:pt idx="151">
                  <c:v>237.51688311688321</c:v>
                </c:pt>
                <c:pt idx="152">
                  <c:v>238.86792207792206</c:v>
                </c:pt>
                <c:pt idx="153">
                  <c:v>240.21896103896114</c:v>
                </c:pt>
                <c:pt idx="154">
                  <c:v>241.57</c:v>
                </c:pt>
              </c:numCache>
            </c:numRef>
          </c:val>
          <c:smooth val="0"/>
          <c:extLst>
            <c:ext xmlns:c16="http://schemas.microsoft.com/office/drawing/2014/chart" uri="{C3380CC4-5D6E-409C-BE32-E72D297353CC}">
              <c16:uniqueId val="{00000001-4B80-AF49-80F4-A6F4FCEC0165}"/>
            </c:ext>
          </c:extLst>
        </c:ser>
        <c:dLbls>
          <c:showLegendKey val="0"/>
          <c:showVal val="0"/>
          <c:showCatName val="0"/>
          <c:showSerName val="0"/>
          <c:showPercent val="0"/>
          <c:showBubbleSize val="0"/>
        </c:dLbls>
        <c:hiLowLines>
          <c:spPr>
            <a:ln w="0">
              <a:noFill/>
            </a:ln>
          </c:spPr>
        </c:hiLowLines>
        <c:marker val="1"/>
        <c:smooth val="0"/>
        <c:axId val="22342381"/>
        <c:axId val="35343428"/>
      </c:lineChart>
      <c:dateAx>
        <c:axId val="59026900"/>
        <c:scaling>
          <c:orientation val="minMax"/>
        </c:scaling>
        <c:delete val="1"/>
        <c:axPos val="b"/>
        <c:numFmt formatCode="mm/dd/yyyy" sourceLinked="1"/>
        <c:majorTickMark val="none"/>
        <c:minorTickMark val="none"/>
        <c:tickLblPos val="nextTo"/>
        <c:crossAx val="14730650"/>
        <c:crosses val="autoZero"/>
        <c:auto val="1"/>
        <c:lblOffset val="100"/>
        <c:baseTimeUnit val="days"/>
      </c:dateAx>
      <c:valAx>
        <c:axId val="147306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9026900"/>
        <c:crosses val="autoZero"/>
        <c:crossBetween val="between"/>
      </c:valAx>
      <c:dateAx>
        <c:axId val="22342381"/>
        <c:scaling>
          <c:orientation val="minMax"/>
        </c:scaling>
        <c:delete val="1"/>
        <c:axPos val="b"/>
        <c:numFmt formatCode="mm/dd/yyyy" sourceLinked="1"/>
        <c:majorTickMark val="none"/>
        <c:minorTickMark val="none"/>
        <c:tickLblPos val="nextTo"/>
        <c:crossAx val="35343428"/>
        <c:crosses val="autoZero"/>
        <c:auto val="1"/>
        <c:lblOffset val="100"/>
        <c:baseTimeUnit val="days"/>
      </c:dateAx>
      <c:valAx>
        <c:axId val="353434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234238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-1.4405762304922076E-2</c:v>
                </c:pt>
                <c:pt idx="1">
                  <c:v>1.5196334319355076E-2</c:v>
                </c:pt>
                <c:pt idx="2">
                  <c:v>2.9709192709821419E-3</c:v>
                </c:pt>
                <c:pt idx="3">
                  <c:v>-2.2927940757618948E-2</c:v>
                </c:pt>
                <c:pt idx="4">
                  <c:v>1.7052907739396383E-2</c:v>
                </c:pt>
                <c:pt idx="5">
                  <c:v>1.8056749785038129E-3</c:v>
                </c:pt>
                <c:pt idx="6">
                  <c:v>-5.1211627042027086E-3</c:v>
                </c:pt>
                <c:pt idx="7">
                  <c:v>3.7039167193880562E-2</c:v>
                </c:pt>
                <c:pt idx="8">
                  <c:v>2.8783761299983279E-2</c:v>
                </c:pt>
                <c:pt idx="9">
                  <c:v>-2.4636118598382661E-2</c:v>
                </c:pt>
                <c:pt idx="10">
                  <c:v>-1.8183827999779023E-2</c:v>
                </c:pt>
                <c:pt idx="11">
                  <c:v>5.8883134429182693E-2</c:v>
                </c:pt>
                <c:pt idx="12">
                  <c:v>-6.7783094098884389E-3</c:v>
                </c:pt>
                <c:pt idx="13">
                  <c:v>-6.1956376287970016E-2</c:v>
                </c:pt>
                <c:pt idx="14">
                  <c:v>7.2467902995720923E-3</c:v>
                </c:pt>
                <c:pt idx="15">
                  <c:v>-5.3251756174937936E-3</c:v>
                </c:pt>
                <c:pt idx="16">
                  <c:v>-2.8761817974713999E-3</c:v>
                </c:pt>
                <c:pt idx="17">
                  <c:v>0.17286877052691718</c:v>
                </c:pt>
                <c:pt idx="18">
                  <c:v>-1.3221973312554813E-2</c:v>
                </c:pt>
                <c:pt idx="19">
                  <c:v>4.0468846391117363E-3</c:v>
                </c:pt>
                <c:pt idx="20">
                  <c:v>2.3618176902848509E-2</c:v>
                </c:pt>
                <c:pt idx="21">
                  <c:v>4.057623049219683E-2</c:v>
                </c:pt>
                <c:pt idx="22">
                  <c:v>3.737886479003194E-3</c:v>
                </c:pt>
                <c:pt idx="23">
                  <c:v>-1.1148912693669133E-2</c:v>
                </c:pt>
                <c:pt idx="24">
                  <c:v>-1.2762396261942976E-2</c:v>
                </c:pt>
                <c:pt idx="25">
                  <c:v>-4.1678440237354897E-3</c:v>
                </c:pt>
                <c:pt idx="26">
                  <c:v>-1.6788441985293723E-3</c:v>
                </c:pt>
                <c:pt idx="27">
                  <c:v>1.8735196589294123E-2</c:v>
                </c:pt>
                <c:pt idx="28">
                  <c:v>6.161214573016105E-3</c:v>
                </c:pt>
                <c:pt idx="29">
                  <c:v>-4.4297069969498115E-2</c:v>
                </c:pt>
                <c:pt idx="30">
                  <c:v>-1.4265335235377985E-2</c:v>
                </c:pt>
                <c:pt idx="31">
                  <c:v>1.954916725943745E-2</c:v>
                </c:pt>
                <c:pt idx="32">
                  <c:v>5.6536592407254727E-3</c:v>
                </c:pt>
                <c:pt idx="33">
                  <c:v>-2.7128537594794278E-2</c:v>
                </c:pt>
                <c:pt idx="34">
                  <c:v>-2.4885041925885809E-2</c:v>
                </c:pt>
                <c:pt idx="35">
                  <c:v>-5.7243727146640833E-3</c:v>
                </c:pt>
                <c:pt idx="36">
                  <c:v>8.1160596530385209E-3</c:v>
                </c:pt>
                <c:pt idx="37">
                  <c:v>9.0570594746903765E-3</c:v>
                </c:pt>
                <c:pt idx="38">
                  <c:v>5.4103919417572532E-2</c:v>
                </c:pt>
                <c:pt idx="39">
                  <c:v>5.3053597615781323E-2</c:v>
                </c:pt>
                <c:pt idx="40">
                  <c:v>2.6369578401203908E-2</c:v>
                </c:pt>
                <c:pt idx="41">
                  <c:v>-3.5233614180982809E-3</c:v>
                </c:pt>
                <c:pt idx="42">
                  <c:v>6.0833662757499907E-2</c:v>
                </c:pt>
                <c:pt idx="43">
                  <c:v>-4.7822126531964493E-3</c:v>
                </c:pt>
                <c:pt idx="44">
                  <c:v>-2.5003640297048269E-2</c:v>
                </c:pt>
                <c:pt idx="45">
                  <c:v>2.1335153933321749E-5</c:v>
                </c:pt>
                <c:pt idx="46">
                  <c:v>1.2480798771121293E-2</c:v>
                </c:pt>
                <c:pt idx="47">
                  <c:v>2.9858608845902745E-2</c:v>
                </c:pt>
                <c:pt idx="48">
                  <c:v>5.7903998035764292E-3</c:v>
                </c:pt>
                <c:pt idx="49">
                  <c:v>7.5065606119169015E-3</c:v>
                </c:pt>
                <c:pt idx="50">
                  <c:v>-1.6153131688406708E-3</c:v>
                </c:pt>
                <c:pt idx="51">
                  <c:v>-5.2602839461230455E-2</c:v>
                </c:pt>
                <c:pt idx="52">
                  <c:v>1.9041519906073168E-2</c:v>
                </c:pt>
                <c:pt idx="53">
                  <c:v>8.1069191612375135E-3</c:v>
                </c:pt>
                <c:pt idx="54">
                  <c:v>3.0442191006566421E-2</c:v>
                </c:pt>
                <c:pt idx="55">
                  <c:v>-5.624231180302075E-2</c:v>
                </c:pt>
                <c:pt idx="56">
                  <c:v>3.7115384615384661E-2</c:v>
                </c:pt>
                <c:pt idx="57">
                  <c:v>-4.2132805900653048E-2</c:v>
                </c:pt>
                <c:pt idx="58">
                  <c:v>-4.3878516734062734E-3</c:v>
                </c:pt>
                <c:pt idx="59">
                  <c:v>-1.6354130660214294E-2</c:v>
                </c:pt>
                <c:pt idx="60">
                  <c:v>5.7982473479607277E-2</c:v>
                </c:pt>
                <c:pt idx="61">
                  <c:v>2.6779597683252998E-3</c:v>
                </c:pt>
                <c:pt idx="62">
                  <c:v>-1.0973084886128359E-2</c:v>
                </c:pt>
                <c:pt idx="63">
                  <c:v>-1.3774335356918521E-2</c:v>
                </c:pt>
                <c:pt idx="64">
                  <c:v>9.6833078621158197E-2</c:v>
                </c:pt>
                <c:pt idx="65">
                  <c:v>-9.8773077369663675E-2</c:v>
                </c:pt>
                <c:pt idx="66">
                  <c:v>-3.1629804595232902E-2</c:v>
                </c:pt>
                <c:pt idx="67">
                  <c:v>3.8051311617180561E-2</c:v>
                </c:pt>
                <c:pt idx="68">
                  <c:v>-1.28810373186935E-2</c:v>
                </c:pt>
                <c:pt idx="69">
                  <c:v>3.5273750270503612E-3</c:v>
                </c:pt>
                <c:pt idx="70">
                  <c:v>-0.14331615379639018</c:v>
                </c:pt>
                <c:pt idx="71">
                  <c:v>2.8922395348251806E-2</c:v>
                </c:pt>
                <c:pt idx="72">
                  <c:v>-4.0365984930031962E-3</c:v>
                </c:pt>
                <c:pt idx="73">
                  <c:v>6.0180295251897054E-3</c:v>
                </c:pt>
                <c:pt idx="74">
                  <c:v>3.0374059966793654E-2</c:v>
                </c:pt>
                <c:pt idx="75">
                  <c:v>4.1753554502369727E-2</c:v>
                </c:pt>
                <c:pt idx="76">
                  <c:v>5.0179700650561765E-2</c:v>
                </c:pt>
                <c:pt idx="77">
                  <c:v>1.6548258534049509E-2</c:v>
                </c:pt>
                <c:pt idx="78">
                  <c:v>-2.1989261058552811E-2</c:v>
                </c:pt>
                <c:pt idx="79">
                  <c:v>5.4989106753812633E-2</c:v>
                </c:pt>
                <c:pt idx="80">
                  <c:v>-9.1896580208160605E-3</c:v>
                </c:pt>
                <c:pt idx="81">
                  <c:v>1.7716084120135811E-2</c:v>
                </c:pt>
                <c:pt idx="82">
                  <c:v>3.3750435192201333E-2</c:v>
                </c:pt>
                <c:pt idx="83">
                  <c:v>-3.1103274758801369E-3</c:v>
                </c:pt>
                <c:pt idx="84">
                  <c:v>-2.0886327503974567E-2</c:v>
                </c:pt>
                <c:pt idx="85">
                  <c:v>-3.6676206133674283E-2</c:v>
                </c:pt>
                <c:pt idx="86">
                  <c:v>2.022670768193513E-2</c:v>
                </c:pt>
                <c:pt idx="87">
                  <c:v>1.0078063690058148E-2</c:v>
                </c:pt>
                <c:pt idx="88">
                  <c:v>9.6912696790021347E-3</c:v>
                </c:pt>
                <c:pt idx="89">
                  <c:v>1.4802365138506302E-2</c:v>
                </c:pt>
                <c:pt idx="90">
                  <c:v>-0.15197046792377522</c:v>
                </c:pt>
                <c:pt idx="91">
                  <c:v>3.2141932751358793E-2</c:v>
                </c:pt>
                <c:pt idx="92">
                  <c:v>-6.041262965918115E-3</c:v>
                </c:pt>
                <c:pt idx="93">
                  <c:v>1.3876146788990962E-2</c:v>
                </c:pt>
                <c:pt idx="94">
                  <c:v>1.9115484673679406E-2</c:v>
                </c:pt>
                <c:pt idx="95">
                  <c:v>1.0987791342952358E-2</c:v>
                </c:pt>
                <c:pt idx="96">
                  <c:v>-3.2012295531891555E-2</c:v>
                </c:pt>
                <c:pt idx="97">
                  <c:v>9.7534420577494174E-4</c:v>
                </c:pt>
                <c:pt idx="98">
                  <c:v>4.15137094946747E-2</c:v>
                </c:pt>
                <c:pt idx="99">
                  <c:v>2.0081806709890904E-2</c:v>
                </c:pt>
                <c:pt idx="100">
                  <c:v>-1.9281220006398647E-2</c:v>
                </c:pt>
                <c:pt idx="101">
                  <c:v>2.1400143537548155E-2</c:v>
                </c:pt>
                <c:pt idx="102">
                  <c:v>-1.6011923773022407E-2</c:v>
                </c:pt>
                <c:pt idx="103">
                  <c:v>-0.20684655832774324</c:v>
                </c:pt>
                <c:pt idx="104">
                  <c:v>7.1615649042396479E-2</c:v>
                </c:pt>
                <c:pt idx="105">
                  <c:v>5.9319229104610738E-3</c:v>
                </c:pt>
                <c:pt idx="106">
                  <c:v>-1.0376594452318311E-2</c:v>
                </c:pt>
                <c:pt idx="107">
                  <c:v>1.3042811109406305E-2</c:v>
                </c:pt>
                <c:pt idx="108">
                  <c:v>-4.0139351711603322E-3</c:v>
                </c:pt>
                <c:pt idx="109">
                  <c:v>-2.8920487668871786E-2</c:v>
                </c:pt>
                <c:pt idx="110">
                  <c:v>6.8385884318229451E-3</c:v>
                </c:pt>
                <c:pt idx="111">
                  <c:v>4.552289106652152E-2</c:v>
                </c:pt>
                <c:pt idx="112">
                  <c:v>1.1133151500124061E-2</c:v>
                </c:pt>
                <c:pt idx="113">
                  <c:v>2.2119228034036986E-2</c:v>
                </c:pt>
                <c:pt idx="114">
                  <c:v>1.0988220052301934E-2</c:v>
                </c:pt>
                <c:pt idx="115">
                  <c:v>9.919551958992967E-3</c:v>
                </c:pt>
                <c:pt idx="116">
                  <c:v>-3.7831614070540587E-2</c:v>
                </c:pt>
                <c:pt idx="117">
                  <c:v>6.7599579944806587E-2</c:v>
                </c:pt>
                <c:pt idx="118">
                  <c:v>-2.3767585496969001E-2</c:v>
                </c:pt>
                <c:pt idx="119">
                  <c:v>1.6051176305183379E-2</c:v>
                </c:pt>
                <c:pt idx="120">
                  <c:v>5.0437028666313166E-2</c:v>
                </c:pt>
                <c:pt idx="121">
                  <c:v>-7.5524721173267917E-3</c:v>
                </c:pt>
                <c:pt idx="122">
                  <c:v>9.2027254225288679E-3</c:v>
                </c:pt>
                <c:pt idx="123">
                  <c:v>1.4686540990793473E-2</c:v>
                </c:pt>
                <c:pt idx="124">
                  <c:v>-2.326636422553463E-2</c:v>
                </c:pt>
                <c:pt idx="125">
                  <c:v>2.5943865702342306E-2</c:v>
                </c:pt>
                <c:pt idx="126">
                  <c:v>-4.8506014745828496E-2</c:v>
                </c:pt>
                <c:pt idx="127">
                  <c:v>6.1287837592894689E-2</c:v>
                </c:pt>
                <c:pt idx="128">
                  <c:v>3.1809739330928011E-3</c:v>
                </c:pt>
                <c:pt idx="129">
                  <c:v>1.706746116194946E-2</c:v>
                </c:pt>
                <c:pt idx="130">
                  <c:v>2.8352025443588946E-2</c:v>
                </c:pt>
                <c:pt idx="131">
                  <c:v>-2.9645756607727947E-2</c:v>
                </c:pt>
                <c:pt idx="132">
                  <c:v>4.1790731809603798E-2</c:v>
                </c:pt>
                <c:pt idx="133">
                  <c:v>-8.0792222691866367E-2</c:v>
                </c:pt>
                <c:pt idx="134">
                  <c:v>2.7699314633558902E-2</c:v>
                </c:pt>
                <c:pt idx="135">
                  <c:v>-3.2684194826777979E-2</c:v>
                </c:pt>
                <c:pt idx="136">
                  <c:v>-4.6101321585903077E-2</c:v>
                </c:pt>
                <c:pt idx="137">
                  <c:v>1.3023298773870318E-2</c:v>
                </c:pt>
                <c:pt idx="138">
                  <c:v>-5.5617606163524957E-3</c:v>
                </c:pt>
                <c:pt idx="139">
                  <c:v>1.1300341531620406E-2</c:v>
                </c:pt>
                <c:pt idx="140">
                  <c:v>-2.4728014505892904E-2</c:v>
                </c:pt>
                <c:pt idx="141">
                  <c:v>-1.4803969415975282E-2</c:v>
                </c:pt>
                <c:pt idx="142">
                  <c:v>1.3917720324589489E-2</c:v>
                </c:pt>
                <c:pt idx="143">
                  <c:v>1.6588339304825173E-2</c:v>
                </c:pt>
                <c:pt idx="144">
                  <c:v>-5.5612770339855677E-3</c:v>
                </c:pt>
                <c:pt idx="145">
                  <c:v>2.9964098315382603E-2</c:v>
                </c:pt>
                <c:pt idx="146">
                  <c:v>-1.5864503731510826E-3</c:v>
                </c:pt>
                <c:pt idx="147">
                  <c:v>-4.2521764429424014E-3</c:v>
                </c:pt>
                <c:pt idx="148">
                  <c:v>1.5058548535724636E-2</c:v>
                </c:pt>
                <c:pt idx="149">
                  <c:v>8.7925957088767381E-2</c:v>
                </c:pt>
                <c:pt idx="150">
                  <c:v>7.4693694793829035E-2</c:v>
                </c:pt>
                <c:pt idx="151">
                  <c:v>-8.0770396182107351E-2</c:v>
                </c:pt>
                <c:pt idx="152">
                  <c:v>5.3565174395853177E-4</c:v>
                </c:pt>
                <c:pt idx="153">
                  <c:v>-1.7069906311129368E-2</c:v>
                </c:pt>
                <c:pt idx="154">
                  <c:v>-5.4466230936822679E-4</c:v>
                </c:pt>
              </c:numCache>
            </c:numRef>
          </c:val>
          <c:extLst>
            <c:ext xmlns:c16="http://schemas.microsoft.com/office/drawing/2014/chart" uri="{C3380CC4-5D6E-409C-BE32-E72D297353CC}">
              <c16:uniqueId val="{00000000-7013-A34B-9833-34CD5FEAFE6D}"/>
            </c:ext>
          </c:extLst>
        </c:ser>
        <c:dLbls>
          <c:showLegendKey val="0"/>
          <c:showVal val="0"/>
          <c:showCatName val="0"/>
          <c:showSerName val="0"/>
          <c:showPercent val="0"/>
          <c:showBubbleSize val="0"/>
        </c:dLbls>
        <c:gapWidth val="150"/>
        <c:axId val="83169368"/>
        <c:axId val="36420025"/>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350.68623376623378</c:v>
                </c:pt>
                <c:pt idx="2">
                  <c:v>351.51246753246755</c:v>
                </c:pt>
                <c:pt idx="3">
                  <c:v>352.33870129870132</c:v>
                </c:pt>
                <c:pt idx="4">
                  <c:v>353.16493506493509</c:v>
                </c:pt>
                <c:pt idx="5">
                  <c:v>353.99116883116886</c:v>
                </c:pt>
                <c:pt idx="6">
                  <c:v>354.81740259740263</c:v>
                </c:pt>
                <c:pt idx="7">
                  <c:v>355.6436363636364</c:v>
                </c:pt>
                <c:pt idx="8">
                  <c:v>356.46987012987017</c:v>
                </c:pt>
                <c:pt idx="9">
                  <c:v>357.29610389610389</c:v>
                </c:pt>
                <c:pt idx="10">
                  <c:v>358.12233766233766</c:v>
                </c:pt>
                <c:pt idx="11">
                  <c:v>358.94857142857143</c:v>
                </c:pt>
                <c:pt idx="12">
                  <c:v>359.7748051948052</c:v>
                </c:pt>
                <c:pt idx="13">
                  <c:v>360.60103896103897</c:v>
                </c:pt>
                <c:pt idx="14">
                  <c:v>361.42727272727274</c:v>
                </c:pt>
                <c:pt idx="15">
                  <c:v>362.25350649350651</c:v>
                </c:pt>
                <c:pt idx="16">
                  <c:v>363.07974025974028</c:v>
                </c:pt>
                <c:pt idx="17">
                  <c:v>363.90597402597399</c:v>
                </c:pt>
                <c:pt idx="18">
                  <c:v>364.73220779220782</c:v>
                </c:pt>
                <c:pt idx="19">
                  <c:v>365.55844155844153</c:v>
                </c:pt>
                <c:pt idx="20">
                  <c:v>366.38467532467536</c:v>
                </c:pt>
                <c:pt idx="21">
                  <c:v>367.21090909090907</c:v>
                </c:pt>
                <c:pt idx="22">
                  <c:v>368.0371428571429</c:v>
                </c:pt>
                <c:pt idx="23">
                  <c:v>368.86337662337661</c:v>
                </c:pt>
                <c:pt idx="24">
                  <c:v>369.68961038961044</c:v>
                </c:pt>
                <c:pt idx="25">
                  <c:v>370.51584415584415</c:v>
                </c:pt>
                <c:pt idx="26">
                  <c:v>371.34207792207798</c:v>
                </c:pt>
                <c:pt idx="27">
                  <c:v>372.16831168831163</c:v>
                </c:pt>
                <c:pt idx="28">
                  <c:v>372.99454545454552</c:v>
                </c:pt>
                <c:pt idx="29">
                  <c:v>373.82077922077917</c:v>
                </c:pt>
                <c:pt idx="30">
                  <c:v>374.647012987013</c:v>
                </c:pt>
                <c:pt idx="31">
                  <c:v>375.47324675324671</c:v>
                </c:pt>
                <c:pt idx="32">
                  <c:v>376.29948051948054</c:v>
                </c:pt>
                <c:pt idx="33">
                  <c:v>377.12571428571425</c:v>
                </c:pt>
                <c:pt idx="34">
                  <c:v>377.95194805194808</c:v>
                </c:pt>
                <c:pt idx="35">
                  <c:v>378.77818181818179</c:v>
                </c:pt>
                <c:pt idx="36">
                  <c:v>379.60441558441562</c:v>
                </c:pt>
                <c:pt idx="37">
                  <c:v>380.43064935064933</c:v>
                </c:pt>
                <c:pt idx="38">
                  <c:v>381.25688311688316</c:v>
                </c:pt>
                <c:pt idx="39">
                  <c:v>382.08311688311687</c:v>
                </c:pt>
                <c:pt idx="40">
                  <c:v>382.9093506493507</c:v>
                </c:pt>
                <c:pt idx="41">
                  <c:v>383.73558441558441</c:v>
                </c:pt>
                <c:pt idx="42">
                  <c:v>384.56181818181824</c:v>
                </c:pt>
                <c:pt idx="43">
                  <c:v>385.38805194805195</c:v>
                </c:pt>
                <c:pt idx="44">
                  <c:v>386.21428571428578</c:v>
                </c:pt>
                <c:pt idx="45">
                  <c:v>387.04051948051949</c:v>
                </c:pt>
                <c:pt idx="46">
                  <c:v>387.86675324675332</c:v>
                </c:pt>
                <c:pt idx="47">
                  <c:v>388.69298701298703</c:v>
                </c:pt>
                <c:pt idx="48">
                  <c:v>389.51922077922086</c:v>
                </c:pt>
                <c:pt idx="49">
                  <c:v>390.34545454545452</c:v>
                </c:pt>
                <c:pt idx="50">
                  <c:v>391.1716883116884</c:v>
                </c:pt>
                <c:pt idx="51">
                  <c:v>391.99792207792206</c:v>
                </c:pt>
                <c:pt idx="52">
                  <c:v>392.82415584415588</c:v>
                </c:pt>
                <c:pt idx="53">
                  <c:v>393.6503896103896</c:v>
                </c:pt>
                <c:pt idx="54">
                  <c:v>394.47662337662342</c:v>
                </c:pt>
                <c:pt idx="55">
                  <c:v>395.30285714285714</c:v>
                </c:pt>
                <c:pt idx="56">
                  <c:v>396.12909090909096</c:v>
                </c:pt>
                <c:pt idx="57">
                  <c:v>396.95532467532468</c:v>
                </c:pt>
                <c:pt idx="58">
                  <c:v>397.7815584415585</c:v>
                </c:pt>
                <c:pt idx="59">
                  <c:v>398.60779220779222</c:v>
                </c:pt>
                <c:pt idx="60">
                  <c:v>399.43402597402604</c:v>
                </c:pt>
                <c:pt idx="61">
                  <c:v>400.26025974025976</c:v>
                </c:pt>
                <c:pt idx="62">
                  <c:v>401.08649350649358</c:v>
                </c:pt>
                <c:pt idx="63">
                  <c:v>401.9127272727273</c:v>
                </c:pt>
                <c:pt idx="64">
                  <c:v>402.73896103896112</c:v>
                </c:pt>
                <c:pt idx="65">
                  <c:v>403.56519480519484</c:v>
                </c:pt>
                <c:pt idx="66">
                  <c:v>404.39142857142866</c:v>
                </c:pt>
                <c:pt idx="67">
                  <c:v>405.21766233766232</c:v>
                </c:pt>
                <c:pt idx="68">
                  <c:v>406.04389610389615</c:v>
                </c:pt>
                <c:pt idx="69">
                  <c:v>406.87012987012986</c:v>
                </c:pt>
                <c:pt idx="70">
                  <c:v>407.69636363636369</c:v>
                </c:pt>
                <c:pt idx="71">
                  <c:v>408.5225974025974</c:v>
                </c:pt>
                <c:pt idx="72">
                  <c:v>409.34883116883123</c:v>
                </c:pt>
                <c:pt idx="73">
                  <c:v>410.17506493506494</c:v>
                </c:pt>
                <c:pt idx="74">
                  <c:v>411.00129870129877</c:v>
                </c:pt>
                <c:pt idx="75">
                  <c:v>411.82753246753248</c:v>
                </c:pt>
                <c:pt idx="76">
                  <c:v>412.65376623376631</c:v>
                </c:pt>
                <c:pt idx="77">
                  <c:v>413.48</c:v>
                </c:pt>
                <c:pt idx="78">
                  <c:v>414.30623376623373</c:v>
                </c:pt>
                <c:pt idx="79">
                  <c:v>415.13246753246756</c:v>
                </c:pt>
                <c:pt idx="80">
                  <c:v>415.95870129870127</c:v>
                </c:pt>
                <c:pt idx="81">
                  <c:v>416.7849350649351</c:v>
                </c:pt>
                <c:pt idx="82">
                  <c:v>417.61116883116881</c:v>
                </c:pt>
                <c:pt idx="83">
                  <c:v>418.43740259740264</c:v>
                </c:pt>
                <c:pt idx="84">
                  <c:v>419.26363636363635</c:v>
                </c:pt>
                <c:pt idx="85">
                  <c:v>420.08987012987018</c:v>
                </c:pt>
                <c:pt idx="86">
                  <c:v>420.91610389610383</c:v>
                </c:pt>
                <c:pt idx="87">
                  <c:v>421.74233766233772</c:v>
                </c:pt>
                <c:pt idx="88">
                  <c:v>422.56857142857137</c:v>
                </c:pt>
                <c:pt idx="89">
                  <c:v>423.3948051948052</c:v>
                </c:pt>
                <c:pt idx="90">
                  <c:v>424.22103896103891</c:v>
                </c:pt>
                <c:pt idx="91">
                  <c:v>425.0472727272728</c:v>
                </c:pt>
                <c:pt idx="92">
                  <c:v>425.87350649350645</c:v>
                </c:pt>
                <c:pt idx="93">
                  <c:v>426.69974025974028</c:v>
                </c:pt>
                <c:pt idx="94">
                  <c:v>427.52597402597399</c:v>
                </c:pt>
                <c:pt idx="95">
                  <c:v>428.35220779220782</c:v>
                </c:pt>
                <c:pt idx="96">
                  <c:v>429.17844155844153</c:v>
                </c:pt>
                <c:pt idx="97">
                  <c:v>430.00467532467536</c:v>
                </c:pt>
                <c:pt idx="98">
                  <c:v>430.83090909090907</c:v>
                </c:pt>
                <c:pt idx="99">
                  <c:v>431.6571428571429</c:v>
                </c:pt>
                <c:pt idx="100">
                  <c:v>432.48337662337661</c:v>
                </c:pt>
                <c:pt idx="101">
                  <c:v>433.30961038961044</c:v>
                </c:pt>
                <c:pt idx="102">
                  <c:v>434.13584415584415</c:v>
                </c:pt>
                <c:pt idx="103">
                  <c:v>434.96207792207798</c:v>
                </c:pt>
                <c:pt idx="104">
                  <c:v>435.78831168831164</c:v>
                </c:pt>
                <c:pt idx="105">
                  <c:v>436.61454545454546</c:v>
                </c:pt>
                <c:pt idx="106">
                  <c:v>437.44077922077918</c:v>
                </c:pt>
                <c:pt idx="107">
                  <c:v>438.267012987013</c:v>
                </c:pt>
                <c:pt idx="108">
                  <c:v>439.09324675324672</c:v>
                </c:pt>
                <c:pt idx="109">
                  <c:v>439.91948051948054</c:v>
                </c:pt>
                <c:pt idx="110">
                  <c:v>440.74571428571426</c:v>
                </c:pt>
                <c:pt idx="111">
                  <c:v>441.57194805194808</c:v>
                </c:pt>
                <c:pt idx="112">
                  <c:v>442.3981818181818</c:v>
                </c:pt>
                <c:pt idx="113">
                  <c:v>443.22441558441562</c:v>
                </c:pt>
                <c:pt idx="114">
                  <c:v>444.05064935064934</c:v>
                </c:pt>
                <c:pt idx="115">
                  <c:v>444.87688311688316</c:v>
                </c:pt>
                <c:pt idx="116">
                  <c:v>445.70311688311688</c:v>
                </c:pt>
                <c:pt idx="117">
                  <c:v>446.5293506493507</c:v>
                </c:pt>
                <c:pt idx="118">
                  <c:v>447.35558441558442</c:v>
                </c:pt>
                <c:pt idx="119">
                  <c:v>448.18181818181824</c:v>
                </c:pt>
                <c:pt idx="120">
                  <c:v>449.00805194805196</c:v>
                </c:pt>
                <c:pt idx="121">
                  <c:v>449.83428571428578</c:v>
                </c:pt>
                <c:pt idx="122">
                  <c:v>450.6605194805195</c:v>
                </c:pt>
                <c:pt idx="123">
                  <c:v>451.48675324675332</c:v>
                </c:pt>
                <c:pt idx="124">
                  <c:v>452.31298701298704</c:v>
                </c:pt>
                <c:pt idx="125">
                  <c:v>453.13922077922086</c:v>
                </c:pt>
                <c:pt idx="126">
                  <c:v>453.96545454545458</c:v>
                </c:pt>
                <c:pt idx="127">
                  <c:v>454.7916883116884</c:v>
                </c:pt>
                <c:pt idx="128">
                  <c:v>455.61792207792206</c:v>
                </c:pt>
                <c:pt idx="129">
                  <c:v>456.44415584415589</c:v>
                </c:pt>
                <c:pt idx="130">
                  <c:v>457.2703896103896</c:v>
                </c:pt>
                <c:pt idx="131">
                  <c:v>458.09662337662343</c:v>
                </c:pt>
                <c:pt idx="132">
                  <c:v>458.92285714285714</c:v>
                </c:pt>
                <c:pt idx="133">
                  <c:v>459.74909090909097</c:v>
                </c:pt>
                <c:pt idx="134">
                  <c:v>460.57532467532468</c:v>
                </c:pt>
                <c:pt idx="135">
                  <c:v>461.40155844155851</c:v>
                </c:pt>
                <c:pt idx="136">
                  <c:v>462.22779220779222</c:v>
                </c:pt>
                <c:pt idx="137">
                  <c:v>463.05402597402605</c:v>
                </c:pt>
                <c:pt idx="138">
                  <c:v>463.88025974025976</c:v>
                </c:pt>
                <c:pt idx="139">
                  <c:v>464.70649350649359</c:v>
                </c:pt>
                <c:pt idx="140">
                  <c:v>465.53272727272724</c:v>
                </c:pt>
                <c:pt idx="141">
                  <c:v>466.35896103896113</c:v>
                </c:pt>
                <c:pt idx="142">
                  <c:v>467.18519480519484</c:v>
                </c:pt>
                <c:pt idx="143">
                  <c:v>468.01142857142867</c:v>
                </c:pt>
                <c:pt idx="144">
                  <c:v>468.83766233766232</c:v>
                </c:pt>
                <c:pt idx="145">
                  <c:v>469.66389610389621</c:v>
                </c:pt>
                <c:pt idx="146">
                  <c:v>470.49012987012986</c:v>
                </c:pt>
                <c:pt idx="147">
                  <c:v>471.31636363636369</c:v>
                </c:pt>
                <c:pt idx="148">
                  <c:v>472.1425974025974</c:v>
                </c:pt>
                <c:pt idx="149">
                  <c:v>472.96883116883123</c:v>
                </c:pt>
                <c:pt idx="150">
                  <c:v>473.79506493506494</c:v>
                </c:pt>
                <c:pt idx="151">
                  <c:v>474.62129870129877</c:v>
                </c:pt>
                <c:pt idx="152">
                  <c:v>475.44753246753248</c:v>
                </c:pt>
                <c:pt idx="153">
                  <c:v>476.27376623376631</c:v>
                </c:pt>
                <c:pt idx="154">
                  <c:v>477.1</c:v>
                </c:pt>
              </c:numCache>
            </c:numRef>
          </c:val>
          <c:smooth val="0"/>
          <c:extLst>
            <c:ext xmlns:c16="http://schemas.microsoft.com/office/drawing/2014/chart" uri="{C3380CC4-5D6E-409C-BE32-E72D297353CC}">
              <c16:uniqueId val="{00000001-7013-A34B-9833-34CD5FEAFE6D}"/>
            </c:ext>
          </c:extLst>
        </c:ser>
        <c:dLbls>
          <c:showLegendKey val="0"/>
          <c:showVal val="0"/>
          <c:showCatName val="0"/>
          <c:showSerName val="0"/>
          <c:showPercent val="0"/>
          <c:showBubbleSize val="0"/>
        </c:dLbls>
        <c:hiLowLines>
          <c:spPr>
            <a:ln w="0">
              <a:noFill/>
            </a:ln>
          </c:spPr>
        </c:hiLowLines>
        <c:marker val="1"/>
        <c:smooth val="0"/>
        <c:axId val="96895886"/>
        <c:axId val="7249766"/>
      </c:lineChart>
      <c:dateAx>
        <c:axId val="83169368"/>
        <c:scaling>
          <c:orientation val="minMax"/>
        </c:scaling>
        <c:delete val="1"/>
        <c:axPos val="b"/>
        <c:numFmt formatCode="mm/dd/yyyy" sourceLinked="1"/>
        <c:majorTickMark val="none"/>
        <c:minorTickMark val="none"/>
        <c:tickLblPos val="nextTo"/>
        <c:crossAx val="36420025"/>
        <c:crosses val="autoZero"/>
        <c:auto val="1"/>
        <c:lblOffset val="100"/>
        <c:baseTimeUnit val="days"/>
      </c:dateAx>
      <c:valAx>
        <c:axId val="364200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3169368"/>
        <c:crosses val="autoZero"/>
        <c:crossBetween val="between"/>
      </c:valAx>
      <c:dateAx>
        <c:axId val="96895886"/>
        <c:scaling>
          <c:orientation val="minMax"/>
        </c:scaling>
        <c:delete val="1"/>
        <c:axPos val="b"/>
        <c:numFmt formatCode="mm/dd/yyyy" sourceLinked="1"/>
        <c:majorTickMark val="none"/>
        <c:minorTickMark val="none"/>
        <c:tickLblPos val="nextTo"/>
        <c:crossAx val="7249766"/>
        <c:crosses val="autoZero"/>
        <c:auto val="1"/>
        <c:lblOffset val="100"/>
        <c:baseTimeUnit val="days"/>
      </c:dateAx>
      <c:valAx>
        <c:axId val="72497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689588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-3.0778515389257688E-2</c:v>
                </c:pt>
                <c:pt idx="1">
                  <c:v>-1.6189290161892855E-2</c:v>
                </c:pt>
                <c:pt idx="2">
                  <c:v>4.6708860759493653E-2</c:v>
                </c:pt>
                <c:pt idx="3">
                  <c:v>-3.8456887168944132E-2</c:v>
                </c:pt>
                <c:pt idx="4">
                  <c:v>-1.8865551502956768E-3</c:v>
                </c:pt>
                <c:pt idx="5">
                  <c:v>-3.3644153225806495E-2</c:v>
                </c:pt>
                <c:pt idx="6">
                  <c:v>1.6429782240187762E-2</c:v>
                </c:pt>
                <c:pt idx="7">
                  <c:v>-3.0147530468249029E-2</c:v>
                </c:pt>
                <c:pt idx="8">
                  <c:v>2.6455026455027841E-3</c:v>
                </c:pt>
                <c:pt idx="9">
                  <c:v>-1.6754617414247996E-2</c:v>
                </c:pt>
                <c:pt idx="10">
                  <c:v>-1.5430028176573241E-2</c:v>
                </c:pt>
                <c:pt idx="11">
                  <c:v>7.1545380212592047E-2</c:v>
                </c:pt>
                <c:pt idx="12">
                  <c:v>-3.4083683072618554E-2</c:v>
                </c:pt>
                <c:pt idx="13">
                  <c:v>5.5431204739960327E-2</c:v>
                </c:pt>
                <c:pt idx="14">
                  <c:v>1.2475049900206869E-4</c:v>
                </c:pt>
                <c:pt idx="15">
                  <c:v>3.3553698390919262E-2</c:v>
                </c:pt>
                <c:pt idx="16">
                  <c:v>8.3272990586531481E-3</c:v>
                </c:pt>
                <c:pt idx="17">
                  <c:v>5.4817474566128066E-2</c:v>
                </c:pt>
                <c:pt idx="18">
                  <c:v>2.2693747872461145E-2</c:v>
                </c:pt>
                <c:pt idx="19">
                  <c:v>-3.6613780095418047E-3</c:v>
                </c:pt>
                <c:pt idx="20">
                  <c:v>-2.5946547884187043E-2</c:v>
                </c:pt>
                <c:pt idx="21">
                  <c:v>-1.1318166228421078E-2</c:v>
                </c:pt>
                <c:pt idx="22">
                  <c:v>3.0064754856613529E-3</c:v>
                </c:pt>
                <c:pt idx="23">
                  <c:v>2.3518561217431566E-2</c:v>
                </c:pt>
                <c:pt idx="24">
                  <c:v>-1.8697904933543508E-2</c:v>
                </c:pt>
                <c:pt idx="25">
                  <c:v>9.0679522497703058E-3</c:v>
                </c:pt>
                <c:pt idx="26">
                  <c:v>7.0526675008530937E-3</c:v>
                </c:pt>
                <c:pt idx="27">
                  <c:v>-3.2757257426861974E-3</c:v>
                </c:pt>
                <c:pt idx="28">
                  <c:v>1.575249320036276E-2</c:v>
                </c:pt>
                <c:pt idx="29">
                  <c:v>1.1156978690172181E-3</c:v>
                </c:pt>
                <c:pt idx="30">
                  <c:v>-8.4698540064639394E-3</c:v>
                </c:pt>
                <c:pt idx="31">
                  <c:v>2.3940654153085328E-2</c:v>
                </c:pt>
                <c:pt idx="32">
                  <c:v>2.8649835345773811E-2</c:v>
                </c:pt>
                <c:pt idx="33">
                  <c:v>-2.1555863835236333E-2</c:v>
                </c:pt>
                <c:pt idx="34">
                  <c:v>-3.0864870760170082E-2</c:v>
                </c:pt>
                <c:pt idx="35">
                  <c:v>-9.0029259509339932E-3</c:v>
                </c:pt>
                <c:pt idx="36">
                  <c:v>2.4755848285259896E-2</c:v>
                </c:pt>
                <c:pt idx="37">
                  <c:v>6.8705673758866492E-3</c:v>
                </c:pt>
                <c:pt idx="38">
                  <c:v>1.7279330838652962E-2</c:v>
                </c:pt>
                <c:pt idx="39">
                  <c:v>1.1035378123985584E-2</c:v>
                </c:pt>
                <c:pt idx="40">
                  <c:v>-1.4874264312466523E-2</c:v>
                </c:pt>
                <c:pt idx="41">
                  <c:v>1.0753856180751642E-2</c:v>
                </c:pt>
                <c:pt idx="42">
                  <c:v>-3.4067705534658765E-2</c:v>
                </c:pt>
                <c:pt idx="43">
                  <c:v>-2.3920783266577539E-2</c:v>
                </c:pt>
                <c:pt idx="44">
                  <c:v>1.0828678901174005E-2</c:v>
                </c:pt>
                <c:pt idx="45">
                  <c:v>1.1727559765448703E-2</c:v>
                </c:pt>
                <c:pt idx="46">
                  <c:v>-1.64957646009809E-2</c:v>
                </c:pt>
                <c:pt idx="47">
                  <c:v>5.5757026291931133E-2</c:v>
                </c:pt>
                <c:pt idx="48">
                  <c:v>2.6406182911120846E-2</c:v>
                </c:pt>
                <c:pt idx="49">
                  <c:v>3.6289479188454266E-2</c:v>
                </c:pt>
                <c:pt idx="50">
                  <c:v>-7.1450196790796228E-2</c:v>
                </c:pt>
                <c:pt idx="51">
                  <c:v>-1.7606781871535748E-2</c:v>
                </c:pt>
                <c:pt idx="52">
                  <c:v>2.8542980418187813E-2</c:v>
                </c:pt>
                <c:pt idx="53">
                  <c:v>3.1085296332150181E-2</c:v>
                </c:pt>
                <c:pt idx="54">
                  <c:v>5.2159399123730132E-4</c:v>
                </c:pt>
                <c:pt idx="55">
                  <c:v>-5.6615577103534487E-2</c:v>
                </c:pt>
                <c:pt idx="56">
                  <c:v>2.8846153846153744E-2</c:v>
                </c:pt>
                <c:pt idx="57">
                  <c:v>3.0185841658610046E-2</c:v>
                </c:pt>
                <c:pt idx="58">
                  <c:v>-3.5453597497393519E-3</c:v>
                </c:pt>
                <c:pt idx="59">
                  <c:v>2.8254499790707488E-3</c:v>
                </c:pt>
                <c:pt idx="60">
                  <c:v>1.1896065950119938E-2</c:v>
                </c:pt>
                <c:pt idx="61">
                  <c:v>1.2581210683716648E-2</c:v>
                </c:pt>
                <c:pt idx="62">
                  <c:v>-3.3302780323861914E-2</c:v>
                </c:pt>
                <c:pt idx="63">
                  <c:v>-2.4230931310578185E-3</c:v>
                </c:pt>
                <c:pt idx="64">
                  <c:v>8.8604921322209318E-2</c:v>
                </c:pt>
                <c:pt idx="65">
                  <c:v>-1.9402405898331421E-2</c:v>
                </c:pt>
                <c:pt idx="66">
                  <c:v>3.6604669568658599E-2</c:v>
                </c:pt>
                <c:pt idx="67">
                  <c:v>6.7761023096009065E-3</c:v>
                </c:pt>
                <c:pt idx="68">
                  <c:v>-2.085505735140758E-2</c:v>
                </c:pt>
                <c:pt idx="69">
                  <c:v>-1.2392293542453303E-2</c:v>
                </c:pt>
                <c:pt idx="70">
                  <c:v>-5.7837466915008351E-2</c:v>
                </c:pt>
                <c:pt idx="71">
                  <c:v>3.9538029341379399E-3</c:v>
                </c:pt>
                <c:pt idx="72">
                  <c:v>7.7728261996061754E-3</c:v>
                </c:pt>
                <c:pt idx="73">
                  <c:v>-2.6223776223776141E-2</c:v>
                </c:pt>
                <c:pt idx="74">
                  <c:v>4.8896398774949779E-2</c:v>
                </c:pt>
                <c:pt idx="75">
                  <c:v>5.0342327829238087E-3</c:v>
                </c:pt>
                <c:pt idx="76">
                  <c:v>-1.5127229012221854E-2</c:v>
                </c:pt>
                <c:pt idx="77">
                  <c:v>-1.1595971925541626E-2</c:v>
                </c:pt>
                <c:pt idx="78">
                  <c:v>3.087372645878439E-3</c:v>
                </c:pt>
                <c:pt idx="79">
                  <c:v>-3.6524058684723526E-2</c:v>
                </c:pt>
                <c:pt idx="80">
                  <c:v>-1.1287402832499183E-2</c:v>
                </c:pt>
                <c:pt idx="81">
                  <c:v>-4.4911147011308383E-2</c:v>
                </c:pt>
                <c:pt idx="82">
                  <c:v>-1.8718989625620353E-2</c:v>
                </c:pt>
                <c:pt idx="83">
                  <c:v>9.6529533440588011E-3</c:v>
                </c:pt>
                <c:pt idx="84">
                  <c:v>-8.4224903255177841E-3</c:v>
                </c:pt>
                <c:pt idx="85">
                  <c:v>-0.10468319559228656</c:v>
                </c:pt>
                <c:pt idx="86">
                  <c:v>1.2564102564102564E-2</c:v>
                </c:pt>
                <c:pt idx="87">
                  <c:v>1.8612306913142529E-2</c:v>
                </c:pt>
                <c:pt idx="88">
                  <c:v>2.80919825978867E-2</c:v>
                </c:pt>
                <c:pt idx="89">
                  <c:v>3.3974126465965426E-2</c:v>
                </c:pt>
                <c:pt idx="90">
                  <c:v>1.1576239476146055E-2</c:v>
                </c:pt>
                <c:pt idx="91">
                  <c:v>4.8896081377875378E-2</c:v>
                </c:pt>
                <c:pt idx="92">
                  <c:v>-4.0004408199250552E-2</c:v>
                </c:pt>
                <c:pt idx="93">
                  <c:v>1.1709333027206892E-2</c:v>
                </c:pt>
                <c:pt idx="94">
                  <c:v>1.8495404516055913E-2</c:v>
                </c:pt>
                <c:pt idx="95">
                  <c:v>-6.0160427807487427E-3</c:v>
                </c:pt>
                <c:pt idx="96">
                  <c:v>1.6812373907195699E-3</c:v>
                </c:pt>
                <c:pt idx="97">
                  <c:v>2.058856439521084E-2</c:v>
                </c:pt>
                <c:pt idx="98">
                  <c:v>4.1662098454116947E-2</c:v>
                </c:pt>
                <c:pt idx="99">
                  <c:v>-1.3682770234713093E-3</c:v>
                </c:pt>
                <c:pt idx="100">
                  <c:v>-1.1698988195615545E-2</c:v>
                </c:pt>
                <c:pt idx="101">
                  <c:v>1.471686040311404E-2</c:v>
                </c:pt>
                <c:pt idx="102">
                  <c:v>-5.0236468733578565E-2</c:v>
                </c:pt>
                <c:pt idx="103">
                  <c:v>2.3237800154918498E-2</c:v>
                </c:pt>
                <c:pt idx="104">
                  <c:v>2.9847518113983007E-2</c:v>
                </c:pt>
                <c:pt idx="105">
                  <c:v>3.9798382862543225E-2</c:v>
                </c:pt>
                <c:pt idx="106">
                  <c:v>8.3821450212078208E-3</c:v>
                </c:pt>
                <c:pt idx="107">
                  <c:v>1.0916374561842801E-2</c:v>
                </c:pt>
                <c:pt idx="108">
                  <c:v>-7.9255002972061783E-3</c:v>
                </c:pt>
                <c:pt idx="109">
                  <c:v>5.6920311563810611E-3</c:v>
                </c:pt>
                <c:pt idx="110">
                  <c:v>-1.588720087379536E-3</c:v>
                </c:pt>
                <c:pt idx="111">
                  <c:v>1.0939830929885819E-3</c:v>
                </c:pt>
                <c:pt idx="112">
                  <c:v>-5.4341347109080007E-2</c:v>
                </c:pt>
                <c:pt idx="113">
                  <c:v>1.9644920684946054E-2</c:v>
                </c:pt>
                <c:pt idx="114">
                  <c:v>2.9363280445085405E-2</c:v>
                </c:pt>
                <c:pt idx="115">
                  <c:v>-2.1119007106395804E-2</c:v>
                </c:pt>
                <c:pt idx="116">
                  <c:v>-6.1349693251533388E-4</c:v>
                </c:pt>
                <c:pt idx="117">
                  <c:v>-1.5346838551257846E-3</c:v>
                </c:pt>
                <c:pt idx="118">
                  <c:v>-7.7876831642587074E-3</c:v>
                </c:pt>
                <c:pt idx="119">
                  <c:v>4.4407724878653188E-2</c:v>
                </c:pt>
                <c:pt idx="120">
                  <c:v>1.7502224859092363E-2</c:v>
                </c:pt>
                <c:pt idx="121">
                  <c:v>2.1477162293488838E-2</c:v>
                </c:pt>
                <c:pt idx="122">
                  <c:v>-1.2653410712586743E-2</c:v>
                </c:pt>
                <c:pt idx="123">
                  <c:v>-8.6721911736364898E-4</c:v>
                </c:pt>
                <c:pt idx="124">
                  <c:v>-5.4971549811938525E-3</c:v>
                </c:pt>
                <c:pt idx="125">
                  <c:v>4.082622187742424E-2</c:v>
                </c:pt>
                <c:pt idx="126">
                  <c:v>1.0994130252492296E-2</c:v>
                </c:pt>
                <c:pt idx="127">
                  <c:v>-1.8431480969505198E-4</c:v>
                </c:pt>
                <c:pt idx="128">
                  <c:v>7.189602728361999E-3</c:v>
                </c:pt>
                <c:pt idx="129">
                  <c:v>5.4177724901619762E-2</c:v>
                </c:pt>
                <c:pt idx="130">
                  <c:v>-2.5175796510112924E-3</c:v>
                </c:pt>
                <c:pt idx="131">
                  <c:v>5.5700609225413089E-3</c:v>
                </c:pt>
                <c:pt idx="132">
                  <c:v>-2.2156828803877482E-2</c:v>
                </c:pt>
                <c:pt idx="133">
                  <c:v>-3.8325367321649817E-2</c:v>
                </c:pt>
                <c:pt idx="134">
                  <c:v>-2.1721122871606102E-2</c:v>
                </c:pt>
                <c:pt idx="135">
                  <c:v>-1.9757267852102967E-3</c:v>
                </c:pt>
                <c:pt idx="136">
                  <c:v>2.9694570135746723E-2</c:v>
                </c:pt>
                <c:pt idx="137">
                  <c:v>2.0049436967865875E-2</c:v>
                </c:pt>
                <c:pt idx="138">
                  <c:v>2.9707413390773763E-2</c:v>
                </c:pt>
                <c:pt idx="139">
                  <c:v>2.4317963915279295E-2</c:v>
                </c:pt>
                <c:pt idx="140">
                  <c:v>1.2253233492171445E-2</c:v>
                </c:pt>
                <c:pt idx="141">
                  <c:v>8.4061869535978495E-3</c:v>
                </c:pt>
                <c:pt idx="142">
                  <c:v>-1.0003334444813605E-3</c:v>
                </c:pt>
                <c:pt idx="143">
                  <c:v>-2.161214953271029E-2</c:v>
                </c:pt>
                <c:pt idx="144">
                  <c:v>2.371002132196165E-2</c:v>
                </c:pt>
                <c:pt idx="145">
                  <c:v>1.6662501041397881E-4</c:v>
                </c:pt>
                <c:pt idx="146">
                  <c:v>-2.9154518950437192E-3</c:v>
                </c:pt>
                <c:pt idx="147">
                  <c:v>3.9097744360902187E-2</c:v>
                </c:pt>
                <c:pt idx="148">
                  <c:v>-1.9134909149380874E-2</c:v>
                </c:pt>
                <c:pt idx="149">
                  <c:v>2.4098360655737672E-2</c:v>
                </c:pt>
                <c:pt idx="150">
                  <c:v>-1.1445493837041743E-2</c:v>
                </c:pt>
                <c:pt idx="151">
                  <c:v>3.5624645777669883E-3</c:v>
                </c:pt>
                <c:pt idx="152">
                  <c:v>1.1294876966518652E-2</c:v>
                </c:pt>
                <c:pt idx="153">
                  <c:v>-5.5843637814112501E-4</c:v>
                </c:pt>
                <c:pt idx="154">
                  <c:v>0</c:v>
                </c:pt>
              </c:numCache>
            </c:numRef>
          </c:val>
          <c:extLst>
            <c:ext xmlns:c16="http://schemas.microsoft.com/office/drawing/2014/chart" uri="{C3380CC4-5D6E-409C-BE32-E72D297353CC}">
              <c16:uniqueId val="{00000000-501B-104F-AEB5-580E246CAEFC}"/>
            </c:ext>
          </c:extLst>
        </c:ser>
        <c:dLbls>
          <c:showLegendKey val="0"/>
          <c:showVal val="0"/>
          <c:showCatName val="0"/>
          <c:showSerName val="0"/>
          <c:showPercent val="0"/>
          <c:showBubbleSize val="0"/>
        </c:dLbls>
        <c:gapWidth val="150"/>
        <c:axId val="80480734"/>
        <c:axId val="11331314"/>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83.125519480519472</c:v>
                </c:pt>
                <c:pt idx="2">
                  <c:v>83.40103896103895</c:v>
                </c:pt>
                <c:pt idx="3">
                  <c:v>83.676558441558441</c:v>
                </c:pt>
                <c:pt idx="4">
                  <c:v>83.952077922077919</c:v>
                </c:pt>
                <c:pt idx="5">
                  <c:v>84.227597402597397</c:v>
                </c:pt>
                <c:pt idx="6">
                  <c:v>84.503116883116874</c:v>
                </c:pt>
                <c:pt idx="7">
                  <c:v>84.778636363636366</c:v>
                </c:pt>
                <c:pt idx="8">
                  <c:v>85.054155844155844</c:v>
                </c:pt>
                <c:pt idx="9">
                  <c:v>85.329675324675321</c:v>
                </c:pt>
                <c:pt idx="10">
                  <c:v>85.605194805194799</c:v>
                </c:pt>
                <c:pt idx="11">
                  <c:v>85.880714285714276</c:v>
                </c:pt>
                <c:pt idx="12">
                  <c:v>86.156233766233754</c:v>
                </c:pt>
                <c:pt idx="13">
                  <c:v>86.431753246753246</c:v>
                </c:pt>
                <c:pt idx="14">
                  <c:v>86.707272727272724</c:v>
                </c:pt>
                <c:pt idx="15">
                  <c:v>86.982792207792201</c:v>
                </c:pt>
                <c:pt idx="16">
                  <c:v>87.258311688311693</c:v>
                </c:pt>
                <c:pt idx="17">
                  <c:v>87.533831168831142</c:v>
                </c:pt>
                <c:pt idx="18">
                  <c:v>87.809350649350648</c:v>
                </c:pt>
                <c:pt idx="19">
                  <c:v>88.084870129870112</c:v>
                </c:pt>
                <c:pt idx="20">
                  <c:v>88.360389610389618</c:v>
                </c:pt>
                <c:pt idx="21">
                  <c:v>88.635909090909067</c:v>
                </c:pt>
                <c:pt idx="22">
                  <c:v>88.911428571428573</c:v>
                </c:pt>
                <c:pt idx="23">
                  <c:v>89.186948051948036</c:v>
                </c:pt>
                <c:pt idx="24">
                  <c:v>89.462467532467542</c:v>
                </c:pt>
                <c:pt idx="25">
                  <c:v>89.737987012986991</c:v>
                </c:pt>
                <c:pt idx="26">
                  <c:v>90.013506493506497</c:v>
                </c:pt>
                <c:pt idx="27">
                  <c:v>90.289025974025961</c:v>
                </c:pt>
                <c:pt idx="28">
                  <c:v>90.564545454545453</c:v>
                </c:pt>
                <c:pt idx="29">
                  <c:v>90.840064935064916</c:v>
                </c:pt>
                <c:pt idx="30">
                  <c:v>91.115584415584422</c:v>
                </c:pt>
                <c:pt idx="31">
                  <c:v>91.391103896103886</c:v>
                </c:pt>
                <c:pt idx="32">
                  <c:v>91.666623376623377</c:v>
                </c:pt>
                <c:pt idx="33">
                  <c:v>91.942142857142841</c:v>
                </c:pt>
                <c:pt idx="34">
                  <c:v>92.217662337662347</c:v>
                </c:pt>
                <c:pt idx="35">
                  <c:v>92.493181818181796</c:v>
                </c:pt>
                <c:pt idx="36">
                  <c:v>92.768701298701302</c:v>
                </c:pt>
                <c:pt idx="37">
                  <c:v>93.044220779220765</c:v>
                </c:pt>
                <c:pt idx="38">
                  <c:v>93.319740259740271</c:v>
                </c:pt>
                <c:pt idx="39">
                  <c:v>93.595259740259721</c:v>
                </c:pt>
                <c:pt idx="40">
                  <c:v>93.870779220779227</c:v>
                </c:pt>
                <c:pt idx="41">
                  <c:v>94.14629870129869</c:v>
                </c:pt>
                <c:pt idx="42">
                  <c:v>94.421818181818196</c:v>
                </c:pt>
                <c:pt idx="43">
                  <c:v>94.697337662337645</c:v>
                </c:pt>
                <c:pt idx="44">
                  <c:v>94.972857142857151</c:v>
                </c:pt>
                <c:pt idx="45">
                  <c:v>95.248376623376615</c:v>
                </c:pt>
                <c:pt idx="46">
                  <c:v>95.523896103896107</c:v>
                </c:pt>
                <c:pt idx="47">
                  <c:v>95.79941558441557</c:v>
                </c:pt>
                <c:pt idx="48">
                  <c:v>96.074935064935076</c:v>
                </c:pt>
                <c:pt idx="49">
                  <c:v>96.350454545454539</c:v>
                </c:pt>
                <c:pt idx="50">
                  <c:v>96.625974025974031</c:v>
                </c:pt>
                <c:pt idx="51">
                  <c:v>96.901493506493495</c:v>
                </c:pt>
                <c:pt idx="52">
                  <c:v>97.177012987013001</c:v>
                </c:pt>
                <c:pt idx="53">
                  <c:v>97.45253246753245</c:v>
                </c:pt>
                <c:pt idx="54">
                  <c:v>97.728051948051956</c:v>
                </c:pt>
                <c:pt idx="55">
                  <c:v>98.003571428571419</c:v>
                </c:pt>
                <c:pt idx="56">
                  <c:v>98.279090909090925</c:v>
                </c:pt>
                <c:pt idx="57">
                  <c:v>98.554610389610374</c:v>
                </c:pt>
                <c:pt idx="58">
                  <c:v>98.83012987012988</c:v>
                </c:pt>
                <c:pt idx="59">
                  <c:v>99.105649350649344</c:v>
                </c:pt>
                <c:pt idx="60">
                  <c:v>99.38116883116885</c:v>
                </c:pt>
                <c:pt idx="61">
                  <c:v>99.656688311688299</c:v>
                </c:pt>
                <c:pt idx="62">
                  <c:v>99.932207792207805</c:v>
                </c:pt>
                <c:pt idx="63">
                  <c:v>100.20772727272727</c:v>
                </c:pt>
                <c:pt idx="64">
                  <c:v>100.48324675324676</c:v>
                </c:pt>
                <c:pt idx="65">
                  <c:v>100.75876623376622</c:v>
                </c:pt>
                <c:pt idx="66">
                  <c:v>101.03428571428573</c:v>
                </c:pt>
                <c:pt idx="67">
                  <c:v>101.30980519480519</c:v>
                </c:pt>
                <c:pt idx="68">
                  <c:v>101.5853246753247</c:v>
                </c:pt>
                <c:pt idx="69">
                  <c:v>101.86084415584415</c:v>
                </c:pt>
                <c:pt idx="70">
                  <c:v>102.13636363636365</c:v>
                </c:pt>
                <c:pt idx="71">
                  <c:v>102.41188311688312</c:v>
                </c:pt>
                <c:pt idx="72">
                  <c:v>102.68740259740261</c:v>
                </c:pt>
                <c:pt idx="73">
                  <c:v>102.96292207792207</c:v>
                </c:pt>
                <c:pt idx="74">
                  <c:v>103.23844155844158</c:v>
                </c:pt>
                <c:pt idx="75">
                  <c:v>103.51396103896104</c:v>
                </c:pt>
                <c:pt idx="76">
                  <c:v>103.78948051948053</c:v>
                </c:pt>
                <c:pt idx="77">
                  <c:v>104.065</c:v>
                </c:pt>
                <c:pt idx="78">
                  <c:v>104.34051948051946</c:v>
                </c:pt>
                <c:pt idx="79">
                  <c:v>104.61603896103895</c:v>
                </c:pt>
                <c:pt idx="80">
                  <c:v>104.89155844155842</c:v>
                </c:pt>
                <c:pt idx="81">
                  <c:v>105.16707792207792</c:v>
                </c:pt>
                <c:pt idx="82">
                  <c:v>105.44259740259739</c:v>
                </c:pt>
                <c:pt idx="83">
                  <c:v>105.71811688311688</c:v>
                </c:pt>
                <c:pt idx="84">
                  <c:v>105.99363636363634</c:v>
                </c:pt>
                <c:pt idx="85">
                  <c:v>106.26915584415585</c:v>
                </c:pt>
                <c:pt idx="86">
                  <c:v>106.5446753246753</c:v>
                </c:pt>
                <c:pt idx="87">
                  <c:v>106.8201948051948</c:v>
                </c:pt>
                <c:pt idx="88">
                  <c:v>107.09571428571427</c:v>
                </c:pt>
                <c:pt idx="89">
                  <c:v>107.37123376623376</c:v>
                </c:pt>
                <c:pt idx="90">
                  <c:v>107.64675324675324</c:v>
                </c:pt>
                <c:pt idx="91">
                  <c:v>107.92227272727273</c:v>
                </c:pt>
                <c:pt idx="92">
                  <c:v>108.19779220779219</c:v>
                </c:pt>
                <c:pt idx="93">
                  <c:v>108.4733116883117</c:v>
                </c:pt>
                <c:pt idx="94">
                  <c:v>108.74883116883115</c:v>
                </c:pt>
                <c:pt idx="95">
                  <c:v>109.02435064935065</c:v>
                </c:pt>
                <c:pt idx="96">
                  <c:v>109.29987012987011</c:v>
                </c:pt>
                <c:pt idx="97">
                  <c:v>109.57538961038961</c:v>
                </c:pt>
                <c:pt idx="98">
                  <c:v>109.85090909090907</c:v>
                </c:pt>
                <c:pt idx="99">
                  <c:v>110.12642857142858</c:v>
                </c:pt>
                <c:pt idx="100">
                  <c:v>110.40194805194804</c:v>
                </c:pt>
                <c:pt idx="101">
                  <c:v>110.67746753246755</c:v>
                </c:pt>
                <c:pt idx="102">
                  <c:v>110.95298701298699</c:v>
                </c:pt>
                <c:pt idx="103">
                  <c:v>111.2285064935065</c:v>
                </c:pt>
                <c:pt idx="104">
                  <c:v>111.50402597402595</c:v>
                </c:pt>
                <c:pt idx="105">
                  <c:v>111.77954545454546</c:v>
                </c:pt>
                <c:pt idx="106">
                  <c:v>112.05506493506492</c:v>
                </c:pt>
                <c:pt idx="107">
                  <c:v>112.33058441558443</c:v>
                </c:pt>
                <c:pt idx="108">
                  <c:v>112.60610389610389</c:v>
                </c:pt>
                <c:pt idx="109">
                  <c:v>112.88162337662338</c:v>
                </c:pt>
                <c:pt idx="110">
                  <c:v>113.15714285714284</c:v>
                </c:pt>
                <c:pt idx="111">
                  <c:v>113.43266233766235</c:v>
                </c:pt>
                <c:pt idx="112">
                  <c:v>113.7081818181818</c:v>
                </c:pt>
                <c:pt idx="113">
                  <c:v>113.98370129870131</c:v>
                </c:pt>
                <c:pt idx="114">
                  <c:v>114.25922077922077</c:v>
                </c:pt>
                <c:pt idx="115">
                  <c:v>114.53474025974026</c:v>
                </c:pt>
                <c:pt idx="116">
                  <c:v>114.81025974025974</c:v>
                </c:pt>
                <c:pt idx="117">
                  <c:v>115.08577922077923</c:v>
                </c:pt>
                <c:pt idx="118">
                  <c:v>115.36129870129869</c:v>
                </c:pt>
                <c:pt idx="119">
                  <c:v>115.6368181818182</c:v>
                </c:pt>
                <c:pt idx="120">
                  <c:v>115.91233766233765</c:v>
                </c:pt>
                <c:pt idx="121">
                  <c:v>116.18785714285715</c:v>
                </c:pt>
                <c:pt idx="122">
                  <c:v>116.46337662337662</c:v>
                </c:pt>
                <c:pt idx="123">
                  <c:v>116.73889610389611</c:v>
                </c:pt>
                <c:pt idx="124">
                  <c:v>117.01441558441557</c:v>
                </c:pt>
                <c:pt idx="125">
                  <c:v>117.28993506493508</c:v>
                </c:pt>
                <c:pt idx="126">
                  <c:v>117.56545454545454</c:v>
                </c:pt>
                <c:pt idx="127">
                  <c:v>117.84097402597405</c:v>
                </c:pt>
                <c:pt idx="128">
                  <c:v>118.1164935064935</c:v>
                </c:pt>
                <c:pt idx="129">
                  <c:v>118.392012987013</c:v>
                </c:pt>
                <c:pt idx="130">
                  <c:v>118.66753246753245</c:v>
                </c:pt>
                <c:pt idx="131">
                  <c:v>118.94305194805196</c:v>
                </c:pt>
                <c:pt idx="132">
                  <c:v>119.21857142857142</c:v>
                </c:pt>
                <c:pt idx="133">
                  <c:v>119.49409090909091</c:v>
                </c:pt>
                <c:pt idx="134">
                  <c:v>119.76961038961039</c:v>
                </c:pt>
                <c:pt idx="135">
                  <c:v>120.04512987012988</c:v>
                </c:pt>
                <c:pt idx="136">
                  <c:v>120.32064935064935</c:v>
                </c:pt>
                <c:pt idx="137">
                  <c:v>120.59616883116885</c:v>
                </c:pt>
                <c:pt idx="138">
                  <c:v>120.8716883116883</c:v>
                </c:pt>
                <c:pt idx="139">
                  <c:v>121.14720779220781</c:v>
                </c:pt>
                <c:pt idx="140">
                  <c:v>121.42272727272726</c:v>
                </c:pt>
                <c:pt idx="141">
                  <c:v>121.69824675324676</c:v>
                </c:pt>
                <c:pt idx="142">
                  <c:v>121.97376623376624</c:v>
                </c:pt>
                <c:pt idx="143">
                  <c:v>122.24928571428573</c:v>
                </c:pt>
                <c:pt idx="144">
                  <c:v>122.5248051948052</c:v>
                </c:pt>
                <c:pt idx="145">
                  <c:v>122.8003246753247</c:v>
                </c:pt>
                <c:pt idx="146">
                  <c:v>123.07584415584415</c:v>
                </c:pt>
                <c:pt idx="147">
                  <c:v>123.35136363636366</c:v>
                </c:pt>
                <c:pt idx="148">
                  <c:v>123.62688311688311</c:v>
                </c:pt>
                <c:pt idx="149">
                  <c:v>123.90240259740261</c:v>
                </c:pt>
                <c:pt idx="150">
                  <c:v>124.17792207792208</c:v>
                </c:pt>
                <c:pt idx="151">
                  <c:v>124.45344155844158</c:v>
                </c:pt>
                <c:pt idx="152">
                  <c:v>124.72896103896105</c:v>
                </c:pt>
                <c:pt idx="153">
                  <c:v>125.00448051948055</c:v>
                </c:pt>
                <c:pt idx="154">
                  <c:v>125.28</c:v>
                </c:pt>
              </c:numCache>
            </c:numRef>
          </c:val>
          <c:smooth val="0"/>
          <c:extLst>
            <c:ext xmlns:c16="http://schemas.microsoft.com/office/drawing/2014/chart" uri="{C3380CC4-5D6E-409C-BE32-E72D297353CC}">
              <c16:uniqueId val="{00000001-501B-104F-AEB5-580E246CAEFC}"/>
            </c:ext>
          </c:extLst>
        </c:ser>
        <c:dLbls>
          <c:showLegendKey val="0"/>
          <c:showVal val="0"/>
          <c:showCatName val="0"/>
          <c:showSerName val="0"/>
          <c:showPercent val="0"/>
          <c:showBubbleSize val="0"/>
        </c:dLbls>
        <c:hiLowLines>
          <c:spPr>
            <a:ln w="0">
              <a:noFill/>
            </a:ln>
          </c:spPr>
        </c:hiLowLines>
        <c:marker val="1"/>
        <c:smooth val="0"/>
        <c:axId val="59142996"/>
        <c:axId val="99488725"/>
      </c:lineChart>
      <c:dateAx>
        <c:axId val="80480734"/>
        <c:scaling>
          <c:orientation val="minMax"/>
        </c:scaling>
        <c:delete val="1"/>
        <c:axPos val="b"/>
        <c:numFmt formatCode="mm/dd/yyyy" sourceLinked="1"/>
        <c:majorTickMark val="none"/>
        <c:minorTickMark val="none"/>
        <c:tickLblPos val="nextTo"/>
        <c:crossAx val="11331314"/>
        <c:crosses val="autoZero"/>
        <c:auto val="1"/>
        <c:lblOffset val="100"/>
        <c:baseTimeUnit val="days"/>
      </c:dateAx>
      <c:valAx>
        <c:axId val="113313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0480734"/>
        <c:crosses val="autoZero"/>
        <c:crossBetween val="between"/>
      </c:valAx>
      <c:dateAx>
        <c:axId val="59142996"/>
        <c:scaling>
          <c:orientation val="minMax"/>
        </c:scaling>
        <c:delete val="1"/>
        <c:axPos val="b"/>
        <c:numFmt formatCode="mm/dd/yyyy" sourceLinked="1"/>
        <c:majorTickMark val="none"/>
        <c:minorTickMark val="none"/>
        <c:tickLblPos val="nextTo"/>
        <c:crossAx val="99488725"/>
        <c:crosses val="autoZero"/>
        <c:auto val="1"/>
        <c:lblOffset val="100"/>
        <c:baseTimeUnit val="days"/>
      </c:dateAx>
      <c:valAx>
        <c:axId val="994887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914299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3.2102728731941976E-3</c:v>
                </c:pt>
                <c:pt idx="1">
                  <c:v>3.4000000000000696E-3</c:v>
                </c:pt>
                <c:pt idx="2">
                  <c:v>-1.116204903328688E-2</c:v>
                </c:pt>
                <c:pt idx="3">
                  <c:v>-1.7335214674460753E-2</c:v>
                </c:pt>
                <c:pt idx="4">
                  <c:v>4.0205128205128116E-2</c:v>
                </c:pt>
                <c:pt idx="5">
                  <c:v>1.0057187931374445E-2</c:v>
                </c:pt>
                <c:pt idx="6">
                  <c:v>1.3080827801640105E-2</c:v>
                </c:pt>
                <c:pt idx="7">
                  <c:v>4.4324532665251937E-3</c:v>
                </c:pt>
                <c:pt idx="8">
                  <c:v>9.593246354566709E-4</c:v>
                </c:pt>
                <c:pt idx="9">
                  <c:v>3.6419398121525504E-3</c:v>
                </c:pt>
                <c:pt idx="10">
                  <c:v>8.9763177998471999E-3</c:v>
                </c:pt>
                <c:pt idx="11">
                  <c:v>-7.5714556123418486E-4</c:v>
                </c:pt>
                <c:pt idx="12">
                  <c:v>1.7048683462776992E-3</c:v>
                </c:pt>
                <c:pt idx="13">
                  <c:v>-4.3494704992436128E-3</c:v>
                </c:pt>
                <c:pt idx="14">
                  <c:v>9.8765432098766315E-3</c:v>
                </c:pt>
                <c:pt idx="15">
                  <c:v>5.8303554636072175E-3</c:v>
                </c:pt>
                <c:pt idx="16">
                  <c:v>6.3575168287210992E-3</c:v>
                </c:pt>
                <c:pt idx="17">
                  <c:v>1.4121144555927057E-2</c:v>
                </c:pt>
                <c:pt idx="18">
                  <c:v>4.3972150971052226E-3</c:v>
                </c:pt>
                <c:pt idx="19">
                  <c:v>-5.4724553082815541E-3</c:v>
                </c:pt>
                <c:pt idx="20">
                  <c:v>7.5201760821717034E-3</c:v>
                </c:pt>
                <c:pt idx="21">
                  <c:v>6.1896959766976067E-3</c:v>
                </c:pt>
                <c:pt idx="22">
                  <c:v>7.2371992039088617E-4</c:v>
                </c:pt>
                <c:pt idx="23">
                  <c:v>1.8079913216406673E-4</c:v>
                </c:pt>
                <c:pt idx="24">
                  <c:v>1.1026753434562497E-2</c:v>
                </c:pt>
                <c:pt idx="25">
                  <c:v>7.1517968889689421E-4</c:v>
                </c:pt>
                <c:pt idx="26">
                  <c:v>-3.7520100053600736E-3</c:v>
                </c:pt>
                <c:pt idx="27">
                  <c:v>-6.276901004304225E-3</c:v>
                </c:pt>
                <c:pt idx="28">
                  <c:v>-1.9491066594477524E-2</c:v>
                </c:pt>
                <c:pt idx="29">
                  <c:v>2.0614761641818635E-2</c:v>
                </c:pt>
                <c:pt idx="30">
                  <c:v>4.1478809738502154E-3</c:v>
                </c:pt>
                <c:pt idx="31">
                  <c:v>1.5445402298850608E-2</c:v>
                </c:pt>
                <c:pt idx="32">
                  <c:v>1.0788822072868687E-2</c:v>
                </c:pt>
                <c:pt idx="33">
                  <c:v>1.0498687664042272E-3</c:v>
                </c:pt>
                <c:pt idx="34">
                  <c:v>-2.6219192448871942E-3</c:v>
                </c:pt>
                <c:pt idx="35">
                  <c:v>1.1041009463722329E-2</c:v>
                </c:pt>
                <c:pt idx="36">
                  <c:v>9.0136938810885248E-3</c:v>
                </c:pt>
                <c:pt idx="37">
                  <c:v>3.2640439786977282E-3</c:v>
                </c:pt>
                <c:pt idx="38">
                  <c:v>2.73972602739736E-3</c:v>
                </c:pt>
                <c:pt idx="39">
                  <c:v>7.1721311475407834E-3</c:v>
                </c:pt>
                <c:pt idx="40">
                  <c:v>3.390979993218135E-3</c:v>
                </c:pt>
                <c:pt idx="41">
                  <c:v>-6.5900642108820406E-3</c:v>
                </c:pt>
                <c:pt idx="42">
                  <c:v>-4.2524238816125104E-3</c:v>
                </c:pt>
                <c:pt idx="43">
                  <c:v>-1.0761872224120284E-2</c:v>
                </c:pt>
                <c:pt idx="44">
                  <c:v>6.9072699015726435E-4</c:v>
                </c:pt>
                <c:pt idx="45">
                  <c:v>2.6229508196721207E-2</c:v>
                </c:pt>
                <c:pt idx="46">
                  <c:v>8.7439044896586715E-3</c:v>
                </c:pt>
                <c:pt idx="47">
                  <c:v>3.6672778796464911E-3</c:v>
                </c:pt>
                <c:pt idx="48">
                  <c:v>-2.7071914964291732E-2</c:v>
                </c:pt>
                <c:pt idx="49">
                  <c:v>2.5947422328439718E-2</c:v>
                </c:pt>
                <c:pt idx="50">
                  <c:v>8.3194675540765317E-3</c:v>
                </c:pt>
                <c:pt idx="51">
                  <c:v>5.6105610561054675E-3</c:v>
                </c:pt>
                <c:pt idx="52">
                  <c:v>1.3127666557271045E-3</c:v>
                </c:pt>
                <c:pt idx="53">
                  <c:v>8.0301540478531219E-3</c:v>
                </c:pt>
                <c:pt idx="54">
                  <c:v>8.291334742318357E-3</c:v>
                </c:pt>
                <c:pt idx="55">
                  <c:v>-2.7410512737826576E-3</c:v>
                </c:pt>
                <c:pt idx="56">
                  <c:v>-8.8924818108326864E-3</c:v>
                </c:pt>
                <c:pt idx="57">
                  <c:v>2.4306688417618405E-2</c:v>
                </c:pt>
                <c:pt idx="58">
                  <c:v>-9.5556617295747825E-3</c:v>
                </c:pt>
                <c:pt idx="59">
                  <c:v>7.5574851262261156E-3</c:v>
                </c:pt>
                <c:pt idx="60">
                  <c:v>6.0644749441429724E-3</c:v>
                </c:pt>
                <c:pt idx="61">
                  <c:v>3.8071065989848663E-3</c:v>
                </c:pt>
                <c:pt idx="62">
                  <c:v>-1.7383059418457636E-3</c:v>
                </c:pt>
                <c:pt idx="63">
                  <c:v>-1.2347633370270672E-2</c:v>
                </c:pt>
                <c:pt idx="64">
                  <c:v>4.1673345087354097E-3</c:v>
                </c:pt>
                <c:pt idx="65">
                  <c:v>-3.9904229848364281E-3</c:v>
                </c:pt>
                <c:pt idx="66">
                  <c:v>-1.2179487179487136E-2</c:v>
                </c:pt>
                <c:pt idx="67">
                  <c:v>1.7196625567813095E-2</c:v>
                </c:pt>
                <c:pt idx="68">
                  <c:v>1.0366826156299913E-2</c:v>
                </c:pt>
                <c:pt idx="69">
                  <c:v>-8.6819258089977369E-3</c:v>
                </c:pt>
                <c:pt idx="70">
                  <c:v>-6.3694267515923553E-4</c:v>
                </c:pt>
                <c:pt idx="71">
                  <c:v>1.051625239005749E-2</c:v>
                </c:pt>
                <c:pt idx="72">
                  <c:v>-8.9877010406811397E-3</c:v>
                </c:pt>
                <c:pt idx="73">
                  <c:v>-6.364359586316648E-3</c:v>
                </c:pt>
                <c:pt idx="74">
                  <c:v>-1.7453963170536491E-2</c:v>
                </c:pt>
                <c:pt idx="75">
                  <c:v>-1.4178617992177234E-2</c:v>
                </c:pt>
                <c:pt idx="76">
                  <c:v>-2.1491155562903819E-3</c:v>
                </c:pt>
                <c:pt idx="77">
                  <c:v>-1.2922465208747513E-2</c:v>
                </c:pt>
                <c:pt idx="78">
                  <c:v>-3.8771399798590012E-2</c:v>
                </c:pt>
                <c:pt idx="79">
                  <c:v>1.8858040859088598E-2</c:v>
                </c:pt>
                <c:pt idx="80">
                  <c:v>-5.9982862039417162E-3</c:v>
                </c:pt>
                <c:pt idx="81">
                  <c:v>1.7758620689655169E-2</c:v>
                </c:pt>
                <c:pt idx="82">
                  <c:v>1.6262917160765777E-2</c:v>
                </c:pt>
                <c:pt idx="83">
                  <c:v>-2.5004167361226681E-3</c:v>
                </c:pt>
                <c:pt idx="84">
                  <c:v>2.9411764705882248E-2</c:v>
                </c:pt>
                <c:pt idx="85">
                  <c:v>-1.6558441558441661E-2</c:v>
                </c:pt>
                <c:pt idx="86">
                  <c:v>1.0894684714427338E-2</c:v>
                </c:pt>
                <c:pt idx="87">
                  <c:v>9.6342259960808807E-3</c:v>
                </c:pt>
                <c:pt idx="88">
                  <c:v>-1.6173378618788981E-4</c:v>
                </c:pt>
                <c:pt idx="89">
                  <c:v>8.0879974118408526E-4</c:v>
                </c:pt>
                <c:pt idx="90">
                  <c:v>1.0829157911750542E-2</c:v>
                </c:pt>
                <c:pt idx="91">
                  <c:v>6.5558042852575937E-3</c:v>
                </c:pt>
                <c:pt idx="92">
                  <c:v>1.5885623510722979E-3</c:v>
                </c:pt>
                <c:pt idx="93">
                  <c:v>3.4892942109436831E-3</c:v>
                </c:pt>
                <c:pt idx="94">
                  <c:v>2.2127390548443149E-3</c:v>
                </c:pt>
                <c:pt idx="95">
                  <c:v>-1.0408452925406042E-2</c:v>
                </c:pt>
                <c:pt idx="96">
                  <c:v>1.1474103585657369E-2</c:v>
                </c:pt>
                <c:pt idx="97">
                  <c:v>7.4050732629589167E-3</c:v>
                </c:pt>
                <c:pt idx="98">
                  <c:v>3.597122302158251E-3</c:v>
                </c:pt>
                <c:pt idx="99">
                  <c:v>1.5583606046454257E-4</c:v>
                </c:pt>
                <c:pt idx="100">
                  <c:v>2.1813649111870337E-3</c:v>
                </c:pt>
                <c:pt idx="101">
                  <c:v>8.5509950248758848E-3</c:v>
                </c:pt>
                <c:pt idx="102">
                  <c:v>2.0040080160319551E-3</c:v>
                </c:pt>
                <c:pt idx="103">
                  <c:v>-1.6923076923076597E-3</c:v>
                </c:pt>
                <c:pt idx="104">
                  <c:v>3.2362459546924072E-3</c:v>
                </c:pt>
                <c:pt idx="105">
                  <c:v>-1.2596006144393157E-2</c:v>
                </c:pt>
                <c:pt idx="106">
                  <c:v>9.8008711885499977E-3</c:v>
                </c:pt>
                <c:pt idx="107">
                  <c:v>1.0013865352025864E-2</c:v>
                </c:pt>
                <c:pt idx="108">
                  <c:v>6.1012812690663942E-4</c:v>
                </c:pt>
                <c:pt idx="109">
                  <c:v>-5.0304878048780255E-3</c:v>
                </c:pt>
                <c:pt idx="110">
                  <c:v>1.5320974413974842E-3</c:v>
                </c:pt>
                <c:pt idx="111">
                  <c:v>-8.8725715159858609E-3</c:v>
                </c:pt>
                <c:pt idx="112">
                  <c:v>2.1762617687914654E-2</c:v>
                </c:pt>
                <c:pt idx="113">
                  <c:v>2.2658610271901747E-3</c:v>
                </c:pt>
                <c:pt idx="114">
                  <c:v>-1.2057272042200751E-3</c:v>
                </c:pt>
                <c:pt idx="115">
                  <c:v>3.0179568432187054E-4</c:v>
                </c:pt>
                <c:pt idx="116">
                  <c:v>1.0710514406396143E-2</c:v>
                </c:pt>
                <c:pt idx="117">
                  <c:v>-8.3582089552238781E-3</c:v>
                </c:pt>
                <c:pt idx="118">
                  <c:v>9.1812161348585608E-3</c:v>
                </c:pt>
                <c:pt idx="119">
                  <c:v>-4.6234153616704354E-3</c:v>
                </c:pt>
                <c:pt idx="120">
                  <c:v>-2.9967036260103441E-4</c:v>
                </c:pt>
                <c:pt idx="121">
                  <c:v>3.747002398081456E-3</c:v>
                </c:pt>
                <c:pt idx="122">
                  <c:v>2.8370912348811839E-3</c:v>
                </c:pt>
                <c:pt idx="123">
                  <c:v>-8.7849910661108588E-3</c:v>
                </c:pt>
                <c:pt idx="124">
                  <c:v>6.9100195283162691E-3</c:v>
                </c:pt>
                <c:pt idx="125">
                  <c:v>-5.8182903177681489E-3</c:v>
                </c:pt>
                <c:pt idx="126">
                  <c:v>-1.1254501800720296E-2</c:v>
                </c:pt>
                <c:pt idx="127">
                  <c:v>-1.3355592654423987E-2</c:v>
                </c:pt>
                <c:pt idx="128">
                  <c:v>-1.1229041685894559E-2</c:v>
                </c:pt>
                <c:pt idx="129">
                  <c:v>-1.3845675171126337E-2</c:v>
                </c:pt>
                <c:pt idx="130">
                  <c:v>1.1673765578166906E-2</c:v>
                </c:pt>
                <c:pt idx="131">
                  <c:v>2.0427257133946775E-2</c:v>
                </c:pt>
                <c:pt idx="132">
                  <c:v>2.5672371638141955E-2</c:v>
                </c:pt>
                <c:pt idx="133">
                  <c:v>2.2348033373060794E-3</c:v>
                </c:pt>
                <c:pt idx="134">
                  <c:v>4.0136762301175022E-3</c:v>
                </c:pt>
                <c:pt idx="135">
                  <c:v>2.0728457210541507E-3</c:v>
                </c:pt>
                <c:pt idx="136">
                  <c:v>2.9550827423152626E-4</c:v>
                </c:pt>
                <c:pt idx="137">
                  <c:v>7.3855243722298347E-4</c:v>
                </c:pt>
                <c:pt idx="138">
                  <c:v>4.2804428044280751E-3</c:v>
                </c:pt>
                <c:pt idx="139">
                  <c:v>-1.0582010582010803E-2</c:v>
                </c:pt>
                <c:pt idx="140">
                  <c:v>4.4563279857401383E-4</c:v>
                </c:pt>
                <c:pt idx="141">
                  <c:v>8.4632516703786465E-3</c:v>
                </c:pt>
                <c:pt idx="142">
                  <c:v>-1.2367491166077826E-2</c:v>
                </c:pt>
                <c:pt idx="143">
                  <c:v>7.6028622540251778E-3</c:v>
                </c:pt>
                <c:pt idx="144">
                  <c:v>1.094836514277242E-2</c:v>
                </c:pt>
                <c:pt idx="145">
                  <c:v>-9.2199619493633644E-3</c:v>
                </c:pt>
                <c:pt idx="146">
                  <c:v>-1.7725258493354046E-3</c:v>
                </c:pt>
                <c:pt idx="147">
                  <c:v>1.2873631251849815E-2</c:v>
                </c:pt>
                <c:pt idx="148">
                  <c:v>0</c:v>
                </c:pt>
                <c:pt idx="149">
                  <c:v>0</c:v>
                </c:pt>
                <c:pt idx="150">
                  <c:v>0</c:v>
                </c:pt>
                <c:pt idx="151">
                  <c:v>0</c:v>
                </c:pt>
                <c:pt idx="152">
                  <c:v>0</c:v>
                </c:pt>
                <c:pt idx="153">
                  <c:v>0</c:v>
                </c:pt>
                <c:pt idx="154">
                  <c:v>0</c:v>
                </c:pt>
              </c:numCache>
            </c:numRef>
          </c:val>
          <c:extLst>
            <c:ext xmlns:c16="http://schemas.microsoft.com/office/drawing/2014/chart" uri="{C3380CC4-5D6E-409C-BE32-E72D297353CC}">
              <c16:uniqueId val="{00000000-9686-DE42-95B7-4873D4177FD8}"/>
            </c:ext>
          </c:extLst>
        </c:ser>
        <c:dLbls>
          <c:showLegendKey val="0"/>
          <c:showVal val="0"/>
          <c:showCatName val="0"/>
          <c:showSerName val="0"/>
          <c:showPercent val="0"/>
          <c:showBubbleSize val="0"/>
        </c:dLbls>
        <c:gapWidth val="150"/>
        <c:axId val="88064904"/>
        <c:axId val="39336516"/>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49.960844155844157</c:v>
                </c:pt>
                <c:pt idx="2">
                  <c:v>50.081688311688318</c:v>
                </c:pt>
                <c:pt idx="3">
                  <c:v>50.202532467532471</c:v>
                </c:pt>
                <c:pt idx="4">
                  <c:v>50.323376623376625</c:v>
                </c:pt>
                <c:pt idx="5">
                  <c:v>50.444220779220785</c:v>
                </c:pt>
                <c:pt idx="6">
                  <c:v>50.565064935064939</c:v>
                </c:pt>
                <c:pt idx="7">
                  <c:v>50.685909090909092</c:v>
                </c:pt>
                <c:pt idx="8">
                  <c:v>50.806753246753253</c:v>
                </c:pt>
                <c:pt idx="9">
                  <c:v>50.927597402597407</c:v>
                </c:pt>
                <c:pt idx="10">
                  <c:v>51.04844155844156</c:v>
                </c:pt>
                <c:pt idx="11">
                  <c:v>51.169285714285721</c:v>
                </c:pt>
                <c:pt idx="12">
                  <c:v>51.290129870129874</c:v>
                </c:pt>
                <c:pt idx="13">
                  <c:v>51.410974025974028</c:v>
                </c:pt>
                <c:pt idx="14">
                  <c:v>51.531818181818188</c:v>
                </c:pt>
                <c:pt idx="15">
                  <c:v>51.652662337662342</c:v>
                </c:pt>
                <c:pt idx="16">
                  <c:v>51.773506493506495</c:v>
                </c:pt>
                <c:pt idx="17">
                  <c:v>51.894350649350642</c:v>
                </c:pt>
                <c:pt idx="18">
                  <c:v>52.01519480519481</c:v>
                </c:pt>
                <c:pt idx="19">
                  <c:v>52.136038961038956</c:v>
                </c:pt>
                <c:pt idx="20">
                  <c:v>52.256883116883124</c:v>
                </c:pt>
                <c:pt idx="21">
                  <c:v>52.37772727272727</c:v>
                </c:pt>
                <c:pt idx="22">
                  <c:v>52.498571428571438</c:v>
                </c:pt>
                <c:pt idx="23">
                  <c:v>52.619415584415584</c:v>
                </c:pt>
                <c:pt idx="24">
                  <c:v>52.740259740259745</c:v>
                </c:pt>
                <c:pt idx="25">
                  <c:v>52.861103896103891</c:v>
                </c:pt>
                <c:pt idx="26">
                  <c:v>52.981948051948059</c:v>
                </c:pt>
                <c:pt idx="27">
                  <c:v>53.102792207792206</c:v>
                </c:pt>
                <c:pt idx="28">
                  <c:v>53.223636363636373</c:v>
                </c:pt>
                <c:pt idx="29">
                  <c:v>53.34448051948052</c:v>
                </c:pt>
                <c:pt idx="30">
                  <c:v>53.46532467532468</c:v>
                </c:pt>
                <c:pt idx="31">
                  <c:v>53.586168831168827</c:v>
                </c:pt>
                <c:pt idx="32">
                  <c:v>53.707012987012995</c:v>
                </c:pt>
                <c:pt idx="33">
                  <c:v>53.827857142857141</c:v>
                </c:pt>
                <c:pt idx="34">
                  <c:v>53.948701298701309</c:v>
                </c:pt>
                <c:pt idx="35">
                  <c:v>54.069545454545455</c:v>
                </c:pt>
                <c:pt idx="36">
                  <c:v>54.190389610389616</c:v>
                </c:pt>
                <c:pt idx="37">
                  <c:v>54.311233766233762</c:v>
                </c:pt>
                <c:pt idx="38">
                  <c:v>54.43207792207793</c:v>
                </c:pt>
                <c:pt idx="39">
                  <c:v>54.552922077922076</c:v>
                </c:pt>
                <c:pt idx="40">
                  <c:v>54.673766233766244</c:v>
                </c:pt>
                <c:pt idx="41">
                  <c:v>54.794610389610391</c:v>
                </c:pt>
                <c:pt idx="42">
                  <c:v>54.915454545454551</c:v>
                </c:pt>
                <c:pt idx="43">
                  <c:v>55.036298701298698</c:v>
                </c:pt>
                <c:pt idx="44">
                  <c:v>55.157142857142865</c:v>
                </c:pt>
                <c:pt idx="45">
                  <c:v>55.277987012987012</c:v>
                </c:pt>
                <c:pt idx="46">
                  <c:v>55.39883116883118</c:v>
                </c:pt>
                <c:pt idx="47">
                  <c:v>55.519675324675326</c:v>
                </c:pt>
                <c:pt idx="48">
                  <c:v>55.640519480519487</c:v>
                </c:pt>
                <c:pt idx="49">
                  <c:v>55.76136363636364</c:v>
                </c:pt>
                <c:pt idx="50">
                  <c:v>55.882207792207801</c:v>
                </c:pt>
                <c:pt idx="51">
                  <c:v>56.003051948051947</c:v>
                </c:pt>
                <c:pt idx="52">
                  <c:v>56.123896103896115</c:v>
                </c:pt>
                <c:pt idx="53">
                  <c:v>56.244740259740261</c:v>
                </c:pt>
                <c:pt idx="54">
                  <c:v>56.365584415584422</c:v>
                </c:pt>
                <c:pt idx="55">
                  <c:v>56.486428571428576</c:v>
                </c:pt>
                <c:pt idx="56">
                  <c:v>56.607272727272736</c:v>
                </c:pt>
                <c:pt idx="57">
                  <c:v>56.728116883116883</c:v>
                </c:pt>
                <c:pt idx="58">
                  <c:v>56.84896103896105</c:v>
                </c:pt>
                <c:pt idx="59">
                  <c:v>56.969805194805197</c:v>
                </c:pt>
                <c:pt idx="60">
                  <c:v>57.090649350649358</c:v>
                </c:pt>
                <c:pt idx="61">
                  <c:v>57.211493506493511</c:v>
                </c:pt>
                <c:pt idx="62">
                  <c:v>57.332337662337672</c:v>
                </c:pt>
                <c:pt idx="63">
                  <c:v>57.453181818181818</c:v>
                </c:pt>
                <c:pt idx="64">
                  <c:v>57.574025974025986</c:v>
                </c:pt>
                <c:pt idx="65">
                  <c:v>57.694870129870132</c:v>
                </c:pt>
                <c:pt idx="66">
                  <c:v>57.815714285714293</c:v>
                </c:pt>
                <c:pt idx="67">
                  <c:v>57.936558441558446</c:v>
                </c:pt>
                <c:pt idx="68">
                  <c:v>58.057402597402607</c:v>
                </c:pt>
                <c:pt idx="69">
                  <c:v>58.178246753246754</c:v>
                </c:pt>
                <c:pt idx="70">
                  <c:v>58.299090909090921</c:v>
                </c:pt>
                <c:pt idx="71">
                  <c:v>58.419935064935068</c:v>
                </c:pt>
                <c:pt idx="72">
                  <c:v>58.540779220779235</c:v>
                </c:pt>
                <c:pt idx="73">
                  <c:v>58.661623376623382</c:v>
                </c:pt>
                <c:pt idx="74">
                  <c:v>58.782467532467543</c:v>
                </c:pt>
                <c:pt idx="75">
                  <c:v>58.903311688311689</c:v>
                </c:pt>
                <c:pt idx="76">
                  <c:v>59.024155844155857</c:v>
                </c:pt>
                <c:pt idx="77">
                  <c:v>59.145000000000003</c:v>
                </c:pt>
                <c:pt idx="78">
                  <c:v>59.26584415584415</c:v>
                </c:pt>
                <c:pt idx="79">
                  <c:v>59.386688311688317</c:v>
                </c:pt>
                <c:pt idx="80">
                  <c:v>59.507532467532464</c:v>
                </c:pt>
                <c:pt idx="81">
                  <c:v>59.628376623376624</c:v>
                </c:pt>
                <c:pt idx="82">
                  <c:v>59.749220779220771</c:v>
                </c:pt>
                <c:pt idx="83">
                  <c:v>59.870064935064939</c:v>
                </c:pt>
                <c:pt idx="84">
                  <c:v>59.990909090909085</c:v>
                </c:pt>
                <c:pt idx="85">
                  <c:v>60.111753246753253</c:v>
                </c:pt>
                <c:pt idx="86">
                  <c:v>60.232597402597399</c:v>
                </c:pt>
                <c:pt idx="87">
                  <c:v>60.35344155844156</c:v>
                </c:pt>
                <c:pt idx="88">
                  <c:v>60.474285714285706</c:v>
                </c:pt>
                <c:pt idx="89">
                  <c:v>60.595129870129874</c:v>
                </c:pt>
                <c:pt idx="90">
                  <c:v>60.71597402597402</c:v>
                </c:pt>
                <c:pt idx="91">
                  <c:v>60.836818181818188</c:v>
                </c:pt>
                <c:pt idx="92">
                  <c:v>60.957662337662335</c:v>
                </c:pt>
                <c:pt idx="93">
                  <c:v>61.078506493506495</c:v>
                </c:pt>
                <c:pt idx="94">
                  <c:v>61.199350649350649</c:v>
                </c:pt>
                <c:pt idx="95">
                  <c:v>61.320194805194809</c:v>
                </c:pt>
                <c:pt idx="96">
                  <c:v>61.441038961038956</c:v>
                </c:pt>
                <c:pt idx="97">
                  <c:v>61.561883116883124</c:v>
                </c:pt>
                <c:pt idx="98">
                  <c:v>61.68272727272727</c:v>
                </c:pt>
                <c:pt idx="99">
                  <c:v>61.803571428571431</c:v>
                </c:pt>
                <c:pt idx="100">
                  <c:v>61.924415584415584</c:v>
                </c:pt>
                <c:pt idx="101">
                  <c:v>62.045259740259745</c:v>
                </c:pt>
                <c:pt idx="102">
                  <c:v>62.166103896103891</c:v>
                </c:pt>
                <c:pt idx="103">
                  <c:v>62.286948051948059</c:v>
                </c:pt>
                <c:pt idx="104">
                  <c:v>62.407792207792205</c:v>
                </c:pt>
                <c:pt idx="105">
                  <c:v>62.528636363636366</c:v>
                </c:pt>
                <c:pt idx="106">
                  <c:v>62.64948051948052</c:v>
                </c:pt>
                <c:pt idx="107">
                  <c:v>62.77032467532468</c:v>
                </c:pt>
                <c:pt idx="108">
                  <c:v>62.891168831168827</c:v>
                </c:pt>
                <c:pt idx="109">
                  <c:v>63.012012987012994</c:v>
                </c:pt>
                <c:pt idx="110">
                  <c:v>63.132857142857141</c:v>
                </c:pt>
                <c:pt idx="111">
                  <c:v>63.253701298701301</c:v>
                </c:pt>
                <c:pt idx="112">
                  <c:v>63.374545454545455</c:v>
                </c:pt>
                <c:pt idx="113">
                  <c:v>63.495389610389616</c:v>
                </c:pt>
                <c:pt idx="114">
                  <c:v>63.616233766233762</c:v>
                </c:pt>
                <c:pt idx="115">
                  <c:v>63.73707792207793</c:v>
                </c:pt>
                <c:pt idx="116">
                  <c:v>63.857922077922076</c:v>
                </c:pt>
                <c:pt idx="117">
                  <c:v>63.978766233766244</c:v>
                </c:pt>
                <c:pt idx="118">
                  <c:v>64.09961038961039</c:v>
                </c:pt>
                <c:pt idx="119">
                  <c:v>64.220454545454558</c:v>
                </c:pt>
                <c:pt idx="120">
                  <c:v>64.341298701298697</c:v>
                </c:pt>
                <c:pt idx="121">
                  <c:v>64.462142857142865</c:v>
                </c:pt>
                <c:pt idx="122">
                  <c:v>64.582987012987019</c:v>
                </c:pt>
                <c:pt idx="123">
                  <c:v>64.703831168831172</c:v>
                </c:pt>
                <c:pt idx="124">
                  <c:v>64.824675324675326</c:v>
                </c:pt>
                <c:pt idx="125">
                  <c:v>64.945519480519494</c:v>
                </c:pt>
                <c:pt idx="126">
                  <c:v>65.066363636363633</c:v>
                </c:pt>
                <c:pt idx="127">
                  <c:v>65.187207792207801</c:v>
                </c:pt>
                <c:pt idx="128">
                  <c:v>65.30805194805194</c:v>
                </c:pt>
                <c:pt idx="129">
                  <c:v>65.428896103896108</c:v>
                </c:pt>
                <c:pt idx="130">
                  <c:v>65.549740259740261</c:v>
                </c:pt>
                <c:pt idx="131">
                  <c:v>65.670584415584429</c:v>
                </c:pt>
                <c:pt idx="132">
                  <c:v>65.791428571428568</c:v>
                </c:pt>
                <c:pt idx="133">
                  <c:v>65.912272727272736</c:v>
                </c:pt>
                <c:pt idx="134">
                  <c:v>66.03311688311689</c:v>
                </c:pt>
                <c:pt idx="135">
                  <c:v>66.153961038961043</c:v>
                </c:pt>
                <c:pt idx="136">
                  <c:v>66.274805194805197</c:v>
                </c:pt>
                <c:pt idx="137">
                  <c:v>66.395649350649364</c:v>
                </c:pt>
                <c:pt idx="138">
                  <c:v>66.516493506493504</c:v>
                </c:pt>
                <c:pt idx="139">
                  <c:v>66.637337662337671</c:v>
                </c:pt>
                <c:pt idx="140">
                  <c:v>66.758181818181811</c:v>
                </c:pt>
                <c:pt idx="141">
                  <c:v>66.879025974025978</c:v>
                </c:pt>
                <c:pt idx="142">
                  <c:v>66.999870129870132</c:v>
                </c:pt>
                <c:pt idx="143">
                  <c:v>67.1207142857143</c:v>
                </c:pt>
                <c:pt idx="144">
                  <c:v>67.241558441558439</c:v>
                </c:pt>
                <c:pt idx="145">
                  <c:v>67.362402597402607</c:v>
                </c:pt>
                <c:pt idx="146">
                  <c:v>67.48324675324676</c:v>
                </c:pt>
                <c:pt idx="147">
                  <c:v>67.604090909090928</c:v>
                </c:pt>
                <c:pt idx="148">
                  <c:v>67.724935064935067</c:v>
                </c:pt>
                <c:pt idx="149">
                  <c:v>67.845779220779235</c:v>
                </c:pt>
                <c:pt idx="150">
                  <c:v>67.966623376623374</c:v>
                </c:pt>
                <c:pt idx="151">
                  <c:v>68.087467532467542</c:v>
                </c:pt>
                <c:pt idx="152">
                  <c:v>68.208311688311696</c:v>
                </c:pt>
                <c:pt idx="153">
                  <c:v>68.329155844155849</c:v>
                </c:pt>
                <c:pt idx="154">
                  <c:v>68.45</c:v>
                </c:pt>
              </c:numCache>
            </c:numRef>
          </c:val>
          <c:smooth val="0"/>
          <c:extLst>
            <c:ext xmlns:c16="http://schemas.microsoft.com/office/drawing/2014/chart" uri="{C3380CC4-5D6E-409C-BE32-E72D297353CC}">
              <c16:uniqueId val="{00000001-9686-DE42-95B7-4873D4177FD8}"/>
            </c:ext>
          </c:extLst>
        </c:ser>
        <c:dLbls>
          <c:showLegendKey val="0"/>
          <c:showVal val="0"/>
          <c:showCatName val="0"/>
          <c:showSerName val="0"/>
          <c:showPercent val="0"/>
          <c:showBubbleSize val="0"/>
        </c:dLbls>
        <c:hiLowLines>
          <c:spPr>
            <a:ln w="0">
              <a:noFill/>
            </a:ln>
          </c:spPr>
        </c:hiLowLines>
        <c:marker val="1"/>
        <c:smooth val="0"/>
        <c:axId val="49330443"/>
        <c:axId val="15531105"/>
      </c:lineChart>
      <c:dateAx>
        <c:axId val="88064904"/>
        <c:scaling>
          <c:orientation val="minMax"/>
        </c:scaling>
        <c:delete val="1"/>
        <c:axPos val="b"/>
        <c:numFmt formatCode="mm/dd/yyyy" sourceLinked="1"/>
        <c:majorTickMark val="none"/>
        <c:minorTickMark val="none"/>
        <c:tickLblPos val="nextTo"/>
        <c:crossAx val="39336516"/>
        <c:crosses val="autoZero"/>
        <c:auto val="1"/>
        <c:lblOffset val="100"/>
        <c:baseTimeUnit val="days"/>
      </c:dateAx>
      <c:valAx>
        <c:axId val="393365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8064904"/>
        <c:crosses val="autoZero"/>
        <c:crossBetween val="between"/>
      </c:valAx>
      <c:dateAx>
        <c:axId val="49330443"/>
        <c:scaling>
          <c:orientation val="minMax"/>
        </c:scaling>
        <c:delete val="1"/>
        <c:axPos val="b"/>
        <c:numFmt formatCode="mm/dd/yyyy" sourceLinked="1"/>
        <c:majorTickMark val="none"/>
        <c:minorTickMark val="none"/>
        <c:tickLblPos val="nextTo"/>
        <c:crossAx val="15531105"/>
        <c:crosses val="autoZero"/>
        <c:auto val="1"/>
        <c:lblOffset val="100"/>
        <c:baseTimeUnit val="days"/>
      </c:dateAx>
      <c:valAx>
        <c:axId val="155311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933044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-1.8611459640317851E-2</c:v>
                </c:pt>
                <c:pt idx="1">
                  <c:v>1.5981248668229364E-2</c:v>
                </c:pt>
                <c:pt idx="2">
                  <c:v>1.8246644295301984E-2</c:v>
                </c:pt>
                <c:pt idx="3">
                  <c:v>-6.5911431513903107E-3</c:v>
                </c:pt>
                <c:pt idx="4">
                  <c:v>-4.1467965996255796E-4</c:v>
                </c:pt>
                <c:pt idx="5">
                  <c:v>-2.6965359883841633E-2</c:v>
                </c:pt>
                <c:pt idx="6">
                  <c:v>4.2634832658294819E-4</c:v>
                </c:pt>
                <c:pt idx="7">
                  <c:v>4.2616663115278008E-3</c:v>
                </c:pt>
                <c:pt idx="8">
                  <c:v>2.7583280288563383E-3</c:v>
                </c:pt>
                <c:pt idx="9">
                  <c:v>-1.9889970376639865E-2</c:v>
                </c:pt>
                <c:pt idx="10">
                  <c:v>-2.0725388601036343E-2</c:v>
                </c:pt>
                <c:pt idx="11">
                  <c:v>4.7619047619047672E-2</c:v>
                </c:pt>
                <c:pt idx="12">
                  <c:v>2.0833333333333259E-2</c:v>
                </c:pt>
                <c:pt idx="13">
                  <c:v>9.482580911152283E-3</c:v>
                </c:pt>
                <c:pt idx="14">
                  <c:v>5.3093730855624521E-3</c:v>
                </c:pt>
                <c:pt idx="15">
                  <c:v>-6.7032297379646666E-3</c:v>
                </c:pt>
                <c:pt idx="16">
                  <c:v>7.3619631901840066E-3</c:v>
                </c:pt>
                <c:pt idx="17">
                  <c:v>1.5022330491270885E-2</c:v>
                </c:pt>
                <c:pt idx="18">
                  <c:v>3.1999999999998696E-3</c:v>
                </c:pt>
                <c:pt idx="19">
                  <c:v>-4.5853269537479147E-3</c:v>
                </c:pt>
                <c:pt idx="20">
                  <c:v>-1.562187061886644E-2</c:v>
                </c:pt>
                <c:pt idx="21">
                  <c:v>2.7263479145473113E-2</c:v>
                </c:pt>
                <c:pt idx="22">
                  <c:v>1.7825311942958999E-2</c:v>
                </c:pt>
                <c:pt idx="23">
                  <c:v>7.7836154893948795E-3</c:v>
                </c:pt>
                <c:pt idx="24">
                  <c:v>2.8963120293492572E-3</c:v>
                </c:pt>
                <c:pt idx="25">
                  <c:v>1.0589141316904138E-2</c:v>
                </c:pt>
                <c:pt idx="26">
                  <c:v>-3.2387121356449722E-3</c:v>
                </c:pt>
                <c:pt idx="27">
                  <c:v>1.261467889908241E-2</c:v>
                </c:pt>
                <c:pt idx="28">
                  <c:v>5.2850132125330518E-3</c:v>
                </c:pt>
                <c:pt idx="29">
                  <c:v>-1.3143071723620281E-3</c:v>
                </c:pt>
                <c:pt idx="30">
                  <c:v>-5.2641473961271279E-3</c:v>
                </c:pt>
                <c:pt idx="31">
                  <c:v>2.5515025515025602E-2</c:v>
                </c:pt>
                <c:pt idx="32">
                  <c:v>-3.6859565057123511E-4</c:v>
                </c:pt>
                <c:pt idx="33">
                  <c:v>-1.1983775811209463E-2</c:v>
                </c:pt>
                <c:pt idx="34">
                  <c:v>-3.5454375816384998E-3</c:v>
                </c:pt>
                <c:pt idx="35">
                  <c:v>-4.7940074906366981E-2</c:v>
                </c:pt>
                <c:pt idx="36">
                  <c:v>3.5798583792289396E-2</c:v>
                </c:pt>
                <c:pt idx="37">
                  <c:v>1.7090770983669845E-3</c:v>
                </c:pt>
                <c:pt idx="38">
                  <c:v>1.3838862559241605E-2</c:v>
                </c:pt>
                <c:pt idx="39">
                  <c:v>1.1967090501121991E-2</c:v>
                </c:pt>
                <c:pt idx="40">
                  <c:v>4.8041389504804854E-3</c:v>
                </c:pt>
                <c:pt idx="41">
                  <c:v>-3.4939315924973346E-3</c:v>
                </c:pt>
                <c:pt idx="42">
                  <c:v>5.5360767669312416E-3</c:v>
                </c:pt>
                <c:pt idx="43">
                  <c:v>1.2662873921820417E-2</c:v>
                </c:pt>
                <c:pt idx="44">
                  <c:v>1.0873504893078589E-3</c:v>
                </c:pt>
                <c:pt idx="45">
                  <c:v>4.706734250543132E-3</c:v>
                </c:pt>
                <c:pt idx="46">
                  <c:v>6.846846846846999E-3</c:v>
                </c:pt>
                <c:pt idx="47">
                  <c:v>-7.158196134573469E-4</c:v>
                </c:pt>
                <c:pt idx="48">
                  <c:v>-2.9548710601719264E-2</c:v>
                </c:pt>
                <c:pt idx="49">
                  <c:v>-2.2697914744417735E-2</c:v>
                </c:pt>
                <c:pt idx="50">
                  <c:v>-3.4365558912386684E-2</c:v>
                </c:pt>
                <c:pt idx="51">
                  <c:v>2.9331247555728357E-3</c:v>
                </c:pt>
                <c:pt idx="52">
                  <c:v>4.2113472411776209E-2</c:v>
                </c:pt>
                <c:pt idx="53">
                  <c:v>8.4190832553787676E-3</c:v>
                </c:pt>
                <c:pt idx="54">
                  <c:v>3.3395176252319914E-3</c:v>
                </c:pt>
                <c:pt idx="55">
                  <c:v>-5.0295857988165715E-2</c:v>
                </c:pt>
                <c:pt idx="56">
                  <c:v>4.6534267912772487E-2</c:v>
                </c:pt>
                <c:pt idx="57">
                  <c:v>1.2279069767441753E-2</c:v>
                </c:pt>
                <c:pt idx="58">
                  <c:v>7.1678000367578765E-3</c:v>
                </c:pt>
                <c:pt idx="59">
                  <c:v>-7.8467153284671465E-3</c:v>
                </c:pt>
                <c:pt idx="60">
                  <c:v>9.0123229722274267E-3</c:v>
                </c:pt>
                <c:pt idx="61">
                  <c:v>7.4735690849434544E-3</c:v>
                </c:pt>
                <c:pt idx="62">
                  <c:v>2.3520897412701025E-3</c:v>
                </c:pt>
                <c:pt idx="63">
                  <c:v>-1.7328519855595692E-2</c:v>
                </c:pt>
                <c:pt idx="64">
                  <c:v>3.8574577516532038E-2</c:v>
                </c:pt>
                <c:pt idx="65">
                  <c:v>-1.6448532012734329E-2</c:v>
                </c:pt>
                <c:pt idx="66">
                  <c:v>1.7263082179464151E-2</c:v>
                </c:pt>
                <c:pt idx="67">
                  <c:v>9.1921513169526126E-3</c:v>
                </c:pt>
                <c:pt idx="68">
                  <c:v>9.2835873182692819E-3</c:v>
                </c:pt>
                <c:pt idx="69">
                  <c:v>3.9916695591808438E-3</c:v>
                </c:pt>
                <c:pt idx="70">
                  <c:v>-1.1235955056179803E-2</c:v>
                </c:pt>
                <c:pt idx="71">
                  <c:v>9.4405594405593263E-3</c:v>
                </c:pt>
                <c:pt idx="72">
                  <c:v>-1.1430550744717771E-2</c:v>
                </c:pt>
                <c:pt idx="73">
                  <c:v>-1.927119831814994E-2</c:v>
                </c:pt>
                <c:pt idx="74">
                  <c:v>2.3043944265809246E-2</c:v>
                </c:pt>
                <c:pt idx="75">
                  <c:v>1.396891915488041E-2</c:v>
                </c:pt>
                <c:pt idx="76">
                  <c:v>-1.0332357499569511E-2</c:v>
                </c:pt>
                <c:pt idx="77">
                  <c:v>-5.2201148425264909E-3</c:v>
                </c:pt>
                <c:pt idx="78">
                  <c:v>1.92408605912191E-2</c:v>
                </c:pt>
                <c:pt idx="79">
                  <c:v>-1.2013042732109236E-2</c:v>
                </c:pt>
                <c:pt idx="80">
                  <c:v>-2.7618551328817187E-2</c:v>
                </c:pt>
                <c:pt idx="81">
                  <c:v>-3.9657020364415874E-2</c:v>
                </c:pt>
                <c:pt idx="82">
                  <c:v>-2.1391369047619069E-2</c:v>
                </c:pt>
                <c:pt idx="83">
                  <c:v>3.6114807070899424E-3</c:v>
                </c:pt>
                <c:pt idx="84">
                  <c:v>-1.8749999999999933E-2</c:v>
                </c:pt>
                <c:pt idx="85">
                  <c:v>-0.10055973750241265</c:v>
                </c:pt>
                <c:pt idx="86">
                  <c:v>6.3090128755364683E-2</c:v>
                </c:pt>
                <c:pt idx="87">
                  <c:v>-1.614856681469512E-2</c:v>
                </c:pt>
                <c:pt idx="88">
                  <c:v>4.8215018465326276E-2</c:v>
                </c:pt>
                <c:pt idx="89">
                  <c:v>7.8293208064199593E-3</c:v>
                </c:pt>
                <c:pt idx="90">
                  <c:v>2.7189745581666092E-3</c:v>
                </c:pt>
                <c:pt idx="91">
                  <c:v>1.7238039899283297E-2</c:v>
                </c:pt>
                <c:pt idx="92">
                  <c:v>-9.1393754760091817E-3</c:v>
                </c:pt>
                <c:pt idx="93">
                  <c:v>1.1337432744043197E-2</c:v>
                </c:pt>
                <c:pt idx="94">
                  <c:v>1.3300399011970665E-3</c:v>
                </c:pt>
                <c:pt idx="95">
                  <c:v>-2.0872865275142205E-3</c:v>
                </c:pt>
                <c:pt idx="96">
                  <c:v>3.0424034987639459E-3</c:v>
                </c:pt>
                <c:pt idx="97">
                  <c:v>2.8815165876777238E-2</c:v>
                </c:pt>
                <c:pt idx="98">
                  <c:v>-2.026902524415064E-3</c:v>
                </c:pt>
                <c:pt idx="99">
                  <c:v>3.6927621861153614E-3</c:v>
                </c:pt>
                <c:pt idx="100">
                  <c:v>6.070640176600417E-3</c:v>
                </c:pt>
                <c:pt idx="101">
                  <c:v>7.1311025781679582E-3</c:v>
                </c:pt>
                <c:pt idx="102">
                  <c:v>-2.3057371096586676E-2</c:v>
                </c:pt>
                <c:pt idx="103">
                  <c:v>2.8061698569039173E-2</c:v>
                </c:pt>
                <c:pt idx="104">
                  <c:v>8.6767895878523404E-3</c:v>
                </c:pt>
                <c:pt idx="105">
                  <c:v>-2.3297491039425688E-3</c:v>
                </c:pt>
                <c:pt idx="106">
                  <c:v>1.7962996227760542E-4</c:v>
                </c:pt>
                <c:pt idx="107">
                  <c:v>1.7959770114943652E-3</c:v>
                </c:pt>
                <c:pt idx="108">
                  <c:v>1.3624955181068543E-2</c:v>
                </c:pt>
                <c:pt idx="109">
                  <c:v>1.0965688008489627E-2</c:v>
                </c:pt>
                <c:pt idx="110">
                  <c:v>1.5745276417076237E-3</c:v>
                </c:pt>
                <c:pt idx="111">
                  <c:v>5.2401746724894949E-4</c:v>
                </c:pt>
                <c:pt idx="112">
                  <c:v>-1.6585195530726349E-2</c:v>
                </c:pt>
                <c:pt idx="113">
                  <c:v>2.0415409195810419E-2</c:v>
                </c:pt>
                <c:pt idx="114">
                  <c:v>1.8615170494084898E-2</c:v>
                </c:pt>
                <c:pt idx="115">
                  <c:v>9.3936806148591234E-3</c:v>
                </c:pt>
                <c:pt idx="116">
                  <c:v>-2.3519458544839278E-2</c:v>
                </c:pt>
                <c:pt idx="117">
                  <c:v>1.906082134812026E-3</c:v>
                </c:pt>
                <c:pt idx="118">
                  <c:v>-2.7326184711172541E-2</c:v>
                </c:pt>
                <c:pt idx="119">
                  <c:v>4.5697012802276005E-2</c:v>
                </c:pt>
                <c:pt idx="120">
                  <c:v>1.7003910899493491E-4</c:v>
                </c:pt>
                <c:pt idx="121">
                  <c:v>-1.0880652839170391E-2</c:v>
                </c:pt>
                <c:pt idx="122">
                  <c:v>7.5627363355104116E-3</c:v>
                </c:pt>
                <c:pt idx="123">
                  <c:v>1.2282497441146401E-2</c:v>
                </c:pt>
                <c:pt idx="124">
                  <c:v>-2.1065048870913428E-2</c:v>
                </c:pt>
                <c:pt idx="125">
                  <c:v>1.8419693578929142E-2</c:v>
                </c:pt>
                <c:pt idx="126">
                  <c:v>-4.0567951318457585E-3</c:v>
                </c:pt>
                <c:pt idx="127">
                  <c:v>5.0916496945010437E-3</c:v>
                </c:pt>
                <c:pt idx="128">
                  <c:v>3.5460992907800915E-3</c:v>
                </c:pt>
                <c:pt idx="129">
                  <c:v>-2.3220595658758225E-2</c:v>
                </c:pt>
                <c:pt idx="130">
                  <c:v>-9.302325581395321E-3</c:v>
                </c:pt>
                <c:pt idx="131">
                  <c:v>1.1128499391410251E-2</c:v>
                </c:pt>
                <c:pt idx="132">
                  <c:v>-1.8916595012897774E-3</c:v>
                </c:pt>
                <c:pt idx="133">
                  <c:v>-2.0503101309441774E-2</c:v>
                </c:pt>
                <c:pt idx="134">
                  <c:v>-5.1011433597185629E-3</c:v>
                </c:pt>
                <c:pt idx="135">
                  <c:v>-1.4144271570014189E-2</c:v>
                </c:pt>
                <c:pt idx="136">
                  <c:v>-2.9232424677187896E-2</c:v>
                </c:pt>
                <c:pt idx="137">
                  <c:v>2.697210419360796E-2</c:v>
                </c:pt>
                <c:pt idx="138">
                  <c:v>3.6517359237272728E-2</c:v>
                </c:pt>
                <c:pt idx="139">
                  <c:v>1.8049288441513323E-2</c:v>
                </c:pt>
                <c:pt idx="140">
                  <c:v>5.6256392771907304E-3</c:v>
                </c:pt>
                <c:pt idx="141">
                  <c:v>-2.203763349720389E-3</c:v>
                </c:pt>
                <c:pt idx="142">
                  <c:v>1.2742099898063186E-2</c:v>
                </c:pt>
                <c:pt idx="143">
                  <c:v>2.6841134037913772E-3</c:v>
                </c:pt>
                <c:pt idx="144">
                  <c:v>7.3615526183703484E-3</c:v>
                </c:pt>
                <c:pt idx="145">
                  <c:v>1.5612024580634376E-2</c:v>
                </c:pt>
                <c:pt idx="146">
                  <c:v>-3.6794766966475878E-2</c:v>
                </c:pt>
                <c:pt idx="147">
                  <c:v>1.6298811544991576E-2</c:v>
                </c:pt>
                <c:pt idx="148">
                  <c:v>2.4724356832609429E-2</c:v>
                </c:pt>
                <c:pt idx="149">
                  <c:v>-3.1300945549396886E-2</c:v>
                </c:pt>
                <c:pt idx="150">
                  <c:v>-5.048805116122379E-4</c:v>
                </c:pt>
                <c:pt idx="151">
                  <c:v>1.8858393668967688E-2</c:v>
                </c:pt>
                <c:pt idx="152">
                  <c:v>-3.3052388035035518E-2</c:v>
                </c:pt>
                <c:pt idx="153">
                  <c:v>-9.4001025465731969E-3</c:v>
                </c:pt>
                <c:pt idx="154">
                  <c:v>5.003450655624464E-3</c:v>
                </c:pt>
              </c:numCache>
            </c:numRef>
          </c:val>
          <c:extLst>
            <c:ext xmlns:c16="http://schemas.microsoft.com/office/drawing/2014/chart" uri="{C3380CC4-5D6E-409C-BE32-E72D297353CC}">
              <c16:uniqueId val="{00000000-D28F-0248-8934-04B9AB04BAF3}"/>
            </c:ext>
          </c:extLst>
        </c:ser>
        <c:dLbls>
          <c:showLegendKey val="0"/>
          <c:showVal val="0"/>
          <c:showCatName val="0"/>
          <c:showSerName val="0"/>
          <c:showPercent val="0"/>
          <c:showBubbleSize val="0"/>
        </c:dLbls>
        <c:gapWidth val="150"/>
        <c:axId val="26101375"/>
        <c:axId val="40025086"/>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47.887727272727275</c:v>
                </c:pt>
                <c:pt idx="2">
                  <c:v>47.955454545454543</c:v>
                </c:pt>
                <c:pt idx="3">
                  <c:v>48.023181818181818</c:v>
                </c:pt>
                <c:pt idx="4">
                  <c:v>48.090909090909093</c:v>
                </c:pt>
                <c:pt idx="5">
                  <c:v>48.158636363636361</c:v>
                </c:pt>
                <c:pt idx="6">
                  <c:v>48.226363636363637</c:v>
                </c:pt>
                <c:pt idx="7">
                  <c:v>48.294090909090912</c:v>
                </c:pt>
                <c:pt idx="8">
                  <c:v>48.36181818181818</c:v>
                </c:pt>
                <c:pt idx="9">
                  <c:v>48.429545454545455</c:v>
                </c:pt>
                <c:pt idx="10">
                  <c:v>48.49727272727273</c:v>
                </c:pt>
                <c:pt idx="11">
                  <c:v>48.564999999999998</c:v>
                </c:pt>
                <c:pt idx="12">
                  <c:v>48.632727272727273</c:v>
                </c:pt>
                <c:pt idx="13">
                  <c:v>48.700454545454548</c:v>
                </c:pt>
                <c:pt idx="14">
                  <c:v>48.768181818181816</c:v>
                </c:pt>
                <c:pt idx="15">
                  <c:v>48.835909090909091</c:v>
                </c:pt>
                <c:pt idx="16">
                  <c:v>48.903636363636366</c:v>
                </c:pt>
                <c:pt idx="17">
                  <c:v>48.971363636363634</c:v>
                </c:pt>
                <c:pt idx="18">
                  <c:v>49.039090909090909</c:v>
                </c:pt>
                <c:pt idx="19">
                  <c:v>49.106818181818177</c:v>
                </c:pt>
                <c:pt idx="20">
                  <c:v>49.174545454545459</c:v>
                </c:pt>
                <c:pt idx="21">
                  <c:v>49.24227272727272</c:v>
                </c:pt>
                <c:pt idx="22">
                  <c:v>49.31</c:v>
                </c:pt>
                <c:pt idx="23">
                  <c:v>49.37772727272727</c:v>
                </c:pt>
                <c:pt idx="24">
                  <c:v>49.445454545454545</c:v>
                </c:pt>
                <c:pt idx="25">
                  <c:v>49.513181818181813</c:v>
                </c:pt>
                <c:pt idx="26">
                  <c:v>49.580909090909095</c:v>
                </c:pt>
                <c:pt idx="27">
                  <c:v>49.648636363636363</c:v>
                </c:pt>
                <c:pt idx="28">
                  <c:v>49.716363636363639</c:v>
                </c:pt>
                <c:pt idx="29">
                  <c:v>49.784090909090907</c:v>
                </c:pt>
                <c:pt idx="30">
                  <c:v>49.851818181818182</c:v>
                </c:pt>
                <c:pt idx="31">
                  <c:v>49.91954545454545</c:v>
                </c:pt>
                <c:pt idx="32">
                  <c:v>49.987272727272732</c:v>
                </c:pt>
                <c:pt idx="33">
                  <c:v>50.055</c:v>
                </c:pt>
                <c:pt idx="34">
                  <c:v>50.122727272727275</c:v>
                </c:pt>
                <c:pt idx="35">
                  <c:v>50.190454545454543</c:v>
                </c:pt>
                <c:pt idx="36">
                  <c:v>50.258181818181818</c:v>
                </c:pt>
                <c:pt idx="37">
                  <c:v>50.325909090909086</c:v>
                </c:pt>
                <c:pt idx="38">
                  <c:v>50.393636363636368</c:v>
                </c:pt>
                <c:pt idx="39">
                  <c:v>50.461363636363636</c:v>
                </c:pt>
                <c:pt idx="40">
                  <c:v>50.529090909090911</c:v>
                </c:pt>
                <c:pt idx="41">
                  <c:v>50.596818181818179</c:v>
                </c:pt>
                <c:pt idx="42">
                  <c:v>50.664545454545454</c:v>
                </c:pt>
                <c:pt idx="43">
                  <c:v>50.732272727272722</c:v>
                </c:pt>
                <c:pt idx="44">
                  <c:v>50.800000000000004</c:v>
                </c:pt>
                <c:pt idx="45">
                  <c:v>50.867727272727272</c:v>
                </c:pt>
                <c:pt idx="46">
                  <c:v>50.935454545454547</c:v>
                </c:pt>
                <c:pt idx="47">
                  <c:v>51.003181818181815</c:v>
                </c:pt>
                <c:pt idx="48">
                  <c:v>51.070909090909097</c:v>
                </c:pt>
                <c:pt idx="49">
                  <c:v>51.138636363636365</c:v>
                </c:pt>
                <c:pt idx="50">
                  <c:v>51.206363636363641</c:v>
                </c:pt>
                <c:pt idx="51">
                  <c:v>51.274090909090908</c:v>
                </c:pt>
                <c:pt idx="52">
                  <c:v>51.341818181818184</c:v>
                </c:pt>
                <c:pt idx="53">
                  <c:v>51.409545454545452</c:v>
                </c:pt>
                <c:pt idx="54">
                  <c:v>51.477272727272734</c:v>
                </c:pt>
                <c:pt idx="55">
                  <c:v>51.545000000000002</c:v>
                </c:pt>
                <c:pt idx="56">
                  <c:v>51.612727272727277</c:v>
                </c:pt>
                <c:pt idx="57">
                  <c:v>51.680454545454545</c:v>
                </c:pt>
                <c:pt idx="58">
                  <c:v>51.74818181818182</c:v>
                </c:pt>
                <c:pt idx="59">
                  <c:v>51.815909090909088</c:v>
                </c:pt>
                <c:pt idx="60">
                  <c:v>51.88363636363637</c:v>
                </c:pt>
                <c:pt idx="61">
                  <c:v>51.951363636363638</c:v>
                </c:pt>
                <c:pt idx="62">
                  <c:v>52.019090909090913</c:v>
                </c:pt>
                <c:pt idx="63">
                  <c:v>52.086818181818181</c:v>
                </c:pt>
                <c:pt idx="64">
                  <c:v>52.154545454545456</c:v>
                </c:pt>
                <c:pt idx="65">
                  <c:v>52.222272727272724</c:v>
                </c:pt>
                <c:pt idx="66">
                  <c:v>52.290000000000006</c:v>
                </c:pt>
                <c:pt idx="67">
                  <c:v>52.357727272727274</c:v>
                </c:pt>
                <c:pt idx="68">
                  <c:v>52.425454545454549</c:v>
                </c:pt>
                <c:pt idx="69">
                  <c:v>52.493181818181817</c:v>
                </c:pt>
                <c:pt idx="70">
                  <c:v>52.560909090909092</c:v>
                </c:pt>
                <c:pt idx="71">
                  <c:v>52.62863636363636</c:v>
                </c:pt>
                <c:pt idx="72">
                  <c:v>52.696363636363643</c:v>
                </c:pt>
                <c:pt idx="73">
                  <c:v>52.76409090909091</c:v>
                </c:pt>
                <c:pt idx="74">
                  <c:v>52.831818181818186</c:v>
                </c:pt>
                <c:pt idx="75">
                  <c:v>52.899545454545454</c:v>
                </c:pt>
                <c:pt idx="76">
                  <c:v>52.967272727272729</c:v>
                </c:pt>
                <c:pt idx="77">
                  <c:v>53.034999999999997</c:v>
                </c:pt>
                <c:pt idx="78">
                  <c:v>53.102727272727265</c:v>
                </c:pt>
                <c:pt idx="79">
                  <c:v>53.170454545454547</c:v>
                </c:pt>
                <c:pt idx="80">
                  <c:v>53.238181818181815</c:v>
                </c:pt>
                <c:pt idx="81">
                  <c:v>53.30590909090909</c:v>
                </c:pt>
                <c:pt idx="82">
                  <c:v>53.373636363636358</c:v>
                </c:pt>
                <c:pt idx="83">
                  <c:v>53.441363636363633</c:v>
                </c:pt>
                <c:pt idx="84">
                  <c:v>53.509090909090901</c:v>
                </c:pt>
                <c:pt idx="85">
                  <c:v>53.576818181818183</c:v>
                </c:pt>
                <c:pt idx="86">
                  <c:v>53.644545454545451</c:v>
                </c:pt>
                <c:pt idx="87">
                  <c:v>53.712272727272726</c:v>
                </c:pt>
                <c:pt idx="88">
                  <c:v>53.779999999999994</c:v>
                </c:pt>
                <c:pt idx="89">
                  <c:v>53.847727272727276</c:v>
                </c:pt>
                <c:pt idx="90">
                  <c:v>53.915454545454544</c:v>
                </c:pt>
                <c:pt idx="91">
                  <c:v>53.983181818181819</c:v>
                </c:pt>
                <c:pt idx="92">
                  <c:v>54.050909090909087</c:v>
                </c:pt>
                <c:pt idx="93">
                  <c:v>54.118636363636362</c:v>
                </c:pt>
                <c:pt idx="94">
                  <c:v>54.18636363636363</c:v>
                </c:pt>
                <c:pt idx="95">
                  <c:v>54.254090909090912</c:v>
                </c:pt>
                <c:pt idx="96">
                  <c:v>54.32181818181818</c:v>
                </c:pt>
                <c:pt idx="97">
                  <c:v>54.389545454545456</c:v>
                </c:pt>
                <c:pt idx="98">
                  <c:v>54.457272727272724</c:v>
                </c:pt>
                <c:pt idx="99">
                  <c:v>54.525000000000006</c:v>
                </c:pt>
                <c:pt idx="100">
                  <c:v>54.592727272727267</c:v>
                </c:pt>
                <c:pt idx="101">
                  <c:v>54.660454545454549</c:v>
                </c:pt>
                <c:pt idx="102">
                  <c:v>54.728181818181817</c:v>
                </c:pt>
                <c:pt idx="103">
                  <c:v>54.795909090909092</c:v>
                </c:pt>
                <c:pt idx="104">
                  <c:v>54.86363636363636</c:v>
                </c:pt>
                <c:pt idx="105">
                  <c:v>54.931363636363642</c:v>
                </c:pt>
                <c:pt idx="106">
                  <c:v>54.999090909090903</c:v>
                </c:pt>
                <c:pt idx="107">
                  <c:v>55.066818181818185</c:v>
                </c:pt>
                <c:pt idx="108">
                  <c:v>55.134545454545453</c:v>
                </c:pt>
                <c:pt idx="109">
                  <c:v>55.202272727272728</c:v>
                </c:pt>
                <c:pt idx="110">
                  <c:v>55.269999999999996</c:v>
                </c:pt>
                <c:pt idx="111">
                  <c:v>55.337727272727278</c:v>
                </c:pt>
                <c:pt idx="112">
                  <c:v>55.405454545454546</c:v>
                </c:pt>
                <c:pt idx="113">
                  <c:v>55.473181818181821</c:v>
                </c:pt>
                <c:pt idx="114">
                  <c:v>55.540909090909089</c:v>
                </c:pt>
                <c:pt idx="115">
                  <c:v>55.608636363636364</c:v>
                </c:pt>
                <c:pt idx="116">
                  <c:v>55.676363636363632</c:v>
                </c:pt>
                <c:pt idx="117">
                  <c:v>55.744090909090914</c:v>
                </c:pt>
                <c:pt idx="118">
                  <c:v>55.811818181818182</c:v>
                </c:pt>
                <c:pt idx="119">
                  <c:v>55.879545454545458</c:v>
                </c:pt>
                <c:pt idx="120">
                  <c:v>55.947272727272725</c:v>
                </c:pt>
                <c:pt idx="121">
                  <c:v>56.015000000000001</c:v>
                </c:pt>
                <c:pt idx="122">
                  <c:v>56.082727272727269</c:v>
                </c:pt>
                <c:pt idx="123">
                  <c:v>56.150454545454551</c:v>
                </c:pt>
                <c:pt idx="124">
                  <c:v>56.218181818181819</c:v>
                </c:pt>
                <c:pt idx="125">
                  <c:v>56.285909090909094</c:v>
                </c:pt>
                <c:pt idx="126">
                  <c:v>56.353636363636362</c:v>
                </c:pt>
                <c:pt idx="127">
                  <c:v>56.421363636363637</c:v>
                </c:pt>
                <c:pt idx="128">
                  <c:v>56.489090909090905</c:v>
                </c:pt>
                <c:pt idx="129">
                  <c:v>56.556818181818187</c:v>
                </c:pt>
                <c:pt idx="130">
                  <c:v>56.624545454545455</c:v>
                </c:pt>
                <c:pt idx="131">
                  <c:v>56.69227272727273</c:v>
                </c:pt>
                <c:pt idx="132">
                  <c:v>56.76</c:v>
                </c:pt>
                <c:pt idx="133">
                  <c:v>56.827727272727273</c:v>
                </c:pt>
                <c:pt idx="134">
                  <c:v>56.895454545454541</c:v>
                </c:pt>
                <c:pt idx="135">
                  <c:v>56.963181818181823</c:v>
                </c:pt>
                <c:pt idx="136">
                  <c:v>57.030909090909091</c:v>
                </c:pt>
                <c:pt idx="137">
                  <c:v>57.098636363636366</c:v>
                </c:pt>
                <c:pt idx="138">
                  <c:v>57.166363636363634</c:v>
                </c:pt>
                <c:pt idx="139">
                  <c:v>57.234090909090909</c:v>
                </c:pt>
                <c:pt idx="140">
                  <c:v>57.301818181818177</c:v>
                </c:pt>
                <c:pt idx="141">
                  <c:v>57.36954545454546</c:v>
                </c:pt>
                <c:pt idx="142">
                  <c:v>57.437272727272727</c:v>
                </c:pt>
                <c:pt idx="143">
                  <c:v>57.505000000000003</c:v>
                </c:pt>
                <c:pt idx="144">
                  <c:v>57.572727272727271</c:v>
                </c:pt>
                <c:pt idx="145">
                  <c:v>57.640454545454553</c:v>
                </c:pt>
                <c:pt idx="146">
                  <c:v>57.708181818181814</c:v>
                </c:pt>
                <c:pt idx="147">
                  <c:v>57.775909090909096</c:v>
                </c:pt>
                <c:pt idx="148">
                  <c:v>57.843636363636364</c:v>
                </c:pt>
                <c:pt idx="149">
                  <c:v>57.911363636363639</c:v>
                </c:pt>
                <c:pt idx="150">
                  <c:v>57.979090909090907</c:v>
                </c:pt>
                <c:pt idx="151">
                  <c:v>58.046818181818189</c:v>
                </c:pt>
                <c:pt idx="152">
                  <c:v>58.114545454545457</c:v>
                </c:pt>
                <c:pt idx="153">
                  <c:v>58.182272727272732</c:v>
                </c:pt>
                <c:pt idx="154">
                  <c:v>58.25</c:v>
                </c:pt>
              </c:numCache>
            </c:numRef>
          </c:val>
          <c:smooth val="0"/>
          <c:extLst>
            <c:ext xmlns:c16="http://schemas.microsoft.com/office/drawing/2014/chart" uri="{C3380CC4-5D6E-409C-BE32-E72D297353CC}">
              <c16:uniqueId val="{00000001-D28F-0248-8934-04B9AB04BAF3}"/>
            </c:ext>
          </c:extLst>
        </c:ser>
        <c:dLbls>
          <c:showLegendKey val="0"/>
          <c:showVal val="0"/>
          <c:showCatName val="0"/>
          <c:showSerName val="0"/>
          <c:showPercent val="0"/>
          <c:showBubbleSize val="0"/>
        </c:dLbls>
        <c:hiLowLines>
          <c:spPr>
            <a:ln w="0">
              <a:noFill/>
            </a:ln>
          </c:spPr>
        </c:hiLowLines>
        <c:marker val="1"/>
        <c:smooth val="0"/>
        <c:axId val="14415336"/>
        <c:axId val="58647379"/>
      </c:lineChart>
      <c:dateAx>
        <c:axId val="26101375"/>
        <c:scaling>
          <c:orientation val="minMax"/>
        </c:scaling>
        <c:delete val="1"/>
        <c:axPos val="b"/>
        <c:numFmt formatCode="mm/dd/yyyy" sourceLinked="1"/>
        <c:majorTickMark val="none"/>
        <c:minorTickMark val="none"/>
        <c:tickLblPos val="nextTo"/>
        <c:crossAx val="40025086"/>
        <c:crosses val="autoZero"/>
        <c:auto val="1"/>
        <c:lblOffset val="100"/>
        <c:baseTimeUnit val="days"/>
      </c:dateAx>
      <c:valAx>
        <c:axId val="4002508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101375"/>
        <c:crosses val="autoZero"/>
        <c:crossBetween val="between"/>
      </c:valAx>
      <c:dateAx>
        <c:axId val="14415336"/>
        <c:scaling>
          <c:orientation val="minMax"/>
        </c:scaling>
        <c:delete val="1"/>
        <c:axPos val="b"/>
        <c:numFmt formatCode="mm/dd/yyyy" sourceLinked="1"/>
        <c:majorTickMark val="none"/>
        <c:minorTickMark val="none"/>
        <c:tickLblPos val="nextTo"/>
        <c:crossAx val="58647379"/>
        <c:crosses val="autoZero"/>
        <c:auto val="1"/>
        <c:lblOffset val="100"/>
        <c:baseTimeUnit val="days"/>
      </c:dateAx>
      <c:valAx>
        <c:axId val="586473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441533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-8.370345063204665E-3</c:v>
                </c:pt>
                <c:pt idx="1">
                  <c:v>-2.7562446167096466E-3</c:v>
                </c:pt>
                <c:pt idx="2">
                  <c:v>1.6064950768699182E-2</c:v>
                </c:pt>
                <c:pt idx="3">
                  <c:v>5.9503570214212154E-3</c:v>
                </c:pt>
                <c:pt idx="4">
                  <c:v>0</c:v>
                </c:pt>
                <c:pt idx="5">
                  <c:v>-2.8899780294067923E-2</c:v>
                </c:pt>
                <c:pt idx="6">
                  <c:v>-3.1326139923425478E-3</c:v>
                </c:pt>
                <c:pt idx="7">
                  <c:v>1.1173184357541999E-2</c:v>
                </c:pt>
                <c:pt idx="8">
                  <c:v>5.6975138121546642E-3</c:v>
                </c:pt>
                <c:pt idx="9">
                  <c:v>-2.9012875536480687E-2</c:v>
                </c:pt>
                <c:pt idx="10">
                  <c:v>-2.0155586987270158E-2</c:v>
                </c:pt>
                <c:pt idx="11">
                  <c:v>5.8282208588956941E-2</c:v>
                </c:pt>
                <c:pt idx="12">
                  <c:v>2.9497016197783443E-2</c:v>
                </c:pt>
                <c:pt idx="13">
                  <c:v>2.1695925803246086E-2</c:v>
                </c:pt>
                <c:pt idx="14">
                  <c:v>5.5114281082833116E-3</c:v>
                </c:pt>
                <c:pt idx="15">
                  <c:v>-2.256972432693849E-3</c:v>
                </c:pt>
                <c:pt idx="16">
                  <c:v>3.7162708030376024E-3</c:v>
                </c:pt>
                <c:pt idx="17">
                  <c:v>3.4127495170637401E-2</c:v>
                </c:pt>
                <c:pt idx="18">
                  <c:v>1.2453300124533273E-2</c:v>
                </c:pt>
                <c:pt idx="19">
                  <c:v>7.0725707257071058E-3</c:v>
                </c:pt>
                <c:pt idx="20">
                  <c:v>-1.0381679389313114E-2</c:v>
                </c:pt>
                <c:pt idx="21">
                  <c:v>3.116322122801618E-2</c:v>
                </c:pt>
                <c:pt idx="22">
                  <c:v>2.1095152603231471E-2</c:v>
                </c:pt>
                <c:pt idx="23">
                  <c:v>1.611721611721606E-2</c:v>
                </c:pt>
                <c:pt idx="24">
                  <c:v>4.5710165825522786E-2</c:v>
                </c:pt>
                <c:pt idx="25">
                  <c:v>2.385548814120253E-2</c:v>
                </c:pt>
                <c:pt idx="26">
                  <c:v>8.3501683501683299E-3</c:v>
                </c:pt>
                <c:pt idx="27">
                  <c:v>2.243889408307731E-2</c:v>
                </c:pt>
                <c:pt idx="28">
                  <c:v>2.8086218158066778E-2</c:v>
                </c:pt>
                <c:pt idx="29">
                  <c:v>3.8119440914865521E-3</c:v>
                </c:pt>
                <c:pt idx="30">
                  <c:v>-5.18987341772148E-3</c:v>
                </c:pt>
                <c:pt idx="31">
                  <c:v>2.8502353989056983E-2</c:v>
                </c:pt>
                <c:pt idx="32">
                  <c:v>-7.5467029568229149E-3</c:v>
                </c:pt>
                <c:pt idx="33">
                  <c:v>2.8671154325605741E-3</c:v>
                </c:pt>
                <c:pt idx="34">
                  <c:v>-1.4045991298943572E-2</c:v>
                </c:pt>
                <c:pt idx="35">
                  <c:v>-5.6858295511850621E-2</c:v>
                </c:pt>
                <c:pt idx="36">
                  <c:v>3.0076193022323228E-2</c:v>
                </c:pt>
                <c:pt idx="37">
                  <c:v>9.8624448481701155E-3</c:v>
                </c:pt>
                <c:pt idx="38">
                  <c:v>2.2230789000257101E-2</c:v>
                </c:pt>
                <c:pt idx="39">
                  <c:v>1.5084852294154683E-2</c:v>
                </c:pt>
                <c:pt idx="40">
                  <c:v>1.9442724458204275E-2</c:v>
                </c:pt>
                <c:pt idx="41">
                  <c:v>-1.0932944606413919E-2</c:v>
                </c:pt>
                <c:pt idx="42">
                  <c:v>3.0336526651928208E-2</c:v>
                </c:pt>
                <c:pt idx="43">
                  <c:v>4.219811658123751E-2</c:v>
                </c:pt>
                <c:pt idx="44">
                  <c:v>-8.0064051241002243E-4</c:v>
                </c:pt>
                <c:pt idx="45">
                  <c:v>1.1446886446886406E-3</c:v>
                </c:pt>
                <c:pt idx="46">
                  <c:v>3.0985593414132317E-2</c:v>
                </c:pt>
                <c:pt idx="47">
                  <c:v>-1.996229344571443E-3</c:v>
                </c:pt>
                <c:pt idx="48">
                  <c:v>-4.0448938770974552E-2</c:v>
                </c:pt>
                <c:pt idx="49">
                  <c:v>-1.8876664736537263E-2</c:v>
                </c:pt>
                <c:pt idx="50">
                  <c:v>-2.9745042492917761E-2</c:v>
                </c:pt>
                <c:pt idx="51">
                  <c:v>1.727493917274936E-2</c:v>
                </c:pt>
                <c:pt idx="52">
                  <c:v>5.7043769433149816E-2</c:v>
                </c:pt>
                <c:pt idx="53">
                  <c:v>1.3802466342346387E-2</c:v>
                </c:pt>
                <c:pt idx="54">
                  <c:v>-4.01740877134249E-3</c:v>
                </c:pt>
                <c:pt idx="55">
                  <c:v>-5.9719887955182016E-2</c:v>
                </c:pt>
                <c:pt idx="56">
                  <c:v>6.1487130600571982E-2</c:v>
                </c:pt>
                <c:pt idx="57">
                  <c:v>1.6277503367759349E-2</c:v>
                </c:pt>
                <c:pt idx="58">
                  <c:v>-2.0987517949850876E-3</c:v>
                </c:pt>
                <c:pt idx="59">
                  <c:v>1.4943546601726698E-2</c:v>
                </c:pt>
                <c:pt idx="60">
                  <c:v>2.1594503217363004E-2</c:v>
                </c:pt>
                <c:pt idx="61">
                  <c:v>4.2703106651007516E-3</c:v>
                </c:pt>
                <c:pt idx="62">
                  <c:v>-1.4669926650366705E-2</c:v>
                </c:pt>
                <c:pt idx="63">
                  <c:v>-1.3701585931599869E-2</c:v>
                </c:pt>
                <c:pt idx="64">
                  <c:v>5.9833734412601203E-2</c:v>
                </c:pt>
                <c:pt idx="65">
                  <c:v>-3.085973784704299E-2</c:v>
                </c:pt>
                <c:pt idx="66">
                  <c:v>1.7891373801916854E-2</c:v>
                </c:pt>
                <c:pt idx="67">
                  <c:v>1.3078049801213742E-2</c:v>
                </c:pt>
                <c:pt idx="68">
                  <c:v>1.931219663327477E-2</c:v>
                </c:pt>
                <c:pt idx="69">
                  <c:v>-9.4224924012158429E-3</c:v>
                </c:pt>
                <c:pt idx="70">
                  <c:v>-2.2399509051856392E-2</c:v>
                </c:pt>
                <c:pt idx="71">
                  <c:v>1.0567064239380697E-2</c:v>
                </c:pt>
                <c:pt idx="72">
                  <c:v>3.1059115850502472E-3</c:v>
                </c:pt>
                <c:pt idx="73">
                  <c:v>-1.3520487150376792E-2</c:v>
                </c:pt>
                <c:pt idx="74">
                  <c:v>3.2119690311780857E-2</c:v>
                </c:pt>
                <c:pt idx="75">
                  <c:v>2.716675114039524E-2</c:v>
                </c:pt>
                <c:pt idx="76">
                  <c:v>-1.2730681930326559E-2</c:v>
                </c:pt>
                <c:pt idx="77">
                  <c:v>1.9892043182726749E-2</c:v>
                </c:pt>
                <c:pt idx="78">
                  <c:v>1.009507007742827E-2</c:v>
                </c:pt>
                <c:pt idx="79">
                  <c:v>-3.0564719580826738E-2</c:v>
                </c:pt>
                <c:pt idx="80">
                  <c:v>-1.1009908918026001E-3</c:v>
                </c:pt>
                <c:pt idx="81">
                  <c:v>-5.270541082164315E-2</c:v>
                </c:pt>
                <c:pt idx="82">
                  <c:v>-7.1927226570764891E-3</c:v>
                </c:pt>
                <c:pt idx="83">
                  <c:v>3.8354996803751096E-3</c:v>
                </c:pt>
                <c:pt idx="84">
                  <c:v>-2.1545319465081758E-2</c:v>
                </c:pt>
                <c:pt idx="85">
                  <c:v>-0.1070615034168565</c:v>
                </c:pt>
                <c:pt idx="86">
                  <c:v>9.1107871720116584E-2</c:v>
                </c:pt>
                <c:pt idx="87">
                  <c:v>-1.7368069472277758E-2</c:v>
                </c:pt>
                <c:pt idx="88">
                  <c:v>6.5261726716519197E-2</c:v>
                </c:pt>
                <c:pt idx="89">
                  <c:v>4.0204211869814932E-2</c:v>
                </c:pt>
                <c:pt idx="90">
                  <c:v>6.952965235173858E-3</c:v>
                </c:pt>
                <c:pt idx="91">
                  <c:v>6.8237205523964173E-2</c:v>
                </c:pt>
                <c:pt idx="92">
                  <c:v>-2.2338403041825217E-2</c:v>
                </c:pt>
                <c:pt idx="93">
                  <c:v>2.4307243558580494E-2</c:v>
                </c:pt>
                <c:pt idx="94">
                  <c:v>1.4902705268153849E-2</c:v>
                </c:pt>
                <c:pt idx="95">
                  <c:v>-7.108118219229409E-3</c:v>
                </c:pt>
                <c:pt idx="96">
                  <c:v>7.0648078372268497E-3</c:v>
                </c:pt>
                <c:pt idx="97">
                  <c:v>4.6113553456178069E-2</c:v>
                </c:pt>
                <c:pt idx="98">
                  <c:v>5.9907010014306206E-3</c:v>
                </c:pt>
                <c:pt idx="99">
                  <c:v>-3.0219536041241613E-3</c:v>
                </c:pt>
                <c:pt idx="100">
                  <c:v>1.4798965855397972E-2</c:v>
                </c:pt>
                <c:pt idx="101">
                  <c:v>1.0542036370025487E-2</c:v>
                </c:pt>
                <c:pt idx="102">
                  <c:v>-1.5648091802138553E-2</c:v>
                </c:pt>
                <c:pt idx="103">
                  <c:v>3.4973063675704186E-2</c:v>
                </c:pt>
                <c:pt idx="104">
                  <c:v>1.0239781551326654E-3</c:v>
                </c:pt>
                <c:pt idx="105">
                  <c:v>-6.8195379763020814E-3</c:v>
                </c:pt>
                <c:pt idx="106">
                  <c:v>-2.5748862758567803E-4</c:v>
                </c:pt>
                <c:pt idx="107">
                  <c:v>4.8935439560437999E-3</c:v>
                </c:pt>
                <c:pt idx="108">
                  <c:v>2.9303716360529641E-2</c:v>
                </c:pt>
                <c:pt idx="109">
                  <c:v>1.2035192563081054E-2</c:v>
                </c:pt>
                <c:pt idx="110">
                  <c:v>-1.1071926515213715E-2</c:v>
                </c:pt>
                <c:pt idx="111">
                  <c:v>-4.0636921545861293E-3</c:v>
                </c:pt>
                <c:pt idx="112">
                  <c:v>-1.3240069947539346E-2</c:v>
                </c:pt>
                <c:pt idx="113">
                  <c:v>1.6202531645569618E-2</c:v>
                </c:pt>
                <c:pt idx="114">
                  <c:v>1.0712506228201191E-2</c:v>
                </c:pt>
                <c:pt idx="115">
                  <c:v>-8.2162517459405393E-5</c:v>
                </c:pt>
                <c:pt idx="116">
                  <c:v>-2.6047658175842203E-2</c:v>
                </c:pt>
                <c:pt idx="117">
                  <c:v>-5.9056778874546634E-3</c:v>
                </c:pt>
                <c:pt idx="118">
                  <c:v>-2.9958414665195665E-2</c:v>
                </c:pt>
                <c:pt idx="119">
                  <c:v>5.0918635170603688E-2</c:v>
                </c:pt>
                <c:pt idx="120">
                  <c:v>6.0772560772559547E-3</c:v>
                </c:pt>
                <c:pt idx="121">
                  <c:v>-1.4480761274306975E-2</c:v>
                </c:pt>
                <c:pt idx="122">
                  <c:v>3.6104114189756675E-3</c:v>
                </c:pt>
                <c:pt idx="123">
                  <c:v>1.5477286036978066E-2</c:v>
                </c:pt>
                <c:pt idx="124">
                  <c:v>-1.4087988136430973E-2</c:v>
                </c:pt>
                <c:pt idx="125">
                  <c:v>3.0082727500626572E-3</c:v>
                </c:pt>
                <c:pt idx="126">
                  <c:v>-2.4993751562107924E-4</c:v>
                </c:pt>
                <c:pt idx="127">
                  <c:v>-1.7333333333333312E-2</c:v>
                </c:pt>
                <c:pt idx="128">
                  <c:v>1.6536635006784373E-2</c:v>
                </c:pt>
                <c:pt idx="129">
                  <c:v>-2.5027112705433563E-4</c:v>
                </c:pt>
                <c:pt idx="130">
                  <c:v>-1.3267690253671582E-2</c:v>
                </c:pt>
                <c:pt idx="131">
                  <c:v>1.4460887949260037E-2</c:v>
                </c:pt>
                <c:pt idx="132">
                  <c:v>-4.0846948982994347E-3</c:v>
                </c:pt>
                <c:pt idx="133">
                  <c:v>-1.0295471666527223E-2</c:v>
                </c:pt>
                <c:pt idx="134">
                  <c:v>-1.7422192151556049E-2</c:v>
                </c:pt>
                <c:pt idx="135">
                  <c:v>-2.0657600275434729E-2</c:v>
                </c:pt>
                <c:pt idx="136">
                  <c:v>-3.0497451221655814E-2</c:v>
                </c:pt>
                <c:pt idx="137">
                  <c:v>4.0159550358081608E-2</c:v>
                </c:pt>
                <c:pt idx="138">
                  <c:v>7.4952065539480639E-2</c:v>
                </c:pt>
                <c:pt idx="139">
                  <c:v>4.0214042484190138E-2</c:v>
                </c:pt>
                <c:pt idx="140">
                  <c:v>2.5097427903351566E-2</c:v>
                </c:pt>
                <c:pt idx="141">
                  <c:v>2.2049878345498541E-2</c:v>
                </c:pt>
                <c:pt idx="142">
                  <c:v>6.9855676238655073E-2</c:v>
                </c:pt>
                <c:pt idx="143">
                  <c:v>-2.2946943884292192E-3</c:v>
                </c:pt>
                <c:pt idx="144">
                  <c:v>1.0175634234736552E-2</c:v>
                </c:pt>
                <c:pt idx="145">
                  <c:v>3.8981647578308243E-2</c:v>
                </c:pt>
                <c:pt idx="146">
                  <c:v>-4.1901852712663556E-2</c:v>
                </c:pt>
                <c:pt idx="147">
                  <c:v>5.6833934017188614E-2</c:v>
                </c:pt>
                <c:pt idx="148">
                  <c:v>4.8662119622245648E-2</c:v>
                </c:pt>
                <c:pt idx="149">
                  <c:v>-3.5647279549718691E-2</c:v>
                </c:pt>
                <c:pt idx="150">
                  <c:v>-2.1854734111543261E-2</c:v>
                </c:pt>
                <c:pt idx="151">
                  <c:v>1.9359543857322636E-2</c:v>
                </c:pt>
                <c:pt idx="152">
                  <c:v>-6.4130081300813102E-2</c:v>
                </c:pt>
                <c:pt idx="153">
                  <c:v>1.8208353603447192E-2</c:v>
                </c:pt>
                <c:pt idx="154">
                  <c:v>-1.8292266739471597E-2</c:v>
                </c:pt>
              </c:numCache>
            </c:numRef>
          </c:val>
          <c:extLst>
            <c:ext xmlns:c16="http://schemas.microsoft.com/office/drawing/2014/chart" uri="{C3380CC4-5D6E-409C-BE32-E72D297353CC}">
              <c16:uniqueId val="{00000000-6156-2248-95E1-FC8C673C4596}"/>
            </c:ext>
          </c:extLst>
        </c:ser>
        <c:dLbls>
          <c:showLegendKey val="0"/>
          <c:showVal val="0"/>
          <c:showCatName val="0"/>
          <c:showSerName val="0"/>
          <c:showPercent val="0"/>
          <c:showBubbleSize val="0"/>
        </c:dLbls>
        <c:gapWidth val="150"/>
        <c:axId val="50547578"/>
        <c:axId val="36099219"/>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59.093831168831166</c:v>
                </c:pt>
                <c:pt idx="2">
                  <c:v>59.647662337662339</c:v>
                </c:pt>
                <c:pt idx="3">
                  <c:v>60.201493506493506</c:v>
                </c:pt>
                <c:pt idx="4">
                  <c:v>60.75532467532468</c:v>
                </c:pt>
                <c:pt idx="5">
                  <c:v>61.309155844155846</c:v>
                </c:pt>
                <c:pt idx="6">
                  <c:v>61.86298701298702</c:v>
                </c:pt>
                <c:pt idx="7">
                  <c:v>62.416818181818186</c:v>
                </c:pt>
                <c:pt idx="8">
                  <c:v>62.970649350649353</c:v>
                </c:pt>
                <c:pt idx="9">
                  <c:v>63.52448051948052</c:v>
                </c:pt>
                <c:pt idx="10">
                  <c:v>64.078311688311686</c:v>
                </c:pt>
                <c:pt idx="11">
                  <c:v>64.632142857142853</c:v>
                </c:pt>
                <c:pt idx="12">
                  <c:v>65.185974025974019</c:v>
                </c:pt>
                <c:pt idx="13">
                  <c:v>65.7398051948052</c:v>
                </c:pt>
                <c:pt idx="14">
                  <c:v>66.293636363636367</c:v>
                </c:pt>
                <c:pt idx="15">
                  <c:v>66.847467532467533</c:v>
                </c:pt>
                <c:pt idx="16">
                  <c:v>67.401298701298714</c:v>
                </c:pt>
                <c:pt idx="17">
                  <c:v>67.955129870129838</c:v>
                </c:pt>
                <c:pt idx="18">
                  <c:v>68.508961038961047</c:v>
                </c:pt>
                <c:pt idx="19">
                  <c:v>69.062792207792171</c:v>
                </c:pt>
                <c:pt idx="20">
                  <c:v>69.616623376623394</c:v>
                </c:pt>
                <c:pt idx="21">
                  <c:v>70.170454545454518</c:v>
                </c:pt>
                <c:pt idx="22">
                  <c:v>70.724285714285728</c:v>
                </c:pt>
                <c:pt idx="23">
                  <c:v>71.278116883116851</c:v>
                </c:pt>
                <c:pt idx="24">
                  <c:v>71.831948051948075</c:v>
                </c:pt>
                <c:pt idx="25">
                  <c:v>72.385779220779199</c:v>
                </c:pt>
                <c:pt idx="26">
                  <c:v>72.939610389610408</c:v>
                </c:pt>
                <c:pt idx="27">
                  <c:v>73.493441558441532</c:v>
                </c:pt>
                <c:pt idx="28">
                  <c:v>74.047272727272741</c:v>
                </c:pt>
                <c:pt idx="29">
                  <c:v>74.601103896103865</c:v>
                </c:pt>
                <c:pt idx="30">
                  <c:v>75.154935064935088</c:v>
                </c:pt>
                <c:pt idx="31">
                  <c:v>75.708766233766212</c:v>
                </c:pt>
                <c:pt idx="32">
                  <c:v>76.262597402597422</c:v>
                </c:pt>
                <c:pt idx="33">
                  <c:v>76.816428571428546</c:v>
                </c:pt>
                <c:pt idx="34">
                  <c:v>77.370259740259769</c:v>
                </c:pt>
                <c:pt idx="35">
                  <c:v>77.924090909090893</c:v>
                </c:pt>
                <c:pt idx="36">
                  <c:v>78.477922077922102</c:v>
                </c:pt>
                <c:pt idx="37">
                  <c:v>79.031753246753226</c:v>
                </c:pt>
                <c:pt idx="38">
                  <c:v>79.585584415584435</c:v>
                </c:pt>
                <c:pt idx="39">
                  <c:v>80.139415584415559</c:v>
                </c:pt>
                <c:pt idx="40">
                  <c:v>80.693246753246783</c:v>
                </c:pt>
                <c:pt idx="41">
                  <c:v>81.247077922077906</c:v>
                </c:pt>
                <c:pt idx="42">
                  <c:v>81.800909090909116</c:v>
                </c:pt>
                <c:pt idx="43">
                  <c:v>82.35474025974024</c:v>
                </c:pt>
                <c:pt idx="44">
                  <c:v>82.908571428571463</c:v>
                </c:pt>
                <c:pt idx="45">
                  <c:v>83.462402597402587</c:v>
                </c:pt>
                <c:pt idx="46">
                  <c:v>84.016233766233796</c:v>
                </c:pt>
                <c:pt idx="47">
                  <c:v>84.57006493506492</c:v>
                </c:pt>
                <c:pt idx="48">
                  <c:v>85.123896103896129</c:v>
                </c:pt>
                <c:pt idx="49">
                  <c:v>85.677727272727267</c:v>
                </c:pt>
                <c:pt idx="50">
                  <c:v>86.231558441558477</c:v>
                </c:pt>
                <c:pt idx="51">
                  <c:v>86.785389610389601</c:v>
                </c:pt>
                <c:pt idx="52">
                  <c:v>87.33922077922081</c:v>
                </c:pt>
                <c:pt idx="53">
                  <c:v>87.893051948051948</c:v>
                </c:pt>
                <c:pt idx="54">
                  <c:v>88.446883116883157</c:v>
                </c:pt>
                <c:pt idx="55">
                  <c:v>89.000714285714281</c:v>
                </c:pt>
                <c:pt idx="56">
                  <c:v>89.55454545454549</c:v>
                </c:pt>
                <c:pt idx="57">
                  <c:v>90.108376623376614</c:v>
                </c:pt>
                <c:pt idx="58">
                  <c:v>90.662207792207823</c:v>
                </c:pt>
                <c:pt idx="59">
                  <c:v>91.216038961038961</c:v>
                </c:pt>
                <c:pt idx="60">
                  <c:v>91.769870129870171</c:v>
                </c:pt>
                <c:pt idx="61">
                  <c:v>92.323701298701309</c:v>
                </c:pt>
                <c:pt idx="62">
                  <c:v>92.877532467532518</c:v>
                </c:pt>
                <c:pt idx="63">
                  <c:v>93.431363636363642</c:v>
                </c:pt>
                <c:pt idx="64">
                  <c:v>93.985194805194851</c:v>
                </c:pt>
                <c:pt idx="65">
                  <c:v>94.539025974025975</c:v>
                </c:pt>
                <c:pt idx="66">
                  <c:v>95.092857142857184</c:v>
                </c:pt>
                <c:pt idx="67">
                  <c:v>95.646688311688308</c:v>
                </c:pt>
                <c:pt idx="68">
                  <c:v>96.200519480519517</c:v>
                </c:pt>
                <c:pt idx="69">
                  <c:v>96.754350649350641</c:v>
                </c:pt>
                <c:pt idx="70">
                  <c:v>97.308181818181865</c:v>
                </c:pt>
                <c:pt idx="71">
                  <c:v>97.862012987013003</c:v>
                </c:pt>
                <c:pt idx="72">
                  <c:v>98.415844155844212</c:v>
                </c:pt>
                <c:pt idx="73">
                  <c:v>98.969675324675336</c:v>
                </c:pt>
                <c:pt idx="74">
                  <c:v>99.523506493506545</c:v>
                </c:pt>
                <c:pt idx="75">
                  <c:v>100.07733766233767</c:v>
                </c:pt>
                <c:pt idx="76">
                  <c:v>100.63116883116888</c:v>
                </c:pt>
                <c:pt idx="77">
                  <c:v>101.185</c:v>
                </c:pt>
                <c:pt idx="78">
                  <c:v>101.73883116883113</c:v>
                </c:pt>
                <c:pt idx="79">
                  <c:v>102.29266233766235</c:v>
                </c:pt>
                <c:pt idx="80">
                  <c:v>102.84649350649347</c:v>
                </c:pt>
                <c:pt idx="81">
                  <c:v>103.40032467532468</c:v>
                </c:pt>
                <c:pt idx="82">
                  <c:v>103.95415584415582</c:v>
                </c:pt>
                <c:pt idx="83">
                  <c:v>104.50798701298703</c:v>
                </c:pt>
                <c:pt idx="84">
                  <c:v>105.06181818181815</c:v>
                </c:pt>
                <c:pt idx="85">
                  <c:v>105.61564935064936</c:v>
                </c:pt>
                <c:pt idx="86">
                  <c:v>106.16948051948049</c:v>
                </c:pt>
                <c:pt idx="87">
                  <c:v>106.7233116883117</c:v>
                </c:pt>
                <c:pt idx="88">
                  <c:v>107.27714285714282</c:v>
                </c:pt>
                <c:pt idx="89">
                  <c:v>107.83097402597403</c:v>
                </c:pt>
                <c:pt idx="90">
                  <c:v>108.38480519480518</c:v>
                </c:pt>
                <c:pt idx="91">
                  <c:v>108.93863636363639</c:v>
                </c:pt>
                <c:pt idx="92">
                  <c:v>109.49246753246751</c:v>
                </c:pt>
                <c:pt idx="93">
                  <c:v>110.04629870129872</c:v>
                </c:pt>
                <c:pt idx="94">
                  <c:v>110.60012987012985</c:v>
                </c:pt>
                <c:pt idx="95">
                  <c:v>111.15396103896106</c:v>
                </c:pt>
                <c:pt idx="96">
                  <c:v>111.70779220779218</c:v>
                </c:pt>
                <c:pt idx="97">
                  <c:v>112.2616233766234</c:v>
                </c:pt>
                <c:pt idx="98">
                  <c:v>112.81545454545453</c:v>
                </c:pt>
                <c:pt idx="99">
                  <c:v>113.36928571428574</c:v>
                </c:pt>
                <c:pt idx="100">
                  <c:v>113.92311688311688</c:v>
                </c:pt>
                <c:pt idx="101">
                  <c:v>114.47694805194809</c:v>
                </c:pt>
                <c:pt idx="102">
                  <c:v>115.03077922077921</c:v>
                </c:pt>
                <c:pt idx="103">
                  <c:v>115.58461038961042</c:v>
                </c:pt>
                <c:pt idx="104">
                  <c:v>116.13844155844154</c:v>
                </c:pt>
                <c:pt idx="105">
                  <c:v>116.69227272727275</c:v>
                </c:pt>
                <c:pt idx="106">
                  <c:v>117.24610389610388</c:v>
                </c:pt>
                <c:pt idx="107">
                  <c:v>117.79993506493508</c:v>
                </c:pt>
                <c:pt idx="108">
                  <c:v>118.35376623376622</c:v>
                </c:pt>
                <c:pt idx="109">
                  <c:v>118.90759740259743</c:v>
                </c:pt>
                <c:pt idx="110">
                  <c:v>119.46142857142856</c:v>
                </c:pt>
                <c:pt idx="111">
                  <c:v>120.01525974025978</c:v>
                </c:pt>
                <c:pt idx="112">
                  <c:v>120.5690909090909</c:v>
                </c:pt>
                <c:pt idx="113">
                  <c:v>121.12292207792211</c:v>
                </c:pt>
                <c:pt idx="114">
                  <c:v>121.67675324675324</c:v>
                </c:pt>
                <c:pt idx="115">
                  <c:v>122.23058441558445</c:v>
                </c:pt>
                <c:pt idx="116">
                  <c:v>122.78441558441557</c:v>
                </c:pt>
                <c:pt idx="117">
                  <c:v>123.33824675324681</c:v>
                </c:pt>
                <c:pt idx="118">
                  <c:v>123.89207792207793</c:v>
                </c:pt>
                <c:pt idx="119">
                  <c:v>124.44590909090914</c:v>
                </c:pt>
                <c:pt idx="120">
                  <c:v>124.99974025974026</c:v>
                </c:pt>
                <c:pt idx="121">
                  <c:v>125.55357142857147</c:v>
                </c:pt>
                <c:pt idx="122">
                  <c:v>126.1074025974026</c:v>
                </c:pt>
                <c:pt idx="123">
                  <c:v>126.66123376623381</c:v>
                </c:pt>
                <c:pt idx="124">
                  <c:v>127.21506493506493</c:v>
                </c:pt>
                <c:pt idx="125">
                  <c:v>127.76889610389614</c:v>
                </c:pt>
                <c:pt idx="126">
                  <c:v>128.32272727272726</c:v>
                </c:pt>
                <c:pt idx="127">
                  <c:v>128.87655844155847</c:v>
                </c:pt>
                <c:pt idx="128">
                  <c:v>129.43038961038962</c:v>
                </c:pt>
                <c:pt idx="129">
                  <c:v>129.98422077922083</c:v>
                </c:pt>
                <c:pt idx="130">
                  <c:v>130.53805194805196</c:v>
                </c:pt>
                <c:pt idx="131">
                  <c:v>131.09188311688317</c:v>
                </c:pt>
                <c:pt idx="132">
                  <c:v>131.64571428571429</c:v>
                </c:pt>
                <c:pt idx="133">
                  <c:v>132.1995454545455</c:v>
                </c:pt>
                <c:pt idx="134">
                  <c:v>132.75337662337662</c:v>
                </c:pt>
                <c:pt idx="135">
                  <c:v>133.30720779220783</c:v>
                </c:pt>
                <c:pt idx="136">
                  <c:v>133.86103896103896</c:v>
                </c:pt>
                <c:pt idx="137">
                  <c:v>134.41487012987017</c:v>
                </c:pt>
                <c:pt idx="138">
                  <c:v>134.96870129870129</c:v>
                </c:pt>
                <c:pt idx="139">
                  <c:v>135.52253246753253</c:v>
                </c:pt>
                <c:pt idx="140">
                  <c:v>136.07636363636365</c:v>
                </c:pt>
                <c:pt idx="141">
                  <c:v>136.63019480519486</c:v>
                </c:pt>
                <c:pt idx="142">
                  <c:v>137.18402597402599</c:v>
                </c:pt>
                <c:pt idx="143">
                  <c:v>137.73785714285719</c:v>
                </c:pt>
                <c:pt idx="144">
                  <c:v>138.29168831168832</c:v>
                </c:pt>
                <c:pt idx="145">
                  <c:v>138.84551948051953</c:v>
                </c:pt>
                <c:pt idx="146">
                  <c:v>139.39935064935068</c:v>
                </c:pt>
                <c:pt idx="147">
                  <c:v>139.95318181818189</c:v>
                </c:pt>
                <c:pt idx="148">
                  <c:v>140.50701298701301</c:v>
                </c:pt>
                <c:pt idx="149">
                  <c:v>141.06084415584422</c:v>
                </c:pt>
                <c:pt idx="150">
                  <c:v>141.61467532467535</c:v>
                </c:pt>
                <c:pt idx="151">
                  <c:v>142.16850649350656</c:v>
                </c:pt>
                <c:pt idx="152">
                  <c:v>142.72233766233768</c:v>
                </c:pt>
                <c:pt idx="153">
                  <c:v>143.27616883116889</c:v>
                </c:pt>
                <c:pt idx="154">
                  <c:v>143.83000000000001</c:v>
                </c:pt>
              </c:numCache>
            </c:numRef>
          </c:val>
          <c:smooth val="0"/>
          <c:extLst>
            <c:ext xmlns:c16="http://schemas.microsoft.com/office/drawing/2014/chart" uri="{C3380CC4-5D6E-409C-BE32-E72D297353CC}">
              <c16:uniqueId val="{00000001-6156-2248-95E1-FC8C673C4596}"/>
            </c:ext>
          </c:extLst>
        </c:ser>
        <c:dLbls>
          <c:showLegendKey val="0"/>
          <c:showVal val="0"/>
          <c:showCatName val="0"/>
          <c:showSerName val="0"/>
          <c:showPercent val="0"/>
          <c:showBubbleSize val="0"/>
        </c:dLbls>
        <c:hiLowLines>
          <c:spPr>
            <a:ln w="0">
              <a:noFill/>
            </a:ln>
          </c:spPr>
        </c:hiLowLines>
        <c:marker val="1"/>
        <c:smooth val="0"/>
        <c:axId val="31791757"/>
        <c:axId val="82668304"/>
      </c:lineChart>
      <c:dateAx>
        <c:axId val="50547578"/>
        <c:scaling>
          <c:orientation val="minMax"/>
        </c:scaling>
        <c:delete val="1"/>
        <c:axPos val="b"/>
        <c:numFmt formatCode="mm/dd/yyyy" sourceLinked="1"/>
        <c:majorTickMark val="none"/>
        <c:minorTickMark val="none"/>
        <c:tickLblPos val="nextTo"/>
        <c:crossAx val="36099219"/>
        <c:crosses val="autoZero"/>
        <c:auto val="1"/>
        <c:lblOffset val="100"/>
        <c:baseTimeUnit val="days"/>
      </c:dateAx>
      <c:valAx>
        <c:axId val="36099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0547578"/>
        <c:crosses val="autoZero"/>
        <c:crossBetween val="between"/>
      </c:valAx>
      <c:dateAx>
        <c:axId val="31791757"/>
        <c:scaling>
          <c:orientation val="minMax"/>
        </c:scaling>
        <c:delete val="1"/>
        <c:axPos val="b"/>
        <c:numFmt formatCode="mm/dd/yyyy" sourceLinked="1"/>
        <c:majorTickMark val="none"/>
        <c:minorTickMark val="none"/>
        <c:tickLblPos val="nextTo"/>
        <c:crossAx val="82668304"/>
        <c:crosses val="autoZero"/>
        <c:auto val="1"/>
        <c:lblOffset val="100"/>
        <c:baseTimeUnit val="days"/>
      </c:dateAx>
      <c:valAx>
        <c:axId val="826683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179175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-2.6755852842809347E-2</c:v>
                </c:pt>
                <c:pt idx="1">
                  <c:v>-8.0183276059565545E-3</c:v>
                </c:pt>
                <c:pt idx="2">
                  <c:v>2.6173979984603468E-2</c:v>
                </c:pt>
                <c:pt idx="3">
                  <c:v>-7.1267816954239116E-3</c:v>
                </c:pt>
                <c:pt idx="4">
                  <c:v>-6.4223649414431039E-3</c:v>
                </c:pt>
                <c:pt idx="5">
                  <c:v>-1.4828897338403091E-2</c:v>
                </c:pt>
                <c:pt idx="6">
                  <c:v>2.7016595908915253E-3</c:v>
                </c:pt>
                <c:pt idx="7">
                  <c:v>-1.8475750577367167E-2</c:v>
                </c:pt>
                <c:pt idx="8">
                  <c:v>1.2941176470588234E-2</c:v>
                </c:pt>
                <c:pt idx="9">
                  <c:v>-1.2775842044134622E-2</c:v>
                </c:pt>
                <c:pt idx="10">
                  <c:v>-3.2941176470588251E-2</c:v>
                </c:pt>
                <c:pt idx="11">
                  <c:v>5.8799675587996703E-2</c:v>
                </c:pt>
                <c:pt idx="12">
                  <c:v>-6.8939103791650913E-3</c:v>
                </c:pt>
                <c:pt idx="13">
                  <c:v>2.5453143077516449E-2</c:v>
                </c:pt>
                <c:pt idx="14">
                  <c:v>7.1455434373826066E-3</c:v>
                </c:pt>
                <c:pt idx="15">
                  <c:v>1.344286781179993E-2</c:v>
                </c:pt>
                <c:pt idx="16">
                  <c:v>8.8430361090641174E-3</c:v>
                </c:pt>
                <c:pt idx="17">
                  <c:v>2.7757487216946819E-2</c:v>
                </c:pt>
                <c:pt idx="18">
                  <c:v>9.5948827292111627E-3</c:v>
                </c:pt>
                <c:pt idx="19">
                  <c:v>-2.4639211545230966E-3</c:v>
                </c:pt>
                <c:pt idx="20">
                  <c:v>1.0585744530700048E-3</c:v>
                </c:pt>
                <c:pt idx="21">
                  <c:v>-2.8198801550934904E-3</c:v>
                </c:pt>
                <c:pt idx="22">
                  <c:v>-9.5440084835630712E-3</c:v>
                </c:pt>
                <c:pt idx="23">
                  <c:v>8.2084225553176182E-3</c:v>
                </c:pt>
                <c:pt idx="24">
                  <c:v>9.5575221238937136E-3</c:v>
                </c:pt>
                <c:pt idx="25">
                  <c:v>3.8569424964935983E-3</c:v>
                </c:pt>
                <c:pt idx="26">
                  <c:v>8.3828152287810376E-3</c:v>
                </c:pt>
                <c:pt idx="27">
                  <c:v>2.1821960512642846E-2</c:v>
                </c:pt>
                <c:pt idx="28">
                  <c:v>2.2033898305084731E-2</c:v>
                </c:pt>
                <c:pt idx="29">
                  <c:v>1.9568822553897247E-2</c:v>
                </c:pt>
                <c:pt idx="30">
                  <c:v>1.3662979830839417E-2</c:v>
                </c:pt>
                <c:pt idx="31">
                  <c:v>2.4069319640564801E-2</c:v>
                </c:pt>
                <c:pt idx="32">
                  <c:v>1.5669069257286061E-2</c:v>
                </c:pt>
                <c:pt idx="33">
                  <c:v>-2.4683739586547349E-3</c:v>
                </c:pt>
                <c:pt idx="34">
                  <c:v>-2.5982060006186192E-2</c:v>
                </c:pt>
                <c:pt idx="35">
                  <c:v>-1.7783423308986968E-2</c:v>
                </c:pt>
                <c:pt idx="36">
                  <c:v>1.2609117361784605E-2</c:v>
                </c:pt>
                <c:pt idx="37">
                  <c:v>-1.5644955300127772E-2</c:v>
                </c:pt>
                <c:pt idx="38">
                  <c:v>2.2056438533895717E-2</c:v>
                </c:pt>
                <c:pt idx="39">
                  <c:v>9.2034274833385776E-3</c:v>
                </c:pt>
                <c:pt idx="40">
                  <c:v>-1.6981132075471694E-2</c:v>
                </c:pt>
                <c:pt idx="41">
                  <c:v>1.1516314779270509E-2</c:v>
                </c:pt>
                <c:pt idx="42">
                  <c:v>-2.1189120809614215E-2</c:v>
                </c:pt>
                <c:pt idx="43">
                  <c:v>-4.2003231017769815E-3</c:v>
                </c:pt>
                <c:pt idx="44">
                  <c:v>9.7339390006490056E-3</c:v>
                </c:pt>
                <c:pt idx="45">
                  <c:v>-6.4267352185090054E-3</c:v>
                </c:pt>
                <c:pt idx="46">
                  <c:v>-2.0051746442432128E-2</c:v>
                </c:pt>
                <c:pt idx="47">
                  <c:v>3.8283828382838392E-2</c:v>
                </c:pt>
                <c:pt idx="48">
                  <c:v>1.5257469802924417E-2</c:v>
                </c:pt>
                <c:pt idx="49">
                  <c:v>1.784596117720727E-2</c:v>
                </c:pt>
                <c:pt idx="50">
                  <c:v>-2.8606582589972285E-2</c:v>
                </c:pt>
                <c:pt idx="51">
                  <c:v>-1.5832805573147146E-3</c:v>
                </c:pt>
                <c:pt idx="52">
                  <c:v>1.6175071360608806E-2</c:v>
                </c:pt>
                <c:pt idx="53">
                  <c:v>3.277153558052448E-2</c:v>
                </c:pt>
                <c:pt idx="54">
                  <c:v>3.3242671501965138E-3</c:v>
                </c:pt>
                <c:pt idx="55">
                  <c:v>-4.1265060240963991E-2</c:v>
                </c:pt>
                <c:pt idx="56">
                  <c:v>2.3562676720075393E-2</c:v>
                </c:pt>
                <c:pt idx="57">
                  <c:v>1.7188459177409632E-2</c:v>
                </c:pt>
                <c:pt idx="58">
                  <c:v>2.1122510561255581E-3</c:v>
                </c:pt>
                <c:pt idx="59">
                  <c:v>1.866907557964459E-2</c:v>
                </c:pt>
                <c:pt idx="60">
                  <c:v>3.547147502217074E-3</c:v>
                </c:pt>
                <c:pt idx="61">
                  <c:v>-4.7128129602357349E-3</c:v>
                </c:pt>
                <c:pt idx="62">
                  <c:v>-1.9236460491269591E-2</c:v>
                </c:pt>
                <c:pt idx="63">
                  <c:v>6.0350030174993741E-4</c:v>
                </c:pt>
                <c:pt idx="64">
                  <c:v>7.7503015681543941E-2</c:v>
                </c:pt>
                <c:pt idx="65">
                  <c:v>-1.5393226980128683E-2</c:v>
                </c:pt>
                <c:pt idx="66">
                  <c:v>3.8658328595793101E-2</c:v>
                </c:pt>
                <c:pt idx="67">
                  <c:v>1.9157088122605526E-3</c:v>
                </c:pt>
                <c:pt idx="68">
                  <c:v>-8.1944823818635992E-4</c:v>
                </c:pt>
                <c:pt idx="69">
                  <c:v>-4.401312192454887E-2</c:v>
                </c:pt>
                <c:pt idx="70">
                  <c:v>-3.059765513297108E-2</c:v>
                </c:pt>
                <c:pt idx="71">
                  <c:v>9.1445427728613637E-3</c:v>
                </c:pt>
                <c:pt idx="72">
                  <c:v>7.6001169248756106E-3</c:v>
                </c:pt>
                <c:pt idx="73">
                  <c:v>-2.9010733971568392E-4</c:v>
                </c:pt>
                <c:pt idx="74">
                  <c:v>3.859547301218802E-2</c:v>
                </c:pt>
                <c:pt idx="75">
                  <c:v>2.5146689019279744E-3</c:v>
                </c:pt>
                <c:pt idx="76">
                  <c:v>-1.0312151616499565E-2</c:v>
                </c:pt>
                <c:pt idx="77">
                  <c:v>-8.7299352295127086E-3</c:v>
                </c:pt>
                <c:pt idx="78">
                  <c:v>1.1647727272727115E-2</c:v>
                </c:pt>
                <c:pt idx="79">
                  <c:v>-3.3698399326030914E-3</c:v>
                </c:pt>
                <c:pt idx="80">
                  <c:v>-4.7900817131586448E-3</c:v>
                </c:pt>
                <c:pt idx="81">
                  <c:v>-1.4439411098527644E-2</c:v>
                </c:pt>
                <c:pt idx="82">
                  <c:v>-2.0683711577133002E-2</c:v>
                </c:pt>
                <c:pt idx="83">
                  <c:v>1.7013787034320771E-2</c:v>
                </c:pt>
                <c:pt idx="84">
                  <c:v>-1.6440726853187204E-2</c:v>
                </c:pt>
                <c:pt idx="85">
                  <c:v>-9.2375366568914985E-2</c:v>
                </c:pt>
                <c:pt idx="86">
                  <c:v>1.9709208400646272E-2</c:v>
                </c:pt>
                <c:pt idx="87">
                  <c:v>6.9708491761724112E-3</c:v>
                </c:pt>
                <c:pt idx="88">
                  <c:v>3.3039647577092435E-2</c:v>
                </c:pt>
                <c:pt idx="89">
                  <c:v>1.9189765458422325E-2</c:v>
                </c:pt>
                <c:pt idx="90">
                  <c:v>-1.7931858936043321E-3</c:v>
                </c:pt>
                <c:pt idx="91">
                  <c:v>4.3113772455090071E-2</c:v>
                </c:pt>
                <c:pt idx="92">
                  <c:v>-3.4730195177956391E-2</c:v>
                </c:pt>
                <c:pt idx="93">
                  <c:v>7.7311923877489974E-3</c:v>
                </c:pt>
                <c:pt idx="94">
                  <c:v>2.3605783416936976E-2</c:v>
                </c:pt>
                <c:pt idx="95">
                  <c:v>1.0954165465552057E-2</c:v>
                </c:pt>
                <c:pt idx="96">
                  <c:v>-1.1405759908753588E-3</c:v>
                </c:pt>
                <c:pt idx="97">
                  <c:v>8.5640879246360324E-3</c:v>
                </c:pt>
                <c:pt idx="98">
                  <c:v>1.2454005094820308E-2</c:v>
                </c:pt>
                <c:pt idx="99">
                  <c:v>1.9569471624265589E-3</c:v>
                </c:pt>
                <c:pt idx="100">
                  <c:v>-2.1205357142857317E-2</c:v>
                </c:pt>
                <c:pt idx="101">
                  <c:v>2.1949828962371853E-2</c:v>
                </c:pt>
                <c:pt idx="102">
                  <c:v>-4.1841004184100417E-2</c:v>
                </c:pt>
                <c:pt idx="103">
                  <c:v>9.898107714701565E-3</c:v>
                </c:pt>
                <c:pt idx="104">
                  <c:v>3.9492649178437755E-2</c:v>
                </c:pt>
                <c:pt idx="105">
                  <c:v>2.5790349417637248E-2</c:v>
                </c:pt>
                <c:pt idx="106">
                  <c:v>9.1916734252499577E-3</c:v>
                </c:pt>
                <c:pt idx="107">
                  <c:v>7.500669702652063E-3</c:v>
                </c:pt>
                <c:pt idx="108">
                  <c:v>-2.9247540547726603E-3</c:v>
                </c:pt>
                <c:pt idx="109">
                  <c:v>-1.3333333333332975E-3</c:v>
                </c:pt>
                <c:pt idx="110">
                  <c:v>7.7436582109478014E-3</c:v>
                </c:pt>
                <c:pt idx="111">
                  <c:v>3.444621091679867E-3</c:v>
                </c:pt>
                <c:pt idx="112">
                  <c:v>-3.4063902825455461E-2</c:v>
                </c:pt>
                <c:pt idx="113">
                  <c:v>1.3942044833242351E-2</c:v>
                </c:pt>
                <c:pt idx="114">
                  <c:v>2.6152601779455331E-2</c:v>
                </c:pt>
                <c:pt idx="115">
                  <c:v>-6.3058328954282983E-3</c:v>
                </c:pt>
                <c:pt idx="116">
                  <c:v>1.5864621893177944E-3</c:v>
                </c:pt>
                <c:pt idx="117">
                  <c:v>1.1087645195353657E-2</c:v>
                </c:pt>
                <c:pt idx="118">
                  <c:v>-2.0104438642297495E-2</c:v>
                </c:pt>
                <c:pt idx="119">
                  <c:v>3.4372501998401361E-2</c:v>
                </c:pt>
                <c:pt idx="120">
                  <c:v>1.5455950540958385E-2</c:v>
                </c:pt>
                <c:pt idx="121">
                  <c:v>7.102993404363378E-3</c:v>
                </c:pt>
                <c:pt idx="122">
                  <c:v>-4.2821158690177219E-3</c:v>
                </c:pt>
                <c:pt idx="123">
                  <c:v>6.57728307614458E-3</c:v>
                </c:pt>
                <c:pt idx="124">
                  <c:v>-9.2988187986930981E-3</c:v>
                </c:pt>
                <c:pt idx="125">
                  <c:v>2.5621511922881757E-2</c:v>
                </c:pt>
                <c:pt idx="126">
                  <c:v>-2.0281968835023534E-2</c:v>
                </c:pt>
                <c:pt idx="127">
                  <c:v>6.3115374905327037E-3</c:v>
                </c:pt>
                <c:pt idx="128">
                  <c:v>-9.7842448569994689E-3</c:v>
                </c:pt>
                <c:pt idx="129">
                  <c:v>2.4322270078540598E-2</c:v>
                </c:pt>
                <c:pt idx="130">
                  <c:v>-4.2047984170171526E-3</c:v>
                </c:pt>
                <c:pt idx="131">
                  <c:v>1.9870839542972529E-3</c:v>
                </c:pt>
                <c:pt idx="132">
                  <c:v>3.4705007436786062E-3</c:v>
                </c:pt>
                <c:pt idx="133">
                  <c:v>-9.1403162055335718E-3</c:v>
                </c:pt>
                <c:pt idx="134">
                  <c:v>-2.2687609075043524E-2</c:v>
                </c:pt>
                <c:pt idx="135">
                  <c:v>1.0204081632652073E-3</c:v>
                </c:pt>
                <c:pt idx="136">
                  <c:v>-1.2487257900101967E-2</c:v>
                </c:pt>
                <c:pt idx="137">
                  <c:v>2.8129032258064512E-2</c:v>
                </c:pt>
                <c:pt idx="138">
                  <c:v>-5.020080321285203E-3</c:v>
                </c:pt>
                <c:pt idx="139">
                  <c:v>5.3481331987890846E-2</c:v>
                </c:pt>
                <c:pt idx="140">
                  <c:v>-5.7471264367814356E-3</c:v>
                </c:pt>
                <c:pt idx="141">
                  <c:v>2.5770712909441329E-2</c:v>
                </c:pt>
                <c:pt idx="142">
                  <c:v>2.4184080770133676E-2</c:v>
                </c:pt>
                <c:pt idx="143">
                  <c:v>-2.5676295277395678E-2</c:v>
                </c:pt>
                <c:pt idx="144">
                  <c:v>3.9529411764705813E-2</c:v>
                </c:pt>
                <c:pt idx="145">
                  <c:v>5.4096876414667205E-2</c:v>
                </c:pt>
                <c:pt idx="146">
                  <c:v>-1.1165986686708207E-2</c:v>
                </c:pt>
                <c:pt idx="147">
                  <c:v>5.2117263843649564E-3</c:v>
                </c:pt>
                <c:pt idx="148">
                  <c:v>-2.2467055519550638E-2</c:v>
                </c:pt>
                <c:pt idx="149">
                  <c:v>2.0773480662983346E-2</c:v>
                </c:pt>
                <c:pt idx="150">
                  <c:v>1.7536263260446106E-2</c:v>
                </c:pt>
                <c:pt idx="151">
                  <c:v>8.2978723404254495E-3</c:v>
                </c:pt>
                <c:pt idx="152">
                  <c:v>8.6516142646126948E-3</c:v>
                </c:pt>
                <c:pt idx="153">
                  <c:v>7.1129707112971285E-3</c:v>
                </c:pt>
                <c:pt idx="154">
                  <c:v>3.3236393851267199E-2</c:v>
                </c:pt>
              </c:numCache>
            </c:numRef>
          </c:val>
          <c:extLst>
            <c:ext xmlns:c16="http://schemas.microsoft.com/office/drawing/2014/chart" uri="{C3380CC4-5D6E-409C-BE32-E72D297353CC}">
              <c16:uniqueId val="{00000000-5265-4B4D-B704-5CD61BD51698}"/>
            </c:ext>
          </c:extLst>
        </c:ser>
        <c:dLbls>
          <c:showLegendKey val="0"/>
          <c:showVal val="0"/>
          <c:showCatName val="0"/>
          <c:showSerName val="0"/>
          <c:showPercent val="0"/>
          <c:showBubbleSize val="0"/>
        </c:dLbls>
        <c:gapWidth val="150"/>
        <c:axId val="91803403"/>
        <c:axId val="48350277"/>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27.058246753246753</c:v>
                </c:pt>
                <c:pt idx="2">
                  <c:v>27.206493506493509</c:v>
                </c:pt>
                <c:pt idx="3">
                  <c:v>27.354740259740261</c:v>
                </c:pt>
                <c:pt idx="4">
                  <c:v>27.502987012987013</c:v>
                </c:pt>
                <c:pt idx="5">
                  <c:v>27.651233766233766</c:v>
                </c:pt>
                <c:pt idx="6">
                  <c:v>27.799480519480522</c:v>
                </c:pt>
                <c:pt idx="7">
                  <c:v>27.947727272727274</c:v>
                </c:pt>
                <c:pt idx="8">
                  <c:v>28.095974025974026</c:v>
                </c:pt>
                <c:pt idx="9">
                  <c:v>28.244220779220779</c:v>
                </c:pt>
                <c:pt idx="10">
                  <c:v>28.392467532467531</c:v>
                </c:pt>
                <c:pt idx="11">
                  <c:v>28.540714285714284</c:v>
                </c:pt>
                <c:pt idx="12">
                  <c:v>28.68896103896104</c:v>
                </c:pt>
                <c:pt idx="13">
                  <c:v>28.837207792207792</c:v>
                </c:pt>
                <c:pt idx="14">
                  <c:v>28.985454545454544</c:v>
                </c:pt>
                <c:pt idx="15">
                  <c:v>29.133701298701297</c:v>
                </c:pt>
                <c:pt idx="16">
                  <c:v>29.281948051948056</c:v>
                </c:pt>
                <c:pt idx="17">
                  <c:v>29.430194805194795</c:v>
                </c:pt>
                <c:pt idx="18">
                  <c:v>29.578441558441561</c:v>
                </c:pt>
                <c:pt idx="19">
                  <c:v>29.726688311688303</c:v>
                </c:pt>
                <c:pt idx="20">
                  <c:v>29.87493506493507</c:v>
                </c:pt>
                <c:pt idx="21">
                  <c:v>30.023181818181811</c:v>
                </c:pt>
                <c:pt idx="22">
                  <c:v>30.171428571428574</c:v>
                </c:pt>
                <c:pt idx="23">
                  <c:v>30.319675324675316</c:v>
                </c:pt>
                <c:pt idx="24">
                  <c:v>30.467922077922083</c:v>
                </c:pt>
                <c:pt idx="25">
                  <c:v>30.616168831168824</c:v>
                </c:pt>
                <c:pt idx="26">
                  <c:v>30.764415584415588</c:v>
                </c:pt>
                <c:pt idx="27">
                  <c:v>30.912662337662329</c:v>
                </c:pt>
                <c:pt idx="28">
                  <c:v>31.060909090909096</c:v>
                </c:pt>
                <c:pt idx="29">
                  <c:v>31.209155844155838</c:v>
                </c:pt>
                <c:pt idx="30">
                  <c:v>31.357402597402604</c:v>
                </c:pt>
                <c:pt idx="31">
                  <c:v>31.505649350649342</c:v>
                </c:pt>
                <c:pt idx="32">
                  <c:v>31.653896103896109</c:v>
                </c:pt>
                <c:pt idx="33">
                  <c:v>31.802142857142851</c:v>
                </c:pt>
                <c:pt idx="34">
                  <c:v>31.950389610389614</c:v>
                </c:pt>
                <c:pt idx="35">
                  <c:v>32.098636363636359</c:v>
                </c:pt>
                <c:pt idx="36">
                  <c:v>32.246883116883126</c:v>
                </c:pt>
                <c:pt idx="37">
                  <c:v>32.395129870129864</c:v>
                </c:pt>
                <c:pt idx="38">
                  <c:v>32.543376623376631</c:v>
                </c:pt>
                <c:pt idx="39">
                  <c:v>32.691623376623369</c:v>
                </c:pt>
                <c:pt idx="40">
                  <c:v>32.839870129870135</c:v>
                </c:pt>
                <c:pt idx="41">
                  <c:v>32.988116883116881</c:v>
                </c:pt>
                <c:pt idx="42">
                  <c:v>33.13636363636364</c:v>
                </c:pt>
                <c:pt idx="43">
                  <c:v>33.284610389610386</c:v>
                </c:pt>
                <c:pt idx="44">
                  <c:v>33.432857142857152</c:v>
                </c:pt>
                <c:pt idx="45">
                  <c:v>33.58110389610389</c:v>
                </c:pt>
                <c:pt idx="46">
                  <c:v>33.729350649350657</c:v>
                </c:pt>
                <c:pt idx="47">
                  <c:v>33.877597402597402</c:v>
                </c:pt>
                <c:pt idx="48">
                  <c:v>34.025844155844162</c:v>
                </c:pt>
                <c:pt idx="49">
                  <c:v>34.174090909090907</c:v>
                </c:pt>
                <c:pt idx="50">
                  <c:v>34.322337662337674</c:v>
                </c:pt>
                <c:pt idx="51">
                  <c:v>34.470584415584412</c:v>
                </c:pt>
                <c:pt idx="52">
                  <c:v>34.618831168831179</c:v>
                </c:pt>
                <c:pt idx="53">
                  <c:v>34.767077922077917</c:v>
                </c:pt>
                <c:pt idx="54">
                  <c:v>34.915324675324683</c:v>
                </c:pt>
                <c:pt idx="55">
                  <c:v>35.063571428571422</c:v>
                </c:pt>
                <c:pt idx="56">
                  <c:v>35.211818181818188</c:v>
                </c:pt>
                <c:pt idx="57">
                  <c:v>35.360064935064933</c:v>
                </c:pt>
                <c:pt idx="58">
                  <c:v>35.5083116883117</c:v>
                </c:pt>
                <c:pt idx="59">
                  <c:v>35.656558441558438</c:v>
                </c:pt>
                <c:pt idx="60">
                  <c:v>35.804805194805205</c:v>
                </c:pt>
                <c:pt idx="61">
                  <c:v>35.95305194805195</c:v>
                </c:pt>
                <c:pt idx="62">
                  <c:v>36.10129870129871</c:v>
                </c:pt>
                <c:pt idx="63">
                  <c:v>36.249545454545455</c:v>
                </c:pt>
                <c:pt idx="64">
                  <c:v>36.397792207792222</c:v>
                </c:pt>
                <c:pt idx="65">
                  <c:v>36.54603896103896</c:v>
                </c:pt>
                <c:pt idx="66">
                  <c:v>36.694285714285726</c:v>
                </c:pt>
                <c:pt idx="67">
                  <c:v>36.842532467532465</c:v>
                </c:pt>
                <c:pt idx="68">
                  <c:v>36.990779220779231</c:v>
                </c:pt>
                <c:pt idx="69">
                  <c:v>37.139025974025969</c:v>
                </c:pt>
                <c:pt idx="70">
                  <c:v>37.287272727272736</c:v>
                </c:pt>
                <c:pt idx="71">
                  <c:v>37.435519480519481</c:v>
                </c:pt>
                <c:pt idx="72">
                  <c:v>37.583766233766248</c:v>
                </c:pt>
                <c:pt idx="73">
                  <c:v>37.732012987012986</c:v>
                </c:pt>
                <c:pt idx="74">
                  <c:v>37.880259740259753</c:v>
                </c:pt>
                <c:pt idx="75">
                  <c:v>38.028506493506498</c:v>
                </c:pt>
                <c:pt idx="76">
                  <c:v>38.176753246753258</c:v>
                </c:pt>
                <c:pt idx="77">
                  <c:v>38.325000000000003</c:v>
                </c:pt>
                <c:pt idx="78">
                  <c:v>38.473246753246741</c:v>
                </c:pt>
                <c:pt idx="79">
                  <c:v>38.621493506493508</c:v>
                </c:pt>
                <c:pt idx="80">
                  <c:v>38.769740259740246</c:v>
                </c:pt>
                <c:pt idx="81">
                  <c:v>38.917987012987012</c:v>
                </c:pt>
                <c:pt idx="82">
                  <c:v>39.066233766233758</c:v>
                </c:pt>
                <c:pt idx="83">
                  <c:v>39.214480519480517</c:v>
                </c:pt>
                <c:pt idx="84">
                  <c:v>39.362727272727263</c:v>
                </c:pt>
                <c:pt idx="85">
                  <c:v>39.510974025974029</c:v>
                </c:pt>
                <c:pt idx="86">
                  <c:v>39.659220779220767</c:v>
                </c:pt>
                <c:pt idx="87">
                  <c:v>39.807467532467534</c:v>
                </c:pt>
                <c:pt idx="88">
                  <c:v>39.955714285714279</c:v>
                </c:pt>
                <c:pt idx="89">
                  <c:v>40.103961038961039</c:v>
                </c:pt>
                <c:pt idx="90">
                  <c:v>40.252207792207784</c:v>
                </c:pt>
                <c:pt idx="91">
                  <c:v>40.400454545454551</c:v>
                </c:pt>
                <c:pt idx="92">
                  <c:v>40.548701298701289</c:v>
                </c:pt>
                <c:pt idx="93">
                  <c:v>40.696948051948056</c:v>
                </c:pt>
                <c:pt idx="94">
                  <c:v>40.845194805194801</c:v>
                </c:pt>
                <c:pt idx="95">
                  <c:v>40.99344155844156</c:v>
                </c:pt>
                <c:pt idx="96">
                  <c:v>41.141688311688306</c:v>
                </c:pt>
                <c:pt idx="97">
                  <c:v>41.289935064935072</c:v>
                </c:pt>
                <c:pt idx="98">
                  <c:v>41.43818181818181</c:v>
                </c:pt>
                <c:pt idx="99">
                  <c:v>41.586428571428577</c:v>
                </c:pt>
                <c:pt idx="100">
                  <c:v>41.734675324675322</c:v>
                </c:pt>
                <c:pt idx="101">
                  <c:v>41.882922077922082</c:v>
                </c:pt>
                <c:pt idx="102">
                  <c:v>42.031168831168827</c:v>
                </c:pt>
                <c:pt idx="103">
                  <c:v>42.179415584415594</c:v>
                </c:pt>
                <c:pt idx="104">
                  <c:v>42.327662337662332</c:v>
                </c:pt>
                <c:pt idx="105">
                  <c:v>42.475909090909099</c:v>
                </c:pt>
                <c:pt idx="106">
                  <c:v>42.624155844155837</c:v>
                </c:pt>
                <c:pt idx="107">
                  <c:v>42.772402597402603</c:v>
                </c:pt>
                <c:pt idx="108">
                  <c:v>42.920649350649342</c:v>
                </c:pt>
                <c:pt idx="109">
                  <c:v>43.068896103896108</c:v>
                </c:pt>
                <c:pt idx="110">
                  <c:v>43.217142857142846</c:v>
                </c:pt>
                <c:pt idx="111">
                  <c:v>43.365389610389613</c:v>
                </c:pt>
                <c:pt idx="112">
                  <c:v>43.513636363636358</c:v>
                </c:pt>
                <c:pt idx="113">
                  <c:v>43.661883116883118</c:v>
                </c:pt>
                <c:pt idx="114">
                  <c:v>43.810129870129863</c:v>
                </c:pt>
                <c:pt idx="115">
                  <c:v>43.95837662337663</c:v>
                </c:pt>
                <c:pt idx="116">
                  <c:v>44.106623376623375</c:v>
                </c:pt>
                <c:pt idx="117">
                  <c:v>44.254870129870142</c:v>
                </c:pt>
                <c:pt idx="118">
                  <c:v>44.40311688311688</c:v>
                </c:pt>
                <c:pt idx="119">
                  <c:v>44.551363636363646</c:v>
                </c:pt>
                <c:pt idx="120">
                  <c:v>44.699610389610385</c:v>
                </c:pt>
                <c:pt idx="121">
                  <c:v>44.847857142857151</c:v>
                </c:pt>
                <c:pt idx="122">
                  <c:v>44.996103896103889</c:v>
                </c:pt>
                <c:pt idx="123">
                  <c:v>45.144350649350656</c:v>
                </c:pt>
                <c:pt idx="124">
                  <c:v>45.292597402597401</c:v>
                </c:pt>
                <c:pt idx="125">
                  <c:v>45.440844155844161</c:v>
                </c:pt>
                <c:pt idx="126">
                  <c:v>45.589090909090906</c:v>
                </c:pt>
                <c:pt idx="127">
                  <c:v>45.737337662337673</c:v>
                </c:pt>
                <c:pt idx="128">
                  <c:v>45.885584415584418</c:v>
                </c:pt>
                <c:pt idx="129">
                  <c:v>46.033831168831178</c:v>
                </c:pt>
                <c:pt idx="130">
                  <c:v>46.182077922077923</c:v>
                </c:pt>
                <c:pt idx="131">
                  <c:v>46.33032467532469</c:v>
                </c:pt>
                <c:pt idx="132">
                  <c:v>46.478571428571428</c:v>
                </c:pt>
                <c:pt idx="133">
                  <c:v>46.626818181818194</c:v>
                </c:pt>
                <c:pt idx="134">
                  <c:v>46.775064935064933</c:v>
                </c:pt>
                <c:pt idx="135">
                  <c:v>46.923311688311699</c:v>
                </c:pt>
                <c:pt idx="136">
                  <c:v>47.071558441558437</c:v>
                </c:pt>
                <c:pt idx="137">
                  <c:v>47.219805194805204</c:v>
                </c:pt>
                <c:pt idx="138">
                  <c:v>47.368051948051942</c:v>
                </c:pt>
                <c:pt idx="139">
                  <c:v>47.516298701298709</c:v>
                </c:pt>
                <c:pt idx="140">
                  <c:v>47.664545454545454</c:v>
                </c:pt>
                <c:pt idx="141">
                  <c:v>47.812792207792214</c:v>
                </c:pt>
                <c:pt idx="142">
                  <c:v>47.961038961038966</c:v>
                </c:pt>
                <c:pt idx="143">
                  <c:v>48.109285714285726</c:v>
                </c:pt>
                <c:pt idx="144">
                  <c:v>48.257532467532471</c:v>
                </c:pt>
                <c:pt idx="145">
                  <c:v>48.405779220779237</c:v>
                </c:pt>
                <c:pt idx="146">
                  <c:v>48.554025974025976</c:v>
                </c:pt>
                <c:pt idx="147">
                  <c:v>48.702272727272742</c:v>
                </c:pt>
                <c:pt idx="148">
                  <c:v>48.85051948051948</c:v>
                </c:pt>
                <c:pt idx="149">
                  <c:v>48.998766233766247</c:v>
                </c:pt>
                <c:pt idx="150">
                  <c:v>49.147012987012985</c:v>
                </c:pt>
                <c:pt idx="151">
                  <c:v>49.295259740259752</c:v>
                </c:pt>
                <c:pt idx="152">
                  <c:v>49.44350649350649</c:v>
                </c:pt>
                <c:pt idx="153">
                  <c:v>49.591753246753257</c:v>
                </c:pt>
                <c:pt idx="154">
                  <c:v>49.74</c:v>
                </c:pt>
              </c:numCache>
            </c:numRef>
          </c:val>
          <c:smooth val="0"/>
          <c:extLst>
            <c:ext xmlns:c16="http://schemas.microsoft.com/office/drawing/2014/chart" uri="{C3380CC4-5D6E-409C-BE32-E72D297353CC}">
              <c16:uniqueId val="{00000001-5265-4B4D-B704-5CD61BD51698}"/>
            </c:ext>
          </c:extLst>
        </c:ser>
        <c:dLbls>
          <c:showLegendKey val="0"/>
          <c:showVal val="0"/>
          <c:showCatName val="0"/>
          <c:showSerName val="0"/>
          <c:showPercent val="0"/>
          <c:showBubbleSize val="0"/>
        </c:dLbls>
        <c:hiLowLines>
          <c:spPr>
            <a:ln w="0">
              <a:noFill/>
            </a:ln>
          </c:spPr>
        </c:hiLowLines>
        <c:marker val="1"/>
        <c:smooth val="0"/>
        <c:axId val="90177927"/>
        <c:axId val="50508579"/>
      </c:lineChart>
      <c:dateAx>
        <c:axId val="91803403"/>
        <c:scaling>
          <c:orientation val="minMax"/>
        </c:scaling>
        <c:delete val="1"/>
        <c:axPos val="b"/>
        <c:numFmt formatCode="mm/dd/yyyy" sourceLinked="1"/>
        <c:majorTickMark val="none"/>
        <c:minorTickMark val="none"/>
        <c:tickLblPos val="nextTo"/>
        <c:crossAx val="48350277"/>
        <c:crosses val="autoZero"/>
        <c:auto val="1"/>
        <c:lblOffset val="100"/>
        <c:baseTimeUnit val="days"/>
      </c:dateAx>
      <c:valAx>
        <c:axId val="483502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1803403"/>
        <c:crosses val="autoZero"/>
        <c:crossBetween val="between"/>
      </c:valAx>
      <c:dateAx>
        <c:axId val="90177927"/>
        <c:scaling>
          <c:orientation val="minMax"/>
        </c:scaling>
        <c:delete val="1"/>
        <c:axPos val="b"/>
        <c:numFmt formatCode="mm/dd/yyyy" sourceLinked="1"/>
        <c:majorTickMark val="none"/>
        <c:minorTickMark val="none"/>
        <c:tickLblPos val="nextTo"/>
        <c:crossAx val="50508579"/>
        <c:crosses val="autoZero"/>
        <c:auto val="1"/>
        <c:lblOffset val="100"/>
        <c:baseTimeUnit val="days"/>
      </c:dateAx>
      <c:valAx>
        <c:axId val="505085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017792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731160</xdr:colOff>
      <xdr:row>175</xdr:row>
      <xdr:rowOff>52200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25920</xdr:colOff>
      <xdr:row>175</xdr:row>
      <xdr:rowOff>52200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190080</xdr:colOff>
      <xdr:row>175</xdr:row>
      <xdr:rowOff>52200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448920</xdr:colOff>
      <xdr:row>175</xdr:row>
      <xdr:rowOff>52200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731160</xdr:colOff>
      <xdr:row>191</xdr:row>
      <xdr:rowOff>52200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25920</xdr:colOff>
      <xdr:row>191</xdr:row>
      <xdr:rowOff>52200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190080</xdr:colOff>
      <xdr:row>191</xdr:row>
      <xdr:rowOff>52200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448920</xdr:colOff>
      <xdr:row>191</xdr:row>
      <xdr:rowOff>52200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731160</xdr:colOff>
      <xdr:row>207</xdr:row>
      <xdr:rowOff>52200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25920</xdr:colOff>
      <xdr:row>207</xdr:row>
      <xdr:rowOff>52200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190080</xdr:colOff>
      <xdr:row>207</xdr:row>
      <xdr:rowOff>52200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448920</xdr:colOff>
      <xdr:row>207</xdr:row>
      <xdr:rowOff>52200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731160</xdr:colOff>
      <xdr:row>223</xdr:row>
      <xdr:rowOff>52200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25920</xdr:colOff>
      <xdr:row>223</xdr:row>
      <xdr:rowOff>52200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190080</xdr:colOff>
      <xdr:row>223</xdr:row>
      <xdr:rowOff>52200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448920</xdr:colOff>
      <xdr:row>223</xdr:row>
      <xdr:rowOff>52200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731160</xdr:colOff>
      <xdr:row>239</xdr:row>
      <xdr:rowOff>52200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25920</xdr:colOff>
      <xdr:row>239</xdr:row>
      <xdr:rowOff>52200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39" totalsRowShown="0">
  <autoFilter ref="A2:M39" xr:uid="{00000000-0009-0000-0100-00000100000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 ($)"/>
    <tableColumn id="7" xr3:uid="{00000000-0010-0000-0000-000007000000}" name="Market Value ($)"/>
    <tableColumn id="8" xr3:uid="{00000000-0010-0000-0000-000008000000}" name="Cost Basis ($)"/>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P42" totalsRowShown="0">
  <autoFilter ref="A2:P42" xr:uid="{00000000-0009-0000-0100-000006000000}"/>
  <tableColumns count="16">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Days Since_x000a_Last Score"/>
    <tableColumn id="15" xr3:uid="{00000000-0010-0000-0100-00000F000000}" name="Recheck Status"/>
    <tableColumn id="16" xr3:uid="{00000000-0010-0000-0100-000010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27" totalsRowShown="0">
  <autoFilter ref="A1:J27" xr:uid="{00000000-0009-0000-0100-00000200000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R45" totalsRowShown="0">
  <autoFilter ref="A2:R45" xr:uid="{00000000-0009-0000-0100-000004000000}"/>
  <tableColumns count="18">
    <tableColumn id="1" xr3:uid="{00000000-0010-0000-0300-000001000000}" name="Ticker"/>
    <tableColumn id="2" xr3:uid="{00000000-0010-0000-0300-000002000000}" name="Company"/>
    <tableColumn id="3" xr3:uid="{00000000-0010-0000-0300-000003000000}" name="Rule 5_x000a_Composite_x000a_≥65?"/>
    <tableColumn id="4" xr3:uid="{00000000-0010-0000-0300-000004000000}" name="Rule 6_x000a_Tier1_x000a_≥3.0?"/>
    <tableColumn id="5" xr3:uid="{00000000-0010-0000-0300-000005000000}" name="Rule 7_x000a_No Tier1_x000a_=1?"/>
    <tableColumn id="6" xr3:uid="{00000000-0010-0000-0300-000006000000}" name="Rule 8_x000a_Above/reclaimed_x000a_200-wk MA?_x000a_(Y/N)"/>
    <tableColumn id="7" xr3:uid="{00000000-0010-0000-0300-000007000000}" name="Rule 9_x000a_Monthly MACD_x000a_positive/turning?_x000a_(Y/N)"/>
    <tableColumn id="8" xr3:uid="{00000000-0010-0000-0300-000008000000}" name="Staging_x000a_Result_x000a_(Rules 8-9)"/>
    <tableColumn id="9" xr3:uid="{00000000-0010-0000-0300-000009000000}" name="Rule 10_x000a_Binary event_x000a_risk present?_x000a_(Y/N)"/>
    <tableColumn id="10" xr3:uid="{00000000-0010-0000-0300-00000A000000}" name="Risk included_x000a_in thesis?_x000a_(Y/N)"/>
    <tableColumn id="11" xr3:uid="{00000000-0010-0000-0300-00000B000000}" name="Rule 10_x000a_Result"/>
    <tableColumn id="12" xr3:uid="{00000000-0010-0000-0300-00000C000000}" name="Rule 11_x000a_Bear Case_x000a_≥0%?"/>
    <tableColumn id="13" xr3:uid="{00000000-0010-0000-0300-00000D000000}" name="Rule 12_x000a_Scenario tags_x000a_OK?"/>
    <tableColumn id="14" xr3:uid="{00000000-0010-0000-0300-00000E000000}" name="P/FCF_x000a_(current)"/>
    <tableColumn id="15" xr3:uid="{00000000-0010-0000-0300-00000F000000}" name="Consensus FCF_x000a_growth, 2-yr_x000a_annualized"/>
    <tableColumn id="16" xr3:uid="{00000000-0010-0000-0300-000010000000}" name="Rule 13_x000a_Valuation_x000a_Ceiling"/>
    <tableColumn id="17" xr3:uid="{00000000-0010-0000-0300-000011000000}" name="ENTRY_x000a_AUTHORIZED?"/>
    <tableColumn id="18" xr3:uid="{00000000-0010-0000-0300-000012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WatchListTable" displayName="WatchListTable" ref="A2:L22" totalsRowShown="0">
  <autoFilter ref="A2:L22" xr:uid="{00000000-0009-0000-0100-000008000000}"/>
  <tableColumns count="12">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tableColumn id="10" xr3:uid="{00000000-0010-0000-0500-00000A000000}" name="Days_x000a_Remaining"/>
    <tableColumn id="11" xr3:uid="{00000000-0010-0000-0500-00000B000000}" name="Action Status"/>
    <tableColumn id="12" xr3:uid="{00000000-0010-0000-0500-00000C000000}" name="Remediation Plan Note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TrackingTable" displayName="PerformanceTrackingTable" ref="A2:Q33" totalsRowShown="0">
  <autoFilter ref="A2:Q33" xr:uid="{00000000-0009-0000-0100-000007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_x000a_Exit Price"/>
    <tableColumn id="14" xr3:uid="{00000000-0010-0000-0600-00000E000000}" name="SPY Price_x000a_(current/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0"/>
  <sheetViews>
    <sheetView showGridLines="0" topLeftCell="A11" zoomScaleNormal="100" workbookViewId="0"/>
  </sheetViews>
  <sheetFormatPr baseColWidth="10" defaultColWidth="8.6640625" defaultRowHeight="15" x14ac:dyDescent="0.2"/>
  <cols>
    <col min="1" max="1" width="100" customWidth="1"/>
  </cols>
  <sheetData>
    <row r="1" spans="1:1" ht="21.75" customHeight="1" x14ac:dyDescent="0.2">
      <c r="A1" s="15" t="s">
        <v>0</v>
      </c>
    </row>
    <row r="2" spans="1:1" ht="13.5" customHeight="1" x14ac:dyDescent="0.2">
      <c r="A2" s="16"/>
    </row>
    <row r="3" spans="1:1" ht="13.5" customHeight="1" x14ac:dyDescent="0.2">
      <c r="A3" s="17" t="s">
        <v>1</v>
      </c>
    </row>
    <row r="4" spans="1:1" ht="13.5" customHeight="1" x14ac:dyDescent="0.2">
      <c r="A4" s="16" t="s">
        <v>2</v>
      </c>
    </row>
    <row r="5" spans="1:1" ht="13.5" customHeight="1" x14ac:dyDescent="0.2">
      <c r="A5" s="16" t="s">
        <v>3</v>
      </c>
    </row>
    <row r="6" spans="1:1" ht="13.5" customHeight="1" x14ac:dyDescent="0.2">
      <c r="A6" s="16"/>
    </row>
    <row r="7" spans="1:1" ht="13.5" customHeight="1" x14ac:dyDescent="0.2">
      <c r="A7" s="18" t="s">
        <v>4</v>
      </c>
    </row>
    <row r="8" spans="1:1" ht="13.5" customHeight="1" x14ac:dyDescent="0.2">
      <c r="A8" s="16" t="s">
        <v>5</v>
      </c>
    </row>
    <row r="9" spans="1:1" ht="13.5" customHeight="1" x14ac:dyDescent="0.2">
      <c r="A9" s="16" t="s">
        <v>6</v>
      </c>
    </row>
    <row r="10" spans="1:1" ht="13.5" customHeight="1" x14ac:dyDescent="0.2">
      <c r="A10" s="16" t="s">
        <v>7</v>
      </c>
    </row>
    <row r="11" spans="1:1" ht="13.5" customHeight="1" x14ac:dyDescent="0.2">
      <c r="A11" s="16" t="s">
        <v>8</v>
      </c>
    </row>
    <row r="12" spans="1:1" ht="13.5" customHeight="1" x14ac:dyDescent="0.2">
      <c r="A12" s="16" t="s">
        <v>9</v>
      </c>
    </row>
    <row r="13" spans="1:1" ht="13.5" customHeight="1" x14ac:dyDescent="0.2">
      <c r="A13" s="16" t="s">
        <v>10</v>
      </c>
    </row>
    <row r="14" spans="1:1" ht="13.5" customHeight="1" x14ac:dyDescent="0.2">
      <c r="A14" s="16" t="s">
        <v>11</v>
      </c>
    </row>
    <row r="15" spans="1:1" ht="13.5" customHeight="1" x14ac:dyDescent="0.2">
      <c r="A15" s="16" t="s">
        <v>12</v>
      </c>
    </row>
    <row r="16" spans="1:1" ht="13.5" customHeight="1" x14ac:dyDescent="0.2">
      <c r="A16" s="16" t="s">
        <v>13</v>
      </c>
    </row>
    <row r="17" spans="1:1" ht="13.5" customHeight="1" x14ac:dyDescent="0.2">
      <c r="A17" s="16" t="s">
        <v>14</v>
      </c>
    </row>
    <row r="18" spans="1:1" ht="13.5" customHeight="1" x14ac:dyDescent="0.2">
      <c r="A18" s="16"/>
    </row>
    <row r="19" spans="1:1" ht="13.5" customHeight="1" x14ac:dyDescent="0.2">
      <c r="A19" s="18" t="s">
        <v>15</v>
      </c>
    </row>
    <row r="20" spans="1:1" ht="13.5" customHeight="1" x14ac:dyDescent="0.2">
      <c r="A20" s="16" t="s">
        <v>16</v>
      </c>
    </row>
    <row r="21" spans="1:1" ht="13.5" customHeight="1" x14ac:dyDescent="0.2">
      <c r="A21" s="16" t="s">
        <v>17</v>
      </c>
    </row>
    <row r="22" spans="1:1" ht="13.5" customHeight="1" x14ac:dyDescent="0.2">
      <c r="A22" s="16" t="s">
        <v>18</v>
      </c>
    </row>
    <row r="23" spans="1:1" ht="13.5" customHeight="1" x14ac:dyDescent="0.2">
      <c r="A23" s="16" t="s">
        <v>19</v>
      </c>
    </row>
    <row r="24" spans="1:1" ht="13.5" customHeight="1" x14ac:dyDescent="0.2">
      <c r="A24" s="16" t="s">
        <v>20</v>
      </c>
    </row>
    <row r="25" spans="1:1" ht="13.5" customHeight="1" x14ac:dyDescent="0.2">
      <c r="A25" s="16" t="s">
        <v>21</v>
      </c>
    </row>
    <row r="26" spans="1:1" ht="13.5" customHeight="1" x14ac:dyDescent="0.2">
      <c r="A26" s="16" t="s">
        <v>22</v>
      </c>
    </row>
    <row r="27" spans="1:1" ht="13.5" customHeight="1" x14ac:dyDescent="0.2">
      <c r="A27" s="16" t="s">
        <v>23</v>
      </c>
    </row>
    <row r="28" spans="1:1" ht="13.5" customHeight="1" x14ac:dyDescent="0.2">
      <c r="A28" s="16" t="s">
        <v>24</v>
      </c>
    </row>
    <row r="29" spans="1:1" ht="13.5" customHeight="1" x14ac:dyDescent="0.2">
      <c r="A29" s="16"/>
    </row>
    <row r="30" spans="1:1" ht="13.5" customHeight="1" x14ac:dyDescent="0.2">
      <c r="A30" s="18" t="s">
        <v>25</v>
      </c>
    </row>
    <row r="31" spans="1:1" ht="13.5" customHeight="1" x14ac:dyDescent="0.2">
      <c r="A31" s="16" t="s">
        <v>26</v>
      </c>
    </row>
    <row r="32" spans="1:1" ht="13.5" customHeight="1" x14ac:dyDescent="0.2">
      <c r="A32" s="16" t="s">
        <v>27</v>
      </c>
    </row>
    <row r="34" spans="1:1" ht="15" customHeight="1" x14ac:dyDescent="0.2">
      <c r="A34" s="19" t="s">
        <v>28</v>
      </c>
    </row>
    <row r="35" spans="1:1" ht="15" customHeight="1" x14ac:dyDescent="0.2">
      <c r="A35" s="20" t="s">
        <v>29</v>
      </c>
    </row>
    <row r="36" spans="1:1" ht="15" customHeight="1" x14ac:dyDescent="0.2">
      <c r="A36" s="16"/>
    </row>
    <row r="37" spans="1:1" ht="15" customHeight="1" x14ac:dyDescent="0.2">
      <c r="A37" s="18" t="s">
        <v>30</v>
      </c>
    </row>
    <row r="38" spans="1:1" ht="15" customHeight="1" x14ac:dyDescent="0.2">
      <c r="A38" s="16" t="s">
        <v>31</v>
      </c>
    </row>
    <row r="39" spans="1:1" ht="15" customHeight="1" x14ac:dyDescent="0.2">
      <c r="A39" s="16" t="s">
        <v>32</v>
      </c>
    </row>
    <row r="40" spans="1:1" ht="15" customHeight="1" x14ac:dyDescent="0.2">
      <c r="A40" s="16" t="s">
        <v>33</v>
      </c>
    </row>
    <row r="41" spans="1:1" ht="15" customHeight="1" x14ac:dyDescent="0.2">
      <c r="A41" s="16" t="s">
        <v>34</v>
      </c>
    </row>
    <row r="42" spans="1:1" ht="15" customHeight="1" x14ac:dyDescent="0.2">
      <c r="A42" s="16" t="s">
        <v>35</v>
      </c>
    </row>
    <row r="43" spans="1:1" ht="15" customHeight="1" x14ac:dyDescent="0.2">
      <c r="A43" s="16" t="s">
        <v>36</v>
      </c>
    </row>
    <row r="44" spans="1:1" ht="15" customHeight="1" x14ac:dyDescent="0.2">
      <c r="A44" s="16" t="s">
        <v>37</v>
      </c>
    </row>
    <row r="45" spans="1:1" ht="15" customHeight="1" x14ac:dyDescent="0.2">
      <c r="A45" s="16" t="s">
        <v>38</v>
      </c>
    </row>
    <row r="46" spans="1:1" ht="15" customHeight="1" x14ac:dyDescent="0.2">
      <c r="A46" s="16" t="s">
        <v>39</v>
      </c>
    </row>
    <row r="47" spans="1:1" ht="15" customHeight="1" x14ac:dyDescent="0.2">
      <c r="A47" s="16" t="s">
        <v>40</v>
      </c>
    </row>
    <row r="48" spans="1:1" ht="15" customHeight="1" x14ac:dyDescent="0.2">
      <c r="A48" s="16" t="s">
        <v>41</v>
      </c>
    </row>
    <row r="49" spans="1:1" ht="15" customHeight="1" x14ac:dyDescent="0.2">
      <c r="A49" s="16" t="s">
        <v>42</v>
      </c>
    </row>
    <row r="50" spans="1:1" ht="15" customHeight="1" x14ac:dyDescent="0.2">
      <c r="A50" s="16" t="s">
        <v>43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zoomScaleNormal="100" workbookViewId="0">
      <selection activeCell="N18" sqref="N18"/>
    </sheetView>
  </sheetViews>
  <sheetFormatPr baseColWidth="10" defaultColWidth="8.6640625" defaultRowHeight="15" x14ac:dyDescent="0.2"/>
  <cols>
    <col min="1" max="1" width="33.5" customWidth="1"/>
    <col min="2" max="4" width="12" customWidth="1"/>
    <col min="5" max="5" width="14" customWidth="1"/>
    <col min="6" max="6" width="8" customWidth="1"/>
  </cols>
  <sheetData>
    <row r="1" spans="1:6" ht="35.25" customHeight="1" x14ac:dyDescent="0.2">
      <c r="A1" s="10" t="s">
        <v>44</v>
      </c>
      <c r="B1" s="10"/>
      <c r="C1" s="10"/>
      <c r="D1" s="10"/>
      <c r="E1" s="10"/>
      <c r="F1" s="10"/>
    </row>
    <row r="2" spans="1:6" ht="15" customHeight="1" x14ac:dyDescent="0.2">
      <c r="A2" s="9" t="s">
        <v>45</v>
      </c>
      <c r="B2" s="9"/>
      <c r="C2" s="9"/>
      <c r="D2" s="9"/>
      <c r="E2" s="9"/>
      <c r="F2" s="9"/>
    </row>
    <row r="4" spans="1:6" ht="15" customHeight="1" x14ac:dyDescent="0.2">
      <c r="A4" s="8" t="s">
        <v>46</v>
      </c>
      <c r="B4" s="8"/>
      <c r="C4" s="8"/>
      <c r="D4" s="8"/>
      <c r="E4" s="8"/>
      <c r="F4" s="8"/>
    </row>
    <row r="5" spans="1:6" ht="15" customHeight="1" x14ac:dyDescent="0.2">
      <c r="A5" s="7" t="s">
        <v>47</v>
      </c>
      <c r="B5" s="7"/>
      <c r="C5" s="7"/>
      <c r="D5" s="7"/>
      <c r="E5" s="6">
        <f>COUNTIF('Watch List Tracker'!K3:K22,"*SELL WITHIN 30 DAYS*")</f>
        <v>0</v>
      </c>
      <c r="F5" s="6"/>
    </row>
    <row r="6" spans="1:6" ht="15" customHeight="1" x14ac:dyDescent="0.2">
      <c r="A6" s="7" t="s">
        <v>48</v>
      </c>
      <c r="B6" s="7"/>
      <c r="C6" s="7"/>
      <c r="D6" s="7"/>
      <c r="E6" s="6">
        <f>COUNTIF('Watch List Tracker'!K3:K22,"DEADLINE APPROACHING")</f>
        <v>0</v>
      </c>
      <c r="F6" s="6"/>
    </row>
    <row r="7" spans="1:6" ht="15" customHeight="1" x14ac:dyDescent="0.2">
      <c r="A7" s="7" t="s">
        <v>49</v>
      </c>
      <c r="B7" s="7"/>
      <c r="C7" s="7"/>
      <c r="D7" s="7"/>
      <c r="E7" s="6">
        <f>COUNTIF('Watch List Tracker'!K3:K22,"*RECOVERED*")</f>
        <v>0</v>
      </c>
      <c r="F7" s="6"/>
    </row>
    <row r="9" spans="1:6" ht="15" customHeight="1" x14ac:dyDescent="0.2">
      <c r="A9" s="8" t="s">
        <v>50</v>
      </c>
      <c r="B9" s="8"/>
      <c r="C9" s="8"/>
      <c r="D9" s="8"/>
      <c r="E9" s="8"/>
      <c r="F9" s="8"/>
    </row>
    <row r="10" spans="1:6" ht="15" customHeight="1" x14ac:dyDescent="0.2">
      <c r="A10" s="7" t="s">
        <v>51</v>
      </c>
      <c r="B10" s="7"/>
      <c r="C10" s="7"/>
      <c r="D10" s="7"/>
      <c r="E10" s="6">
        <f>COUNTIF('Holding Monitor'!AB4:AB23,"*ACTION REQUIRED*")</f>
        <v>0</v>
      </c>
      <c r="F10" s="6"/>
    </row>
    <row r="11" spans="1:6" ht="15" customHeight="1" x14ac:dyDescent="0.2">
      <c r="A11" s="7" t="s">
        <v>52</v>
      </c>
      <c r="B11" s="7"/>
      <c r="C11" s="7"/>
      <c r="D11" s="7"/>
      <c r="E11" s="6">
        <f>COUNTIF('Holding Monitor'!AB4:AB23,"*Hold Through*")</f>
        <v>0</v>
      </c>
      <c r="F11" s="6"/>
    </row>
    <row r="13" spans="1:6" ht="15" customHeight="1" x14ac:dyDescent="0.2">
      <c r="A13" s="8" t="s">
        <v>53</v>
      </c>
      <c r="B13" s="8"/>
      <c r="C13" s="8"/>
      <c r="D13" s="8"/>
      <c r="E13" s="8"/>
      <c r="F13" s="8"/>
    </row>
    <row r="14" spans="1:6" ht="15" customHeight="1" x14ac:dyDescent="0.2">
      <c r="A14" s="7" t="s">
        <v>54</v>
      </c>
      <c r="B14" s="7"/>
      <c r="C14" s="7"/>
      <c r="D14" s="7"/>
      <c r="E14" s="5" t="str">
        <f>'Correlation Matrix'!B17</f>
        <v/>
      </c>
      <c r="F14" s="5"/>
    </row>
    <row r="15" spans="1:6" ht="15" customHeight="1" x14ac:dyDescent="0.2">
      <c r="A15" s="7" t="s">
        <v>55</v>
      </c>
      <c r="B15" s="7"/>
      <c r="C15" s="7"/>
      <c r="D15" s="7"/>
      <c r="E15" s="4">
        <f>'Correlation Matrix'!B16</f>
        <v>0.17</v>
      </c>
      <c r="F15" s="4"/>
    </row>
    <row r="17" spans="1:6" ht="15" customHeight="1" x14ac:dyDescent="0.2">
      <c r="A17" s="8" t="s">
        <v>56</v>
      </c>
      <c r="B17" s="8"/>
      <c r="C17" s="8"/>
      <c r="D17" s="8"/>
      <c r="E17" s="8"/>
      <c r="F17" s="8"/>
    </row>
    <row r="18" spans="1:6" ht="15" customHeight="1" x14ac:dyDescent="0.2">
      <c r="A18" s="7" t="s">
        <v>57</v>
      </c>
      <c r="B18" s="7"/>
      <c r="C18" s="7"/>
      <c r="D18" s="7"/>
      <c r="E18" s="6" t="str">
        <f>IFERROR(INDEX('Portfolio Drawdown Log'!E3:E42,COUNT('Portfolio Drawdown Log'!D3:D42)),"No entries yet")</f>
        <v>Normal</v>
      </c>
      <c r="F18" s="6"/>
    </row>
    <row r="19" spans="1:6" ht="15" customHeight="1" x14ac:dyDescent="0.2">
      <c r="A19" s="7" t="s">
        <v>58</v>
      </c>
      <c r="B19" s="7"/>
      <c r="C19" s="7"/>
      <c r="D19" s="7"/>
      <c r="E19" s="3">
        <f>IFERROR(INDEX('Portfolio Drawdown Log'!D3:D42,COUNT('Portfolio Drawdown Log'!D3:D42)),"")</f>
        <v>0</v>
      </c>
      <c r="F19" s="3"/>
    </row>
    <row r="20" spans="1:6" ht="15" customHeight="1" x14ac:dyDescent="0.2">
      <c r="A20" s="7" t="s">
        <v>59</v>
      </c>
      <c r="B20" s="7"/>
      <c r="C20" s="7"/>
      <c r="D20" s="7"/>
      <c r="E20" s="6" t="str">
        <f>IFERROR(INDEX('Portfolio Drawdown Log'!F3:F42,COUNT('Portfolio Drawdown Log'!D3:D42)),"")</f>
        <v>5-15%</v>
      </c>
      <c r="F20" s="6"/>
    </row>
    <row r="22" spans="1:6" ht="15" customHeight="1" x14ac:dyDescent="0.2">
      <c r="A22" s="8" t="s">
        <v>60</v>
      </c>
      <c r="B22" s="8"/>
      <c r="C22" s="8"/>
      <c r="D22" s="8"/>
      <c r="E22" s="8"/>
      <c r="F22" s="8"/>
    </row>
    <row r="23" spans="1:6" ht="15" customHeight="1" x14ac:dyDescent="0.2">
      <c r="A23" s="7" t="s">
        <v>61</v>
      </c>
      <c r="B23" s="7"/>
      <c r="C23" s="7"/>
      <c r="D23" s="7"/>
      <c r="E23" s="6">
        <f>COUNTIF(Scoring!AH3:AH27,"FAIL")</f>
        <v>9</v>
      </c>
      <c r="F23" s="6"/>
    </row>
    <row r="24" spans="1:6" ht="15" customHeight="1" x14ac:dyDescent="0.2">
      <c r="A24" s="7" t="s">
        <v>62</v>
      </c>
      <c r="B24" s="7"/>
      <c r="C24" s="7"/>
      <c r="D24" s="7"/>
      <c r="E24" s="6">
        <f>COUNTIF(Scoring!AJ3:AJ27,"AVOID")</f>
        <v>9</v>
      </c>
      <c r="F24" s="6"/>
    </row>
    <row r="25" spans="1:6" ht="15" customHeight="1" x14ac:dyDescent="0.2">
      <c r="A25" s="7" t="s">
        <v>63</v>
      </c>
      <c r="B25" s="7"/>
      <c r="C25" s="7"/>
      <c r="D25" s="7"/>
      <c r="E25" s="6">
        <f>COUNTIF(Scoring!AI3:AI27,"REVIEW")</f>
        <v>7</v>
      </c>
      <c r="F25" s="6"/>
    </row>
    <row r="26" spans="1:6" ht="15" customHeight="1" x14ac:dyDescent="0.2">
      <c r="A26" s="7" t="s">
        <v>64</v>
      </c>
      <c r="B26" s="7"/>
      <c r="C26" s="7"/>
      <c r="D26" s="7"/>
      <c r="E26" s="6">
        <f>COUNTIF(Scoring!AK3:AK27,"CAP AT BUY")</f>
        <v>0</v>
      </c>
      <c r="F26" s="6"/>
    </row>
    <row r="27" spans="1:6" ht="15" customHeight="1" x14ac:dyDescent="0.2">
      <c r="A27" s="8" t="s">
        <v>65</v>
      </c>
      <c r="B27" s="8"/>
      <c r="C27" s="8"/>
      <c r="D27" s="8"/>
      <c r="E27" s="8"/>
      <c r="F27" s="8"/>
    </row>
    <row r="28" spans="1:6" ht="15" customHeight="1" x14ac:dyDescent="0.2">
      <c r="A28" s="7" t="s">
        <v>66</v>
      </c>
      <c r="B28" s="7"/>
      <c r="C28" s="7"/>
      <c r="D28" s="7"/>
      <c r="E28" s="6">
        <f>COUNTIF('Entry Checklist'!Q3:Q27,"NO*")</f>
        <v>0</v>
      </c>
      <c r="F28" s="6"/>
    </row>
    <row r="29" spans="1:6" ht="15" customHeight="1" x14ac:dyDescent="0.2">
      <c r="A29" s="7" t="s">
        <v>67</v>
      </c>
      <c r="B29" s="7"/>
      <c r="C29" s="7"/>
      <c r="D29" s="7"/>
      <c r="E29" s="6">
        <f>COUNTIF('Entry Checklist'!H3:H27,"*50%*")</f>
        <v>0</v>
      </c>
      <c r="F29" s="6"/>
    </row>
  </sheetData>
  <mergeCells count="40">
    <mergeCell ref="A28:D28"/>
    <mergeCell ref="E28:F28"/>
    <mergeCell ref="A29:D29"/>
    <mergeCell ref="E29:F29"/>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79" priority="2" operator="greaterThan">
      <formula>0</formula>
    </cfRule>
  </conditionalFormatting>
  <conditionalFormatting sqref="E10">
    <cfRule type="cellIs" dxfId="78" priority="3" operator="greaterThan">
      <formula>0</formula>
    </cfRule>
  </conditionalFormatting>
  <conditionalFormatting sqref="E23:E24">
    <cfRule type="cellIs" dxfId="77" priority="4" operator="greaterThan">
      <formula>0</formula>
    </cfRule>
  </conditionalFormatting>
  <conditionalFormatting sqref="E28">
    <cfRule type="cellIs" dxfId="76" priority="5"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
  <sheetViews>
    <sheetView showGridLines="0" zoomScaleNormal="100" workbookViewId="0">
      <pane ySplit="2" topLeftCell="A3" activePane="bottomLeft" state="frozen"/>
      <selection pane="bottomLeft" activeCell="J43" sqref="J43"/>
    </sheetView>
  </sheetViews>
  <sheetFormatPr baseColWidth="10" defaultColWidth="8.6640625" defaultRowHeight="15" x14ac:dyDescent="0.2"/>
  <cols>
    <col min="1" max="1" width="11" customWidth="1"/>
    <col min="2" max="2" width="9" customWidth="1"/>
    <col min="3" max="3" width="30" customWidth="1"/>
    <col min="4" max="4" width="16" customWidth="1"/>
    <col min="5" max="5" width="12" customWidth="1"/>
    <col min="6" max="6" width="10" customWidth="1"/>
    <col min="7" max="9" width="13" customWidth="1"/>
    <col min="10" max="11" width="11" customWidth="1"/>
    <col min="12" max="12" width="13" customWidth="1"/>
    <col min="13" max="13" width="34" customWidth="1"/>
    <col min="15" max="15" width="26" customWidth="1"/>
    <col min="16" max="16" width="13" customWidth="1"/>
  </cols>
  <sheetData>
    <row r="1" spans="1:16" ht="30" customHeight="1" x14ac:dyDescent="0.2">
      <c r="A1" s="2" t="s">
        <v>68</v>
      </c>
      <c r="B1" s="2"/>
      <c r="C1" s="2"/>
      <c r="D1" s="2"/>
      <c r="E1" s="2"/>
      <c r="F1" s="2"/>
      <c r="G1" s="2"/>
      <c r="H1" s="2"/>
      <c r="I1" s="2"/>
      <c r="J1" s="2"/>
      <c r="K1" s="2"/>
      <c r="L1" s="2"/>
      <c r="M1" s="2"/>
      <c r="O1" s="1" t="s">
        <v>69</v>
      </c>
      <c r="P1" s="1"/>
    </row>
    <row r="2" spans="1:16" ht="27.75" customHeight="1" x14ac:dyDescent="0.2">
      <c r="A2" s="22" t="s">
        <v>70</v>
      </c>
      <c r="B2" s="22" t="s">
        <v>71</v>
      </c>
      <c r="C2" s="22" t="s">
        <v>72</v>
      </c>
      <c r="D2" s="22" t="s">
        <v>73</v>
      </c>
      <c r="E2" s="22" t="s">
        <v>74</v>
      </c>
      <c r="F2" s="22" t="s">
        <v>75</v>
      </c>
      <c r="G2" s="22" t="s">
        <v>76</v>
      </c>
      <c r="H2" s="22" t="s">
        <v>77</v>
      </c>
      <c r="I2" s="22" t="s">
        <v>78</v>
      </c>
      <c r="J2" s="22" t="s">
        <v>79</v>
      </c>
      <c r="K2" s="22" t="s">
        <v>80</v>
      </c>
      <c r="L2" s="22" t="s">
        <v>81</v>
      </c>
      <c r="M2" s="22" t="s">
        <v>82</v>
      </c>
      <c r="O2" s="23" t="s">
        <v>83</v>
      </c>
      <c r="P2" s="24"/>
    </row>
    <row r="3" spans="1:16" ht="15" customHeight="1" x14ac:dyDescent="0.2">
      <c r="A3" s="25" t="s">
        <v>84</v>
      </c>
      <c r="B3" s="26" t="s">
        <v>85</v>
      </c>
      <c r="C3" s="25" t="s">
        <v>86</v>
      </c>
      <c r="D3" s="26" t="s">
        <v>87</v>
      </c>
      <c r="E3" s="26">
        <v>65</v>
      </c>
      <c r="F3" s="26">
        <v>259.32</v>
      </c>
      <c r="G3" s="27">
        <f t="shared" ref="G3:G14" si="0">E3*F3</f>
        <v>16855.8</v>
      </c>
      <c r="H3" s="28">
        <v>19163.84</v>
      </c>
      <c r="I3" s="29">
        <f t="shared" ref="I3:I14" si="1">G3-H3</f>
        <v>-2308.0400000000009</v>
      </c>
      <c r="J3" s="30">
        <f t="shared" ref="J3:J14" si="2">IF(H3=0,"",G3/H3-1)</f>
        <v>-0.12043724013558876</v>
      </c>
      <c r="K3" s="30">
        <f>IFERROR(G3/SUM(G3:G14),"")</f>
        <v>4.1771980714973997E-2</v>
      </c>
      <c r="L3" s="30">
        <f>IFERROR(G3/SUM(G3:G14,G17:G35),"")</f>
        <v>2.4053924711407236E-2</v>
      </c>
      <c r="M3" s="25" t="s">
        <v>88</v>
      </c>
      <c r="O3" s="23" t="s">
        <v>89</v>
      </c>
      <c r="P3" s="24"/>
    </row>
    <row r="4" spans="1:16" ht="15" customHeight="1" x14ac:dyDescent="0.2">
      <c r="A4" s="25" t="s">
        <v>84</v>
      </c>
      <c r="B4" s="26" t="s">
        <v>90</v>
      </c>
      <c r="C4" s="25" t="s">
        <v>91</v>
      </c>
      <c r="D4" s="26" t="s">
        <v>87</v>
      </c>
      <c r="E4" s="26">
        <v>70</v>
      </c>
      <c r="F4" s="26">
        <v>197.31</v>
      </c>
      <c r="G4" s="27">
        <f t="shared" si="0"/>
        <v>13811.7</v>
      </c>
      <c r="H4" s="28">
        <v>10182.200000000001</v>
      </c>
      <c r="I4" s="29">
        <f t="shared" si="1"/>
        <v>3629.5</v>
      </c>
      <c r="J4" s="30">
        <f t="shared" si="2"/>
        <v>0.35645538292314027</v>
      </c>
      <c r="K4" s="30">
        <f>IFERROR(G4/SUM(G3:G14),"")</f>
        <v>3.4228103444571389E-2</v>
      </c>
      <c r="L4" s="30">
        <f>IFERROR(G4/SUM(G3:G14,G17:G35),"")</f>
        <v>1.970986793486772E-2</v>
      </c>
      <c r="M4" s="25"/>
    </row>
    <row r="5" spans="1:16" ht="15" customHeight="1" x14ac:dyDescent="0.2">
      <c r="A5" s="25" t="s">
        <v>84</v>
      </c>
      <c r="B5" s="26" t="s">
        <v>92</v>
      </c>
      <c r="C5" s="25" t="s">
        <v>93</v>
      </c>
      <c r="D5" s="26" t="s">
        <v>87</v>
      </c>
      <c r="E5" s="26">
        <v>7</v>
      </c>
      <c r="F5" s="26">
        <v>1678.22</v>
      </c>
      <c r="G5" s="27">
        <f t="shared" si="0"/>
        <v>11747.54</v>
      </c>
      <c r="H5" s="28">
        <v>9989.8799999999992</v>
      </c>
      <c r="I5" s="29">
        <f t="shared" si="1"/>
        <v>1757.6600000000017</v>
      </c>
      <c r="J5" s="30">
        <f t="shared" si="2"/>
        <v>0.17594405538404878</v>
      </c>
      <c r="K5" s="30">
        <f>IFERROR(G5/SUM(G3:G14),"")</f>
        <v>2.9112709828568548E-2</v>
      </c>
      <c r="L5" s="30">
        <f>IFERROR(G5/SUM(G3:G14,G17:G35),"")</f>
        <v>1.6764226124197309E-2</v>
      </c>
      <c r="M5" s="25"/>
    </row>
    <row r="6" spans="1:16" ht="15" customHeight="1" x14ac:dyDescent="0.2">
      <c r="A6" s="25" t="s">
        <v>84</v>
      </c>
      <c r="B6" s="26" t="s">
        <v>94</v>
      </c>
      <c r="C6" s="25" t="s">
        <v>95</v>
      </c>
      <c r="D6" s="26" t="s">
        <v>87</v>
      </c>
      <c r="E6" s="26">
        <v>40</v>
      </c>
      <c r="F6" s="26">
        <v>209.86</v>
      </c>
      <c r="G6" s="27">
        <f t="shared" si="0"/>
        <v>8394.4000000000015</v>
      </c>
      <c r="H6" s="28">
        <v>4991.3500000000004</v>
      </c>
      <c r="I6" s="29">
        <f t="shared" si="1"/>
        <v>3403.0500000000011</v>
      </c>
      <c r="J6" s="30">
        <f t="shared" si="2"/>
        <v>0.68178949582778214</v>
      </c>
      <c r="K6" s="30">
        <f>IFERROR(G6/SUM(G3:G14),"")</f>
        <v>2.0802970782388127E-2</v>
      </c>
      <c r="L6" s="30">
        <f>IFERROR(G6/SUM(G3:G14,G17:G35),"")</f>
        <v>1.1979156468244576E-2</v>
      </c>
      <c r="M6" s="25"/>
    </row>
    <row r="7" spans="1:16" ht="15" customHeight="1" x14ac:dyDescent="0.2">
      <c r="A7" s="25" t="s">
        <v>84</v>
      </c>
      <c r="B7" s="26" t="s">
        <v>96</v>
      </c>
      <c r="C7" s="25" t="s">
        <v>97</v>
      </c>
      <c r="D7" s="26" t="s">
        <v>87</v>
      </c>
      <c r="E7" s="26">
        <v>100</v>
      </c>
      <c r="F7" s="26">
        <v>192.8</v>
      </c>
      <c r="G7" s="27">
        <f t="shared" si="0"/>
        <v>19280</v>
      </c>
      <c r="H7" s="28">
        <v>15412.54</v>
      </c>
      <c r="I7" s="29">
        <f t="shared" si="1"/>
        <v>3867.4599999999991</v>
      </c>
      <c r="J7" s="30">
        <f t="shared" si="2"/>
        <v>0.25092943797712763</v>
      </c>
      <c r="K7" s="30">
        <f>IFERROR(G7/SUM(G3:G14),"")</f>
        <v>4.7779624116606668E-2</v>
      </c>
      <c r="L7" s="30">
        <f>IFERROR(G7/SUM(G3:G14,G17:G35),"")</f>
        <v>2.7513358513741946E-2</v>
      </c>
      <c r="M7" s="25"/>
    </row>
    <row r="8" spans="1:16" ht="15" customHeight="1" x14ac:dyDescent="0.2">
      <c r="A8" s="25" t="s">
        <v>84</v>
      </c>
      <c r="B8" s="26" t="s">
        <v>98</v>
      </c>
      <c r="C8" s="25" t="s">
        <v>99</v>
      </c>
      <c r="D8" s="26" t="s">
        <v>87</v>
      </c>
      <c r="E8" s="26">
        <v>7</v>
      </c>
      <c r="F8" s="26">
        <v>893.19</v>
      </c>
      <c r="G8" s="27">
        <f t="shared" si="0"/>
        <v>6252.33</v>
      </c>
      <c r="H8" s="28">
        <v>5836.11</v>
      </c>
      <c r="I8" s="29">
        <f t="shared" si="1"/>
        <v>416.22000000000025</v>
      </c>
      <c r="J8" s="30">
        <f t="shared" si="2"/>
        <v>7.1318052606959226E-2</v>
      </c>
      <c r="K8" s="30">
        <f>IFERROR(G8/SUM(G3:G14),"")</f>
        <v>1.5494500894864283E-2</v>
      </c>
      <c r="L8" s="30">
        <f>IFERROR(G8/SUM(G3:G14,G17:G35),"")</f>
        <v>8.9223338608000087E-3</v>
      </c>
      <c r="M8" s="25"/>
    </row>
    <row r="9" spans="1:16" ht="15" customHeight="1" x14ac:dyDescent="0.2">
      <c r="A9" s="25" t="s">
        <v>84</v>
      </c>
      <c r="B9" s="26" t="s">
        <v>100</v>
      </c>
      <c r="C9" s="25" t="s">
        <v>101</v>
      </c>
      <c r="D9" s="26" t="s">
        <v>87</v>
      </c>
      <c r="E9" s="26">
        <v>155</v>
      </c>
      <c r="F9" s="26">
        <v>219.22</v>
      </c>
      <c r="G9" s="27">
        <f t="shared" si="0"/>
        <v>33979.1</v>
      </c>
      <c r="H9" s="28">
        <v>26639.79</v>
      </c>
      <c r="I9" s="29">
        <f t="shared" si="1"/>
        <v>7339.3099999999977</v>
      </c>
      <c r="J9" s="30">
        <f t="shared" si="2"/>
        <v>0.2755017963730193</v>
      </c>
      <c r="K9" s="30">
        <f>IFERROR(G9/SUM(G3:G14),"")</f>
        <v>8.4206878932603202E-2</v>
      </c>
      <c r="L9" s="30">
        <f>IFERROR(G9/SUM(G3:G14,G17:G35),"")</f>
        <v>4.8489583001778469E-2</v>
      </c>
      <c r="M9" s="25"/>
    </row>
    <row r="10" spans="1:16" ht="15" customHeight="1" x14ac:dyDescent="0.2">
      <c r="A10" s="25" t="s">
        <v>84</v>
      </c>
      <c r="B10" s="26" t="s">
        <v>102</v>
      </c>
      <c r="C10" s="25" t="s">
        <v>103</v>
      </c>
      <c r="D10" s="26" t="s">
        <v>87</v>
      </c>
      <c r="E10" s="26">
        <v>70</v>
      </c>
      <c r="F10" s="26">
        <v>158.43</v>
      </c>
      <c r="G10" s="27">
        <f t="shared" si="0"/>
        <v>11090.1</v>
      </c>
      <c r="H10" s="28">
        <v>11612.3</v>
      </c>
      <c r="I10" s="29">
        <f t="shared" si="1"/>
        <v>-522.19999999999891</v>
      </c>
      <c r="J10" s="30">
        <f t="shared" si="2"/>
        <v>-4.4969558140936727E-2</v>
      </c>
      <c r="K10" s="30">
        <f>IFERROR(G10/SUM(G3:G14),"")</f>
        <v>2.748344447176243E-2</v>
      </c>
      <c r="L10" s="30">
        <f>IFERROR(G10/SUM(G3:G14,G17:G35),"")</f>
        <v>1.5826032015210038E-2</v>
      </c>
      <c r="M10" s="25"/>
    </row>
    <row r="11" spans="1:16" ht="15" customHeight="1" x14ac:dyDescent="0.2">
      <c r="A11" s="25" t="s">
        <v>84</v>
      </c>
      <c r="B11" s="26" t="s">
        <v>104</v>
      </c>
      <c r="C11" s="25" t="s">
        <v>105</v>
      </c>
      <c r="D11" s="26" t="s">
        <v>87</v>
      </c>
      <c r="E11" s="26">
        <v>25</v>
      </c>
      <c r="F11" s="26">
        <v>414</v>
      </c>
      <c r="G11" s="27">
        <f t="shared" si="0"/>
        <v>10350</v>
      </c>
      <c r="H11" s="28">
        <v>6069.64</v>
      </c>
      <c r="I11" s="29">
        <f t="shared" si="1"/>
        <v>4280.3599999999997</v>
      </c>
      <c r="J11" s="30">
        <f t="shared" si="2"/>
        <v>0.70520821663228772</v>
      </c>
      <c r="K11" s="30">
        <f>IFERROR(G11/SUM(G3:G14),"")</f>
        <v>2.5649331411145178E-2</v>
      </c>
      <c r="L11" s="30">
        <f>IFERROR(G11/SUM(G3:G14,G17:G35),"")</f>
        <v>1.4769878662719354E-2</v>
      </c>
      <c r="M11" s="25"/>
    </row>
    <row r="12" spans="1:16" ht="15" customHeight="1" x14ac:dyDescent="0.2">
      <c r="A12" s="25" t="s">
        <v>84</v>
      </c>
      <c r="B12" s="26" t="s">
        <v>106</v>
      </c>
      <c r="C12" s="25" t="s">
        <v>107</v>
      </c>
      <c r="D12" s="26" t="s">
        <v>87</v>
      </c>
      <c r="E12" s="26">
        <v>30</v>
      </c>
      <c r="F12" s="26">
        <v>277.94</v>
      </c>
      <c r="G12" s="27">
        <f t="shared" si="0"/>
        <v>8338.2000000000007</v>
      </c>
      <c r="H12" s="28">
        <v>7876.8</v>
      </c>
      <c r="I12" s="29">
        <f t="shared" si="1"/>
        <v>461.40000000000055</v>
      </c>
      <c r="J12" s="30">
        <f t="shared" si="2"/>
        <v>5.8577087141986617E-2</v>
      </c>
      <c r="K12" s="30">
        <f>IFERROR(G12/SUM(G3:G14),"")</f>
        <v>2.0663696151923743E-2</v>
      </c>
      <c r="L12" s="30">
        <f>IFERROR(G12/SUM(G3:G14,G17:G35),"")</f>
        <v>1.1898956740626718E-2</v>
      </c>
      <c r="M12" s="25"/>
    </row>
    <row r="13" spans="1:16" ht="15" customHeight="1" x14ac:dyDescent="0.2">
      <c r="A13" s="25" t="s">
        <v>84</v>
      </c>
      <c r="B13" s="26" t="s">
        <v>108</v>
      </c>
      <c r="C13" s="25" t="s">
        <v>109</v>
      </c>
      <c r="D13" s="31" t="s">
        <v>110</v>
      </c>
      <c r="E13" s="32">
        <v>244620.56</v>
      </c>
      <c r="F13" s="31">
        <v>1</v>
      </c>
      <c r="G13" s="27">
        <f t="shared" si="0"/>
        <v>244620.56</v>
      </c>
      <c r="H13" s="28">
        <v>244620.56</v>
      </c>
      <c r="I13" s="29">
        <f t="shared" si="1"/>
        <v>0</v>
      </c>
      <c r="J13" s="30">
        <f t="shared" si="2"/>
        <v>0</v>
      </c>
      <c r="K13" s="30">
        <f>IFERROR(G13/SUM(G3:G14),"")</f>
        <v>0.60621775975071723</v>
      </c>
      <c r="L13" s="30">
        <f>IFERROR(G13/SUM(G3:G14,G17:G35),"")</f>
        <v>0.34908367049337774</v>
      </c>
      <c r="M13" s="25"/>
    </row>
    <row r="14" spans="1:16" ht="15" customHeight="1" x14ac:dyDescent="0.2">
      <c r="A14" s="25" t="s">
        <v>84</v>
      </c>
      <c r="B14" s="26" t="s">
        <v>111</v>
      </c>
      <c r="C14" s="25" t="s">
        <v>112</v>
      </c>
      <c r="D14" s="31" t="s">
        <v>110</v>
      </c>
      <c r="E14" s="32">
        <v>18799.560000000001</v>
      </c>
      <c r="F14" s="31">
        <v>1</v>
      </c>
      <c r="G14" s="27">
        <f t="shared" si="0"/>
        <v>18799.560000000001</v>
      </c>
      <c r="H14" s="28">
        <v>18799.560000000001</v>
      </c>
      <c r="I14" s="29">
        <f t="shared" si="1"/>
        <v>0</v>
      </c>
      <c r="J14" s="30">
        <f t="shared" si="2"/>
        <v>0</v>
      </c>
      <c r="K14" s="30">
        <f>IFERROR(G14/SUM(G3:G14),"")</f>
        <v>4.6588999499875217E-2</v>
      </c>
      <c r="L14" s="30">
        <f>IFERROR(G14/SUM(G3:G14,G17:G35),"")</f>
        <v>2.6827750735508433E-2</v>
      </c>
      <c r="M14" s="25"/>
    </row>
    <row r="15" spans="1:16" ht="15" customHeight="1" x14ac:dyDescent="0.2">
      <c r="A15" s="33"/>
      <c r="B15" s="33"/>
      <c r="C15" s="34" t="s">
        <v>113</v>
      </c>
      <c r="D15" s="33"/>
      <c r="E15" s="33"/>
      <c r="F15" s="33"/>
      <c r="G15" s="35">
        <f>SUM(G3:G14)</f>
        <v>403519.29</v>
      </c>
      <c r="H15" s="36">
        <f>SUM(H3:H14)</f>
        <v>381194.57</v>
      </c>
      <c r="I15" s="35">
        <f>SUM(I3:I14)</f>
        <v>22324.720000000001</v>
      </c>
      <c r="J15" s="37"/>
      <c r="K15" s="37"/>
      <c r="L15" s="37"/>
      <c r="M15" s="33"/>
    </row>
    <row r="16" spans="1:16" ht="15" customHeight="1" x14ac:dyDescent="0.2">
      <c r="A16" s="38"/>
      <c r="B16" s="38"/>
      <c r="C16" s="38"/>
      <c r="D16" s="38"/>
      <c r="E16" s="38"/>
      <c r="F16" s="38"/>
      <c r="H16" s="38"/>
      <c r="M16" s="38"/>
    </row>
    <row r="17" spans="1:13" ht="15" customHeight="1" x14ac:dyDescent="0.2">
      <c r="A17" s="25" t="s">
        <v>114</v>
      </c>
      <c r="B17" s="26" t="s">
        <v>115</v>
      </c>
      <c r="C17" s="25" t="s">
        <v>116</v>
      </c>
      <c r="D17" s="31" t="s">
        <v>110</v>
      </c>
      <c r="E17" s="32">
        <v>58007.32</v>
      </c>
      <c r="F17" s="26">
        <v>1</v>
      </c>
      <c r="G17" s="27">
        <f t="shared" ref="G17:G35" si="3">E17*F17</f>
        <v>58007.32</v>
      </c>
      <c r="H17" s="28">
        <v>58007.32</v>
      </c>
      <c r="I17" s="29">
        <f t="shared" ref="I17:I35" si="4">G17-H17</f>
        <v>0</v>
      </c>
      <c r="J17" s="30">
        <f t="shared" ref="J17:J35" si="5">IF(H17=0,"",G17/H17-1)</f>
        <v>0</v>
      </c>
      <c r="K17" s="30">
        <f>IFERROR(G17/SUM(G17:G35),"")</f>
        <v>0.19515890717396572</v>
      </c>
      <c r="L17" s="30">
        <f>IFERROR(G17/SUM(G3:G14,G17:G35),"")</f>
        <v>8.2778848111066047E-2</v>
      </c>
      <c r="M17" s="25"/>
    </row>
    <row r="18" spans="1:13" ht="15" customHeight="1" x14ac:dyDescent="0.2">
      <c r="A18" s="25" t="s">
        <v>114</v>
      </c>
      <c r="B18" s="26" t="s">
        <v>117</v>
      </c>
      <c r="C18" s="25" t="s">
        <v>118</v>
      </c>
      <c r="D18" s="26" t="s">
        <v>119</v>
      </c>
      <c r="E18" s="26">
        <v>840.43759999999997</v>
      </c>
      <c r="F18" s="26">
        <v>59.56</v>
      </c>
      <c r="G18" s="27">
        <f t="shared" si="3"/>
        <v>50056.463455999998</v>
      </c>
      <c r="H18" s="28">
        <v>42412.88</v>
      </c>
      <c r="I18" s="29">
        <f t="shared" si="4"/>
        <v>7643.5834560000003</v>
      </c>
      <c r="J18" s="30">
        <f t="shared" si="5"/>
        <v>0.18021844911262797</v>
      </c>
      <c r="K18" s="30">
        <f>IFERROR(G18/SUM(G17:G35),"")</f>
        <v>0.16840917155053037</v>
      </c>
      <c r="L18" s="30">
        <f>IFERROR(G18/SUM(G3:G14,G17:G35),"")</f>
        <v>7.1432646524634338E-2</v>
      </c>
      <c r="M18" s="25"/>
    </row>
    <row r="19" spans="1:13" ht="15" customHeight="1" x14ac:dyDescent="0.2">
      <c r="A19" s="25" t="s">
        <v>114</v>
      </c>
      <c r="B19" s="26" t="s">
        <v>120</v>
      </c>
      <c r="C19" s="25" t="s">
        <v>121</v>
      </c>
      <c r="D19" s="26" t="s">
        <v>87</v>
      </c>
      <c r="E19" s="26">
        <v>400.0016</v>
      </c>
      <c r="F19" s="26">
        <v>128.74</v>
      </c>
      <c r="G19" s="27">
        <f t="shared" si="3"/>
        <v>51496.205984</v>
      </c>
      <c r="H19" s="28">
        <v>45117.15</v>
      </c>
      <c r="I19" s="29">
        <f t="shared" si="4"/>
        <v>6379.0559839999987</v>
      </c>
      <c r="J19" s="30">
        <f t="shared" si="5"/>
        <v>0.14138871768274375</v>
      </c>
      <c r="K19" s="30">
        <f>IFERROR(G19/SUM(G17:G35),"")</f>
        <v>0.17325301847151142</v>
      </c>
      <c r="L19" s="30">
        <f>IFERROR(G19/SUM(G3:G14,G17:G35),"")</f>
        <v>7.3487218741457222E-2</v>
      </c>
      <c r="M19" s="25" t="s">
        <v>122</v>
      </c>
    </row>
    <row r="20" spans="1:13" ht="15" customHeight="1" x14ac:dyDescent="0.2">
      <c r="A20" s="25" t="s">
        <v>114</v>
      </c>
      <c r="B20" s="26" t="s">
        <v>123</v>
      </c>
      <c r="C20" s="25" t="s">
        <v>124</v>
      </c>
      <c r="D20" s="26" t="s">
        <v>87</v>
      </c>
      <c r="E20" s="26">
        <v>0</v>
      </c>
      <c r="F20" s="26">
        <v>56.12</v>
      </c>
      <c r="G20" s="27">
        <f t="shared" si="3"/>
        <v>0</v>
      </c>
      <c r="H20" s="28">
        <v>0</v>
      </c>
      <c r="I20" s="29">
        <f t="shared" si="4"/>
        <v>0</v>
      </c>
      <c r="J20" s="30" t="str">
        <f t="shared" si="5"/>
        <v/>
      </c>
      <c r="K20" s="30">
        <f>IFERROR(G20/SUM(G17:G35),"")</f>
        <v>0</v>
      </c>
      <c r="L20" s="30">
        <f>IFERROR(G20/SUM(G3:G14,G17:G35),"")</f>
        <v>0</v>
      </c>
      <c r="M20" s="25" t="s">
        <v>125</v>
      </c>
    </row>
    <row r="21" spans="1:13" ht="15" customHeight="1" x14ac:dyDescent="0.2">
      <c r="A21" s="25" t="s">
        <v>114</v>
      </c>
      <c r="B21" s="26" t="s">
        <v>126</v>
      </c>
      <c r="C21" s="25" t="s">
        <v>127</v>
      </c>
      <c r="D21" s="26" t="s">
        <v>119</v>
      </c>
      <c r="E21" s="26">
        <v>300</v>
      </c>
      <c r="F21" s="26">
        <v>69.59</v>
      </c>
      <c r="G21" s="27">
        <f t="shared" si="3"/>
        <v>20877</v>
      </c>
      <c r="H21" s="28">
        <v>16782</v>
      </c>
      <c r="I21" s="29">
        <f t="shared" si="4"/>
        <v>4095</v>
      </c>
      <c r="J21" s="30">
        <f t="shared" si="5"/>
        <v>0.24401144082946025</v>
      </c>
      <c r="K21" s="30">
        <f>IFERROR(G21/SUM(G17:G35),"")</f>
        <v>7.0238247605145049E-2</v>
      </c>
      <c r="L21" s="30">
        <f>IFERROR(G21/SUM(G3:G14,G17:G35),"")</f>
        <v>2.979234365619246E-2</v>
      </c>
      <c r="M21" s="25"/>
    </row>
    <row r="22" spans="1:13" ht="15" customHeight="1" x14ac:dyDescent="0.2">
      <c r="A22" s="25" t="s">
        <v>114</v>
      </c>
      <c r="B22" s="26" t="s">
        <v>128</v>
      </c>
      <c r="C22" s="25" t="s">
        <v>129</v>
      </c>
      <c r="D22" s="26" t="s">
        <v>87</v>
      </c>
      <c r="E22" s="26">
        <v>35.075899999999997</v>
      </c>
      <c r="F22" s="26">
        <v>418.16</v>
      </c>
      <c r="G22" s="27">
        <f t="shared" si="3"/>
        <v>14667.338344</v>
      </c>
      <c r="H22" s="28">
        <v>12653.43</v>
      </c>
      <c r="I22" s="29">
        <f t="shared" si="4"/>
        <v>2013.9083439999995</v>
      </c>
      <c r="J22" s="30">
        <f t="shared" si="5"/>
        <v>0.15915908524408007</v>
      </c>
      <c r="K22" s="30">
        <f>IFERROR(G22/SUM(G17:G35),"")</f>
        <v>4.9346560440403801E-2</v>
      </c>
      <c r="L22" s="30">
        <f>IFERROR(G22/SUM(G3:G14,G17:G35),"")</f>
        <v>2.0930899289461933E-2</v>
      </c>
      <c r="M22" s="25"/>
    </row>
    <row r="23" spans="1:13" ht="15" customHeight="1" x14ac:dyDescent="0.2">
      <c r="A23" s="25" t="s">
        <v>114</v>
      </c>
      <c r="B23" s="26" t="s">
        <v>100</v>
      </c>
      <c r="C23" s="25" t="s">
        <v>101</v>
      </c>
      <c r="D23" s="26" t="s">
        <v>87</v>
      </c>
      <c r="E23" s="26">
        <v>59.021900000000002</v>
      </c>
      <c r="F23" s="26">
        <v>211.87</v>
      </c>
      <c r="G23" s="27">
        <f t="shared" si="3"/>
        <v>12504.969953000002</v>
      </c>
      <c r="H23" s="28">
        <v>11377.73</v>
      </c>
      <c r="I23" s="29">
        <f t="shared" si="4"/>
        <v>1127.2399530000021</v>
      </c>
      <c r="J23" s="30">
        <f t="shared" si="5"/>
        <v>9.9074240028547145E-2</v>
      </c>
      <c r="K23" s="30">
        <f>IFERROR(G23/SUM(G17:G35),"")</f>
        <v>4.2071522529755864E-2</v>
      </c>
      <c r="L23" s="30">
        <f>IFERROR(G23/SUM(G3:G14,G17:G35),"")</f>
        <v>1.7845110037368248E-2</v>
      </c>
      <c r="M23" s="25"/>
    </row>
    <row r="24" spans="1:13" ht="15" customHeight="1" x14ac:dyDescent="0.2">
      <c r="A24" s="25" t="s">
        <v>114</v>
      </c>
      <c r="B24" s="26" t="s">
        <v>130</v>
      </c>
      <c r="C24" s="25" t="s">
        <v>131</v>
      </c>
      <c r="D24" s="26" t="s">
        <v>87</v>
      </c>
      <c r="E24" s="26">
        <v>50</v>
      </c>
      <c r="F24" s="26">
        <v>478.7</v>
      </c>
      <c r="G24" s="27">
        <f t="shared" si="3"/>
        <v>23935</v>
      </c>
      <c r="H24" s="28">
        <v>23567.55</v>
      </c>
      <c r="I24" s="29">
        <f t="shared" si="4"/>
        <v>367.45000000000073</v>
      </c>
      <c r="J24" s="30">
        <f t="shared" si="5"/>
        <v>1.5591353365114413E-2</v>
      </c>
      <c r="K24" s="30">
        <f>IFERROR(G24/SUM(G17:G35),"")</f>
        <v>8.0526534292721497E-2</v>
      </c>
      <c r="L24" s="30">
        <f>IFERROR(G24/SUM(G3:G14,G17:G35),"")</f>
        <v>3.4156236308423939E-2</v>
      </c>
      <c r="M24" s="25" t="s">
        <v>132</v>
      </c>
    </row>
    <row r="25" spans="1:13" ht="15" customHeight="1" x14ac:dyDescent="0.2">
      <c r="A25" s="25" t="s">
        <v>114</v>
      </c>
      <c r="B25" s="26" t="s">
        <v>133</v>
      </c>
      <c r="C25" s="25" t="s">
        <v>134</v>
      </c>
      <c r="D25" s="26" t="s">
        <v>87</v>
      </c>
      <c r="E25" s="26">
        <v>76.937399999999997</v>
      </c>
      <c r="F25" s="26">
        <v>151.16</v>
      </c>
      <c r="G25" s="27">
        <f t="shared" si="3"/>
        <v>11629.857383999999</v>
      </c>
      <c r="H25" s="28">
        <v>9318.7900000000009</v>
      </c>
      <c r="I25" s="29">
        <f t="shared" si="4"/>
        <v>2311.0673839999981</v>
      </c>
      <c r="J25" s="30">
        <f t="shared" si="5"/>
        <v>0.24800080096235644</v>
      </c>
      <c r="K25" s="30">
        <f>IFERROR(G25/SUM(G17:G35),"")</f>
        <v>3.9127307685487209E-2</v>
      </c>
      <c r="L25" s="30">
        <f>IFERROR(G25/SUM(G3:G14,G17:G35),"")</f>
        <v>1.6596288157141131E-2</v>
      </c>
      <c r="M25" s="25"/>
    </row>
    <row r="26" spans="1:13" ht="15" customHeight="1" x14ac:dyDescent="0.2">
      <c r="A26" s="25" t="s">
        <v>114</v>
      </c>
      <c r="B26" s="26" t="s">
        <v>135</v>
      </c>
      <c r="C26" s="25" t="s">
        <v>136</v>
      </c>
      <c r="D26" s="26" t="s">
        <v>87</v>
      </c>
      <c r="E26" s="26">
        <v>200</v>
      </c>
      <c r="F26" s="26">
        <v>50.5</v>
      </c>
      <c r="G26" s="27">
        <f t="shared" si="3"/>
        <v>10100</v>
      </c>
      <c r="H26" s="28">
        <v>9257</v>
      </c>
      <c r="I26" s="29">
        <f t="shared" si="4"/>
        <v>843</v>
      </c>
      <c r="J26" s="30">
        <f t="shared" si="5"/>
        <v>9.1066220157718591E-2</v>
      </c>
      <c r="K26" s="30">
        <f>IFERROR(G26/SUM(G17:G35),"")</f>
        <v>3.3980279772571009E-2</v>
      </c>
      <c r="L26" s="30">
        <f>IFERROR(G26/SUM(G3:G14,G17:G35),"")</f>
        <v>1.4413118308547388E-2</v>
      </c>
      <c r="M26" s="25"/>
    </row>
    <row r="27" spans="1:13" ht="15" customHeight="1" x14ac:dyDescent="0.2">
      <c r="A27" s="25" t="s">
        <v>114</v>
      </c>
      <c r="B27" s="26" t="s">
        <v>90</v>
      </c>
      <c r="C27" s="25" t="s">
        <v>91</v>
      </c>
      <c r="D27" s="26" t="s">
        <v>87</v>
      </c>
      <c r="E27" s="26">
        <v>50</v>
      </c>
      <c r="F27" s="26">
        <v>190.51</v>
      </c>
      <c r="G27" s="27">
        <f t="shared" si="3"/>
        <v>9525.5</v>
      </c>
      <c r="H27" s="28">
        <v>7394.5</v>
      </c>
      <c r="I27" s="29">
        <f t="shared" si="4"/>
        <v>2131</v>
      </c>
      <c r="J27" s="30">
        <f t="shared" si="5"/>
        <v>0.28818716613699369</v>
      </c>
      <c r="K27" s="30">
        <f>IFERROR(G27/SUM(G17:G35),"")</f>
        <v>3.2047441086497541E-2</v>
      </c>
      <c r="L27" s="30">
        <f>IFERROR(G27/SUM(G3:G14,G17:G35),"")</f>
        <v>1.3593283014660213E-2</v>
      </c>
      <c r="M27" s="25"/>
    </row>
    <row r="28" spans="1:13" ht="15" customHeight="1" x14ac:dyDescent="0.2">
      <c r="A28" s="25" t="s">
        <v>114</v>
      </c>
      <c r="B28" s="26" t="s">
        <v>94</v>
      </c>
      <c r="C28" s="25" t="s">
        <v>95</v>
      </c>
      <c r="D28" s="26" t="s">
        <v>87</v>
      </c>
      <c r="E28" s="26">
        <v>45</v>
      </c>
      <c r="F28" s="26">
        <v>211.22</v>
      </c>
      <c r="G28" s="27">
        <f t="shared" si="3"/>
        <v>9504.9</v>
      </c>
      <c r="H28" s="28">
        <v>7099.31</v>
      </c>
      <c r="I28" s="29">
        <f t="shared" si="4"/>
        <v>2405.5899999999992</v>
      </c>
      <c r="J28" s="30">
        <f t="shared" si="5"/>
        <v>0.33884842329747533</v>
      </c>
      <c r="K28" s="30">
        <f>IFERROR(G28/SUM(G17:G35),"")</f>
        <v>3.1978134773298035E-2</v>
      </c>
      <c r="L28" s="30">
        <f>IFERROR(G28/SUM(G3:G14,G17:G35),"")</f>
        <v>1.3563885961476443E-2</v>
      </c>
      <c r="M28" s="25"/>
    </row>
    <row r="29" spans="1:13" ht="15" customHeight="1" x14ac:dyDescent="0.2">
      <c r="A29" s="25" t="s">
        <v>114</v>
      </c>
      <c r="B29" s="26" t="s">
        <v>137</v>
      </c>
      <c r="C29" s="25" t="s">
        <v>138</v>
      </c>
      <c r="D29" s="26" t="s">
        <v>87</v>
      </c>
      <c r="E29" s="26">
        <v>125.44840000000001</v>
      </c>
      <c r="F29" s="26">
        <v>139.06</v>
      </c>
      <c r="G29" s="27">
        <f t="shared" si="3"/>
        <v>17444.854504000003</v>
      </c>
      <c r="H29" s="28">
        <v>16585.43</v>
      </c>
      <c r="I29" s="29">
        <f t="shared" si="4"/>
        <v>859.42450400000234</v>
      </c>
      <c r="J29" s="30">
        <f t="shared" si="5"/>
        <v>5.1818041739044585E-2</v>
      </c>
      <c r="K29" s="30">
        <f>IFERROR(G29/SUM(G17:G35),"")</f>
        <v>5.869119174630847E-2</v>
      </c>
      <c r="L29" s="30">
        <f>IFERROR(G29/SUM(G3:G14,G17:G35),"")</f>
        <v>2.4894529885301764E-2</v>
      </c>
      <c r="M29" s="25" t="s">
        <v>139</v>
      </c>
    </row>
    <row r="30" spans="1:13" ht="15" customHeight="1" x14ac:dyDescent="0.2">
      <c r="A30" s="25" t="s">
        <v>114</v>
      </c>
      <c r="B30" s="26" t="s">
        <v>140</v>
      </c>
      <c r="C30" s="25" t="s">
        <v>141</v>
      </c>
      <c r="D30" s="26" t="s">
        <v>87</v>
      </c>
      <c r="E30" s="26">
        <v>0</v>
      </c>
      <c r="F30" s="26">
        <v>86.07</v>
      </c>
      <c r="G30" s="27">
        <f t="shared" si="3"/>
        <v>0</v>
      </c>
      <c r="H30" s="28">
        <v>0</v>
      </c>
      <c r="I30" s="29">
        <f t="shared" si="4"/>
        <v>0</v>
      </c>
      <c r="J30" s="30" t="str">
        <f t="shared" si="5"/>
        <v/>
      </c>
      <c r="K30" s="30">
        <f>IFERROR(G30/SUM(G17:G35),"")</f>
        <v>0</v>
      </c>
      <c r="L30" s="30">
        <f>IFERROR(G30/SUM(G3:G14,G17:G35),"")</f>
        <v>0</v>
      </c>
      <c r="M30" s="25" t="s">
        <v>142</v>
      </c>
    </row>
    <row r="31" spans="1:13" ht="15" customHeight="1" x14ac:dyDescent="0.2">
      <c r="A31" s="25" t="s">
        <v>114</v>
      </c>
      <c r="B31" s="26" t="s">
        <v>143</v>
      </c>
      <c r="C31" s="25" t="s">
        <v>144</v>
      </c>
      <c r="D31" s="26" t="s">
        <v>87</v>
      </c>
      <c r="E31" s="26">
        <v>0</v>
      </c>
      <c r="F31" s="26">
        <v>327.35000000000002</v>
      </c>
      <c r="G31" s="27">
        <f t="shared" si="3"/>
        <v>0</v>
      </c>
      <c r="H31" s="28">
        <v>0</v>
      </c>
      <c r="I31" s="29">
        <f t="shared" si="4"/>
        <v>0</v>
      </c>
      <c r="J31" s="30" t="str">
        <f t="shared" si="5"/>
        <v/>
      </c>
      <c r="K31" s="30">
        <f>IFERROR(G31/SUM(G17:G35),"")</f>
        <v>0</v>
      </c>
      <c r="L31" s="30">
        <f>IFERROR(G31/SUM(G3:G14,G17:G35),"")</f>
        <v>0</v>
      </c>
      <c r="M31" s="25" t="s">
        <v>145</v>
      </c>
    </row>
    <row r="32" spans="1:13" ht="15" customHeight="1" x14ac:dyDescent="0.2">
      <c r="A32" s="25" t="s">
        <v>114</v>
      </c>
      <c r="B32" s="26" t="s">
        <v>146</v>
      </c>
      <c r="C32" s="25" t="s">
        <v>147</v>
      </c>
      <c r="D32" s="26" t="s">
        <v>87</v>
      </c>
      <c r="E32" s="26">
        <v>0</v>
      </c>
      <c r="F32" s="26">
        <v>120.16</v>
      </c>
      <c r="G32" s="27">
        <f t="shared" si="3"/>
        <v>0</v>
      </c>
      <c r="H32" s="28">
        <v>0</v>
      </c>
      <c r="I32" s="29">
        <f t="shared" si="4"/>
        <v>0</v>
      </c>
      <c r="J32" s="30" t="str">
        <f t="shared" si="5"/>
        <v/>
      </c>
      <c r="K32" s="30">
        <f>IFERROR(G32/SUM(G17:G35),"")</f>
        <v>0</v>
      </c>
      <c r="L32" s="30">
        <f>IFERROR(G32/SUM(G3:G14,G17:G35),"")</f>
        <v>0</v>
      </c>
      <c r="M32" s="25" t="s">
        <v>148</v>
      </c>
    </row>
    <row r="33" spans="1:13" ht="15" customHeight="1" x14ac:dyDescent="0.2">
      <c r="A33" s="25" t="s">
        <v>114</v>
      </c>
      <c r="B33" s="26" t="s">
        <v>149</v>
      </c>
      <c r="C33" s="25" t="s">
        <v>150</v>
      </c>
      <c r="D33" s="31" t="s">
        <v>110</v>
      </c>
      <c r="E33" s="32">
        <v>4228.6099999999997</v>
      </c>
      <c r="F33" s="31">
        <v>1</v>
      </c>
      <c r="G33" s="27">
        <f t="shared" si="3"/>
        <v>4228.6099999999997</v>
      </c>
      <c r="H33" s="28">
        <v>4228.6099999999997</v>
      </c>
      <c r="I33" s="29">
        <f t="shared" si="4"/>
        <v>0</v>
      </c>
      <c r="J33" s="30">
        <f t="shared" si="5"/>
        <v>0</v>
      </c>
      <c r="K33" s="30">
        <f>IFERROR(G33/SUM(G17:G35),"")</f>
        <v>1.4226668400900148E-2</v>
      </c>
      <c r="L33" s="30">
        <f>IFERROR(G33/SUM(G3:G14,G17:G35),"")</f>
        <v>6.0344016050204521E-3</v>
      </c>
      <c r="M33" s="25"/>
    </row>
    <row r="34" spans="1:13" ht="15" customHeight="1" x14ac:dyDescent="0.2">
      <c r="A34" s="25" t="s">
        <v>114</v>
      </c>
      <c r="B34" s="26" t="s">
        <v>151</v>
      </c>
      <c r="C34" s="25" t="s">
        <v>152</v>
      </c>
      <c r="D34" s="26" t="s">
        <v>87</v>
      </c>
      <c r="E34" s="26">
        <v>0</v>
      </c>
      <c r="F34" s="26">
        <v>37.61</v>
      </c>
      <c r="G34" s="27">
        <f t="shared" si="3"/>
        <v>0</v>
      </c>
      <c r="H34" s="28">
        <v>0</v>
      </c>
      <c r="I34" s="29">
        <f t="shared" si="4"/>
        <v>0</v>
      </c>
      <c r="J34" s="30" t="str">
        <f t="shared" si="5"/>
        <v/>
      </c>
      <c r="K34" s="30">
        <f>IFERROR(G34/SUM(G17:G35),"")</f>
        <v>0</v>
      </c>
      <c r="L34" s="30">
        <f>IFERROR(G34/SUM(G3:G14,G17:G35),"")</f>
        <v>0</v>
      </c>
      <c r="M34" s="25" t="s">
        <v>153</v>
      </c>
    </row>
    <row r="35" spans="1:13" ht="15" customHeight="1" x14ac:dyDescent="0.2">
      <c r="A35" s="25" t="s">
        <v>114</v>
      </c>
      <c r="B35" s="26" t="s">
        <v>102</v>
      </c>
      <c r="C35" s="25" t="s">
        <v>103</v>
      </c>
      <c r="D35" s="26" t="s">
        <v>87</v>
      </c>
      <c r="E35" s="26">
        <v>20</v>
      </c>
      <c r="F35" s="26">
        <v>162.66</v>
      </c>
      <c r="G35" s="27">
        <f t="shared" si="3"/>
        <v>3253.2</v>
      </c>
      <c r="H35" s="28">
        <v>3178</v>
      </c>
      <c r="I35" s="29">
        <f t="shared" si="4"/>
        <v>75.199999999999818</v>
      </c>
      <c r="J35" s="30">
        <f t="shared" si="5"/>
        <v>2.3662680931403335E-2</v>
      </c>
      <c r="K35" s="30">
        <f>IFERROR(G35/SUM(G17:G35),"")</f>
        <v>1.0945014470903763E-2</v>
      </c>
      <c r="L35" s="30">
        <f>IFERROR(G35/SUM(G3:G14,G17:G35),"")</f>
        <v>4.6424511367689466E-3</v>
      </c>
      <c r="M35" s="25"/>
    </row>
    <row r="36" spans="1:13" ht="15" customHeight="1" x14ac:dyDescent="0.2">
      <c r="A36" s="37"/>
      <c r="B36" s="37"/>
      <c r="C36" s="39" t="s">
        <v>154</v>
      </c>
      <c r="D36" s="37"/>
      <c r="E36" s="37"/>
      <c r="F36" s="37"/>
      <c r="G36" s="35">
        <f>SUM(G17:G35)</f>
        <v>297231.21962500003</v>
      </c>
      <c r="H36" s="35">
        <f>SUM(H17:H35)</f>
        <v>266979.7</v>
      </c>
      <c r="I36" s="35">
        <f>SUM(I17:I35)</f>
        <v>30251.519625000001</v>
      </c>
      <c r="J36" s="37"/>
      <c r="K36" s="37"/>
      <c r="L36" s="37"/>
      <c r="M36" s="37"/>
    </row>
    <row r="38" spans="1:13" ht="15" customHeight="1" x14ac:dyDescent="0.2">
      <c r="A38" s="40"/>
      <c r="B38" s="40"/>
      <c r="C38" s="41" t="s">
        <v>155</v>
      </c>
      <c r="D38" s="40"/>
      <c r="E38" s="40"/>
      <c r="F38" s="40"/>
      <c r="G38" s="42">
        <f>SUM(G3:G14)+SUM(G17:G35)</f>
        <v>700750.50962499995</v>
      </c>
      <c r="H38" s="42">
        <f>SUM(H3:H14)+SUM(H17:H35)</f>
        <v>648174.27</v>
      </c>
      <c r="I38" s="42">
        <f>SUM(I3:I14)+SUM(I17:I35)</f>
        <v>52576.239625000002</v>
      </c>
      <c r="J38" s="40"/>
      <c r="K38" s="40"/>
      <c r="L38" s="40"/>
      <c r="M38" s="40"/>
    </row>
    <row r="40" spans="1:13" ht="39.75" customHeight="1" x14ac:dyDescent="0.2">
      <c r="A40" s="90" t="s">
        <v>156</v>
      </c>
      <c r="B40" s="90"/>
      <c r="C40" s="90"/>
      <c r="D40" s="90"/>
      <c r="E40" s="90"/>
      <c r="F40" s="90"/>
      <c r="G40" s="90"/>
      <c r="H40" s="90"/>
      <c r="I40" s="90"/>
      <c r="J40" s="90"/>
      <c r="K40" s="90"/>
      <c r="L40" s="90"/>
      <c r="M40" s="90"/>
    </row>
  </sheetData>
  <mergeCells count="3">
    <mergeCell ref="A1:M1"/>
    <mergeCell ref="O1:P1"/>
    <mergeCell ref="A40:M40"/>
  </mergeCells>
  <conditionalFormatting sqref="J3:J35">
    <cfRule type="cellIs" dxfId="75" priority="2" operator="greaterThan">
      <formula>0</formula>
    </cfRule>
    <cfRule type="cellIs" dxfId="74" priority="3" operator="less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8" customWidth="1"/>
    <col min="2" max="2" width="20" customWidth="1"/>
    <col min="3" max="3" width="11" customWidth="1"/>
    <col min="4" max="5" width="10" customWidth="1"/>
    <col min="6" max="6" width="11" customWidth="1"/>
    <col min="7" max="9" width="10" customWidth="1"/>
    <col min="10" max="10" width="12" customWidth="1"/>
    <col min="11" max="11" width="10" customWidth="1"/>
    <col min="12" max="12" width="22" customWidth="1"/>
    <col min="13" max="14" width="10" customWidth="1"/>
    <col min="15" max="15" width="24" customWidth="1"/>
    <col min="16" max="16" width="28" customWidth="1"/>
  </cols>
  <sheetData>
    <row r="1" spans="1:16" ht="25.5" customHeight="1" x14ac:dyDescent="0.2">
      <c r="A1" s="2" t="s">
        <v>157</v>
      </c>
      <c r="B1" s="2"/>
      <c r="C1" s="2"/>
      <c r="D1" s="2"/>
      <c r="E1" s="2"/>
      <c r="F1" s="2"/>
      <c r="G1" s="2"/>
      <c r="H1" s="2"/>
      <c r="I1" s="2"/>
      <c r="J1" s="2"/>
      <c r="K1" s="2"/>
      <c r="L1" s="2"/>
      <c r="M1" s="2"/>
      <c r="N1" s="2"/>
      <c r="O1" s="2"/>
      <c r="P1" s="2"/>
    </row>
    <row r="2" spans="1:16" ht="31.5" customHeight="1" x14ac:dyDescent="0.2">
      <c r="A2" s="22" t="s">
        <v>71</v>
      </c>
      <c r="B2" s="22" t="s">
        <v>158</v>
      </c>
      <c r="C2" s="22" t="s">
        <v>159</v>
      </c>
      <c r="D2" s="22" t="s">
        <v>160</v>
      </c>
      <c r="E2" s="22" t="s">
        <v>161</v>
      </c>
      <c r="F2" s="22" t="s">
        <v>162</v>
      </c>
      <c r="G2" s="22" t="s">
        <v>163</v>
      </c>
      <c r="H2" s="22" t="s">
        <v>164</v>
      </c>
      <c r="I2" s="22" t="s">
        <v>165</v>
      </c>
      <c r="J2" s="22" t="s">
        <v>166</v>
      </c>
      <c r="K2" s="22" t="s">
        <v>167</v>
      </c>
      <c r="L2" s="22" t="s">
        <v>168</v>
      </c>
      <c r="M2" s="22" t="s">
        <v>169</v>
      </c>
      <c r="N2" s="22" t="s">
        <v>170</v>
      </c>
      <c r="O2" s="22" t="s">
        <v>171</v>
      </c>
      <c r="P2" s="22" t="s">
        <v>172</v>
      </c>
    </row>
    <row r="3" spans="1:16" ht="15" customHeight="1" x14ac:dyDescent="0.2">
      <c r="A3" s="26" t="s">
        <v>85</v>
      </c>
      <c r="B3" s="25" t="s">
        <v>173</v>
      </c>
      <c r="C3" s="43">
        <v>46240</v>
      </c>
      <c r="D3" s="26">
        <v>85.8</v>
      </c>
      <c r="E3" s="26">
        <v>4.57</v>
      </c>
      <c r="F3" s="26" t="s">
        <v>174</v>
      </c>
      <c r="G3" s="26">
        <v>259.32</v>
      </c>
      <c r="H3" s="44"/>
      <c r="I3" s="45" t="str">
        <f t="shared" ref="I3:I42" si="0">IF(OR(G3="",H3=""),"",H3/G3-1)</f>
        <v/>
      </c>
      <c r="J3" s="46"/>
      <c r="K3" s="26"/>
      <c r="L3" s="25"/>
      <c r="M3" s="26"/>
      <c r="N3" s="47">
        <f t="shared" ref="N3:N42" ca="1" si="1">IF(C3="","",TODAY()-C3)</f>
        <v>12</v>
      </c>
      <c r="O3" s="48" t="str">
        <f t="shared" ref="O3:O42" ca="1" si="2">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5"/>
    </row>
    <row r="4" spans="1:16" ht="15" customHeight="1" x14ac:dyDescent="0.2">
      <c r="A4" s="26" t="s">
        <v>90</v>
      </c>
      <c r="B4" s="25" t="s">
        <v>173</v>
      </c>
      <c r="C4" s="43">
        <v>46240</v>
      </c>
      <c r="D4" s="26">
        <v>85</v>
      </c>
      <c r="E4" s="26">
        <v>4.57</v>
      </c>
      <c r="F4" s="26" t="s">
        <v>174</v>
      </c>
      <c r="G4" s="26">
        <v>190.51</v>
      </c>
      <c r="H4" s="44"/>
      <c r="I4" s="45" t="str">
        <f t="shared" si="0"/>
        <v/>
      </c>
      <c r="J4" s="46"/>
      <c r="K4" s="26"/>
      <c r="L4" s="25"/>
      <c r="M4" s="26"/>
      <c r="N4" s="47">
        <f t="shared" ca="1" si="1"/>
        <v>12</v>
      </c>
      <c r="O4" s="48" t="str">
        <f t="shared" ca="1" si="2"/>
        <v>Monitor Only</v>
      </c>
      <c r="P4" s="25"/>
    </row>
    <row r="5" spans="1:16" ht="15" customHeight="1" x14ac:dyDescent="0.2">
      <c r="A5" s="26" t="s">
        <v>92</v>
      </c>
      <c r="B5" s="25" t="s">
        <v>173</v>
      </c>
      <c r="C5" s="43">
        <v>46240</v>
      </c>
      <c r="D5" s="26">
        <v>73.2</v>
      </c>
      <c r="E5" s="26">
        <v>3.57</v>
      </c>
      <c r="F5" s="26" t="s">
        <v>175</v>
      </c>
      <c r="G5" s="26">
        <v>1678.22</v>
      </c>
      <c r="H5" s="44"/>
      <c r="I5" s="45" t="str">
        <f t="shared" si="0"/>
        <v/>
      </c>
      <c r="J5" s="46"/>
      <c r="K5" s="26"/>
      <c r="L5" s="25"/>
      <c r="M5" s="26"/>
      <c r="N5" s="47">
        <f t="shared" ca="1" si="1"/>
        <v>12</v>
      </c>
      <c r="O5" s="48" t="str">
        <f t="shared" ca="1" si="2"/>
        <v>Monitor Only</v>
      </c>
      <c r="P5" s="25"/>
    </row>
    <row r="6" spans="1:16" ht="15" customHeight="1" x14ac:dyDescent="0.2">
      <c r="A6" s="26" t="s">
        <v>94</v>
      </c>
      <c r="B6" s="25" t="s">
        <v>173</v>
      </c>
      <c r="C6" s="43">
        <v>46240</v>
      </c>
      <c r="D6" s="26">
        <v>70.400000000000006</v>
      </c>
      <c r="E6" s="26">
        <v>4</v>
      </c>
      <c r="F6" s="26" t="s">
        <v>175</v>
      </c>
      <c r="G6" s="26">
        <v>211.22</v>
      </c>
      <c r="H6" s="44"/>
      <c r="I6" s="45" t="str">
        <f t="shared" si="0"/>
        <v/>
      </c>
      <c r="J6" s="46"/>
      <c r="K6" s="26"/>
      <c r="L6" s="25"/>
      <c r="M6" s="26"/>
      <c r="N6" s="47">
        <f t="shared" ca="1" si="1"/>
        <v>12</v>
      </c>
      <c r="O6" s="48" t="str">
        <f t="shared" ca="1" si="2"/>
        <v>Monitor Only</v>
      </c>
      <c r="P6" s="25"/>
    </row>
    <row r="7" spans="1:16" ht="15" customHeight="1" x14ac:dyDescent="0.2">
      <c r="A7" s="26" t="s">
        <v>96</v>
      </c>
      <c r="B7" s="25" t="s">
        <v>173</v>
      </c>
      <c r="C7" s="43">
        <v>46240</v>
      </c>
      <c r="D7" s="26">
        <v>68.599999999999994</v>
      </c>
      <c r="E7" s="26">
        <v>3.43</v>
      </c>
      <c r="F7" s="26" t="s">
        <v>175</v>
      </c>
      <c r="G7" s="26">
        <v>192.8</v>
      </c>
      <c r="H7" s="44"/>
      <c r="I7" s="45" t="str">
        <f t="shared" si="0"/>
        <v/>
      </c>
      <c r="J7" s="46"/>
      <c r="K7" s="26"/>
      <c r="L7" s="25"/>
      <c r="M7" s="26"/>
      <c r="N7" s="47">
        <f t="shared" ca="1" si="1"/>
        <v>12</v>
      </c>
      <c r="O7" s="48" t="str">
        <f t="shared" ca="1" si="2"/>
        <v>Monitor Only</v>
      </c>
      <c r="P7" s="25"/>
    </row>
    <row r="8" spans="1:16" ht="15" customHeight="1" x14ac:dyDescent="0.2">
      <c r="A8" s="26" t="s">
        <v>98</v>
      </c>
      <c r="B8" s="25" t="s">
        <v>173</v>
      </c>
      <c r="C8" s="43">
        <v>46240</v>
      </c>
      <c r="D8" s="26">
        <v>71.8</v>
      </c>
      <c r="E8" s="26">
        <v>3.64</v>
      </c>
      <c r="F8" s="26" t="s">
        <v>175</v>
      </c>
      <c r="G8" s="26">
        <v>893.19</v>
      </c>
      <c r="H8" s="44"/>
      <c r="I8" s="45" t="str">
        <f t="shared" si="0"/>
        <v/>
      </c>
      <c r="J8" s="46"/>
      <c r="K8" s="26"/>
      <c r="L8" s="25"/>
      <c r="M8" s="26"/>
      <c r="N8" s="47">
        <f t="shared" ca="1" si="1"/>
        <v>12</v>
      </c>
      <c r="O8" s="48" t="str">
        <f t="shared" ca="1" si="2"/>
        <v>Monitor Only</v>
      </c>
      <c r="P8" s="25"/>
    </row>
    <row r="9" spans="1:16" ht="15" customHeight="1" x14ac:dyDescent="0.2">
      <c r="A9" s="26" t="s">
        <v>100</v>
      </c>
      <c r="B9" s="25" t="s">
        <v>173</v>
      </c>
      <c r="C9" s="43">
        <v>46240</v>
      </c>
      <c r="D9" s="26">
        <v>93.2</v>
      </c>
      <c r="E9" s="26">
        <v>4.57</v>
      </c>
      <c r="F9" s="26" t="s">
        <v>174</v>
      </c>
      <c r="G9" s="26">
        <v>211.87</v>
      </c>
      <c r="H9" s="44"/>
      <c r="I9" s="45" t="str">
        <f t="shared" si="0"/>
        <v/>
      </c>
      <c r="J9" s="46"/>
      <c r="K9" s="26"/>
      <c r="L9" s="25"/>
      <c r="M9" s="26"/>
      <c r="N9" s="47">
        <f t="shared" ca="1" si="1"/>
        <v>12</v>
      </c>
      <c r="O9" s="48" t="str">
        <f t="shared" ca="1" si="2"/>
        <v>Monitor Only</v>
      </c>
      <c r="P9" s="25"/>
    </row>
    <row r="10" spans="1:16" ht="15" customHeight="1" x14ac:dyDescent="0.2">
      <c r="A10" s="26" t="s">
        <v>102</v>
      </c>
      <c r="B10" s="25" t="s">
        <v>173</v>
      </c>
      <c r="C10" s="43">
        <v>46240</v>
      </c>
      <c r="D10" s="26">
        <v>75.2</v>
      </c>
      <c r="E10" s="26">
        <v>4</v>
      </c>
      <c r="F10" s="26" t="s">
        <v>175</v>
      </c>
      <c r="G10" s="26">
        <v>162.66</v>
      </c>
      <c r="H10" s="44"/>
      <c r="I10" s="45" t="str">
        <f t="shared" si="0"/>
        <v/>
      </c>
      <c r="J10" s="46"/>
      <c r="K10" s="26"/>
      <c r="L10" s="25"/>
      <c r="M10" s="26"/>
      <c r="N10" s="47">
        <f t="shared" ca="1" si="1"/>
        <v>12</v>
      </c>
      <c r="O10" s="48" t="str">
        <f t="shared" ca="1" si="2"/>
        <v>Monitor Only</v>
      </c>
      <c r="P10" s="25"/>
    </row>
    <row r="11" spans="1:16" ht="15" customHeight="1" x14ac:dyDescent="0.2">
      <c r="A11" s="26" t="s">
        <v>104</v>
      </c>
      <c r="B11" s="25" t="s">
        <v>173</v>
      </c>
      <c r="C11" s="43">
        <v>46240</v>
      </c>
      <c r="D11" s="26">
        <v>81</v>
      </c>
      <c r="E11" s="26">
        <v>4</v>
      </c>
      <c r="F11" s="26" t="s">
        <v>174</v>
      </c>
      <c r="G11" s="26">
        <v>414</v>
      </c>
      <c r="H11" s="44"/>
      <c r="I11" s="45" t="str">
        <f t="shared" si="0"/>
        <v/>
      </c>
      <c r="J11" s="46"/>
      <c r="K11" s="26"/>
      <c r="L11" s="25"/>
      <c r="M11" s="26"/>
      <c r="N11" s="47">
        <f t="shared" ca="1" si="1"/>
        <v>12</v>
      </c>
      <c r="O11" s="48" t="str">
        <f t="shared" ca="1" si="2"/>
        <v>Monitor Only</v>
      </c>
      <c r="P11" s="25"/>
    </row>
    <row r="12" spans="1:16" ht="15" customHeight="1" x14ac:dyDescent="0.2">
      <c r="A12" s="26" t="s">
        <v>106</v>
      </c>
      <c r="B12" s="25" t="s">
        <v>173</v>
      </c>
      <c r="C12" s="43">
        <v>46240</v>
      </c>
      <c r="D12" s="26">
        <v>82.8</v>
      </c>
      <c r="E12" s="26">
        <v>4.3600000000000003</v>
      </c>
      <c r="F12" s="26" t="s">
        <v>174</v>
      </c>
      <c r="G12" s="26">
        <v>277.94</v>
      </c>
      <c r="H12" s="44"/>
      <c r="I12" s="45" t="str">
        <f t="shared" si="0"/>
        <v/>
      </c>
      <c r="J12" s="46"/>
      <c r="K12" s="26"/>
      <c r="L12" s="25"/>
      <c r="M12" s="26"/>
      <c r="N12" s="47">
        <f t="shared" ca="1" si="1"/>
        <v>12</v>
      </c>
      <c r="O12" s="48" t="str">
        <f t="shared" ca="1" si="2"/>
        <v>Monitor Only</v>
      </c>
      <c r="P12" s="25"/>
    </row>
    <row r="13" spans="1:16" ht="15" customHeight="1" x14ac:dyDescent="0.2">
      <c r="A13" s="26" t="s">
        <v>128</v>
      </c>
      <c r="B13" s="25" t="s">
        <v>173</v>
      </c>
      <c r="C13" s="43">
        <v>46240</v>
      </c>
      <c r="D13" s="26">
        <v>80.8</v>
      </c>
      <c r="E13" s="26">
        <v>4.07</v>
      </c>
      <c r="F13" s="26" t="s">
        <v>174</v>
      </c>
      <c r="G13" s="26">
        <v>418.16</v>
      </c>
      <c r="H13" s="44"/>
      <c r="I13" s="45" t="str">
        <f t="shared" si="0"/>
        <v/>
      </c>
      <c r="J13" s="46"/>
      <c r="K13" s="26"/>
      <c r="L13" s="25"/>
      <c r="M13" s="26"/>
      <c r="N13" s="47">
        <f t="shared" ca="1" si="1"/>
        <v>12</v>
      </c>
      <c r="O13" s="48" t="str">
        <f t="shared" ca="1" si="2"/>
        <v>Monitor Only</v>
      </c>
      <c r="P13" s="25"/>
    </row>
    <row r="14" spans="1:16" ht="15" customHeight="1" x14ac:dyDescent="0.2">
      <c r="A14" s="26" t="s">
        <v>137</v>
      </c>
      <c r="B14" s="25" t="s">
        <v>173</v>
      </c>
      <c r="C14" s="43">
        <v>46240</v>
      </c>
      <c r="D14" s="26">
        <v>82</v>
      </c>
      <c r="E14" s="26">
        <v>4.3600000000000003</v>
      </c>
      <c r="F14" s="26" t="s">
        <v>174</v>
      </c>
      <c r="G14" s="26">
        <v>139.06</v>
      </c>
      <c r="H14" s="44"/>
      <c r="I14" s="45" t="str">
        <f t="shared" si="0"/>
        <v/>
      </c>
      <c r="J14" s="46"/>
      <c r="K14" s="26"/>
      <c r="L14" s="25"/>
      <c r="M14" s="26"/>
      <c r="N14" s="47">
        <f t="shared" ca="1" si="1"/>
        <v>12</v>
      </c>
      <c r="O14" s="48" t="str">
        <f t="shared" ca="1" si="2"/>
        <v>Monitor Only</v>
      </c>
      <c r="P14" s="25"/>
    </row>
    <row r="15" spans="1:16" ht="15" customHeight="1" x14ac:dyDescent="0.2">
      <c r="A15" s="26" t="s">
        <v>130</v>
      </c>
      <c r="B15" s="25" t="s">
        <v>173</v>
      </c>
      <c r="C15" s="43">
        <v>46241</v>
      </c>
      <c r="D15" s="26">
        <v>75.599999999999994</v>
      </c>
      <c r="E15" s="26">
        <v>3.79</v>
      </c>
      <c r="F15" s="26" t="s">
        <v>175</v>
      </c>
      <c r="G15" s="26">
        <v>478.7</v>
      </c>
      <c r="H15" s="44"/>
      <c r="I15" s="45" t="str">
        <f t="shared" si="0"/>
        <v/>
      </c>
      <c r="J15" s="46"/>
      <c r="K15" s="26"/>
      <c r="L15" s="25"/>
      <c r="M15" s="26"/>
      <c r="N15" s="47">
        <f t="shared" ca="1" si="1"/>
        <v>11</v>
      </c>
      <c r="O15" s="48" t="str">
        <f t="shared" ca="1" si="2"/>
        <v>Monitor Only</v>
      </c>
      <c r="P15" s="25" t="s">
        <v>176</v>
      </c>
    </row>
    <row r="16" spans="1:16" ht="15" customHeight="1" x14ac:dyDescent="0.2">
      <c r="A16" s="26" t="s">
        <v>140</v>
      </c>
      <c r="B16" s="25" t="s">
        <v>177</v>
      </c>
      <c r="C16" s="43">
        <v>46240</v>
      </c>
      <c r="D16" s="26"/>
      <c r="E16" s="26">
        <v>1.86</v>
      </c>
      <c r="F16" s="26" t="s">
        <v>178</v>
      </c>
      <c r="G16" s="26">
        <v>86.07</v>
      </c>
      <c r="H16" s="44"/>
      <c r="I16" s="45" t="str">
        <f t="shared" si="0"/>
        <v/>
      </c>
      <c r="J16" s="46"/>
      <c r="K16" s="26"/>
      <c r="L16" s="25"/>
      <c r="M16" s="26"/>
      <c r="N16" s="47">
        <f t="shared" ca="1" si="1"/>
        <v>12</v>
      </c>
      <c r="O16" s="48" t="str">
        <f t="shared" ca="1" si="2"/>
        <v>Monitor Only</v>
      </c>
      <c r="P16" s="25" t="s">
        <v>179</v>
      </c>
    </row>
    <row r="17" spans="1:16" ht="15" customHeight="1" x14ac:dyDescent="0.2">
      <c r="A17" s="26" t="s">
        <v>143</v>
      </c>
      <c r="B17" s="25" t="s">
        <v>177</v>
      </c>
      <c r="C17" s="43">
        <v>46240</v>
      </c>
      <c r="D17" s="26"/>
      <c r="E17" s="26">
        <v>1.93</v>
      </c>
      <c r="F17" s="26" t="s">
        <v>178</v>
      </c>
      <c r="G17" s="26">
        <v>327.35000000000002</v>
      </c>
      <c r="H17" s="44"/>
      <c r="I17" s="45" t="str">
        <f t="shared" si="0"/>
        <v/>
      </c>
      <c r="J17" s="46"/>
      <c r="K17" s="26"/>
      <c r="L17" s="25"/>
      <c r="M17" s="26"/>
      <c r="N17" s="47">
        <f t="shared" ca="1" si="1"/>
        <v>12</v>
      </c>
      <c r="O17" s="48" t="str">
        <f t="shared" ca="1" si="2"/>
        <v>Monitor Only</v>
      </c>
      <c r="P17" s="25" t="s">
        <v>179</v>
      </c>
    </row>
    <row r="18" spans="1:16" ht="15" customHeight="1" x14ac:dyDescent="0.2">
      <c r="A18" s="26" t="s">
        <v>151</v>
      </c>
      <c r="B18" s="25" t="s">
        <v>177</v>
      </c>
      <c r="C18" s="43">
        <v>46240</v>
      </c>
      <c r="D18" s="26"/>
      <c r="E18" s="26">
        <v>2.64</v>
      </c>
      <c r="F18" s="26" t="s">
        <v>178</v>
      </c>
      <c r="G18" s="26">
        <v>37.61</v>
      </c>
      <c r="H18" s="44"/>
      <c r="I18" s="45" t="str">
        <f t="shared" si="0"/>
        <v/>
      </c>
      <c r="J18" s="46"/>
      <c r="K18" s="26"/>
      <c r="L18" s="25"/>
      <c r="M18" s="26"/>
      <c r="N18" s="47">
        <f t="shared" ca="1" si="1"/>
        <v>12</v>
      </c>
      <c r="O18" s="48" t="str">
        <f t="shared" ca="1" si="2"/>
        <v>Monitor Only</v>
      </c>
      <c r="P18" s="25" t="s">
        <v>179</v>
      </c>
    </row>
    <row r="19" spans="1:16" ht="15" customHeight="1" x14ac:dyDescent="0.2">
      <c r="A19" s="25"/>
      <c r="B19" s="25"/>
      <c r="C19" s="26"/>
      <c r="D19" s="26"/>
      <c r="E19" s="26"/>
      <c r="F19" s="26"/>
      <c r="G19" s="26"/>
      <c r="H19" s="44"/>
      <c r="I19" s="45" t="str">
        <f t="shared" si="0"/>
        <v/>
      </c>
      <c r="J19" s="46"/>
      <c r="K19" s="26"/>
      <c r="L19" s="25"/>
      <c r="M19" s="26"/>
      <c r="N19" s="47" t="str">
        <f t="shared" ca="1" si="1"/>
        <v/>
      </c>
      <c r="O19" s="48" t="str">
        <f t="shared" ca="1" si="2"/>
        <v/>
      </c>
      <c r="P19" s="25"/>
    </row>
    <row r="20" spans="1:16" ht="15" customHeight="1" x14ac:dyDescent="0.2">
      <c r="A20" s="25"/>
      <c r="B20" s="25"/>
      <c r="C20" s="26"/>
      <c r="D20" s="26"/>
      <c r="E20" s="26"/>
      <c r="F20" s="26"/>
      <c r="G20" s="26"/>
      <c r="H20" s="44"/>
      <c r="I20" s="45" t="str">
        <f t="shared" si="0"/>
        <v/>
      </c>
      <c r="J20" s="46"/>
      <c r="K20" s="26"/>
      <c r="L20" s="25"/>
      <c r="M20" s="26"/>
      <c r="N20" s="47" t="str">
        <f t="shared" ca="1" si="1"/>
        <v/>
      </c>
      <c r="O20" s="48" t="str">
        <f t="shared" ca="1" si="2"/>
        <v/>
      </c>
      <c r="P20" s="25"/>
    </row>
    <row r="21" spans="1:16" ht="15" customHeight="1" x14ac:dyDescent="0.2">
      <c r="A21" s="25"/>
      <c r="B21" s="25"/>
      <c r="C21" s="26"/>
      <c r="D21" s="26"/>
      <c r="E21" s="26"/>
      <c r="F21" s="26"/>
      <c r="G21" s="26"/>
      <c r="H21" s="44"/>
      <c r="I21" s="45" t="str">
        <f t="shared" si="0"/>
        <v/>
      </c>
      <c r="J21" s="46"/>
      <c r="K21" s="26"/>
      <c r="L21" s="25"/>
      <c r="M21" s="26"/>
      <c r="N21" s="47" t="str">
        <f t="shared" ca="1" si="1"/>
        <v/>
      </c>
      <c r="O21" s="48" t="str">
        <f t="shared" ca="1" si="2"/>
        <v/>
      </c>
      <c r="P21" s="25"/>
    </row>
    <row r="22" spans="1:16" ht="15" customHeight="1" x14ac:dyDescent="0.2">
      <c r="A22" s="25"/>
      <c r="B22" s="25"/>
      <c r="C22" s="26"/>
      <c r="D22" s="26"/>
      <c r="E22" s="26"/>
      <c r="F22" s="26"/>
      <c r="G22" s="26"/>
      <c r="H22" s="44"/>
      <c r="I22" s="45" t="str">
        <f t="shared" si="0"/>
        <v/>
      </c>
      <c r="J22" s="46"/>
      <c r="K22" s="26"/>
      <c r="L22" s="25"/>
      <c r="M22" s="26"/>
      <c r="N22" s="47" t="str">
        <f t="shared" ca="1" si="1"/>
        <v/>
      </c>
      <c r="O22" s="48" t="str">
        <f t="shared" ca="1" si="2"/>
        <v/>
      </c>
      <c r="P22" s="25"/>
    </row>
    <row r="23" spans="1:16" ht="15" customHeight="1" x14ac:dyDescent="0.2">
      <c r="A23" s="25"/>
      <c r="B23" s="25"/>
      <c r="C23" s="26"/>
      <c r="D23" s="26"/>
      <c r="E23" s="26"/>
      <c r="F23" s="26"/>
      <c r="G23" s="26"/>
      <c r="H23" s="44"/>
      <c r="I23" s="45" t="str">
        <f t="shared" si="0"/>
        <v/>
      </c>
      <c r="J23" s="46"/>
      <c r="K23" s="26"/>
      <c r="L23" s="25"/>
      <c r="M23" s="26"/>
      <c r="N23" s="47" t="str">
        <f t="shared" ca="1" si="1"/>
        <v/>
      </c>
      <c r="O23" s="48" t="str">
        <f t="shared" ca="1" si="2"/>
        <v/>
      </c>
      <c r="P23" s="25"/>
    </row>
    <row r="24" spans="1:16" ht="15" customHeight="1" x14ac:dyDescent="0.2">
      <c r="A24" s="25"/>
      <c r="B24" s="25"/>
      <c r="C24" s="26"/>
      <c r="D24" s="26"/>
      <c r="E24" s="26"/>
      <c r="F24" s="26"/>
      <c r="G24" s="26"/>
      <c r="H24" s="44"/>
      <c r="I24" s="45" t="str">
        <f t="shared" si="0"/>
        <v/>
      </c>
      <c r="J24" s="46"/>
      <c r="K24" s="26"/>
      <c r="L24" s="25"/>
      <c r="M24" s="26"/>
      <c r="N24" s="47" t="str">
        <f t="shared" ca="1" si="1"/>
        <v/>
      </c>
      <c r="O24" s="48" t="str">
        <f t="shared" ca="1" si="2"/>
        <v/>
      </c>
      <c r="P24" s="25"/>
    </row>
    <row r="25" spans="1:16" ht="15" customHeight="1" x14ac:dyDescent="0.2">
      <c r="A25" s="25"/>
      <c r="B25" s="25"/>
      <c r="C25" s="26"/>
      <c r="D25" s="26"/>
      <c r="E25" s="26"/>
      <c r="F25" s="26"/>
      <c r="G25" s="26"/>
      <c r="H25" s="44"/>
      <c r="I25" s="45" t="str">
        <f t="shared" si="0"/>
        <v/>
      </c>
      <c r="J25" s="46"/>
      <c r="K25" s="26"/>
      <c r="L25" s="25"/>
      <c r="M25" s="26"/>
      <c r="N25" s="47" t="str">
        <f t="shared" ca="1" si="1"/>
        <v/>
      </c>
      <c r="O25" s="48" t="str">
        <f t="shared" ca="1" si="2"/>
        <v/>
      </c>
      <c r="P25" s="25"/>
    </row>
    <row r="26" spans="1:16" ht="15" customHeight="1" x14ac:dyDescent="0.2">
      <c r="A26" s="25"/>
      <c r="B26" s="25"/>
      <c r="C26" s="26"/>
      <c r="D26" s="26"/>
      <c r="E26" s="26"/>
      <c r="F26" s="26"/>
      <c r="G26" s="26"/>
      <c r="H26" s="44"/>
      <c r="I26" s="45" t="str">
        <f t="shared" si="0"/>
        <v/>
      </c>
      <c r="J26" s="46"/>
      <c r="K26" s="26"/>
      <c r="L26" s="25"/>
      <c r="M26" s="26"/>
      <c r="N26" s="47" t="str">
        <f t="shared" ca="1" si="1"/>
        <v/>
      </c>
      <c r="O26" s="48" t="str">
        <f t="shared" ca="1" si="2"/>
        <v/>
      </c>
      <c r="P26" s="25"/>
    </row>
    <row r="27" spans="1:16" ht="15" customHeight="1" x14ac:dyDescent="0.2">
      <c r="A27" s="25"/>
      <c r="B27" s="25"/>
      <c r="C27" s="26"/>
      <c r="D27" s="26"/>
      <c r="E27" s="26"/>
      <c r="F27" s="26"/>
      <c r="G27" s="26"/>
      <c r="H27" s="44"/>
      <c r="I27" s="45" t="str">
        <f t="shared" si="0"/>
        <v/>
      </c>
      <c r="J27" s="46"/>
      <c r="K27" s="26"/>
      <c r="L27" s="25"/>
      <c r="M27" s="26"/>
      <c r="N27" s="47" t="str">
        <f t="shared" ca="1" si="1"/>
        <v/>
      </c>
      <c r="O27" s="48" t="str">
        <f t="shared" ca="1" si="2"/>
        <v/>
      </c>
      <c r="P27" s="25"/>
    </row>
    <row r="28" spans="1:16" ht="15" customHeight="1" x14ac:dyDescent="0.2">
      <c r="A28" s="25"/>
      <c r="B28" s="25"/>
      <c r="C28" s="26"/>
      <c r="D28" s="26"/>
      <c r="E28" s="26"/>
      <c r="F28" s="26"/>
      <c r="G28" s="26"/>
      <c r="H28" s="44"/>
      <c r="I28" s="45" t="str">
        <f t="shared" si="0"/>
        <v/>
      </c>
      <c r="J28" s="46"/>
      <c r="K28" s="26"/>
      <c r="L28" s="25"/>
      <c r="M28" s="26"/>
      <c r="N28" s="47" t="str">
        <f t="shared" ca="1" si="1"/>
        <v/>
      </c>
      <c r="O28" s="48" t="str">
        <f t="shared" ca="1" si="2"/>
        <v/>
      </c>
      <c r="P28" s="25"/>
    </row>
    <row r="29" spans="1:16" ht="15" customHeight="1" x14ac:dyDescent="0.2">
      <c r="A29" s="25"/>
      <c r="B29" s="25"/>
      <c r="C29" s="26"/>
      <c r="D29" s="26"/>
      <c r="E29" s="26"/>
      <c r="F29" s="26"/>
      <c r="G29" s="26"/>
      <c r="H29" s="44"/>
      <c r="I29" s="45" t="str">
        <f t="shared" si="0"/>
        <v/>
      </c>
      <c r="J29" s="46"/>
      <c r="K29" s="26"/>
      <c r="L29" s="25"/>
      <c r="M29" s="26"/>
      <c r="N29" s="47" t="str">
        <f t="shared" ca="1" si="1"/>
        <v/>
      </c>
      <c r="O29" s="48" t="str">
        <f t="shared" ca="1" si="2"/>
        <v/>
      </c>
      <c r="P29" s="25"/>
    </row>
    <row r="30" spans="1:16" ht="15" customHeight="1" x14ac:dyDescent="0.2">
      <c r="A30" s="25"/>
      <c r="B30" s="25"/>
      <c r="C30" s="26"/>
      <c r="D30" s="26"/>
      <c r="E30" s="26"/>
      <c r="F30" s="26"/>
      <c r="G30" s="26"/>
      <c r="H30" s="44"/>
      <c r="I30" s="45" t="str">
        <f t="shared" si="0"/>
        <v/>
      </c>
      <c r="J30" s="46"/>
      <c r="K30" s="26"/>
      <c r="L30" s="25"/>
      <c r="M30" s="26"/>
      <c r="N30" s="47" t="str">
        <f t="shared" ca="1" si="1"/>
        <v/>
      </c>
      <c r="O30" s="48" t="str">
        <f t="shared" ca="1" si="2"/>
        <v/>
      </c>
      <c r="P30" s="25"/>
    </row>
    <row r="31" spans="1:16" ht="15" customHeight="1" x14ac:dyDescent="0.2">
      <c r="A31" s="25"/>
      <c r="B31" s="25"/>
      <c r="C31" s="26"/>
      <c r="D31" s="26"/>
      <c r="E31" s="26"/>
      <c r="F31" s="26"/>
      <c r="G31" s="26"/>
      <c r="H31" s="44"/>
      <c r="I31" s="45" t="str">
        <f t="shared" si="0"/>
        <v/>
      </c>
      <c r="J31" s="46"/>
      <c r="K31" s="26"/>
      <c r="L31" s="25"/>
      <c r="M31" s="26"/>
      <c r="N31" s="47" t="str">
        <f t="shared" ca="1" si="1"/>
        <v/>
      </c>
      <c r="O31" s="48" t="str">
        <f t="shared" ca="1" si="2"/>
        <v/>
      </c>
      <c r="P31" s="25"/>
    </row>
    <row r="32" spans="1:16" ht="15" customHeight="1" x14ac:dyDescent="0.2">
      <c r="A32" s="25"/>
      <c r="B32" s="25"/>
      <c r="C32" s="26"/>
      <c r="D32" s="26"/>
      <c r="E32" s="26"/>
      <c r="F32" s="26"/>
      <c r="G32" s="26"/>
      <c r="H32" s="44"/>
      <c r="I32" s="45" t="str">
        <f t="shared" si="0"/>
        <v/>
      </c>
      <c r="J32" s="46"/>
      <c r="K32" s="26"/>
      <c r="L32" s="25"/>
      <c r="M32" s="26"/>
      <c r="N32" s="47" t="str">
        <f t="shared" ca="1" si="1"/>
        <v/>
      </c>
      <c r="O32" s="48" t="str">
        <f t="shared" ca="1" si="2"/>
        <v/>
      </c>
      <c r="P32" s="25"/>
    </row>
    <row r="33" spans="1:16" ht="15" customHeight="1" x14ac:dyDescent="0.2">
      <c r="A33" s="25"/>
      <c r="B33" s="25"/>
      <c r="C33" s="26"/>
      <c r="D33" s="26"/>
      <c r="E33" s="26"/>
      <c r="F33" s="26"/>
      <c r="G33" s="26"/>
      <c r="H33" s="44"/>
      <c r="I33" s="45" t="str">
        <f t="shared" si="0"/>
        <v/>
      </c>
      <c r="J33" s="46"/>
      <c r="K33" s="26"/>
      <c r="L33" s="25"/>
      <c r="M33" s="26"/>
      <c r="N33" s="47" t="str">
        <f t="shared" ca="1" si="1"/>
        <v/>
      </c>
      <c r="O33" s="48" t="str">
        <f t="shared" ca="1" si="2"/>
        <v/>
      </c>
      <c r="P33" s="25"/>
    </row>
    <row r="34" spans="1:16" ht="15" customHeight="1" x14ac:dyDescent="0.2">
      <c r="A34" s="25"/>
      <c r="B34" s="25"/>
      <c r="C34" s="26"/>
      <c r="D34" s="26"/>
      <c r="E34" s="26"/>
      <c r="F34" s="26"/>
      <c r="G34" s="26"/>
      <c r="H34" s="44"/>
      <c r="I34" s="45" t="str">
        <f t="shared" si="0"/>
        <v/>
      </c>
      <c r="J34" s="46"/>
      <c r="K34" s="26"/>
      <c r="L34" s="25"/>
      <c r="M34" s="26"/>
      <c r="N34" s="47" t="str">
        <f t="shared" ca="1" si="1"/>
        <v/>
      </c>
      <c r="O34" s="48" t="str">
        <f t="shared" ca="1" si="2"/>
        <v/>
      </c>
      <c r="P34" s="25"/>
    </row>
    <row r="35" spans="1:16" ht="15" customHeight="1" x14ac:dyDescent="0.2">
      <c r="A35" s="25"/>
      <c r="B35" s="25"/>
      <c r="C35" s="26"/>
      <c r="D35" s="26"/>
      <c r="E35" s="26"/>
      <c r="F35" s="26"/>
      <c r="G35" s="26"/>
      <c r="H35" s="44"/>
      <c r="I35" s="45" t="str">
        <f t="shared" si="0"/>
        <v/>
      </c>
      <c r="J35" s="46"/>
      <c r="K35" s="26"/>
      <c r="L35" s="25"/>
      <c r="M35" s="26"/>
      <c r="N35" s="47" t="str">
        <f t="shared" ca="1" si="1"/>
        <v/>
      </c>
      <c r="O35" s="48" t="str">
        <f t="shared" ca="1" si="2"/>
        <v/>
      </c>
      <c r="P35" s="25"/>
    </row>
    <row r="36" spans="1:16" ht="15" customHeight="1" x14ac:dyDescent="0.2">
      <c r="A36" s="25"/>
      <c r="B36" s="25"/>
      <c r="C36" s="26"/>
      <c r="D36" s="26"/>
      <c r="E36" s="26"/>
      <c r="F36" s="26"/>
      <c r="G36" s="26"/>
      <c r="H36" s="44"/>
      <c r="I36" s="45" t="str">
        <f t="shared" si="0"/>
        <v/>
      </c>
      <c r="J36" s="46"/>
      <c r="K36" s="26"/>
      <c r="L36" s="25"/>
      <c r="M36" s="26"/>
      <c r="N36" s="47" t="str">
        <f t="shared" ca="1" si="1"/>
        <v/>
      </c>
      <c r="O36" s="48" t="str">
        <f t="shared" ca="1" si="2"/>
        <v/>
      </c>
      <c r="P36" s="25"/>
    </row>
    <row r="37" spans="1:16" ht="15" customHeight="1" x14ac:dyDescent="0.2">
      <c r="A37" s="25"/>
      <c r="B37" s="25"/>
      <c r="C37" s="26"/>
      <c r="D37" s="26"/>
      <c r="E37" s="26"/>
      <c r="F37" s="26"/>
      <c r="G37" s="26"/>
      <c r="H37" s="44"/>
      <c r="I37" s="45" t="str">
        <f t="shared" si="0"/>
        <v/>
      </c>
      <c r="J37" s="46"/>
      <c r="K37" s="26"/>
      <c r="L37" s="25"/>
      <c r="M37" s="26"/>
      <c r="N37" s="47" t="str">
        <f t="shared" ca="1" si="1"/>
        <v/>
      </c>
      <c r="O37" s="48" t="str">
        <f t="shared" ca="1" si="2"/>
        <v/>
      </c>
      <c r="P37" s="25"/>
    </row>
    <row r="38" spans="1:16" ht="15" customHeight="1" x14ac:dyDescent="0.2">
      <c r="A38" s="25"/>
      <c r="B38" s="25"/>
      <c r="C38" s="26"/>
      <c r="D38" s="26"/>
      <c r="E38" s="26"/>
      <c r="F38" s="26"/>
      <c r="G38" s="26"/>
      <c r="H38" s="44"/>
      <c r="I38" s="45" t="str">
        <f t="shared" si="0"/>
        <v/>
      </c>
      <c r="J38" s="46"/>
      <c r="K38" s="26"/>
      <c r="L38" s="25"/>
      <c r="M38" s="26"/>
      <c r="N38" s="47" t="str">
        <f t="shared" ca="1" si="1"/>
        <v/>
      </c>
      <c r="O38" s="48" t="str">
        <f t="shared" ca="1" si="2"/>
        <v/>
      </c>
      <c r="P38" s="25"/>
    </row>
    <row r="39" spans="1:16" ht="15" customHeight="1" x14ac:dyDescent="0.2">
      <c r="A39" s="25"/>
      <c r="B39" s="25"/>
      <c r="C39" s="26"/>
      <c r="D39" s="26"/>
      <c r="E39" s="26"/>
      <c r="F39" s="26"/>
      <c r="G39" s="26"/>
      <c r="H39" s="44"/>
      <c r="I39" s="45" t="str">
        <f t="shared" si="0"/>
        <v/>
      </c>
      <c r="J39" s="46"/>
      <c r="K39" s="26"/>
      <c r="L39" s="25"/>
      <c r="M39" s="26"/>
      <c r="N39" s="47" t="str">
        <f t="shared" ca="1" si="1"/>
        <v/>
      </c>
      <c r="O39" s="48" t="str">
        <f t="shared" ca="1" si="2"/>
        <v/>
      </c>
      <c r="P39" s="25"/>
    </row>
    <row r="40" spans="1:16" ht="15" customHeight="1" x14ac:dyDescent="0.2">
      <c r="A40" s="25"/>
      <c r="B40" s="25"/>
      <c r="C40" s="26"/>
      <c r="D40" s="26"/>
      <c r="E40" s="26"/>
      <c r="F40" s="26"/>
      <c r="G40" s="26"/>
      <c r="H40" s="44"/>
      <c r="I40" s="45" t="str">
        <f t="shared" si="0"/>
        <v/>
      </c>
      <c r="J40" s="46"/>
      <c r="K40" s="26"/>
      <c r="L40" s="25"/>
      <c r="M40" s="26"/>
      <c r="N40" s="47" t="str">
        <f t="shared" ca="1" si="1"/>
        <v/>
      </c>
      <c r="O40" s="48" t="str">
        <f t="shared" ca="1" si="2"/>
        <v/>
      </c>
      <c r="P40" s="25"/>
    </row>
    <row r="41" spans="1:16" ht="15" customHeight="1" x14ac:dyDescent="0.2">
      <c r="A41" s="25"/>
      <c r="B41" s="25"/>
      <c r="C41" s="26"/>
      <c r="D41" s="26"/>
      <c r="E41" s="26"/>
      <c r="F41" s="26"/>
      <c r="G41" s="26"/>
      <c r="H41" s="44"/>
      <c r="I41" s="45" t="str">
        <f t="shared" si="0"/>
        <v/>
      </c>
      <c r="J41" s="46"/>
      <c r="K41" s="26"/>
      <c r="L41" s="25"/>
      <c r="M41" s="26"/>
      <c r="N41" s="47" t="str">
        <f t="shared" ca="1" si="1"/>
        <v/>
      </c>
      <c r="O41" s="48" t="str">
        <f t="shared" ca="1" si="2"/>
        <v/>
      </c>
      <c r="P41" s="25"/>
    </row>
    <row r="42" spans="1:16" ht="15" customHeight="1" x14ac:dyDescent="0.2">
      <c r="A42" s="25"/>
      <c r="B42" s="25"/>
      <c r="C42" s="26"/>
      <c r="D42" s="26"/>
      <c r="E42" s="26"/>
      <c r="F42" s="26"/>
      <c r="G42" s="26"/>
      <c r="H42" s="44"/>
      <c r="I42" s="45" t="str">
        <f t="shared" si="0"/>
        <v/>
      </c>
      <c r="J42" s="46"/>
      <c r="K42" s="26"/>
      <c r="L42" s="25"/>
      <c r="M42" s="26"/>
      <c r="N42" s="47" t="str">
        <f t="shared" ca="1" si="1"/>
        <v/>
      </c>
      <c r="O42" s="48" t="str">
        <f t="shared" ca="1" si="2"/>
        <v/>
      </c>
      <c r="P42" s="25"/>
    </row>
  </sheetData>
  <mergeCells count="1">
    <mergeCell ref="A1:P1"/>
  </mergeCells>
  <conditionalFormatting sqref="B3:B42">
    <cfRule type="expression" dxfId="73" priority="5">
      <formula>ISNUMBER(SEARCH("AVOID",B3))</formula>
    </cfRule>
  </conditionalFormatting>
  <conditionalFormatting sqref="O3:O42">
    <cfRule type="expression" dxfId="72" priority="2">
      <formula>ISNUMBER(SEARCH("DUE",O3))</formula>
    </cfRule>
    <cfRule type="expression" dxfId="71" priority="3">
      <formula>ISNUMBER(SEARCH("WATCH",O3))</formula>
    </cfRule>
    <cfRule type="expression" dxfId="70" priority="4">
      <formula>O3="Monitor Only"</formula>
    </cfRule>
  </conditionalFormatting>
  <dataValidations count="2">
    <dataValidation type="list" allowBlank="1" sqref="B19:B42" xr:uid="{00000000-0002-0000-0300-000000000000}">
      <formula1>"Owned,Owned - Tier1 AVOID,Closed,Watch List,Tier-1 Avoid (external),Near-Miss"</formula1>
      <formula2>0</formula2>
    </dataValidation>
    <dataValidation type="list" allowBlank="1" sqref="K3:K42 M3:M42" xr:uid="{00000000-0002-0000-03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62"/>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8.6640625" defaultRowHeight="15" x14ac:dyDescent="0.2"/>
  <cols>
    <col min="1" max="1" width="12" customWidth="1"/>
    <col min="2" max="21" width="11" customWidth="1"/>
  </cols>
  <sheetData>
    <row r="1" spans="1:21" ht="25.5" customHeight="1" x14ac:dyDescent="0.2">
      <c r="A1" s="2" t="s">
        <v>180</v>
      </c>
      <c r="B1" s="2"/>
      <c r="C1" s="2"/>
      <c r="D1" s="2"/>
      <c r="E1" s="2"/>
      <c r="F1" s="2"/>
      <c r="G1" s="2"/>
      <c r="H1" s="2"/>
      <c r="I1" s="2"/>
      <c r="J1" s="2"/>
      <c r="K1" s="2"/>
      <c r="L1" s="2"/>
      <c r="M1" s="2"/>
      <c r="N1" s="2"/>
      <c r="O1" s="2"/>
      <c r="P1" s="2"/>
      <c r="Q1" s="2"/>
    </row>
    <row r="2" spans="1:21" ht="15" customHeight="1" x14ac:dyDescent="0.2">
      <c r="A2" s="49" t="s">
        <v>181</v>
      </c>
      <c r="B2" s="49" t="s">
        <v>85</v>
      </c>
      <c r="C2" s="49" t="s">
        <v>90</v>
      </c>
      <c r="D2" s="49" t="s">
        <v>92</v>
      </c>
      <c r="E2" s="49" t="s">
        <v>128</v>
      </c>
      <c r="F2" s="49" t="s">
        <v>94</v>
      </c>
      <c r="G2" s="49" t="s">
        <v>96</v>
      </c>
      <c r="H2" s="49" t="s">
        <v>98</v>
      </c>
      <c r="I2" s="49" t="s">
        <v>100</v>
      </c>
      <c r="J2" s="49" t="s">
        <v>137</v>
      </c>
      <c r="K2" s="49" t="s">
        <v>102</v>
      </c>
      <c r="L2" s="49" t="s">
        <v>104</v>
      </c>
      <c r="M2" s="49" t="s">
        <v>106</v>
      </c>
      <c r="N2" s="49" t="s">
        <v>130</v>
      </c>
      <c r="O2" s="49" t="s">
        <v>120</v>
      </c>
      <c r="P2" s="49"/>
      <c r="Q2" s="49" t="s">
        <v>126</v>
      </c>
      <c r="R2" s="49" t="s">
        <v>117</v>
      </c>
      <c r="S2" s="49" t="s">
        <v>133</v>
      </c>
      <c r="T2" s="49" t="s">
        <v>135</v>
      </c>
      <c r="U2" s="49"/>
    </row>
    <row r="3" spans="1:21" ht="15" customHeight="1" x14ac:dyDescent="0.2">
      <c r="A3" s="50">
        <v>45149</v>
      </c>
      <c r="B3" s="51">
        <v>508.45</v>
      </c>
      <c r="C3" s="51">
        <v>43.74</v>
      </c>
      <c r="D3" s="51">
        <v>661.78</v>
      </c>
      <c r="E3" s="51">
        <v>82.98</v>
      </c>
      <c r="F3" s="51">
        <v>37.06</v>
      </c>
      <c r="G3" s="51">
        <v>47.9</v>
      </c>
      <c r="H3" s="51">
        <v>64.37</v>
      </c>
      <c r="I3" s="51">
        <v>40.85</v>
      </c>
      <c r="J3" s="51">
        <v>123.51</v>
      </c>
      <c r="K3" s="51">
        <v>15.41</v>
      </c>
      <c r="L3" s="51">
        <v>91.99</v>
      </c>
      <c r="M3" s="51">
        <v>33.51</v>
      </c>
      <c r="N3" s="51">
        <v>349.86</v>
      </c>
      <c r="O3" s="51">
        <v>82.85</v>
      </c>
      <c r="P3" s="51"/>
      <c r="Q3" s="51">
        <v>49.84</v>
      </c>
      <c r="R3" s="51">
        <v>47.82</v>
      </c>
      <c r="S3" s="51">
        <v>58.54</v>
      </c>
      <c r="T3" s="51">
        <v>26.91</v>
      </c>
      <c r="U3" s="51"/>
    </row>
    <row r="4" spans="1:21" ht="15" customHeight="1" x14ac:dyDescent="0.2">
      <c r="A4" s="50">
        <v>45156</v>
      </c>
      <c r="B4" s="51">
        <v>508.13</v>
      </c>
      <c r="C4" s="51">
        <v>45.14</v>
      </c>
      <c r="D4" s="51">
        <v>655.33000000000004</v>
      </c>
      <c r="E4" s="51">
        <v>82.58</v>
      </c>
      <c r="F4" s="51">
        <v>36.700000000000003</v>
      </c>
      <c r="G4" s="51">
        <v>47.8</v>
      </c>
      <c r="H4" s="51">
        <v>63.59</v>
      </c>
      <c r="I4" s="51">
        <v>43.3</v>
      </c>
      <c r="J4" s="51">
        <v>121.47</v>
      </c>
      <c r="K4" s="51">
        <v>14.4</v>
      </c>
      <c r="L4" s="51">
        <v>91.1</v>
      </c>
      <c r="M4" s="51">
        <v>33.97</v>
      </c>
      <c r="N4" s="51">
        <v>344.82</v>
      </c>
      <c r="O4" s="51">
        <v>80.3</v>
      </c>
      <c r="P4" s="51"/>
      <c r="Q4" s="51">
        <v>50</v>
      </c>
      <c r="R4" s="51">
        <v>46.93</v>
      </c>
      <c r="S4" s="51">
        <v>58.05</v>
      </c>
      <c r="T4" s="51">
        <v>26.19</v>
      </c>
      <c r="U4" s="51"/>
    </row>
    <row r="5" spans="1:21" ht="15" customHeight="1" x14ac:dyDescent="0.2">
      <c r="A5" s="50">
        <v>45163</v>
      </c>
      <c r="B5" s="51">
        <v>525.05999999999995</v>
      </c>
      <c r="C5" s="51">
        <v>45.23</v>
      </c>
      <c r="D5" s="51">
        <v>651.01</v>
      </c>
      <c r="E5" s="51">
        <v>85.18</v>
      </c>
      <c r="F5" s="51">
        <v>37.4</v>
      </c>
      <c r="G5" s="51">
        <v>48.17</v>
      </c>
      <c r="H5" s="51">
        <v>63.72</v>
      </c>
      <c r="I5" s="51">
        <v>46.02</v>
      </c>
      <c r="J5" s="51">
        <v>122.66</v>
      </c>
      <c r="K5" s="51">
        <v>14.53</v>
      </c>
      <c r="L5" s="51">
        <v>93.1</v>
      </c>
      <c r="M5" s="51">
        <v>37.5</v>
      </c>
      <c r="N5" s="51">
        <v>350.06</v>
      </c>
      <c r="O5" s="51">
        <v>79</v>
      </c>
      <c r="P5" s="51"/>
      <c r="Q5" s="51">
        <v>50.17</v>
      </c>
      <c r="R5" s="51">
        <v>47.68</v>
      </c>
      <c r="S5" s="51">
        <v>57.89</v>
      </c>
      <c r="T5" s="51">
        <v>25.98</v>
      </c>
      <c r="U5" s="51"/>
    </row>
    <row r="6" spans="1:21" ht="15" customHeight="1" x14ac:dyDescent="0.2">
      <c r="A6" s="50">
        <v>45170</v>
      </c>
      <c r="B6" s="51">
        <v>563.21</v>
      </c>
      <c r="C6" s="51">
        <v>49.34</v>
      </c>
      <c r="D6" s="51">
        <v>662.52</v>
      </c>
      <c r="E6" s="51">
        <v>87.25</v>
      </c>
      <c r="F6" s="51">
        <v>40.31</v>
      </c>
      <c r="G6" s="51">
        <v>50.7</v>
      </c>
      <c r="H6" s="51">
        <v>70.39</v>
      </c>
      <c r="I6" s="51">
        <v>48.51</v>
      </c>
      <c r="J6" s="51">
        <v>124.59</v>
      </c>
      <c r="K6" s="51">
        <v>15.18</v>
      </c>
      <c r="L6" s="51">
        <v>93.19</v>
      </c>
      <c r="M6" s="51">
        <v>39.869999999999997</v>
      </c>
      <c r="N6" s="51">
        <v>351.1</v>
      </c>
      <c r="O6" s="51">
        <v>82.69</v>
      </c>
      <c r="P6" s="51"/>
      <c r="Q6" s="51">
        <v>49.61</v>
      </c>
      <c r="R6" s="51">
        <v>48.55</v>
      </c>
      <c r="S6" s="51">
        <v>58.82</v>
      </c>
      <c r="T6" s="51">
        <v>26.66</v>
      </c>
      <c r="U6" s="51"/>
    </row>
    <row r="7" spans="1:21" ht="15" customHeight="1" x14ac:dyDescent="0.2">
      <c r="A7" s="50">
        <v>45177</v>
      </c>
      <c r="B7" s="51">
        <v>560.36</v>
      </c>
      <c r="C7" s="51">
        <v>49.12</v>
      </c>
      <c r="D7" s="51">
        <v>627.86</v>
      </c>
      <c r="E7" s="51">
        <v>85.76</v>
      </c>
      <c r="F7" s="51">
        <v>42.02</v>
      </c>
      <c r="G7" s="51">
        <v>49.77</v>
      </c>
      <c r="H7" s="51">
        <v>70.180000000000007</v>
      </c>
      <c r="I7" s="51">
        <v>45.57</v>
      </c>
      <c r="J7" s="51">
        <v>122.48</v>
      </c>
      <c r="K7" s="51">
        <v>15.13</v>
      </c>
      <c r="L7" s="51">
        <v>89.64</v>
      </c>
      <c r="M7" s="51">
        <v>39.200000000000003</v>
      </c>
      <c r="N7" s="51">
        <v>343.05</v>
      </c>
      <c r="O7" s="51">
        <v>79.510000000000005</v>
      </c>
      <c r="P7" s="51"/>
      <c r="Q7" s="51">
        <v>48.75</v>
      </c>
      <c r="R7" s="51">
        <v>48.23</v>
      </c>
      <c r="S7" s="51">
        <v>59.17</v>
      </c>
      <c r="T7" s="51">
        <v>26.47</v>
      </c>
      <c r="U7" s="51"/>
    </row>
    <row r="8" spans="1:21" ht="15" customHeight="1" x14ac:dyDescent="0.2">
      <c r="A8" s="50">
        <v>45184</v>
      </c>
      <c r="B8" s="51">
        <v>528.89</v>
      </c>
      <c r="C8" s="51">
        <v>46.18</v>
      </c>
      <c r="D8" s="51">
        <v>596.66</v>
      </c>
      <c r="E8" s="51">
        <v>85.17</v>
      </c>
      <c r="F8" s="51">
        <v>41.36</v>
      </c>
      <c r="G8" s="51">
        <v>45.42</v>
      </c>
      <c r="H8" s="51">
        <v>69.88</v>
      </c>
      <c r="I8" s="51">
        <v>43.9</v>
      </c>
      <c r="J8" s="51">
        <v>123.18</v>
      </c>
      <c r="K8" s="51">
        <v>15.33</v>
      </c>
      <c r="L8" s="51">
        <v>89.25</v>
      </c>
      <c r="M8" s="51">
        <v>38.17</v>
      </c>
      <c r="N8" s="51">
        <v>348.9</v>
      </c>
      <c r="O8" s="51">
        <v>79.36</v>
      </c>
      <c r="P8" s="51"/>
      <c r="Q8" s="51">
        <v>50.71</v>
      </c>
      <c r="R8" s="51">
        <v>48.21</v>
      </c>
      <c r="S8" s="51">
        <v>59.17</v>
      </c>
      <c r="T8" s="51">
        <v>26.3</v>
      </c>
      <c r="U8" s="51"/>
    </row>
    <row r="9" spans="1:21" ht="15" customHeight="1" x14ac:dyDescent="0.2">
      <c r="A9" s="50">
        <v>45191</v>
      </c>
      <c r="B9" s="51">
        <v>512.9</v>
      </c>
      <c r="C9" s="51">
        <v>45.09</v>
      </c>
      <c r="D9" s="51">
        <v>587.1</v>
      </c>
      <c r="E9" s="51">
        <v>82.91</v>
      </c>
      <c r="F9" s="51">
        <v>40.64</v>
      </c>
      <c r="G9" s="51">
        <v>45.18</v>
      </c>
      <c r="H9" s="51">
        <v>68.88</v>
      </c>
      <c r="I9" s="51">
        <v>41.61</v>
      </c>
      <c r="J9" s="51">
        <v>114.07</v>
      </c>
      <c r="K9" s="51">
        <v>14.13</v>
      </c>
      <c r="L9" s="51">
        <v>85.64</v>
      </c>
      <c r="M9" s="51">
        <v>36.450000000000003</v>
      </c>
      <c r="N9" s="51">
        <v>349.53</v>
      </c>
      <c r="O9" s="51">
        <v>76.69</v>
      </c>
      <c r="P9" s="51"/>
      <c r="Q9" s="51">
        <v>51.22</v>
      </c>
      <c r="R9" s="51">
        <v>46.91</v>
      </c>
      <c r="S9" s="51">
        <v>57.46</v>
      </c>
      <c r="T9" s="51">
        <v>25.91</v>
      </c>
      <c r="U9" s="51"/>
    </row>
    <row r="10" spans="1:21" ht="15" customHeight="1" x14ac:dyDescent="0.2">
      <c r="A10" s="50">
        <v>45198</v>
      </c>
      <c r="B10" s="51">
        <v>509.9</v>
      </c>
      <c r="C10" s="51">
        <v>45.98</v>
      </c>
      <c r="D10" s="51">
        <v>588.66</v>
      </c>
      <c r="E10" s="51">
        <v>83.06</v>
      </c>
      <c r="F10" s="51">
        <v>41.85</v>
      </c>
      <c r="G10" s="51">
        <v>45.87</v>
      </c>
      <c r="H10" s="51">
        <v>68.03</v>
      </c>
      <c r="I10" s="51">
        <v>43.5</v>
      </c>
      <c r="J10" s="51">
        <v>112.21</v>
      </c>
      <c r="K10" s="51">
        <v>16</v>
      </c>
      <c r="L10" s="51">
        <v>86.9</v>
      </c>
      <c r="M10" s="51">
        <v>37.200000000000003</v>
      </c>
      <c r="N10" s="51">
        <v>347.74</v>
      </c>
      <c r="O10" s="51">
        <v>77.95</v>
      </c>
      <c r="P10" s="51"/>
      <c r="Q10" s="51">
        <v>51.89</v>
      </c>
      <c r="R10" s="51">
        <v>46.93</v>
      </c>
      <c r="S10" s="51">
        <v>57.28</v>
      </c>
      <c r="T10" s="51">
        <v>25.98</v>
      </c>
      <c r="U10" s="51"/>
    </row>
    <row r="11" spans="1:21" ht="15" customHeight="1" x14ac:dyDescent="0.2">
      <c r="A11" s="50">
        <v>45205</v>
      </c>
      <c r="B11" s="51">
        <v>526.67999999999995</v>
      </c>
      <c r="C11" s="51">
        <v>48.51</v>
      </c>
      <c r="D11" s="51">
        <v>597.36</v>
      </c>
      <c r="E11" s="51">
        <v>84.53</v>
      </c>
      <c r="F11" s="51">
        <v>44.17</v>
      </c>
      <c r="G11" s="51">
        <v>46.81</v>
      </c>
      <c r="H11" s="51">
        <v>69.959999999999994</v>
      </c>
      <c r="I11" s="51">
        <v>45.76</v>
      </c>
      <c r="J11" s="51">
        <v>108.91</v>
      </c>
      <c r="K11" s="51">
        <v>16.61</v>
      </c>
      <c r="L11" s="51">
        <v>89.29</v>
      </c>
      <c r="M11" s="51">
        <v>39.770000000000003</v>
      </c>
      <c r="N11" s="51">
        <v>360.62</v>
      </c>
      <c r="O11" s="51">
        <v>75.599999999999994</v>
      </c>
      <c r="P11" s="51"/>
      <c r="Q11" s="51">
        <v>52.12</v>
      </c>
      <c r="R11" s="51">
        <v>47.13</v>
      </c>
      <c r="S11" s="51">
        <v>57.92</v>
      </c>
      <c r="T11" s="51">
        <v>25.5</v>
      </c>
      <c r="U11" s="51"/>
    </row>
    <row r="12" spans="1:21" ht="15" customHeight="1" x14ac:dyDescent="0.2">
      <c r="A12" s="50">
        <v>45212</v>
      </c>
      <c r="B12" s="51">
        <v>548.76</v>
      </c>
      <c r="C12" s="51">
        <v>47.46</v>
      </c>
      <c r="D12" s="51">
        <v>599.75</v>
      </c>
      <c r="E12" s="51">
        <v>88.32</v>
      </c>
      <c r="F12" s="51">
        <v>46.43</v>
      </c>
      <c r="G12" s="51">
        <v>48.68</v>
      </c>
      <c r="H12" s="51">
        <v>69.209999999999994</v>
      </c>
      <c r="I12" s="51">
        <v>45.46</v>
      </c>
      <c r="J12" s="51">
        <v>109.65</v>
      </c>
      <c r="K12" s="51">
        <v>17.36</v>
      </c>
      <c r="L12" s="51">
        <v>90.46</v>
      </c>
      <c r="M12" s="51">
        <v>39.1</v>
      </c>
      <c r="N12" s="51">
        <v>371</v>
      </c>
      <c r="O12" s="51">
        <v>75.8</v>
      </c>
      <c r="P12" s="51"/>
      <c r="Q12" s="51">
        <v>52.17</v>
      </c>
      <c r="R12" s="51">
        <v>47.26</v>
      </c>
      <c r="S12" s="51">
        <v>58.25</v>
      </c>
      <c r="T12" s="51">
        <v>25.83</v>
      </c>
      <c r="U12" s="51"/>
    </row>
    <row r="13" spans="1:21" ht="15" customHeight="1" x14ac:dyDescent="0.2">
      <c r="A13" s="50">
        <v>45219</v>
      </c>
      <c r="B13" s="51">
        <v>540.96</v>
      </c>
      <c r="C13" s="51">
        <v>46.53</v>
      </c>
      <c r="D13" s="51">
        <v>580.1</v>
      </c>
      <c r="E13" s="51">
        <v>85.36</v>
      </c>
      <c r="F13" s="51">
        <v>44.69</v>
      </c>
      <c r="G13" s="51">
        <v>46.24</v>
      </c>
      <c r="H13" s="51">
        <v>67.22</v>
      </c>
      <c r="I13" s="51">
        <v>41.39</v>
      </c>
      <c r="J13" s="51">
        <v>102.43</v>
      </c>
      <c r="K13" s="51">
        <v>16.11</v>
      </c>
      <c r="L13" s="51">
        <v>91.31</v>
      </c>
      <c r="M13" s="51">
        <v>36.74</v>
      </c>
      <c r="N13" s="51">
        <v>361.86</v>
      </c>
      <c r="O13" s="51">
        <v>74.53</v>
      </c>
      <c r="P13" s="51"/>
      <c r="Q13" s="51">
        <v>52.36</v>
      </c>
      <c r="R13" s="51">
        <v>46.32</v>
      </c>
      <c r="S13" s="51">
        <v>56.56</v>
      </c>
      <c r="T13" s="51">
        <v>25.5</v>
      </c>
      <c r="U13" s="51"/>
    </row>
    <row r="14" spans="1:21" ht="15" customHeight="1" x14ac:dyDescent="0.2">
      <c r="A14" s="50">
        <v>45226</v>
      </c>
      <c r="B14" s="51">
        <v>508.12</v>
      </c>
      <c r="C14" s="51">
        <v>44.05</v>
      </c>
      <c r="D14" s="51">
        <v>590</v>
      </c>
      <c r="E14" s="51">
        <v>83.84</v>
      </c>
      <c r="F14" s="51">
        <v>43.21</v>
      </c>
      <c r="G14" s="51">
        <v>45.79</v>
      </c>
      <c r="H14" s="51">
        <v>65.650000000000006</v>
      </c>
      <c r="I14" s="51">
        <v>40.5</v>
      </c>
      <c r="J14" s="51">
        <v>97.32</v>
      </c>
      <c r="K14" s="51">
        <v>15.07</v>
      </c>
      <c r="L14" s="51">
        <v>85.99</v>
      </c>
      <c r="M14" s="51">
        <v>36.42</v>
      </c>
      <c r="N14" s="51">
        <v>355.28</v>
      </c>
      <c r="O14" s="51">
        <v>73.38</v>
      </c>
      <c r="P14" s="51"/>
      <c r="Q14" s="51">
        <v>52.83</v>
      </c>
      <c r="R14" s="51">
        <v>45.36</v>
      </c>
      <c r="S14" s="51">
        <v>55.42</v>
      </c>
      <c r="T14" s="51">
        <v>24.66</v>
      </c>
      <c r="U14" s="51"/>
    </row>
    <row r="15" spans="1:21" ht="15" customHeight="1" x14ac:dyDescent="0.2">
      <c r="A15" s="50">
        <v>45233</v>
      </c>
      <c r="B15" s="51">
        <v>563.66</v>
      </c>
      <c r="C15" s="51">
        <v>53.12</v>
      </c>
      <c r="D15" s="51">
        <v>642.41</v>
      </c>
      <c r="E15" s="51">
        <v>88.27</v>
      </c>
      <c r="F15" s="51">
        <v>47.06</v>
      </c>
      <c r="G15" s="51">
        <v>49.96</v>
      </c>
      <c r="H15" s="51">
        <v>72.58</v>
      </c>
      <c r="I15" s="51">
        <v>45.01</v>
      </c>
      <c r="J15" s="51">
        <v>106.55</v>
      </c>
      <c r="K15" s="51">
        <v>18.89</v>
      </c>
      <c r="L15" s="51">
        <v>91.79</v>
      </c>
      <c r="M15" s="51">
        <v>40.44</v>
      </c>
      <c r="N15" s="51">
        <v>376.2</v>
      </c>
      <c r="O15" s="51">
        <v>78.63</v>
      </c>
      <c r="P15" s="51"/>
      <c r="Q15" s="51">
        <v>52.79</v>
      </c>
      <c r="R15" s="51">
        <v>47.52</v>
      </c>
      <c r="S15" s="51">
        <v>58.65</v>
      </c>
      <c r="T15" s="51">
        <v>26.11</v>
      </c>
      <c r="U15" s="51"/>
    </row>
    <row r="16" spans="1:21" ht="15" customHeight="1" x14ac:dyDescent="0.2">
      <c r="A16" s="50">
        <v>45240</v>
      </c>
      <c r="B16" s="51">
        <v>597.22</v>
      </c>
      <c r="C16" s="51">
        <v>51.71</v>
      </c>
      <c r="D16" s="51">
        <v>661.28</v>
      </c>
      <c r="E16" s="51">
        <v>95.75</v>
      </c>
      <c r="F16" s="51">
        <v>49.08</v>
      </c>
      <c r="G16" s="51">
        <v>53.43</v>
      </c>
      <c r="H16" s="51">
        <v>75.36</v>
      </c>
      <c r="I16" s="51">
        <v>48.34</v>
      </c>
      <c r="J16" s="51">
        <v>104.55</v>
      </c>
      <c r="K16" s="51">
        <v>19.670000000000002</v>
      </c>
      <c r="L16" s="51">
        <v>97.44</v>
      </c>
      <c r="M16" s="51">
        <v>41.83</v>
      </c>
      <c r="N16" s="51">
        <v>373.65</v>
      </c>
      <c r="O16" s="51">
        <v>75.95</v>
      </c>
      <c r="P16" s="51"/>
      <c r="Q16" s="51">
        <v>52.88</v>
      </c>
      <c r="R16" s="51">
        <v>48.51</v>
      </c>
      <c r="S16" s="51">
        <v>60.38</v>
      </c>
      <c r="T16" s="51">
        <v>25.93</v>
      </c>
      <c r="U16" s="51"/>
    </row>
    <row r="17" spans="1:21" ht="15" customHeight="1" x14ac:dyDescent="0.2">
      <c r="A17" s="50">
        <v>45247</v>
      </c>
      <c r="B17" s="51">
        <v>602.66</v>
      </c>
      <c r="C17" s="51">
        <v>53.66</v>
      </c>
      <c r="D17" s="51">
        <v>686.09</v>
      </c>
      <c r="E17" s="51">
        <v>97.77</v>
      </c>
      <c r="F17" s="51">
        <v>51.77</v>
      </c>
      <c r="G17" s="51">
        <v>54.45</v>
      </c>
      <c r="H17" s="51">
        <v>77.56</v>
      </c>
      <c r="I17" s="51">
        <v>49.3</v>
      </c>
      <c r="J17" s="51">
        <v>110.07</v>
      </c>
      <c r="K17" s="51">
        <v>20.49</v>
      </c>
      <c r="L17" s="51">
        <v>99.58</v>
      </c>
      <c r="M17" s="51">
        <v>43.29</v>
      </c>
      <c r="N17" s="51">
        <v>350.5</v>
      </c>
      <c r="O17" s="51">
        <v>80.16</v>
      </c>
      <c r="P17" s="51"/>
      <c r="Q17" s="51">
        <v>52.65</v>
      </c>
      <c r="R17" s="51">
        <v>48.97</v>
      </c>
      <c r="S17" s="51">
        <v>61.69</v>
      </c>
      <c r="T17" s="51">
        <v>26.59</v>
      </c>
      <c r="U17" s="51"/>
    </row>
    <row r="18" spans="1:21" ht="15" customHeight="1" x14ac:dyDescent="0.2">
      <c r="A18" s="50">
        <v>45254</v>
      </c>
      <c r="B18" s="51">
        <v>619.42999999999995</v>
      </c>
      <c r="C18" s="51">
        <v>54.6</v>
      </c>
      <c r="D18" s="51">
        <v>691.18</v>
      </c>
      <c r="E18" s="51">
        <v>97.89</v>
      </c>
      <c r="F18" s="51">
        <v>52.67</v>
      </c>
      <c r="G18" s="51">
        <v>55.56</v>
      </c>
      <c r="H18" s="51">
        <v>76.87</v>
      </c>
      <c r="I18" s="51">
        <v>47.78</v>
      </c>
      <c r="J18" s="51">
        <v>112</v>
      </c>
      <c r="K18" s="51">
        <v>19.2</v>
      </c>
      <c r="L18" s="51">
        <v>97.83</v>
      </c>
      <c r="M18" s="51">
        <v>42.68</v>
      </c>
      <c r="N18" s="51">
        <v>353.04</v>
      </c>
      <c r="O18" s="51">
        <v>80.17</v>
      </c>
      <c r="P18" s="51"/>
      <c r="Q18" s="51">
        <v>53.17</v>
      </c>
      <c r="R18" s="51">
        <v>49.23</v>
      </c>
      <c r="S18" s="51">
        <v>62.03</v>
      </c>
      <c r="T18" s="51">
        <v>26.78</v>
      </c>
      <c r="U18" s="51"/>
    </row>
    <row r="19" spans="1:21" ht="15" customHeight="1" x14ac:dyDescent="0.2">
      <c r="A19" s="50">
        <v>45261</v>
      </c>
      <c r="B19" s="51">
        <v>612.47</v>
      </c>
      <c r="C19" s="51">
        <v>54.16</v>
      </c>
      <c r="D19" s="51">
        <v>692.2</v>
      </c>
      <c r="E19" s="51">
        <v>93</v>
      </c>
      <c r="F19" s="51">
        <v>58.76</v>
      </c>
      <c r="G19" s="51">
        <v>54.9</v>
      </c>
      <c r="H19" s="51">
        <v>75.930000000000007</v>
      </c>
      <c r="I19" s="51">
        <v>46.77</v>
      </c>
      <c r="J19" s="51">
        <v>118.26</v>
      </c>
      <c r="K19" s="51">
        <v>20.27</v>
      </c>
      <c r="L19" s="51">
        <v>98.55</v>
      </c>
      <c r="M19" s="51">
        <v>45.14</v>
      </c>
      <c r="N19" s="51">
        <v>351.16</v>
      </c>
      <c r="O19" s="51">
        <v>82.86</v>
      </c>
      <c r="P19" s="51"/>
      <c r="Q19" s="51">
        <v>53.48</v>
      </c>
      <c r="R19" s="51">
        <v>48.9</v>
      </c>
      <c r="S19" s="51">
        <v>61.89</v>
      </c>
      <c r="T19" s="51">
        <v>27.14</v>
      </c>
      <c r="U19" s="51"/>
    </row>
    <row r="20" spans="1:21" ht="15" customHeight="1" x14ac:dyDescent="0.2">
      <c r="A20" s="50">
        <v>45268</v>
      </c>
      <c r="B20" s="51">
        <v>610.01</v>
      </c>
      <c r="C20" s="51">
        <v>56.01</v>
      </c>
      <c r="D20" s="51">
        <v>696.43</v>
      </c>
      <c r="E20" s="51">
        <v>94.43</v>
      </c>
      <c r="F20" s="51">
        <v>60.64</v>
      </c>
      <c r="G20" s="51">
        <v>53.44</v>
      </c>
      <c r="H20" s="51">
        <v>74.959999999999994</v>
      </c>
      <c r="I20" s="51">
        <v>47.51</v>
      </c>
      <c r="J20" s="51">
        <v>119.85</v>
      </c>
      <c r="K20" s="51">
        <v>17.77</v>
      </c>
      <c r="L20" s="51">
        <v>100.35</v>
      </c>
      <c r="M20" s="51">
        <v>47.14</v>
      </c>
      <c r="N20" s="51">
        <v>350.15</v>
      </c>
      <c r="O20" s="51">
        <v>83.55</v>
      </c>
      <c r="P20" s="51"/>
      <c r="Q20" s="51">
        <v>53.82</v>
      </c>
      <c r="R20" s="51">
        <v>49.26</v>
      </c>
      <c r="S20" s="51">
        <v>62.12</v>
      </c>
      <c r="T20" s="51">
        <v>27.38</v>
      </c>
      <c r="U20" s="51"/>
    </row>
    <row r="21" spans="1:21" ht="15" customHeight="1" x14ac:dyDescent="0.2">
      <c r="A21" s="50">
        <v>45275</v>
      </c>
      <c r="B21" s="51">
        <v>584.67999999999995</v>
      </c>
      <c r="C21" s="51">
        <v>58.9</v>
      </c>
      <c r="D21" s="51">
        <v>752.96</v>
      </c>
      <c r="E21" s="51">
        <v>112.97</v>
      </c>
      <c r="F21" s="51">
        <v>65.02</v>
      </c>
      <c r="G21" s="51">
        <v>58.51</v>
      </c>
      <c r="H21" s="51">
        <v>81.41</v>
      </c>
      <c r="I21" s="51">
        <v>48.89</v>
      </c>
      <c r="J21" s="51">
        <v>134.26</v>
      </c>
      <c r="K21" s="51">
        <v>18.2</v>
      </c>
      <c r="L21" s="51">
        <v>102.54</v>
      </c>
      <c r="M21" s="51">
        <v>47.73</v>
      </c>
      <c r="N21" s="51">
        <v>410.68</v>
      </c>
      <c r="O21" s="51">
        <v>88.13</v>
      </c>
      <c r="P21" s="51"/>
      <c r="Q21" s="51">
        <v>54.58</v>
      </c>
      <c r="R21" s="51">
        <v>50</v>
      </c>
      <c r="S21" s="51">
        <v>64.239999999999995</v>
      </c>
      <c r="T21" s="51">
        <v>28.14</v>
      </c>
      <c r="U21" s="51"/>
    </row>
    <row r="22" spans="1:21" ht="15" customHeight="1" x14ac:dyDescent="0.2">
      <c r="A22" s="50">
        <v>45282</v>
      </c>
      <c r="B22" s="51">
        <v>598.75</v>
      </c>
      <c r="C22" s="51">
        <v>59.57</v>
      </c>
      <c r="D22" s="51">
        <v>752.53</v>
      </c>
      <c r="E22" s="51">
        <v>112.2</v>
      </c>
      <c r="F22" s="51">
        <v>63.91</v>
      </c>
      <c r="G22" s="51">
        <v>58.27</v>
      </c>
      <c r="H22" s="51">
        <v>86.49</v>
      </c>
      <c r="I22" s="51">
        <v>48.83</v>
      </c>
      <c r="J22" s="51">
        <v>132.4</v>
      </c>
      <c r="K22" s="51">
        <v>17.41</v>
      </c>
      <c r="L22" s="51">
        <v>103.15</v>
      </c>
      <c r="M22" s="51">
        <v>48.78</v>
      </c>
      <c r="N22" s="51">
        <v>405.25</v>
      </c>
      <c r="O22" s="51">
        <v>90.13</v>
      </c>
      <c r="P22" s="51"/>
      <c r="Q22" s="51">
        <v>54.82</v>
      </c>
      <c r="R22" s="51">
        <v>50.16</v>
      </c>
      <c r="S22" s="51">
        <v>65.040000000000006</v>
      </c>
      <c r="T22" s="51">
        <v>28.41</v>
      </c>
      <c r="U22" s="51"/>
    </row>
    <row r="23" spans="1:21" ht="15" customHeight="1" x14ac:dyDescent="0.2">
      <c r="A23" s="50">
        <v>45289</v>
      </c>
      <c r="B23" s="51">
        <v>596.6</v>
      </c>
      <c r="C23" s="51">
        <v>58.88</v>
      </c>
      <c r="D23" s="51">
        <v>756.92</v>
      </c>
      <c r="E23" s="51">
        <v>111.63</v>
      </c>
      <c r="F23" s="51">
        <v>63.83</v>
      </c>
      <c r="G23" s="51">
        <v>58.13</v>
      </c>
      <c r="H23" s="51">
        <v>85.34</v>
      </c>
      <c r="I23" s="51">
        <v>49.52</v>
      </c>
      <c r="J23" s="51">
        <v>133.30000000000001</v>
      </c>
      <c r="K23" s="51">
        <v>17.170000000000002</v>
      </c>
      <c r="L23" s="51">
        <v>104</v>
      </c>
      <c r="M23" s="51">
        <v>48.03</v>
      </c>
      <c r="N23" s="51">
        <v>406.89</v>
      </c>
      <c r="O23" s="51">
        <v>89.8</v>
      </c>
      <c r="P23" s="51"/>
      <c r="Q23" s="51">
        <v>54.52</v>
      </c>
      <c r="R23" s="51">
        <v>49.93</v>
      </c>
      <c r="S23" s="51">
        <v>65.5</v>
      </c>
      <c r="T23" s="51">
        <v>28.34</v>
      </c>
      <c r="U23" s="51"/>
    </row>
    <row r="24" spans="1:21" ht="15" customHeight="1" x14ac:dyDescent="0.2">
      <c r="A24" s="50">
        <v>45296</v>
      </c>
      <c r="B24" s="51">
        <v>564.6</v>
      </c>
      <c r="C24" s="51">
        <v>57.73</v>
      </c>
      <c r="D24" s="51">
        <v>703.34</v>
      </c>
      <c r="E24" s="51">
        <v>104.93</v>
      </c>
      <c r="F24" s="51">
        <v>61.87</v>
      </c>
      <c r="G24" s="51">
        <v>54.43</v>
      </c>
      <c r="H24" s="51">
        <v>83.45</v>
      </c>
      <c r="I24" s="51">
        <v>49.1</v>
      </c>
      <c r="J24" s="51">
        <v>130.56</v>
      </c>
      <c r="K24" s="51">
        <v>15.98</v>
      </c>
      <c r="L24" s="51">
        <v>99.61</v>
      </c>
      <c r="M24" s="51">
        <v>46.31</v>
      </c>
      <c r="N24" s="51">
        <v>416.5</v>
      </c>
      <c r="O24" s="51">
        <v>87.47</v>
      </c>
      <c r="P24" s="51"/>
      <c r="Q24" s="51">
        <v>54.93</v>
      </c>
      <c r="R24" s="51">
        <v>49.15</v>
      </c>
      <c r="S24" s="51">
        <v>64.819999999999993</v>
      </c>
      <c r="T24" s="51">
        <v>28.37</v>
      </c>
      <c r="U24" s="51"/>
    </row>
    <row r="25" spans="1:21" ht="15" customHeight="1" x14ac:dyDescent="0.2">
      <c r="A25" s="50">
        <v>45303</v>
      </c>
      <c r="B25" s="51">
        <v>596.54</v>
      </c>
      <c r="C25" s="51">
        <v>63.01</v>
      </c>
      <c r="D25" s="51">
        <v>713.22</v>
      </c>
      <c r="E25" s="51">
        <v>110.77</v>
      </c>
      <c r="F25" s="51">
        <v>70.84</v>
      </c>
      <c r="G25" s="51">
        <v>56.06</v>
      </c>
      <c r="H25" s="51">
        <v>82.39</v>
      </c>
      <c r="I25" s="51">
        <v>54.71</v>
      </c>
      <c r="J25" s="51">
        <v>131.55000000000001</v>
      </c>
      <c r="K25" s="51">
        <v>16.760000000000002</v>
      </c>
      <c r="L25" s="51">
        <v>101.24</v>
      </c>
      <c r="M25" s="51">
        <v>49.52</v>
      </c>
      <c r="N25" s="51">
        <v>433.4</v>
      </c>
      <c r="O25" s="51">
        <v>86.48</v>
      </c>
      <c r="P25" s="51"/>
      <c r="Q25" s="51">
        <v>55.27</v>
      </c>
      <c r="R25" s="51">
        <v>50.49</v>
      </c>
      <c r="S25" s="51">
        <v>66.84</v>
      </c>
      <c r="T25" s="51">
        <v>28.29</v>
      </c>
      <c r="U25" s="51"/>
    </row>
    <row r="26" spans="1:21" ht="15" customHeight="1" x14ac:dyDescent="0.2">
      <c r="A26" s="50">
        <v>45310</v>
      </c>
      <c r="B26" s="51">
        <v>611.54999999999995</v>
      </c>
      <c r="C26" s="51">
        <v>65.88</v>
      </c>
      <c r="D26" s="51">
        <v>757.83</v>
      </c>
      <c r="E26" s="51">
        <v>121.12</v>
      </c>
      <c r="F26" s="51">
        <v>72.64</v>
      </c>
      <c r="G26" s="51">
        <v>61.3</v>
      </c>
      <c r="H26" s="51">
        <v>87.51</v>
      </c>
      <c r="I26" s="51">
        <v>59.49</v>
      </c>
      <c r="J26" s="51">
        <v>128.44</v>
      </c>
      <c r="K26" s="51">
        <v>16.78</v>
      </c>
      <c r="L26" s="51">
        <v>114.2</v>
      </c>
      <c r="M26" s="51">
        <v>53.67</v>
      </c>
      <c r="N26" s="51">
        <v>435.02</v>
      </c>
      <c r="O26" s="51">
        <v>86.74</v>
      </c>
      <c r="P26" s="51"/>
      <c r="Q26" s="51">
        <v>55.31</v>
      </c>
      <c r="R26" s="51">
        <v>51.39</v>
      </c>
      <c r="S26" s="51">
        <v>68.25</v>
      </c>
      <c r="T26" s="51">
        <v>28.02</v>
      </c>
      <c r="U26" s="51"/>
    </row>
    <row r="27" spans="1:21" ht="15" customHeight="1" x14ac:dyDescent="0.2">
      <c r="A27" s="50">
        <v>45317</v>
      </c>
      <c r="B27" s="51">
        <v>613.92999999999995</v>
      </c>
      <c r="C27" s="51">
        <v>66.099999999999994</v>
      </c>
      <c r="D27" s="51">
        <v>867.75</v>
      </c>
      <c r="E27" s="51">
        <v>120.49</v>
      </c>
      <c r="F27" s="51">
        <v>72.58</v>
      </c>
      <c r="G27" s="51">
        <v>59.94</v>
      </c>
      <c r="H27" s="51">
        <v>88.05</v>
      </c>
      <c r="I27" s="51">
        <v>61.03</v>
      </c>
      <c r="J27" s="51">
        <v>126.87</v>
      </c>
      <c r="K27" s="51">
        <v>16.350000000000001</v>
      </c>
      <c r="L27" s="51">
        <v>117.26</v>
      </c>
      <c r="M27" s="51">
        <v>53.46</v>
      </c>
      <c r="N27" s="51">
        <v>430.17</v>
      </c>
      <c r="O27" s="51">
        <v>88.78</v>
      </c>
      <c r="P27" s="51"/>
      <c r="Q27" s="51">
        <v>55.32</v>
      </c>
      <c r="R27" s="51">
        <v>51.79</v>
      </c>
      <c r="S27" s="51">
        <v>69.349999999999994</v>
      </c>
      <c r="T27" s="51">
        <v>28.25</v>
      </c>
      <c r="U27" s="51"/>
    </row>
    <row r="28" spans="1:21" ht="15" customHeight="1" x14ac:dyDescent="0.2">
      <c r="A28" s="50">
        <v>45324</v>
      </c>
      <c r="B28" s="51">
        <v>634.76</v>
      </c>
      <c r="C28" s="51">
        <v>68.28</v>
      </c>
      <c r="D28" s="51">
        <v>890.66</v>
      </c>
      <c r="E28" s="51">
        <v>122.43</v>
      </c>
      <c r="F28" s="51">
        <v>75.89</v>
      </c>
      <c r="G28" s="51">
        <v>60.43</v>
      </c>
      <c r="H28" s="51">
        <v>86.48</v>
      </c>
      <c r="I28" s="51">
        <v>66.16</v>
      </c>
      <c r="J28" s="51">
        <v>129.25</v>
      </c>
      <c r="K28" s="51">
        <v>17.02</v>
      </c>
      <c r="L28" s="51">
        <v>115.75</v>
      </c>
      <c r="M28" s="51">
        <v>61.47</v>
      </c>
      <c r="N28" s="51">
        <v>424.68</v>
      </c>
      <c r="O28" s="51">
        <v>87.12</v>
      </c>
      <c r="P28" s="51"/>
      <c r="Q28" s="51">
        <v>55.93</v>
      </c>
      <c r="R28" s="51">
        <v>51.94</v>
      </c>
      <c r="S28" s="51">
        <v>72.52</v>
      </c>
      <c r="T28" s="51">
        <v>28.52</v>
      </c>
      <c r="U28" s="51"/>
    </row>
    <row r="29" spans="1:21" ht="15" customHeight="1" x14ac:dyDescent="0.2">
      <c r="A29" s="50">
        <v>45331</v>
      </c>
      <c r="B29" s="51">
        <v>627.21</v>
      </c>
      <c r="C29" s="51">
        <v>70.61</v>
      </c>
      <c r="D29" s="51">
        <v>949.6</v>
      </c>
      <c r="E29" s="51">
        <v>128.34</v>
      </c>
      <c r="F29" s="51">
        <v>82.34</v>
      </c>
      <c r="G29" s="51">
        <v>64.98</v>
      </c>
      <c r="H29" s="51">
        <v>85.56</v>
      </c>
      <c r="I29" s="51">
        <v>72.13</v>
      </c>
      <c r="J29" s="51">
        <v>132.47999999999999</v>
      </c>
      <c r="K29" s="51">
        <v>24.38</v>
      </c>
      <c r="L29" s="51">
        <v>133.11000000000001</v>
      </c>
      <c r="M29" s="51">
        <v>63.52</v>
      </c>
      <c r="N29" s="51">
        <v>422.91</v>
      </c>
      <c r="O29" s="51">
        <v>87.91</v>
      </c>
      <c r="P29" s="51"/>
      <c r="Q29" s="51">
        <v>55.97</v>
      </c>
      <c r="R29" s="51">
        <v>52.49</v>
      </c>
      <c r="S29" s="51">
        <v>74.25</v>
      </c>
      <c r="T29" s="51">
        <v>28.63</v>
      </c>
      <c r="U29" s="51"/>
    </row>
    <row r="30" spans="1:21" ht="15" customHeight="1" x14ac:dyDescent="0.2">
      <c r="A30" s="50">
        <v>45338</v>
      </c>
      <c r="B30" s="51">
        <v>546.66</v>
      </c>
      <c r="C30" s="51">
        <v>65.44</v>
      </c>
      <c r="D30" s="51">
        <v>928.94</v>
      </c>
      <c r="E30" s="51">
        <v>124.55</v>
      </c>
      <c r="F30" s="51">
        <v>82.31</v>
      </c>
      <c r="G30" s="51">
        <v>66.14</v>
      </c>
      <c r="H30" s="51">
        <v>79.5</v>
      </c>
      <c r="I30" s="51">
        <v>72.61</v>
      </c>
      <c r="J30" s="51">
        <v>133.38999999999999</v>
      </c>
      <c r="K30" s="51">
        <v>24.44</v>
      </c>
      <c r="L30" s="51">
        <v>126.69</v>
      </c>
      <c r="M30" s="51">
        <v>62.97</v>
      </c>
      <c r="N30" s="51">
        <v>422.2</v>
      </c>
      <c r="O30" s="51">
        <v>88.53</v>
      </c>
      <c r="P30" s="51"/>
      <c r="Q30" s="51">
        <v>55.76</v>
      </c>
      <c r="R30" s="51">
        <v>52.32</v>
      </c>
      <c r="S30" s="51">
        <v>74.87</v>
      </c>
      <c r="T30" s="51">
        <v>28.87</v>
      </c>
      <c r="U30" s="51"/>
    </row>
    <row r="31" spans="1:21" ht="15" customHeight="1" x14ac:dyDescent="0.2">
      <c r="A31" s="50">
        <v>45345</v>
      </c>
      <c r="B31" s="51">
        <v>553.44000000000005</v>
      </c>
      <c r="C31" s="51">
        <v>66.92</v>
      </c>
      <c r="D31" s="51">
        <v>933.25</v>
      </c>
      <c r="E31" s="51">
        <v>129.63999999999999</v>
      </c>
      <c r="F31" s="51">
        <v>77.87</v>
      </c>
      <c r="G31" s="51">
        <v>66.88</v>
      </c>
      <c r="H31" s="51">
        <v>86</v>
      </c>
      <c r="I31" s="51">
        <v>78.819999999999993</v>
      </c>
      <c r="J31" s="51">
        <v>133.21</v>
      </c>
      <c r="K31" s="51">
        <v>22.97</v>
      </c>
      <c r="L31" s="51">
        <v>129.53</v>
      </c>
      <c r="M31" s="51">
        <v>62.7</v>
      </c>
      <c r="N31" s="51">
        <v>430.11</v>
      </c>
      <c r="O31" s="51">
        <v>88.24</v>
      </c>
      <c r="P31" s="51"/>
      <c r="Q31" s="51">
        <v>55.41</v>
      </c>
      <c r="R31" s="51">
        <v>52.98</v>
      </c>
      <c r="S31" s="51">
        <v>76.55</v>
      </c>
      <c r="T31" s="51">
        <v>29.5</v>
      </c>
      <c r="U31" s="51"/>
    </row>
    <row r="32" spans="1:21" ht="15" customHeight="1" x14ac:dyDescent="0.2">
      <c r="A32" s="50">
        <v>45352</v>
      </c>
      <c r="B32" s="51">
        <v>570.92999999999995</v>
      </c>
      <c r="C32" s="51">
        <v>71.94</v>
      </c>
      <c r="D32" s="51">
        <v>990.94</v>
      </c>
      <c r="E32" s="51">
        <v>139.91999999999999</v>
      </c>
      <c r="F32" s="51">
        <v>78.650000000000006</v>
      </c>
      <c r="G32" s="51">
        <v>71.760000000000005</v>
      </c>
      <c r="H32" s="51">
        <v>95.15</v>
      </c>
      <c r="I32" s="51">
        <v>82.28</v>
      </c>
      <c r="J32" s="51">
        <v>134.6</v>
      </c>
      <c r="K32" s="51">
        <v>24.93</v>
      </c>
      <c r="L32" s="51">
        <v>133.9</v>
      </c>
      <c r="M32" s="51">
        <v>70.569999999999993</v>
      </c>
      <c r="N32" s="51">
        <v>432.76</v>
      </c>
      <c r="O32" s="51">
        <v>89.63</v>
      </c>
      <c r="P32" s="51"/>
      <c r="Q32" s="51">
        <v>54.33</v>
      </c>
      <c r="R32" s="51">
        <v>53.26</v>
      </c>
      <c r="S32" s="51">
        <v>78.7</v>
      </c>
      <c r="T32" s="51">
        <v>30.15</v>
      </c>
      <c r="U32" s="51"/>
    </row>
    <row r="33" spans="1:21" ht="15" customHeight="1" x14ac:dyDescent="0.2">
      <c r="A33" s="50">
        <v>45359</v>
      </c>
      <c r="B33" s="51">
        <v>551.69000000000005</v>
      </c>
      <c r="C33" s="51">
        <v>68.28</v>
      </c>
      <c r="D33" s="51">
        <v>994.33</v>
      </c>
      <c r="E33" s="51">
        <v>130.87</v>
      </c>
      <c r="F33" s="51">
        <v>80.709999999999994</v>
      </c>
      <c r="G33" s="51">
        <v>69.92</v>
      </c>
      <c r="H33" s="51">
        <v>97.62</v>
      </c>
      <c r="I33" s="51">
        <v>87.53</v>
      </c>
      <c r="J33" s="51">
        <v>135.07</v>
      </c>
      <c r="K33" s="51">
        <v>26.04</v>
      </c>
      <c r="L33" s="51">
        <v>146.37</v>
      </c>
      <c r="M33" s="51">
        <v>69.37</v>
      </c>
      <c r="N33" s="51">
        <v>413.59</v>
      </c>
      <c r="O33" s="51">
        <v>89.73</v>
      </c>
      <c r="P33" s="51"/>
      <c r="Q33" s="51">
        <v>55.45</v>
      </c>
      <c r="R33" s="51">
        <v>53.19</v>
      </c>
      <c r="S33" s="51">
        <v>79</v>
      </c>
      <c r="T33" s="51">
        <v>30.74</v>
      </c>
      <c r="U33" s="51"/>
    </row>
    <row r="34" spans="1:21" ht="15" customHeight="1" x14ac:dyDescent="0.2">
      <c r="A34" s="50">
        <v>45366</v>
      </c>
      <c r="B34" s="51">
        <v>492.46</v>
      </c>
      <c r="C34" s="51">
        <v>69.430000000000007</v>
      </c>
      <c r="D34" s="51">
        <v>940.21</v>
      </c>
      <c r="E34" s="51">
        <v>123.55</v>
      </c>
      <c r="F34" s="51">
        <v>78.91</v>
      </c>
      <c r="G34" s="51">
        <v>68.39</v>
      </c>
      <c r="H34" s="51">
        <v>93.25</v>
      </c>
      <c r="I34" s="51">
        <v>87.84</v>
      </c>
      <c r="J34" s="51">
        <v>129.02000000000001</v>
      </c>
      <c r="K34" s="51">
        <v>23.49</v>
      </c>
      <c r="L34" s="51">
        <v>136.97999999999999</v>
      </c>
      <c r="M34" s="51">
        <v>74.16</v>
      </c>
      <c r="N34" s="51">
        <v>407.69</v>
      </c>
      <c r="O34" s="51">
        <v>88.97</v>
      </c>
      <c r="P34" s="51"/>
      <c r="Q34" s="51">
        <v>55.68</v>
      </c>
      <c r="R34" s="51">
        <v>52.91</v>
      </c>
      <c r="S34" s="51">
        <v>78.59</v>
      </c>
      <c r="T34" s="51">
        <v>31.16</v>
      </c>
      <c r="U34" s="51"/>
    </row>
    <row r="35" spans="1:21" ht="15" customHeight="1" x14ac:dyDescent="0.2">
      <c r="A35" s="50">
        <v>45373</v>
      </c>
      <c r="B35" s="51">
        <v>499.52</v>
      </c>
      <c r="C35" s="51">
        <v>76.61</v>
      </c>
      <c r="D35" s="51">
        <v>979.96</v>
      </c>
      <c r="E35" s="51">
        <v>135.35</v>
      </c>
      <c r="F35" s="51">
        <v>81.900000000000006</v>
      </c>
      <c r="G35" s="51">
        <v>71.06</v>
      </c>
      <c r="H35" s="51">
        <v>110.21</v>
      </c>
      <c r="I35" s="51">
        <v>94.29</v>
      </c>
      <c r="J35" s="51">
        <v>128.62</v>
      </c>
      <c r="K35" s="51">
        <v>24.18</v>
      </c>
      <c r="L35" s="51">
        <v>140.54</v>
      </c>
      <c r="M35" s="51">
        <v>82.5</v>
      </c>
      <c r="N35" s="51">
        <v>415.66</v>
      </c>
      <c r="O35" s="51">
        <v>91.1</v>
      </c>
      <c r="P35" s="51"/>
      <c r="Q35" s="51">
        <v>56.54</v>
      </c>
      <c r="R35" s="51">
        <v>54.26</v>
      </c>
      <c r="S35" s="51">
        <v>80.83</v>
      </c>
      <c r="T35" s="51">
        <v>31.91</v>
      </c>
      <c r="U35" s="51"/>
    </row>
    <row r="36" spans="1:21" ht="15" customHeight="1" x14ac:dyDescent="0.2">
      <c r="A36" s="50">
        <v>45379</v>
      </c>
      <c r="B36" s="51">
        <v>504.6</v>
      </c>
      <c r="C36" s="51">
        <v>72.5</v>
      </c>
      <c r="D36" s="51">
        <v>970.47</v>
      </c>
      <c r="E36" s="51">
        <v>132.54</v>
      </c>
      <c r="F36" s="51">
        <v>80.150000000000006</v>
      </c>
      <c r="G36" s="51">
        <v>69.86</v>
      </c>
      <c r="H36" s="51">
        <v>117.89</v>
      </c>
      <c r="I36" s="51">
        <v>90.36</v>
      </c>
      <c r="J36" s="51">
        <v>130.22</v>
      </c>
      <c r="K36" s="51">
        <v>23.01</v>
      </c>
      <c r="L36" s="51">
        <v>136.05000000000001</v>
      </c>
      <c r="M36" s="51">
        <v>81.67</v>
      </c>
      <c r="N36" s="51">
        <v>418.01</v>
      </c>
      <c r="O36" s="51">
        <v>93.71</v>
      </c>
      <c r="P36" s="51"/>
      <c r="Q36" s="51">
        <v>57.15</v>
      </c>
      <c r="R36" s="51">
        <v>54.24</v>
      </c>
      <c r="S36" s="51">
        <v>80.22</v>
      </c>
      <c r="T36" s="51">
        <v>32.409999999999997</v>
      </c>
      <c r="U36" s="51"/>
    </row>
    <row r="37" spans="1:21" ht="15" customHeight="1" x14ac:dyDescent="0.2">
      <c r="A37" s="50">
        <v>45387</v>
      </c>
      <c r="B37" s="51">
        <v>485.12</v>
      </c>
      <c r="C37" s="51">
        <v>74.400000000000006</v>
      </c>
      <c r="D37" s="51">
        <v>979.55</v>
      </c>
      <c r="E37" s="51">
        <v>133.94</v>
      </c>
      <c r="F37" s="51">
        <v>78.88</v>
      </c>
      <c r="G37" s="51">
        <v>68.28</v>
      </c>
      <c r="H37" s="51">
        <v>123.58</v>
      </c>
      <c r="I37" s="51">
        <v>88.01</v>
      </c>
      <c r="J37" s="51">
        <v>124.74</v>
      </c>
      <c r="K37" s="51">
        <v>22.96</v>
      </c>
      <c r="L37" s="51">
        <v>141.36000000000001</v>
      </c>
      <c r="M37" s="51">
        <v>85.34</v>
      </c>
      <c r="N37" s="51">
        <v>406.67</v>
      </c>
      <c r="O37" s="51">
        <v>91.69</v>
      </c>
      <c r="P37" s="51"/>
      <c r="Q37" s="51">
        <v>57.21</v>
      </c>
      <c r="R37" s="51">
        <v>53.59</v>
      </c>
      <c r="S37" s="51">
        <v>80.45</v>
      </c>
      <c r="T37" s="51">
        <v>32.33</v>
      </c>
      <c r="U37" s="51"/>
    </row>
    <row r="38" spans="1:21" ht="15" customHeight="1" x14ac:dyDescent="0.2">
      <c r="A38" s="50">
        <v>45394</v>
      </c>
      <c r="B38" s="51">
        <v>474.09</v>
      </c>
      <c r="C38" s="51">
        <v>67.81</v>
      </c>
      <c r="D38" s="51">
        <v>961.84</v>
      </c>
      <c r="E38" s="51">
        <v>134.41</v>
      </c>
      <c r="F38" s="51">
        <v>77.260000000000005</v>
      </c>
      <c r="G38" s="51">
        <v>68.08</v>
      </c>
      <c r="H38" s="51">
        <v>122.52</v>
      </c>
      <c r="I38" s="51">
        <v>88.19</v>
      </c>
      <c r="J38" s="51">
        <v>119</v>
      </c>
      <c r="K38" s="51">
        <v>22.67</v>
      </c>
      <c r="L38" s="51">
        <v>142.52000000000001</v>
      </c>
      <c r="M38" s="51">
        <v>83.89</v>
      </c>
      <c r="N38" s="51">
        <v>396.55</v>
      </c>
      <c r="O38" s="51">
        <v>88.86</v>
      </c>
      <c r="P38" s="51"/>
      <c r="Q38" s="51">
        <v>57.06</v>
      </c>
      <c r="R38" s="51">
        <v>53.4</v>
      </c>
      <c r="S38" s="51">
        <v>79.319999999999993</v>
      </c>
      <c r="T38" s="51">
        <v>31.49</v>
      </c>
      <c r="U38" s="51"/>
    </row>
    <row r="39" spans="1:21" ht="15" customHeight="1" x14ac:dyDescent="0.2">
      <c r="A39" s="50">
        <v>45401</v>
      </c>
      <c r="B39" s="51">
        <v>465.02</v>
      </c>
      <c r="C39" s="51">
        <v>61.52</v>
      </c>
      <c r="D39" s="51">
        <v>859.54</v>
      </c>
      <c r="E39" s="51">
        <v>120.47</v>
      </c>
      <c r="F39" s="51">
        <v>70.66</v>
      </c>
      <c r="G39" s="51">
        <v>62.82</v>
      </c>
      <c r="H39" s="51">
        <v>106.77</v>
      </c>
      <c r="I39" s="51">
        <v>76.2</v>
      </c>
      <c r="J39" s="51">
        <v>103.49</v>
      </c>
      <c r="K39" s="51">
        <v>20.47</v>
      </c>
      <c r="L39" s="51">
        <v>127.7</v>
      </c>
      <c r="M39" s="51">
        <v>75.010000000000005</v>
      </c>
      <c r="N39" s="51">
        <v>394.28</v>
      </c>
      <c r="O39" s="51">
        <v>88.06</v>
      </c>
      <c r="P39" s="51"/>
      <c r="Q39" s="51">
        <v>57.69</v>
      </c>
      <c r="R39" s="51">
        <v>50.84</v>
      </c>
      <c r="S39" s="51">
        <v>74.81</v>
      </c>
      <c r="T39" s="51">
        <v>30.93</v>
      </c>
      <c r="U39" s="51"/>
    </row>
    <row r="40" spans="1:21" ht="15" customHeight="1" x14ac:dyDescent="0.2">
      <c r="A40" s="50">
        <v>45408</v>
      </c>
      <c r="B40" s="51">
        <v>477.56</v>
      </c>
      <c r="C40" s="51">
        <v>66.180000000000007</v>
      </c>
      <c r="D40" s="51">
        <v>918.97</v>
      </c>
      <c r="E40" s="51">
        <v>134.41</v>
      </c>
      <c r="F40" s="51">
        <v>76.02</v>
      </c>
      <c r="G40" s="51">
        <v>70.63</v>
      </c>
      <c r="H40" s="51">
        <v>114.84</v>
      </c>
      <c r="I40" s="51">
        <v>87.74</v>
      </c>
      <c r="J40" s="51">
        <v>104.06</v>
      </c>
      <c r="K40" s="51">
        <v>22.52</v>
      </c>
      <c r="L40" s="51">
        <v>138.30000000000001</v>
      </c>
      <c r="M40" s="51">
        <v>93.49</v>
      </c>
      <c r="N40" s="51">
        <v>397.48</v>
      </c>
      <c r="O40" s="51">
        <v>90.24</v>
      </c>
      <c r="P40" s="51"/>
      <c r="Q40" s="51">
        <v>58.21</v>
      </c>
      <c r="R40" s="51">
        <v>52.66</v>
      </c>
      <c r="S40" s="51">
        <v>77.06</v>
      </c>
      <c r="T40" s="51">
        <v>31.32</v>
      </c>
      <c r="U40" s="51"/>
    </row>
    <row r="41" spans="1:21" ht="15" customHeight="1" x14ac:dyDescent="0.2">
      <c r="A41" s="50">
        <v>45415</v>
      </c>
      <c r="B41" s="51">
        <v>486.18</v>
      </c>
      <c r="C41" s="51">
        <v>68.599999999999994</v>
      </c>
      <c r="D41" s="51">
        <v>901.63</v>
      </c>
      <c r="E41" s="51">
        <v>127.81</v>
      </c>
      <c r="F41" s="51">
        <v>77.55</v>
      </c>
      <c r="G41" s="51">
        <v>69.66</v>
      </c>
      <c r="H41" s="51">
        <v>114.7</v>
      </c>
      <c r="I41" s="51">
        <v>88.79</v>
      </c>
      <c r="J41" s="51">
        <v>105.89</v>
      </c>
      <c r="K41" s="51">
        <v>23.33</v>
      </c>
      <c r="L41" s="51">
        <v>141.56</v>
      </c>
      <c r="M41" s="51">
        <v>93.01</v>
      </c>
      <c r="N41" s="51">
        <v>401.08</v>
      </c>
      <c r="O41" s="51">
        <v>90.86</v>
      </c>
      <c r="P41" s="51"/>
      <c r="Q41" s="51">
        <v>58.4</v>
      </c>
      <c r="R41" s="51">
        <v>52.75</v>
      </c>
      <c r="S41" s="51">
        <v>77.819999999999993</v>
      </c>
      <c r="T41" s="51">
        <v>30.83</v>
      </c>
      <c r="U41" s="51"/>
    </row>
    <row r="42" spans="1:21" ht="15" customHeight="1" x14ac:dyDescent="0.2">
      <c r="A42" s="50">
        <v>45422</v>
      </c>
      <c r="B42" s="51">
        <v>482.29</v>
      </c>
      <c r="C42" s="51">
        <v>78.510000000000005</v>
      </c>
      <c r="D42" s="51">
        <v>930.29</v>
      </c>
      <c r="E42" s="51">
        <v>133.28</v>
      </c>
      <c r="F42" s="51">
        <v>80.19</v>
      </c>
      <c r="G42" s="51">
        <v>71.83</v>
      </c>
      <c r="H42" s="51">
        <v>121.24</v>
      </c>
      <c r="I42" s="51">
        <v>89.88</v>
      </c>
      <c r="J42" s="51">
        <v>107.49</v>
      </c>
      <c r="K42" s="51">
        <v>20.6</v>
      </c>
      <c r="L42" s="51">
        <v>149.26</v>
      </c>
      <c r="M42" s="51">
        <v>95.4</v>
      </c>
      <c r="N42" s="51">
        <v>422.78</v>
      </c>
      <c r="O42" s="51">
        <v>92.43</v>
      </c>
      <c r="P42" s="51"/>
      <c r="Q42" s="51">
        <v>58.56</v>
      </c>
      <c r="R42" s="51">
        <v>53.48</v>
      </c>
      <c r="S42" s="51">
        <v>79.55</v>
      </c>
      <c r="T42" s="51">
        <v>31.51</v>
      </c>
      <c r="U42" s="51"/>
    </row>
    <row r="43" spans="1:21" ht="15" customHeight="1" x14ac:dyDescent="0.2">
      <c r="A43" s="50">
        <v>45429</v>
      </c>
      <c r="B43" s="51">
        <v>483.43</v>
      </c>
      <c r="C43" s="51">
        <v>79.97</v>
      </c>
      <c r="D43" s="51">
        <v>924.97</v>
      </c>
      <c r="E43" s="51">
        <v>139.53</v>
      </c>
      <c r="F43" s="51">
        <v>86.48</v>
      </c>
      <c r="G43" s="51">
        <v>74.77</v>
      </c>
      <c r="H43" s="51">
        <v>125.29</v>
      </c>
      <c r="I43" s="51">
        <v>92.48</v>
      </c>
      <c r="J43" s="51">
        <v>111.5</v>
      </c>
      <c r="K43" s="51">
        <v>21.76</v>
      </c>
      <c r="L43" s="51">
        <v>151.68</v>
      </c>
      <c r="M43" s="51">
        <v>96.81</v>
      </c>
      <c r="N43" s="51">
        <v>445.21</v>
      </c>
      <c r="O43" s="51">
        <v>93.45</v>
      </c>
      <c r="P43" s="51"/>
      <c r="Q43" s="51">
        <v>58.98</v>
      </c>
      <c r="R43" s="51">
        <v>54.12</v>
      </c>
      <c r="S43" s="51">
        <v>80.75</v>
      </c>
      <c r="T43" s="51">
        <v>31.8</v>
      </c>
      <c r="U43" s="51"/>
    </row>
    <row r="44" spans="1:21" ht="15" customHeight="1" x14ac:dyDescent="0.2">
      <c r="A44" s="50">
        <v>45436</v>
      </c>
      <c r="B44" s="51">
        <v>475.43</v>
      </c>
      <c r="C44" s="51">
        <v>76.64</v>
      </c>
      <c r="D44" s="51">
        <v>956.22</v>
      </c>
      <c r="E44" s="51">
        <v>140.78</v>
      </c>
      <c r="F44" s="51">
        <v>87.87</v>
      </c>
      <c r="G44" s="51">
        <v>77.91</v>
      </c>
      <c r="H44" s="51">
        <v>129.49</v>
      </c>
      <c r="I44" s="51">
        <v>106.47</v>
      </c>
      <c r="J44" s="51">
        <v>104.75</v>
      </c>
      <c r="K44" s="51">
        <v>21.01</v>
      </c>
      <c r="L44" s="51">
        <v>160</v>
      </c>
      <c r="M44" s="51">
        <v>106.17</v>
      </c>
      <c r="N44" s="51">
        <v>456.95</v>
      </c>
      <c r="O44" s="51">
        <v>92.06</v>
      </c>
      <c r="P44" s="51"/>
      <c r="Q44" s="51">
        <v>59.18</v>
      </c>
      <c r="R44" s="51">
        <v>54.38</v>
      </c>
      <c r="S44" s="51">
        <v>82.32</v>
      </c>
      <c r="T44" s="51">
        <v>31.26</v>
      </c>
      <c r="U44" s="51"/>
    </row>
    <row r="45" spans="1:21" ht="15" customHeight="1" x14ac:dyDescent="0.2">
      <c r="A45" s="50">
        <v>45443</v>
      </c>
      <c r="B45" s="51">
        <v>444.76</v>
      </c>
      <c r="C45" s="51">
        <v>74.41</v>
      </c>
      <c r="D45" s="51">
        <v>960.35</v>
      </c>
      <c r="E45" s="51">
        <v>132.85</v>
      </c>
      <c r="F45" s="51">
        <v>78.42</v>
      </c>
      <c r="G45" s="51">
        <v>75.95</v>
      </c>
      <c r="H45" s="51">
        <v>125</v>
      </c>
      <c r="I45" s="51">
        <v>109.63</v>
      </c>
      <c r="J45" s="51">
        <v>110.49</v>
      </c>
      <c r="K45" s="51">
        <v>21.68</v>
      </c>
      <c r="L45" s="51">
        <v>151.04</v>
      </c>
      <c r="M45" s="51">
        <v>98.07</v>
      </c>
      <c r="N45" s="51">
        <v>455.34</v>
      </c>
      <c r="O45" s="51">
        <v>93.05</v>
      </c>
      <c r="P45" s="51"/>
      <c r="Q45" s="51">
        <v>58.79</v>
      </c>
      <c r="R45" s="51">
        <v>54.19</v>
      </c>
      <c r="S45" s="51">
        <v>81.42</v>
      </c>
      <c r="T45" s="51">
        <v>31.62</v>
      </c>
      <c r="U45" s="51"/>
    </row>
    <row r="46" spans="1:21" ht="15" customHeight="1" x14ac:dyDescent="0.2">
      <c r="A46" s="50">
        <v>45450</v>
      </c>
      <c r="B46" s="51">
        <v>465.43</v>
      </c>
      <c r="C46" s="51">
        <v>74.2</v>
      </c>
      <c r="D46" s="51">
        <v>1028.42</v>
      </c>
      <c r="E46" s="51">
        <v>140.66</v>
      </c>
      <c r="F46" s="51">
        <v>87.28</v>
      </c>
      <c r="G46" s="51">
        <v>76.900000000000006</v>
      </c>
      <c r="H46" s="51">
        <v>130.94</v>
      </c>
      <c r="I46" s="51">
        <v>120.89</v>
      </c>
      <c r="J46" s="51">
        <v>110.2</v>
      </c>
      <c r="K46" s="51">
        <v>23.31</v>
      </c>
      <c r="L46" s="51">
        <v>164.39</v>
      </c>
      <c r="M46" s="51">
        <v>87.68</v>
      </c>
      <c r="N46" s="51">
        <v>483.04</v>
      </c>
      <c r="O46" s="51">
        <v>89.88</v>
      </c>
      <c r="P46" s="51"/>
      <c r="Q46" s="51">
        <v>58.54</v>
      </c>
      <c r="R46" s="51">
        <v>54.49</v>
      </c>
      <c r="S46" s="51">
        <v>83.89</v>
      </c>
      <c r="T46" s="51">
        <v>30.95</v>
      </c>
      <c r="U46" s="51"/>
    </row>
    <row r="47" spans="1:21" ht="15" customHeight="1" x14ac:dyDescent="0.2">
      <c r="A47" s="50">
        <v>45457</v>
      </c>
      <c r="B47" s="51">
        <v>525.30999999999995</v>
      </c>
      <c r="C47" s="51">
        <v>82.13</v>
      </c>
      <c r="D47" s="51">
        <v>1027.9000000000001</v>
      </c>
      <c r="E47" s="51">
        <v>173.5</v>
      </c>
      <c r="F47" s="51">
        <v>96.36</v>
      </c>
      <c r="G47" s="51">
        <v>82.48</v>
      </c>
      <c r="H47" s="51">
        <v>141.36000000000001</v>
      </c>
      <c r="I47" s="51">
        <v>131.88</v>
      </c>
      <c r="J47" s="51">
        <v>112.29</v>
      </c>
      <c r="K47" s="51">
        <v>23.57</v>
      </c>
      <c r="L47" s="51">
        <v>172.51</v>
      </c>
      <c r="M47" s="51">
        <v>91.48</v>
      </c>
      <c r="N47" s="51">
        <v>480.73</v>
      </c>
      <c r="O47" s="51">
        <v>87.73</v>
      </c>
      <c r="P47" s="51"/>
      <c r="Q47" s="51">
        <v>57.91</v>
      </c>
      <c r="R47" s="51">
        <v>55.18</v>
      </c>
      <c r="S47" s="51">
        <v>87.43</v>
      </c>
      <c r="T47" s="51">
        <v>30.82</v>
      </c>
      <c r="U47" s="51"/>
    </row>
    <row r="48" spans="1:21" ht="15" customHeight="1" x14ac:dyDescent="0.2">
      <c r="A48" s="50">
        <v>45464</v>
      </c>
      <c r="B48" s="51">
        <v>533.44000000000005</v>
      </c>
      <c r="C48" s="51">
        <v>84.34</v>
      </c>
      <c r="D48" s="51">
        <v>1036.5999999999999</v>
      </c>
      <c r="E48" s="51">
        <v>165.86</v>
      </c>
      <c r="F48" s="51">
        <v>95.16</v>
      </c>
      <c r="G48" s="51">
        <v>81.66</v>
      </c>
      <c r="H48" s="51">
        <v>139.54</v>
      </c>
      <c r="I48" s="51">
        <v>126.57</v>
      </c>
      <c r="J48" s="51">
        <v>109.4</v>
      </c>
      <c r="K48" s="51">
        <v>23.84</v>
      </c>
      <c r="L48" s="51">
        <v>173.96</v>
      </c>
      <c r="M48" s="51">
        <v>90.62</v>
      </c>
      <c r="N48" s="51">
        <v>468.71</v>
      </c>
      <c r="O48" s="51">
        <v>88.68</v>
      </c>
      <c r="P48" s="51"/>
      <c r="Q48" s="51">
        <v>57.95</v>
      </c>
      <c r="R48" s="51">
        <v>55.24</v>
      </c>
      <c r="S48" s="51">
        <v>87.36</v>
      </c>
      <c r="T48" s="51">
        <v>31.12</v>
      </c>
      <c r="U48" s="51"/>
    </row>
    <row r="49" spans="1:21" ht="15" customHeight="1" x14ac:dyDescent="0.2">
      <c r="A49" s="50">
        <v>45471</v>
      </c>
      <c r="B49" s="51">
        <v>555.54</v>
      </c>
      <c r="C49" s="51">
        <v>87.62</v>
      </c>
      <c r="D49" s="51">
        <v>1022.73</v>
      </c>
      <c r="E49" s="51">
        <v>160.55000000000001</v>
      </c>
      <c r="F49" s="51">
        <v>95.8</v>
      </c>
      <c r="G49" s="51">
        <v>82.45</v>
      </c>
      <c r="H49" s="51">
        <v>131.53</v>
      </c>
      <c r="I49" s="51">
        <v>123.54</v>
      </c>
      <c r="J49" s="51">
        <v>112.31</v>
      </c>
      <c r="K49" s="51">
        <v>25.33</v>
      </c>
      <c r="L49" s="51">
        <v>173.81</v>
      </c>
      <c r="M49" s="51">
        <v>86.57</v>
      </c>
      <c r="N49" s="51">
        <v>468.72</v>
      </c>
      <c r="O49" s="51">
        <v>89.72</v>
      </c>
      <c r="P49" s="51"/>
      <c r="Q49" s="51">
        <v>59.47</v>
      </c>
      <c r="R49" s="51">
        <v>55.5</v>
      </c>
      <c r="S49" s="51">
        <v>87.46</v>
      </c>
      <c r="T49" s="51">
        <v>30.92</v>
      </c>
      <c r="U49" s="51"/>
    </row>
    <row r="50" spans="1:21" ht="15" customHeight="1" x14ac:dyDescent="0.2">
      <c r="A50" s="50">
        <v>45478</v>
      </c>
      <c r="B50" s="51">
        <v>578.34</v>
      </c>
      <c r="C50" s="51">
        <v>91.54</v>
      </c>
      <c r="D50" s="51">
        <v>1074.48</v>
      </c>
      <c r="E50" s="51">
        <v>170.33</v>
      </c>
      <c r="F50" s="51">
        <v>97.42</v>
      </c>
      <c r="G50" s="51">
        <v>85.52</v>
      </c>
      <c r="H50" s="51">
        <v>131.6</v>
      </c>
      <c r="I50" s="51">
        <v>125.83</v>
      </c>
      <c r="J50" s="51">
        <v>114.46</v>
      </c>
      <c r="K50" s="51">
        <v>27.23</v>
      </c>
      <c r="L50" s="51">
        <v>183.99</v>
      </c>
      <c r="M50" s="51">
        <v>91.78</v>
      </c>
      <c r="N50" s="51">
        <v>474.57</v>
      </c>
      <c r="O50" s="51">
        <v>88.24</v>
      </c>
      <c r="P50" s="51"/>
      <c r="Q50" s="51">
        <v>59.99</v>
      </c>
      <c r="R50" s="51">
        <v>55.88</v>
      </c>
      <c r="S50" s="51">
        <v>90.17</v>
      </c>
      <c r="T50" s="51">
        <v>30.3</v>
      </c>
      <c r="U50" s="51"/>
    </row>
    <row r="51" spans="1:21" ht="15" customHeight="1" x14ac:dyDescent="0.2">
      <c r="A51" s="50">
        <v>45485</v>
      </c>
      <c r="B51" s="51">
        <v>559.04999999999995</v>
      </c>
      <c r="C51" s="51">
        <v>90.48</v>
      </c>
      <c r="D51" s="51">
        <v>1085.26</v>
      </c>
      <c r="E51" s="51">
        <v>170.07</v>
      </c>
      <c r="F51" s="51">
        <v>92.83</v>
      </c>
      <c r="G51" s="51">
        <v>85.77</v>
      </c>
      <c r="H51" s="51">
        <v>133.55000000000001</v>
      </c>
      <c r="I51" s="51">
        <v>129.24</v>
      </c>
      <c r="J51" s="51">
        <v>120.15</v>
      </c>
      <c r="K51" s="51">
        <v>28.07</v>
      </c>
      <c r="L51" s="51">
        <v>187.35</v>
      </c>
      <c r="M51" s="51">
        <v>89.67</v>
      </c>
      <c r="N51" s="51">
        <v>488.74</v>
      </c>
      <c r="O51" s="51">
        <v>93.16</v>
      </c>
      <c r="P51" s="51"/>
      <c r="Q51" s="51">
        <v>60.21</v>
      </c>
      <c r="R51" s="51">
        <v>55.84</v>
      </c>
      <c r="S51" s="51">
        <v>89.99</v>
      </c>
      <c r="T51" s="51">
        <v>31.46</v>
      </c>
      <c r="U51" s="51"/>
    </row>
    <row r="52" spans="1:21" ht="15" customHeight="1" x14ac:dyDescent="0.2">
      <c r="A52" s="50">
        <v>45492</v>
      </c>
      <c r="B52" s="51">
        <v>551</v>
      </c>
      <c r="C52" s="51">
        <v>82.64</v>
      </c>
      <c r="D52" s="51">
        <v>895.37</v>
      </c>
      <c r="E52" s="51">
        <v>157.35</v>
      </c>
      <c r="F52" s="51">
        <v>76.239999999999995</v>
      </c>
      <c r="G52" s="51">
        <v>76.260000000000005</v>
      </c>
      <c r="H52" s="51">
        <v>114.26</v>
      </c>
      <c r="I52" s="51">
        <v>117.93</v>
      </c>
      <c r="J52" s="51">
        <v>123.75</v>
      </c>
      <c r="K52" s="51">
        <v>28.58</v>
      </c>
      <c r="L52" s="51">
        <v>165.77</v>
      </c>
      <c r="M52" s="51">
        <v>85.31</v>
      </c>
      <c r="N52" s="51">
        <v>491.57</v>
      </c>
      <c r="O52" s="51">
        <v>95.62</v>
      </c>
      <c r="P52" s="51"/>
      <c r="Q52" s="51">
        <v>58.58</v>
      </c>
      <c r="R52" s="51">
        <v>54.19</v>
      </c>
      <c r="S52" s="51">
        <v>86.35</v>
      </c>
      <c r="T52" s="51">
        <v>31.94</v>
      </c>
      <c r="U52" s="51"/>
    </row>
    <row r="53" spans="1:21" ht="15" customHeight="1" x14ac:dyDescent="0.2">
      <c r="A53" s="50">
        <v>45499</v>
      </c>
      <c r="B53" s="51">
        <v>542.44000000000005</v>
      </c>
      <c r="C53" s="51">
        <v>79.8</v>
      </c>
      <c r="D53" s="51">
        <v>888.39</v>
      </c>
      <c r="E53" s="51">
        <v>151.63</v>
      </c>
      <c r="F53" s="51">
        <v>64.040000000000006</v>
      </c>
      <c r="G53" s="51">
        <v>78.739999999999995</v>
      </c>
      <c r="H53" s="51">
        <v>109.41</v>
      </c>
      <c r="I53" s="51">
        <v>113.06</v>
      </c>
      <c r="J53" s="51">
        <v>122.68</v>
      </c>
      <c r="K53" s="51">
        <v>27.18</v>
      </c>
      <c r="L53" s="51">
        <v>161.94</v>
      </c>
      <c r="M53" s="51">
        <v>77.12</v>
      </c>
      <c r="N53" s="51">
        <v>495.26</v>
      </c>
      <c r="O53" s="51">
        <v>99.09</v>
      </c>
      <c r="P53" s="51"/>
      <c r="Q53" s="51">
        <v>60.1</v>
      </c>
      <c r="R53" s="51">
        <v>52.96</v>
      </c>
      <c r="S53" s="51">
        <v>84.72</v>
      </c>
      <c r="T53" s="51">
        <v>32.51</v>
      </c>
      <c r="U53" s="51"/>
    </row>
    <row r="54" spans="1:21" ht="15" customHeight="1" x14ac:dyDescent="0.2">
      <c r="A54" s="50">
        <v>45506</v>
      </c>
      <c r="B54" s="51">
        <v>526.16999999999996</v>
      </c>
      <c r="C54" s="51">
        <v>79.83</v>
      </c>
      <c r="D54" s="51">
        <v>809.35</v>
      </c>
      <c r="E54" s="51">
        <v>143.82</v>
      </c>
      <c r="F54" s="51">
        <v>54.47</v>
      </c>
      <c r="G54" s="51">
        <v>69.62</v>
      </c>
      <c r="H54" s="51">
        <v>92.7</v>
      </c>
      <c r="I54" s="51">
        <v>107.27</v>
      </c>
      <c r="J54" s="51">
        <v>123.98</v>
      </c>
      <c r="K54" s="51">
        <v>24.74</v>
      </c>
      <c r="L54" s="51">
        <v>149.86000000000001</v>
      </c>
      <c r="M54" s="51">
        <v>69.459999999999994</v>
      </c>
      <c r="N54" s="51">
        <v>494.46</v>
      </c>
      <c r="O54" s="51">
        <v>92.01</v>
      </c>
      <c r="P54" s="51"/>
      <c r="Q54" s="51">
        <v>60.6</v>
      </c>
      <c r="R54" s="51">
        <v>51.14</v>
      </c>
      <c r="S54" s="51">
        <v>82.2</v>
      </c>
      <c r="T54" s="51">
        <v>31.58</v>
      </c>
      <c r="U54" s="51"/>
    </row>
    <row r="55" spans="1:21" ht="15" customHeight="1" x14ac:dyDescent="0.2">
      <c r="A55" s="50">
        <v>45513</v>
      </c>
      <c r="B55" s="51">
        <v>536.29999999999995</v>
      </c>
      <c r="C55" s="51">
        <v>83.95</v>
      </c>
      <c r="D55" s="51">
        <v>860.55</v>
      </c>
      <c r="E55" s="51">
        <v>148.26</v>
      </c>
      <c r="F55" s="51">
        <v>60.23</v>
      </c>
      <c r="G55" s="51">
        <v>74.680000000000007</v>
      </c>
      <c r="H55" s="51">
        <v>93.08</v>
      </c>
      <c r="I55" s="51">
        <v>104.75</v>
      </c>
      <c r="J55" s="51">
        <v>121.9</v>
      </c>
      <c r="K55" s="51">
        <v>30.01</v>
      </c>
      <c r="L55" s="51">
        <v>167.12</v>
      </c>
      <c r="M55" s="51">
        <v>71.459999999999994</v>
      </c>
      <c r="N55" s="51">
        <v>468.45</v>
      </c>
      <c r="O55" s="51">
        <v>90.39</v>
      </c>
      <c r="P55" s="51"/>
      <c r="Q55" s="51">
        <v>60.94</v>
      </c>
      <c r="R55" s="51">
        <v>51.29</v>
      </c>
      <c r="S55" s="51">
        <v>83.62</v>
      </c>
      <c r="T55" s="51">
        <v>31.53</v>
      </c>
      <c r="U55" s="51"/>
    </row>
    <row r="56" spans="1:21" ht="15" customHeight="1" x14ac:dyDescent="0.2">
      <c r="A56" s="50">
        <v>45520</v>
      </c>
      <c r="B56" s="51">
        <v>553.46</v>
      </c>
      <c r="C56" s="51">
        <v>88.47</v>
      </c>
      <c r="D56" s="51">
        <v>918.66</v>
      </c>
      <c r="E56" s="51">
        <v>165.72</v>
      </c>
      <c r="F56" s="51">
        <v>65.64</v>
      </c>
      <c r="G56" s="51">
        <v>81.96</v>
      </c>
      <c r="H56" s="51">
        <v>107.99</v>
      </c>
      <c r="I56" s="51">
        <v>124.58</v>
      </c>
      <c r="J56" s="51">
        <v>122.85</v>
      </c>
      <c r="K56" s="51">
        <v>32.08</v>
      </c>
      <c r="L56" s="51">
        <v>174.54</v>
      </c>
      <c r="M56" s="51">
        <v>79.42</v>
      </c>
      <c r="N56" s="51">
        <v>477.37</v>
      </c>
      <c r="O56" s="51">
        <v>92.97</v>
      </c>
      <c r="P56" s="51"/>
      <c r="Q56" s="51">
        <v>61.02</v>
      </c>
      <c r="R56" s="51">
        <v>53.45</v>
      </c>
      <c r="S56" s="51">
        <v>88.39</v>
      </c>
      <c r="T56" s="51">
        <v>32.04</v>
      </c>
      <c r="U56" s="51"/>
    </row>
    <row r="57" spans="1:21" ht="15" customHeight="1" x14ac:dyDescent="0.2">
      <c r="A57" s="50">
        <v>45527</v>
      </c>
      <c r="B57" s="51">
        <v>558.29999999999995</v>
      </c>
      <c r="C57" s="51">
        <v>88.78</v>
      </c>
      <c r="D57" s="51">
        <v>907.26</v>
      </c>
      <c r="E57" s="51">
        <v>166.36</v>
      </c>
      <c r="F57" s="51">
        <v>67.89</v>
      </c>
      <c r="G57" s="51">
        <v>81.78</v>
      </c>
      <c r="H57" s="51">
        <v>102.85</v>
      </c>
      <c r="I57" s="51">
        <v>129.37</v>
      </c>
      <c r="J57" s="51">
        <v>128.86000000000001</v>
      </c>
      <c r="K57" s="51">
        <v>31.78</v>
      </c>
      <c r="L57" s="51">
        <v>171.28</v>
      </c>
      <c r="M57" s="51">
        <v>78.55</v>
      </c>
      <c r="N57" s="51">
        <v>481.24</v>
      </c>
      <c r="O57" s="51">
        <v>95.86</v>
      </c>
      <c r="P57" s="51"/>
      <c r="Q57" s="51">
        <v>61.51</v>
      </c>
      <c r="R57" s="51">
        <v>53.9</v>
      </c>
      <c r="S57" s="51">
        <v>89.61</v>
      </c>
      <c r="T57" s="51">
        <v>33.090000000000003</v>
      </c>
      <c r="U57" s="51"/>
    </row>
    <row r="58" spans="1:21" ht="15" customHeight="1" x14ac:dyDescent="0.2">
      <c r="A58" s="50">
        <v>45534</v>
      </c>
      <c r="B58" s="51">
        <v>574.41</v>
      </c>
      <c r="C58" s="51">
        <v>88.35</v>
      </c>
      <c r="D58" s="51">
        <v>903.87</v>
      </c>
      <c r="E58" s="51">
        <v>162.82</v>
      </c>
      <c r="F58" s="51">
        <v>69.319999999999993</v>
      </c>
      <c r="G58" s="51">
        <v>81.94</v>
      </c>
      <c r="H58" s="51">
        <v>96.24</v>
      </c>
      <c r="I58" s="51">
        <v>119.37</v>
      </c>
      <c r="J58" s="51">
        <v>127.82</v>
      </c>
      <c r="K58" s="51">
        <v>31.48</v>
      </c>
      <c r="L58" s="51">
        <v>171.7</v>
      </c>
      <c r="M58" s="51">
        <v>83.03</v>
      </c>
      <c r="N58" s="51">
        <v>495.89</v>
      </c>
      <c r="O58" s="51">
        <v>95.91</v>
      </c>
      <c r="P58" s="51"/>
      <c r="Q58" s="51">
        <v>62.02</v>
      </c>
      <c r="R58" s="51">
        <v>54.08</v>
      </c>
      <c r="S58" s="51">
        <v>89.25</v>
      </c>
      <c r="T58" s="51">
        <v>33.200000000000003</v>
      </c>
      <c r="U58" s="51"/>
    </row>
    <row r="59" spans="1:21" ht="15" customHeight="1" x14ac:dyDescent="0.2">
      <c r="A59" s="50">
        <v>45541</v>
      </c>
      <c r="B59" s="51">
        <v>563.41</v>
      </c>
      <c r="C59" s="51">
        <v>78.58</v>
      </c>
      <c r="D59" s="51">
        <v>752.79</v>
      </c>
      <c r="E59" s="51">
        <v>137</v>
      </c>
      <c r="F59" s="51">
        <v>61.6</v>
      </c>
      <c r="G59" s="51">
        <v>70.28</v>
      </c>
      <c r="H59" s="51">
        <v>86.38</v>
      </c>
      <c r="I59" s="51">
        <v>102.83</v>
      </c>
      <c r="J59" s="51">
        <v>127.23</v>
      </c>
      <c r="K59" s="51">
        <v>30.33</v>
      </c>
      <c r="L59" s="51">
        <v>156.82</v>
      </c>
      <c r="M59" s="51">
        <v>71.77</v>
      </c>
      <c r="N59" s="51">
        <v>468</v>
      </c>
      <c r="O59" s="51">
        <v>90.48</v>
      </c>
      <c r="P59" s="51"/>
      <c r="Q59" s="51">
        <v>61.85</v>
      </c>
      <c r="R59" s="51">
        <v>51.36</v>
      </c>
      <c r="S59" s="51">
        <v>83.92</v>
      </c>
      <c r="T59" s="51">
        <v>31.83</v>
      </c>
      <c r="U59" s="51"/>
    </row>
    <row r="60" spans="1:21" ht="15" customHeight="1" x14ac:dyDescent="0.2">
      <c r="A60" s="50">
        <v>45548</v>
      </c>
      <c r="B60" s="51">
        <v>536.87</v>
      </c>
      <c r="C60" s="51">
        <v>89.94</v>
      </c>
      <c r="D60" s="51">
        <v>816.36</v>
      </c>
      <c r="E60" s="51">
        <v>167.69</v>
      </c>
      <c r="F60" s="51">
        <v>64.78</v>
      </c>
      <c r="G60" s="51">
        <v>75.150000000000006</v>
      </c>
      <c r="H60" s="51">
        <v>91.22</v>
      </c>
      <c r="I60" s="51">
        <v>119.1</v>
      </c>
      <c r="J60" s="51">
        <v>129.97999999999999</v>
      </c>
      <c r="K60" s="51">
        <v>35.590000000000003</v>
      </c>
      <c r="L60" s="51">
        <v>172.5</v>
      </c>
      <c r="M60" s="51">
        <v>85.76</v>
      </c>
      <c r="N60" s="51">
        <v>485.37</v>
      </c>
      <c r="O60" s="51">
        <v>93.09</v>
      </c>
      <c r="P60" s="51"/>
      <c r="Q60" s="51">
        <v>61.3</v>
      </c>
      <c r="R60" s="51">
        <v>53.75</v>
      </c>
      <c r="S60" s="51">
        <v>89.08</v>
      </c>
      <c r="T60" s="51">
        <v>32.58</v>
      </c>
      <c r="U60" s="51"/>
    </row>
    <row r="61" spans="1:21" ht="15" customHeight="1" x14ac:dyDescent="0.2">
      <c r="A61" s="50">
        <v>45555</v>
      </c>
      <c r="B61" s="51">
        <v>522.29999999999995</v>
      </c>
      <c r="C61" s="51">
        <v>96.12</v>
      </c>
      <c r="D61" s="51">
        <v>795.28</v>
      </c>
      <c r="E61" s="51">
        <v>171.1</v>
      </c>
      <c r="F61" s="51">
        <v>74.959999999999994</v>
      </c>
      <c r="G61" s="51">
        <v>75.89</v>
      </c>
      <c r="H61" s="51">
        <v>90.9</v>
      </c>
      <c r="I61" s="51">
        <v>116</v>
      </c>
      <c r="J61" s="51">
        <v>125.47</v>
      </c>
      <c r="K61" s="51">
        <v>37.200000000000003</v>
      </c>
      <c r="L61" s="51">
        <v>174.08</v>
      </c>
      <c r="M61" s="51">
        <v>94.54</v>
      </c>
      <c r="N61" s="51">
        <v>464.92</v>
      </c>
      <c r="O61" s="51">
        <v>95.9</v>
      </c>
      <c r="P61" s="51"/>
      <c r="Q61" s="51">
        <v>62.79</v>
      </c>
      <c r="R61" s="51">
        <v>54.41</v>
      </c>
      <c r="S61" s="51">
        <v>90.53</v>
      </c>
      <c r="T61" s="51">
        <v>33.14</v>
      </c>
      <c r="U61" s="51"/>
    </row>
    <row r="62" spans="1:21" ht="15" customHeight="1" x14ac:dyDescent="0.2">
      <c r="A62" s="50">
        <v>45562</v>
      </c>
      <c r="B62" s="51">
        <v>515.48</v>
      </c>
      <c r="C62" s="51">
        <v>95.07</v>
      </c>
      <c r="D62" s="51">
        <v>841.54</v>
      </c>
      <c r="E62" s="51">
        <v>172.69</v>
      </c>
      <c r="F62" s="51">
        <v>71.47</v>
      </c>
      <c r="G62" s="51">
        <v>78.239999999999995</v>
      </c>
      <c r="H62" s="51">
        <v>107.5</v>
      </c>
      <c r="I62" s="51">
        <v>121.4</v>
      </c>
      <c r="J62" s="51">
        <v>125.59</v>
      </c>
      <c r="K62" s="51">
        <v>36.840000000000003</v>
      </c>
      <c r="L62" s="51">
        <v>177.97</v>
      </c>
      <c r="M62" s="51">
        <v>98.41</v>
      </c>
      <c r="N62" s="51">
        <v>462.88</v>
      </c>
      <c r="O62" s="51">
        <v>95.56</v>
      </c>
      <c r="P62" s="51"/>
      <c r="Q62" s="51">
        <v>62.19</v>
      </c>
      <c r="R62" s="51">
        <v>54.8</v>
      </c>
      <c r="S62" s="51">
        <v>90.34</v>
      </c>
      <c r="T62" s="51">
        <v>33.21</v>
      </c>
      <c r="U62" s="51"/>
    </row>
    <row r="63" spans="1:21" ht="15" customHeight="1" x14ac:dyDescent="0.2">
      <c r="A63" s="50">
        <v>45569</v>
      </c>
      <c r="B63" s="51">
        <v>507.22</v>
      </c>
      <c r="C63" s="51">
        <v>98.99</v>
      </c>
      <c r="D63" s="51">
        <v>833</v>
      </c>
      <c r="E63" s="51">
        <v>176.64</v>
      </c>
      <c r="F63" s="51">
        <v>73.06</v>
      </c>
      <c r="G63" s="51">
        <v>78.739999999999995</v>
      </c>
      <c r="H63" s="51">
        <v>102.25</v>
      </c>
      <c r="I63" s="51">
        <v>124.92</v>
      </c>
      <c r="J63" s="51">
        <v>122.42</v>
      </c>
      <c r="K63" s="51">
        <v>40.01</v>
      </c>
      <c r="L63" s="51">
        <v>181.16</v>
      </c>
      <c r="M63" s="51">
        <v>105.2</v>
      </c>
      <c r="N63" s="51">
        <v>455.31</v>
      </c>
      <c r="O63" s="51">
        <v>95.83</v>
      </c>
      <c r="P63" s="51"/>
      <c r="Q63" s="51">
        <v>62.66</v>
      </c>
      <c r="R63" s="51">
        <v>54.37</v>
      </c>
      <c r="S63" s="51">
        <v>91.69</v>
      </c>
      <c r="T63" s="51">
        <v>33.83</v>
      </c>
      <c r="U63" s="51"/>
    </row>
    <row r="64" spans="1:21" ht="15" customHeight="1" x14ac:dyDescent="0.2">
      <c r="A64" s="50">
        <v>45576</v>
      </c>
      <c r="B64" s="51">
        <v>495.42</v>
      </c>
      <c r="C64" s="51">
        <v>104.23</v>
      </c>
      <c r="D64" s="51">
        <v>840.69</v>
      </c>
      <c r="E64" s="51">
        <v>181.48</v>
      </c>
      <c r="F64" s="51">
        <v>80.05</v>
      </c>
      <c r="G64" s="51">
        <v>80.37</v>
      </c>
      <c r="H64" s="51">
        <v>106.92</v>
      </c>
      <c r="I64" s="51">
        <v>134.80000000000001</v>
      </c>
      <c r="J64" s="51">
        <v>120.24</v>
      </c>
      <c r="K64" s="51">
        <v>43.51</v>
      </c>
      <c r="L64" s="51">
        <v>190.81</v>
      </c>
      <c r="M64" s="51">
        <v>111.84</v>
      </c>
      <c r="N64" s="51">
        <v>481.71</v>
      </c>
      <c r="O64" s="51">
        <v>96.97</v>
      </c>
      <c r="P64" s="51"/>
      <c r="Q64" s="51">
        <v>63.04</v>
      </c>
      <c r="R64" s="51">
        <v>54.86</v>
      </c>
      <c r="S64" s="51">
        <v>93.67</v>
      </c>
      <c r="T64" s="51">
        <v>33.950000000000003</v>
      </c>
      <c r="U64" s="51"/>
    </row>
    <row r="65" spans="1:21" ht="15" customHeight="1" x14ac:dyDescent="0.2">
      <c r="A65" s="50">
        <v>45583</v>
      </c>
      <c r="B65" s="51">
        <v>494.9</v>
      </c>
      <c r="C65" s="51">
        <v>100.5</v>
      </c>
      <c r="D65" s="51">
        <v>723.26</v>
      </c>
      <c r="E65" s="51">
        <v>179.89</v>
      </c>
      <c r="F65" s="51">
        <v>77.540000000000006</v>
      </c>
      <c r="G65" s="51">
        <v>67.849999999999994</v>
      </c>
      <c r="H65" s="51">
        <v>111.15</v>
      </c>
      <c r="I65" s="51">
        <v>138</v>
      </c>
      <c r="J65" s="51">
        <v>122.5</v>
      </c>
      <c r="K65" s="51">
        <v>42.97</v>
      </c>
      <c r="L65" s="51">
        <v>200.78</v>
      </c>
      <c r="M65" s="51">
        <v>112.25</v>
      </c>
      <c r="N65" s="51">
        <v>483</v>
      </c>
      <c r="O65" s="51">
        <v>98.19</v>
      </c>
      <c r="P65" s="51"/>
      <c r="Q65" s="51">
        <v>63.28</v>
      </c>
      <c r="R65" s="51">
        <v>55.27</v>
      </c>
      <c r="S65" s="51">
        <v>94.07</v>
      </c>
      <c r="T65" s="51">
        <v>33.79</v>
      </c>
      <c r="U65" s="51"/>
    </row>
    <row r="66" spans="1:21" ht="15" customHeight="1" x14ac:dyDescent="0.2">
      <c r="A66" s="50">
        <v>45590</v>
      </c>
      <c r="B66" s="51">
        <v>483.72</v>
      </c>
      <c r="C66" s="51">
        <v>98.52</v>
      </c>
      <c r="D66" s="51">
        <v>711.7</v>
      </c>
      <c r="E66" s="51">
        <v>173</v>
      </c>
      <c r="F66" s="51">
        <v>75.16</v>
      </c>
      <c r="G66" s="51">
        <v>67.31</v>
      </c>
      <c r="H66" s="51">
        <v>107.91</v>
      </c>
      <c r="I66" s="51">
        <v>141.54</v>
      </c>
      <c r="J66" s="51">
        <v>117.54</v>
      </c>
      <c r="K66" s="51">
        <v>44.86</v>
      </c>
      <c r="L66" s="51">
        <v>203.44</v>
      </c>
      <c r="M66" s="51">
        <v>112.17</v>
      </c>
      <c r="N66" s="51">
        <v>477.7</v>
      </c>
      <c r="O66" s="51">
        <v>94.92</v>
      </c>
      <c r="P66" s="51"/>
      <c r="Q66" s="51">
        <v>63.17</v>
      </c>
      <c r="R66" s="51">
        <v>55.4</v>
      </c>
      <c r="S66" s="51">
        <v>92.69</v>
      </c>
      <c r="T66" s="51">
        <v>33.14</v>
      </c>
      <c r="U66" s="51"/>
    </row>
    <row r="67" spans="1:21" ht="15" customHeight="1" x14ac:dyDescent="0.2">
      <c r="A67" s="50">
        <v>45597</v>
      </c>
      <c r="B67" s="51">
        <v>482.8</v>
      </c>
      <c r="C67" s="51">
        <v>98.54</v>
      </c>
      <c r="D67" s="51">
        <v>674.73</v>
      </c>
      <c r="E67" s="51">
        <v>168.92</v>
      </c>
      <c r="F67" s="51">
        <v>75.78</v>
      </c>
      <c r="G67" s="51">
        <v>66.94</v>
      </c>
      <c r="H67" s="51">
        <v>99.73</v>
      </c>
      <c r="I67" s="51">
        <v>135.4</v>
      </c>
      <c r="J67" s="51">
        <v>113.4</v>
      </c>
      <c r="K67" s="51">
        <v>41.92</v>
      </c>
      <c r="L67" s="51">
        <v>192.95</v>
      </c>
      <c r="M67" s="51">
        <v>106.9</v>
      </c>
      <c r="N67" s="51">
        <v>471.12</v>
      </c>
      <c r="O67" s="51">
        <v>94.69</v>
      </c>
      <c r="P67" s="51"/>
      <c r="Q67" s="51">
        <v>62.39</v>
      </c>
      <c r="R67" s="51">
        <v>54.44</v>
      </c>
      <c r="S67" s="51">
        <v>91.42</v>
      </c>
      <c r="T67" s="51">
        <v>33.159999999999997</v>
      </c>
      <c r="U67" s="51"/>
    </row>
    <row r="68" spans="1:21" ht="15" customHeight="1" x14ac:dyDescent="0.2">
      <c r="A68" s="50">
        <v>45604</v>
      </c>
      <c r="B68" s="51">
        <v>494.68</v>
      </c>
      <c r="C68" s="51">
        <v>100.11</v>
      </c>
      <c r="D68" s="51">
        <v>669.47</v>
      </c>
      <c r="E68" s="51">
        <v>183.64</v>
      </c>
      <c r="F68" s="51">
        <v>82.51</v>
      </c>
      <c r="G68" s="51">
        <v>68.739999999999995</v>
      </c>
      <c r="H68" s="51">
        <v>111.9</v>
      </c>
      <c r="I68" s="51">
        <v>147.63</v>
      </c>
      <c r="J68" s="51">
        <v>115.83</v>
      </c>
      <c r="K68" s="51">
        <v>58.39</v>
      </c>
      <c r="L68" s="51">
        <v>201.2</v>
      </c>
      <c r="M68" s="51">
        <v>125.75</v>
      </c>
      <c r="N68" s="51">
        <v>516.74</v>
      </c>
      <c r="O68" s="51">
        <v>103.08</v>
      </c>
      <c r="P68" s="51"/>
      <c r="Q68" s="51">
        <v>62.65</v>
      </c>
      <c r="R68" s="51">
        <v>56.54</v>
      </c>
      <c r="S68" s="51">
        <v>96.89</v>
      </c>
      <c r="T68" s="51">
        <v>35.729999999999997</v>
      </c>
      <c r="U68" s="51"/>
    </row>
    <row r="69" spans="1:21" ht="15" customHeight="1" x14ac:dyDescent="0.2">
      <c r="A69" s="50">
        <v>45611</v>
      </c>
      <c r="B69" s="51">
        <v>503.37</v>
      </c>
      <c r="C69" s="51">
        <v>93.6</v>
      </c>
      <c r="D69" s="51">
        <v>658.63</v>
      </c>
      <c r="E69" s="51">
        <v>164.84</v>
      </c>
      <c r="F69" s="51">
        <v>84.19</v>
      </c>
      <c r="G69" s="51">
        <v>61.45</v>
      </c>
      <c r="H69" s="51">
        <v>96.34</v>
      </c>
      <c r="I69" s="51">
        <v>141.97999999999999</v>
      </c>
      <c r="J69" s="51">
        <v>113.42</v>
      </c>
      <c r="K69" s="51">
        <v>65.77</v>
      </c>
      <c r="L69" s="51">
        <v>186.01</v>
      </c>
      <c r="M69" s="51">
        <v>120.87</v>
      </c>
      <c r="N69" s="51">
        <v>465.7</v>
      </c>
      <c r="O69" s="51">
        <v>101.08</v>
      </c>
      <c r="P69" s="51"/>
      <c r="Q69" s="51">
        <v>62.4</v>
      </c>
      <c r="R69" s="51">
        <v>55.61</v>
      </c>
      <c r="S69" s="51">
        <v>93.9</v>
      </c>
      <c r="T69" s="51">
        <v>35.18</v>
      </c>
      <c r="U69" s="51"/>
    </row>
    <row r="70" spans="1:21" ht="15" customHeight="1" x14ac:dyDescent="0.2">
      <c r="A70" s="50">
        <v>45618</v>
      </c>
      <c r="B70" s="51">
        <v>512.15</v>
      </c>
      <c r="C70" s="51">
        <v>101.62</v>
      </c>
      <c r="D70" s="51">
        <v>672.88</v>
      </c>
      <c r="E70" s="51">
        <v>164.23</v>
      </c>
      <c r="F70" s="51">
        <v>93.07</v>
      </c>
      <c r="G70" s="51">
        <v>63.96</v>
      </c>
      <c r="H70" s="51">
        <v>102.64</v>
      </c>
      <c r="I70" s="51">
        <v>141.94999999999999</v>
      </c>
      <c r="J70" s="51">
        <v>115.8</v>
      </c>
      <c r="K70" s="51">
        <v>64.349999999999994</v>
      </c>
      <c r="L70" s="51">
        <v>190.08</v>
      </c>
      <c r="M70" s="51">
        <v>140.15</v>
      </c>
      <c r="N70" s="51">
        <v>450.97</v>
      </c>
      <c r="O70" s="51">
        <v>104.78</v>
      </c>
      <c r="P70" s="51"/>
      <c r="Q70" s="51">
        <v>61.64</v>
      </c>
      <c r="R70" s="51">
        <v>56.57</v>
      </c>
      <c r="S70" s="51">
        <v>95.58</v>
      </c>
      <c r="T70" s="51">
        <v>36.54</v>
      </c>
      <c r="U70" s="51"/>
    </row>
    <row r="71" spans="1:21" ht="15" customHeight="1" x14ac:dyDescent="0.2">
      <c r="A71" s="50">
        <v>45625</v>
      </c>
      <c r="B71" s="51">
        <v>515.92999999999995</v>
      </c>
      <c r="C71" s="51">
        <v>101.46</v>
      </c>
      <c r="D71" s="51">
        <v>686.61</v>
      </c>
      <c r="E71" s="51">
        <v>162.08000000000001</v>
      </c>
      <c r="F71" s="51">
        <v>86.49</v>
      </c>
      <c r="G71" s="51">
        <v>64.7</v>
      </c>
      <c r="H71" s="51">
        <v>97.95</v>
      </c>
      <c r="I71" s="51">
        <v>138.25</v>
      </c>
      <c r="J71" s="51">
        <v>116.78</v>
      </c>
      <c r="K71" s="51">
        <v>67.08</v>
      </c>
      <c r="L71" s="51">
        <v>184.66</v>
      </c>
      <c r="M71" s="51">
        <v>127.6</v>
      </c>
      <c r="N71" s="51">
        <v>468.13</v>
      </c>
      <c r="O71" s="51">
        <v>105.49</v>
      </c>
      <c r="P71" s="51"/>
      <c r="Q71" s="51">
        <v>62.7</v>
      </c>
      <c r="R71" s="51">
        <v>57.09</v>
      </c>
      <c r="S71" s="51">
        <v>96.83</v>
      </c>
      <c r="T71" s="51">
        <v>36.61</v>
      </c>
      <c r="U71" s="51"/>
    </row>
    <row r="72" spans="1:21" ht="15" customHeight="1" x14ac:dyDescent="0.2">
      <c r="A72" s="50">
        <v>45632</v>
      </c>
      <c r="B72" s="51">
        <v>552.96</v>
      </c>
      <c r="C72" s="51">
        <v>108.25</v>
      </c>
      <c r="D72" s="51">
        <v>708.98</v>
      </c>
      <c r="E72" s="51">
        <v>179.53</v>
      </c>
      <c r="F72" s="51">
        <v>91.41</v>
      </c>
      <c r="G72" s="51">
        <v>64.83</v>
      </c>
      <c r="H72" s="51">
        <v>101.17</v>
      </c>
      <c r="I72" s="51">
        <v>142.44</v>
      </c>
      <c r="J72" s="51">
        <v>112</v>
      </c>
      <c r="K72" s="51">
        <v>76.34</v>
      </c>
      <c r="L72" s="51">
        <v>203.02</v>
      </c>
      <c r="M72" s="51">
        <v>133.85</v>
      </c>
      <c r="N72" s="51">
        <v>462.1</v>
      </c>
      <c r="O72" s="51">
        <v>103.29</v>
      </c>
      <c r="P72" s="51"/>
      <c r="Q72" s="51">
        <v>63.35</v>
      </c>
      <c r="R72" s="51">
        <v>57.62</v>
      </c>
      <c r="S72" s="51">
        <v>98.7</v>
      </c>
      <c r="T72" s="51">
        <v>36.58</v>
      </c>
      <c r="U72" s="51"/>
    </row>
    <row r="73" spans="1:21" ht="15" customHeight="1" x14ac:dyDescent="0.2">
      <c r="A73" s="50">
        <v>45639</v>
      </c>
      <c r="B73" s="51">
        <v>465.69</v>
      </c>
      <c r="C73" s="51">
        <v>112.37</v>
      </c>
      <c r="D73" s="51">
        <v>718.58</v>
      </c>
      <c r="E73" s="51">
        <v>224.8</v>
      </c>
      <c r="F73" s="51">
        <v>92.01</v>
      </c>
      <c r="G73" s="51">
        <v>65.38</v>
      </c>
      <c r="H73" s="51">
        <v>102.5</v>
      </c>
      <c r="I73" s="51">
        <v>134.25</v>
      </c>
      <c r="J73" s="51">
        <v>111.13</v>
      </c>
      <c r="K73" s="51">
        <v>76.069999999999993</v>
      </c>
      <c r="L73" s="51">
        <v>200.99</v>
      </c>
      <c r="M73" s="51">
        <v>125.78</v>
      </c>
      <c r="N73" s="51">
        <v>463.73</v>
      </c>
      <c r="O73" s="51">
        <v>102.01</v>
      </c>
      <c r="P73" s="51"/>
      <c r="Q73" s="51">
        <v>62.8</v>
      </c>
      <c r="R73" s="51">
        <v>57.85</v>
      </c>
      <c r="S73" s="51">
        <v>97.77</v>
      </c>
      <c r="T73" s="51">
        <v>34.97</v>
      </c>
      <c r="U73" s="51"/>
    </row>
    <row r="74" spans="1:21" ht="15" customHeight="1" x14ac:dyDescent="0.2">
      <c r="A74" s="50">
        <v>45646</v>
      </c>
      <c r="B74" s="51">
        <v>447.17</v>
      </c>
      <c r="C74" s="51">
        <v>112.81</v>
      </c>
      <c r="D74" s="51">
        <v>705.68</v>
      </c>
      <c r="E74" s="51">
        <v>220.79</v>
      </c>
      <c r="F74" s="51">
        <v>90.57</v>
      </c>
      <c r="G74" s="51">
        <v>62.94</v>
      </c>
      <c r="H74" s="51">
        <v>90.12</v>
      </c>
      <c r="I74" s="51">
        <v>134.69999999999999</v>
      </c>
      <c r="J74" s="51">
        <v>103.32</v>
      </c>
      <c r="K74" s="51">
        <v>80.55</v>
      </c>
      <c r="L74" s="51">
        <v>197.21</v>
      </c>
      <c r="M74" s="51">
        <v>120.04</v>
      </c>
      <c r="N74" s="51">
        <v>397.27</v>
      </c>
      <c r="O74" s="51">
        <v>96.11</v>
      </c>
      <c r="P74" s="51"/>
      <c r="Q74" s="51">
        <v>62.76</v>
      </c>
      <c r="R74" s="51">
        <v>57.2</v>
      </c>
      <c r="S74" s="51">
        <v>95.58</v>
      </c>
      <c r="T74" s="51">
        <v>33.9</v>
      </c>
      <c r="U74" s="51"/>
    </row>
    <row r="75" spans="1:21" ht="15" customHeight="1" x14ac:dyDescent="0.2">
      <c r="A75" s="50">
        <v>45653</v>
      </c>
      <c r="B75" s="51">
        <v>446.48</v>
      </c>
      <c r="C75" s="51">
        <v>113.03</v>
      </c>
      <c r="D75" s="51">
        <v>713.59</v>
      </c>
      <c r="E75" s="51">
        <v>241.75</v>
      </c>
      <c r="F75" s="51">
        <v>88.75</v>
      </c>
      <c r="G75" s="51">
        <v>64.48</v>
      </c>
      <c r="H75" s="51">
        <v>88.63</v>
      </c>
      <c r="I75" s="51">
        <v>137.01</v>
      </c>
      <c r="J75" s="51">
        <v>105.24</v>
      </c>
      <c r="K75" s="51">
        <v>79.08</v>
      </c>
      <c r="L75" s="51">
        <v>201.63</v>
      </c>
      <c r="M75" s="51">
        <v>115.11</v>
      </c>
      <c r="N75" s="51">
        <v>408.76</v>
      </c>
      <c r="O75" s="51">
        <v>96.49</v>
      </c>
      <c r="P75" s="51"/>
      <c r="Q75" s="51">
        <v>63.42</v>
      </c>
      <c r="R75" s="51">
        <v>57.74</v>
      </c>
      <c r="S75" s="51">
        <v>96.59</v>
      </c>
      <c r="T75" s="51">
        <v>34.21</v>
      </c>
      <c r="U75" s="51"/>
    </row>
    <row r="76" spans="1:21" ht="15" customHeight="1" x14ac:dyDescent="0.2">
      <c r="A76" s="50">
        <v>45660</v>
      </c>
      <c r="B76" s="51">
        <v>430.57</v>
      </c>
      <c r="C76" s="51">
        <v>115.2</v>
      </c>
      <c r="D76" s="51">
        <v>714.36</v>
      </c>
      <c r="E76" s="51">
        <v>232.55</v>
      </c>
      <c r="F76" s="51">
        <v>89.76</v>
      </c>
      <c r="G76" s="51">
        <v>65.7</v>
      </c>
      <c r="H76" s="51">
        <v>89.87</v>
      </c>
      <c r="I76" s="51">
        <v>144.47</v>
      </c>
      <c r="J76" s="51">
        <v>105.63</v>
      </c>
      <c r="K76" s="51">
        <v>79.89</v>
      </c>
      <c r="L76" s="51">
        <v>208.61</v>
      </c>
      <c r="M76" s="51">
        <v>125.67</v>
      </c>
      <c r="N76" s="51">
        <v>407.11</v>
      </c>
      <c r="O76" s="51">
        <v>97.24</v>
      </c>
      <c r="P76" s="51"/>
      <c r="Q76" s="51">
        <v>62.85</v>
      </c>
      <c r="R76" s="51">
        <v>57.08</v>
      </c>
      <c r="S76" s="51">
        <v>96.89</v>
      </c>
      <c r="T76" s="51">
        <v>34.47</v>
      </c>
      <c r="U76" s="51"/>
    </row>
    <row r="77" spans="1:21" ht="15" customHeight="1" x14ac:dyDescent="0.2">
      <c r="A77" s="50">
        <v>45667</v>
      </c>
      <c r="B77" s="51">
        <v>405.92</v>
      </c>
      <c r="C77" s="51">
        <v>114.34</v>
      </c>
      <c r="D77" s="51">
        <v>739.01</v>
      </c>
      <c r="E77" s="51">
        <v>224.31</v>
      </c>
      <c r="F77" s="51">
        <v>87.21</v>
      </c>
      <c r="G77" s="51">
        <v>68.31</v>
      </c>
      <c r="H77" s="51">
        <v>99.34</v>
      </c>
      <c r="I77" s="51">
        <v>135.91</v>
      </c>
      <c r="J77" s="51">
        <v>103.59</v>
      </c>
      <c r="K77" s="51">
        <v>67.260000000000005</v>
      </c>
      <c r="L77" s="51">
        <v>208.37</v>
      </c>
      <c r="M77" s="51">
        <v>128.93</v>
      </c>
      <c r="N77" s="51">
        <v>409.56</v>
      </c>
      <c r="O77" s="51">
        <v>94.69</v>
      </c>
      <c r="P77" s="51"/>
      <c r="Q77" s="51">
        <v>62.45</v>
      </c>
      <c r="R77" s="51">
        <v>55.98</v>
      </c>
      <c r="S77" s="51">
        <v>95.58</v>
      </c>
      <c r="T77" s="51">
        <v>34.46</v>
      </c>
      <c r="U77" s="51"/>
    </row>
    <row r="78" spans="1:21" ht="15" customHeight="1" x14ac:dyDescent="0.2">
      <c r="A78" s="50">
        <v>45674</v>
      </c>
      <c r="B78" s="51">
        <v>429.99</v>
      </c>
      <c r="C78" s="51">
        <v>119.95</v>
      </c>
      <c r="D78" s="51">
        <v>756.33</v>
      </c>
      <c r="E78" s="51">
        <v>237.44</v>
      </c>
      <c r="F78" s="51">
        <v>89.25</v>
      </c>
      <c r="G78" s="51">
        <v>75.75</v>
      </c>
      <c r="H78" s="51">
        <v>105.75</v>
      </c>
      <c r="I78" s="51">
        <v>137.71</v>
      </c>
      <c r="J78" s="51">
        <v>109.48</v>
      </c>
      <c r="K78" s="51">
        <v>71.77</v>
      </c>
      <c r="L78" s="51">
        <v>211.5</v>
      </c>
      <c r="M78" s="51">
        <v>135.88</v>
      </c>
      <c r="N78" s="51">
        <v>422</v>
      </c>
      <c r="O78" s="51">
        <v>99.32</v>
      </c>
      <c r="P78" s="51"/>
      <c r="Q78" s="51">
        <v>61.36</v>
      </c>
      <c r="R78" s="51">
        <v>57.27</v>
      </c>
      <c r="S78" s="51">
        <v>98.65</v>
      </c>
      <c r="T78" s="51">
        <v>35.79</v>
      </c>
      <c r="U78" s="51"/>
    </row>
    <row r="79" spans="1:21" ht="15" customHeight="1" x14ac:dyDescent="0.2">
      <c r="A79" s="50">
        <v>45681</v>
      </c>
      <c r="B79" s="51">
        <v>435.38</v>
      </c>
      <c r="C79" s="51">
        <v>129.16999999999999</v>
      </c>
      <c r="D79" s="51">
        <v>732.25</v>
      </c>
      <c r="E79" s="51">
        <v>244.7</v>
      </c>
      <c r="F79" s="51">
        <v>93.73</v>
      </c>
      <c r="G79" s="51">
        <v>74.98</v>
      </c>
      <c r="H79" s="51">
        <v>103.19</v>
      </c>
      <c r="I79" s="51">
        <v>142.62</v>
      </c>
      <c r="J79" s="51">
        <v>118.93</v>
      </c>
      <c r="K79" s="51">
        <v>78.98</v>
      </c>
      <c r="L79" s="51">
        <v>221.88</v>
      </c>
      <c r="M79" s="51">
        <v>146.32</v>
      </c>
      <c r="N79" s="51">
        <v>439.62</v>
      </c>
      <c r="O79" s="51">
        <v>99.82</v>
      </c>
      <c r="P79" s="51"/>
      <c r="Q79" s="51">
        <v>60.49</v>
      </c>
      <c r="R79" s="51">
        <v>58.07</v>
      </c>
      <c r="S79" s="51">
        <v>101.33</v>
      </c>
      <c r="T79" s="51">
        <v>35.880000000000003</v>
      </c>
      <c r="U79" s="51"/>
    </row>
    <row r="80" spans="1:21" ht="15" customHeight="1" x14ac:dyDescent="0.2">
      <c r="A80" s="50">
        <v>45688</v>
      </c>
      <c r="B80" s="51">
        <v>437.45</v>
      </c>
      <c r="C80" s="51">
        <v>115.23</v>
      </c>
      <c r="D80" s="51">
        <v>739.31</v>
      </c>
      <c r="E80" s="51">
        <v>221.27</v>
      </c>
      <c r="F80" s="51">
        <v>99.52</v>
      </c>
      <c r="G80" s="51">
        <v>73.819999999999993</v>
      </c>
      <c r="H80" s="51">
        <v>91.24</v>
      </c>
      <c r="I80" s="51">
        <v>120.07</v>
      </c>
      <c r="J80" s="51">
        <v>119.25</v>
      </c>
      <c r="K80" s="51">
        <v>82.49</v>
      </c>
      <c r="L80" s="51">
        <v>209.32</v>
      </c>
      <c r="M80" s="51">
        <v>117.02</v>
      </c>
      <c r="N80" s="51">
        <v>461.68</v>
      </c>
      <c r="O80" s="51">
        <v>98.31</v>
      </c>
      <c r="P80" s="51"/>
      <c r="Q80" s="51">
        <v>60.36</v>
      </c>
      <c r="R80" s="51">
        <v>57.47</v>
      </c>
      <c r="S80" s="51">
        <v>100.04</v>
      </c>
      <c r="T80" s="51">
        <v>35.51</v>
      </c>
      <c r="U80" s="51"/>
    </row>
    <row r="81" spans="1:21" ht="15" customHeight="1" x14ac:dyDescent="0.2">
      <c r="A81" s="50">
        <v>45695</v>
      </c>
      <c r="B81" s="51">
        <v>433.07</v>
      </c>
      <c r="C81" s="51">
        <v>118.47</v>
      </c>
      <c r="D81" s="51">
        <v>727.7</v>
      </c>
      <c r="E81" s="51">
        <v>224.87</v>
      </c>
      <c r="F81" s="51">
        <v>105.4</v>
      </c>
      <c r="G81" s="51">
        <v>74.77</v>
      </c>
      <c r="H81" s="51">
        <v>92.3</v>
      </c>
      <c r="I81" s="51">
        <v>129.84</v>
      </c>
      <c r="J81" s="51">
        <v>117.35</v>
      </c>
      <c r="K81" s="51">
        <v>110.85</v>
      </c>
      <c r="L81" s="51">
        <v>206.12</v>
      </c>
      <c r="M81" s="51">
        <v>121.38</v>
      </c>
      <c r="N81" s="51">
        <v>469.32</v>
      </c>
      <c r="O81" s="51">
        <v>97.17</v>
      </c>
      <c r="P81" s="51"/>
      <c r="Q81" s="51">
        <v>59.58</v>
      </c>
      <c r="R81" s="51">
        <v>57.17</v>
      </c>
      <c r="S81" s="51">
        <v>102.03</v>
      </c>
      <c r="T81" s="51">
        <v>35.200000000000003</v>
      </c>
      <c r="U81" s="51"/>
    </row>
    <row r="82" spans="1:21" ht="15" customHeight="1" x14ac:dyDescent="0.2">
      <c r="A82" s="50">
        <v>45702</v>
      </c>
      <c r="B82" s="51">
        <v>460.16</v>
      </c>
      <c r="C82" s="51">
        <v>106.87</v>
      </c>
      <c r="D82" s="51">
        <v>751.55</v>
      </c>
      <c r="E82" s="51">
        <v>233.04</v>
      </c>
      <c r="F82" s="51">
        <v>112.94</v>
      </c>
      <c r="G82" s="51">
        <v>75.069999999999993</v>
      </c>
      <c r="H82" s="51">
        <v>99.52</v>
      </c>
      <c r="I82" s="51">
        <v>138.85</v>
      </c>
      <c r="J82" s="51">
        <v>120.85</v>
      </c>
      <c r="K82" s="51">
        <v>119.16</v>
      </c>
      <c r="L82" s="51">
        <v>203.9</v>
      </c>
      <c r="M82" s="51">
        <v>108.05</v>
      </c>
      <c r="N82" s="51">
        <v>459</v>
      </c>
      <c r="O82" s="51">
        <v>97.47</v>
      </c>
      <c r="P82" s="51"/>
      <c r="Q82" s="51">
        <v>57.27</v>
      </c>
      <c r="R82" s="51">
        <v>58.27</v>
      </c>
      <c r="S82" s="51">
        <v>103.06</v>
      </c>
      <c r="T82" s="51">
        <v>35.61</v>
      </c>
      <c r="U82" s="51"/>
    </row>
    <row r="83" spans="1:21" ht="15" customHeight="1" x14ac:dyDescent="0.2">
      <c r="A83" s="50">
        <v>45709</v>
      </c>
      <c r="B83" s="51">
        <v>444.32</v>
      </c>
      <c r="C83" s="51">
        <v>98.3</v>
      </c>
      <c r="D83" s="51">
        <v>737.21</v>
      </c>
      <c r="E83" s="51">
        <v>218.66</v>
      </c>
      <c r="F83" s="51">
        <v>101.67</v>
      </c>
      <c r="G83" s="51">
        <v>75.430000000000007</v>
      </c>
      <c r="H83" s="51">
        <v>98.84</v>
      </c>
      <c r="I83" s="51">
        <v>134.43</v>
      </c>
      <c r="J83" s="51">
        <v>120.97</v>
      </c>
      <c r="K83" s="51">
        <v>101.35</v>
      </c>
      <c r="L83" s="51">
        <v>198.24</v>
      </c>
      <c r="M83" s="51">
        <v>95.99</v>
      </c>
      <c r="N83" s="51">
        <v>484.24</v>
      </c>
      <c r="O83" s="51">
        <v>93.91</v>
      </c>
      <c r="P83" s="51"/>
      <c r="Q83" s="51">
        <v>58.35</v>
      </c>
      <c r="R83" s="51">
        <v>57.57</v>
      </c>
      <c r="S83" s="51">
        <v>99.91</v>
      </c>
      <c r="T83" s="51">
        <v>35.49</v>
      </c>
      <c r="U83" s="51"/>
    </row>
    <row r="84" spans="1:21" ht="15" customHeight="1" x14ac:dyDescent="0.2">
      <c r="A84" s="50">
        <v>45716</v>
      </c>
      <c r="B84" s="51">
        <v>438.56</v>
      </c>
      <c r="C84" s="51">
        <v>93.05</v>
      </c>
      <c r="D84" s="51">
        <v>709.08</v>
      </c>
      <c r="E84" s="51">
        <v>199.43</v>
      </c>
      <c r="F84" s="51">
        <v>97.42</v>
      </c>
      <c r="G84" s="51">
        <v>70.88</v>
      </c>
      <c r="H84" s="51">
        <v>93.63</v>
      </c>
      <c r="I84" s="51">
        <v>124.92</v>
      </c>
      <c r="J84" s="51">
        <v>123.92</v>
      </c>
      <c r="K84" s="51">
        <v>84.92</v>
      </c>
      <c r="L84" s="51">
        <v>180.53</v>
      </c>
      <c r="M84" s="51">
        <v>95.17</v>
      </c>
      <c r="N84" s="51">
        <v>479.79</v>
      </c>
      <c r="O84" s="51">
        <v>92.85</v>
      </c>
      <c r="P84" s="51"/>
      <c r="Q84" s="51">
        <v>58</v>
      </c>
      <c r="R84" s="51">
        <v>55.98</v>
      </c>
      <c r="S84" s="51">
        <v>99.8</v>
      </c>
      <c r="T84" s="51">
        <v>35.32</v>
      </c>
      <c r="U84" s="51"/>
    </row>
    <row r="85" spans="1:21" ht="15" customHeight="1" x14ac:dyDescent="0.2">
      <c r="A85" s="50">
        <v>45723</v>
      </c>
      <c r="B85" s="51">
        <v>449.4</v>
      </c>
      <c r="C85" s="51">
        <v>83.36</v>
      </c>
      <c r="D85" s="51">
        <v>732.22</v>
      </c>
      <c r="E85" s="51">
        <v>194.96</v>
      </c>
      <c r="F85" s="51">
        <v>83.38</v>
      </c>
      <c r="G85" s="51">
        <v>71.13</v>
      </c>
      <c r="H85" s="51">
        <v>92.96</v>
      </c>
      <c r="I85" s="51">
        <v>112.69</v>
      </c>
      <c r="J85" s="51">
        <v>119.91</v>
      </c>
      <c r="K85" s="51">
        <v>84.91</v>
      </c>
      <c r="L85" s="51">
        <v>177.1</v>
      </c>
      <c r="M85" s="51">
        <v>85.04</v>
      </c>
      <c r="N85" s="51">
        <v>488.29</v>
      </c>
      <c r="O85" s="51">
        <v>88.68</v>
      </c>
      <c r="P85" s="51"/>
      <c r="Q85" s="51">
        <v>59.03</v>
      </c>
      <c r="R85" s="51">
        <v>53.76</v>
      </c>
      <c r="S85" s="51">
        <v>94.54</v>
      </c>
      <c r="T85" s="51">
        <v>34.81</v>
      </c>
      <c r="U85" s="51"/>
    </row>
    <row r="86" spans="1:21" ht="15" customHeight="1" x14ac:dyDescent="0.2">
      <c r="A86" s="50">
        <v>45730</v>
      </c>
      <c r="B86" s="51">
        <v>394.74</v>
      </c>
      <c r="C86" s="51">
        <v>83.51</v>
      </c>
      <c r="D86" s="51">
        <v>714</v>
      </c>
      <c r="E86" s="51">
        <v>195.54</v>
      </c>
      <c r="F86" s="51">
        <v>88.43</v>
      </c>
      <c r="G86" s="51">
        <v>71.3</v>
      </c>
      <c r="H86" s="51">
        <v>100.79</v>
      </c>
      <c r="I86" s="51">
        <v>121.67</v>
      </c>
      <c r="J86" s="51">
        <v>111.89</v>
      </c>
      <c r="K86" s="51">
        <v>86.24</v>
      </c>
      <c r="L86" s="51">
        <v>174.09</v>
      </c>
      <c r="M86" s="51">
        <v>87.45</v>
      </c>
      <c r="N86" s="51">
        <v>504.77</v>
      </c>
      <c r="O86" s="51">
        <v>87.02</v>
      </c>
      <c r="P86" s="51"/>
      <c r="Q86" s="51">
        <v>59.99</v>
      </c>
      <c r="R86" s="51">
        <v>52.61</v>
      </c>
      <c r="S86" s="51">
        <v>93.86</v>
      </c>
      <c r="T86" s="51">
        <v>34.090000000000003</v>
      </c>
      <c r="U86" s="51"/>
    </row>
    <row r="87" spans="1:21" ht="15" customHeight="1" x14ac:dyDescent="0.2">
      <c r="A87" s="50">
        <v>45737</v>
      </c>
      <c r="B87" s="51">
        <v>387.26</v>
      </c>
      <c r="C87" s="51">
        <v>83.13</v>
      </c>
      <c r="D87" s="51">
        <v>716.22</v>
      </c>
      <c r="E87" s="51">
        <v>191.66</v>
      </c>
      <c r="F87" s="51">
        <v>90.56</v>
      </c>
      <c r="G87" s="51">
        <v>70.650000000000006</v>
      </c>
      <c r="H87" s="51">
        <v>94.72</v>
      </c>
      <c r="I87" s="51">
        <v>117.7</v>
      </c>
      <c r="J87" s="51">
        <v>108.42</v>
      </c>
      <c r="K87" s="51">
        <v>90.96</v>
      </c>
      <c r="L87" s="51">
        <v>176.73</v>
      </c>
      <c r="M87" s="51">
        <v>88.63</v>
      </c>
      <c r="N87" s="51">
        <v>503.2</v>
      </c>
      <c r="O87" s="51">
        <v>87.86</v>
      </c>
      <c r="P87" s="51"/>
      <c r="Q87" s="51">
        <v>59.84</v>
      </c>
      <c r="R87" s="51">
        <v>52.8</v>
      </c>
      <c r="S87" s="51">
        <v>94.22</v>
      </c>
      <c r="T87" s="51">
        <v>34.67</v>
      </c>
      <c r="U87" s="51"/>
    </row>
    <row r="88" spans="1:21" ht="15" customHeight="1" x14ac:dyDescent="0.2">
      <c r="A88" s="50">
        <v>45744</v>
      </c>
      <c r="B88" s="51">
        <v>385.71</v>
      </c>
      <c r="C88" s="51">
        <v>77.94</v>
      </c>
      <c r="D88" s="51">
        <v>674.58</v>
      </c>
      <c r="E88" s="51">
        <v>169.12</v>
      </c>
      <c r="F88" s="51">
        <v>89.28</v>
      </c>
      <c r="G88" s="51">
        <v>67.36</v>
      </c>
      <c r="H88" s="51">
        <v>88.44</v>
      </c>
      <c r="I88" s="51">
        <v>109.67</v>
      </c>
      <c r="J88" s="51">
        <v>110.45</v>
      </c>
      <c r="K88" s="51">
        <v>85.85</v>
      </c>
      <c r="L88" s="51">
        <v>165.25</v>
      </c>
      <c r="M88" s="51">
        <v>74.25</v>
      </c>
      <c r="N88" s="51">
        <v>492.69</v>
      </c>
      <c r="O88" s="51">
        <v>87.12</v>
      </c>
      <c r="P88" s="51"/>
      <c r="Q88" s="51">
        <v>61.6</v>
      </c>
      <c r="R88" s="51">
        <v>51.81</v>
      </c>
      <c r="S88" s="51">
        <v>92.19</v>
      </c>
      <c r="T88" s="51">
        <v>34.1</v>
      </c>
      <c r="U88" s="51"/>
    </row>
    <row r="89" spans="1:21" ht="15" customHeight="1" x14ac:dyDescent="0.2">
      <c r="A89" s="50">
        <v>45751</v>
      </c>
      <c r="B89" s="51">
        <v>349.07</v>
      </c>
      <c r="C89" s="51">
        <v>64.37</v>
      </c>
      <c r="D89" s="51">
        <v>605.54999999999995</v>
      </c>
      <c r="E89" s="51">
        <v>146.29</v>
      </c>
      <c r="F89" s="51">
        <v>80.41</v>
      </c>
      <c r="G89" s="51">
        <v>57.65</v>
      </c>
      <c r="H89" s="51">
        <v>64.72</v>
      </c>
      <c r="I89" s="51">
        <v>94.31</v>
      </c>
      <c r="J89" s="51">
        <v>98.23</v>
      </c>
      <c r="K89" s="51">
        <v>74.010000000000005</v>
      </c>
      <c r="L89" s="51">
        <v>146.80000000000001</v>
      </c>
      <c r="M89" s="51">
        <v>59.41</v>
      </c>
      <c r="N89" s="51">
        <v>474.62</v>
      </c>
      <c r="O89" s="51">
        <v>78</v>
      </c>
      <c r="P89" s="51"/>
      <c r="Q89" s="51">
        <v>60.58</v>
      </c>
      <c r="R89" s="51">
        <v>46.6</v>
      </c>
      <c r="S89" s="51">
        <v>82.32</v>
      </c>
      <c r="T89" s="51">
        <v>30.95</v>
      </c>
      <c r="U89" s="51"/>
    </row>
    <row r="90" spans="1:21" ht="15" customHeight="1" x14ac:dyDescent="0.2">
      <c r="A90" s="50">
        <v>45758</v>
      </c>
      <c r="B90" s="51">
        <v>352.47</v>
      </c>
      <c r="C90" s="51">
        <v>72.67</v>
      </c>
      <c r="D90" s="51">
        <v>668.81</v>
      </c>
      <c r="E90" s="51">
        <v>181.94</v>
      </c>
      <c r="F90" s="51">
        <v>94.48</v>
      </c>
      <c r="G90" s="51">
        <v>67.02</v>
      </c>
      <c r="H90" s="51">
        <v>69.55</v>
      </c>
      <c r="I90" s="51">
        <v>110.93</v>
      </c>
      <c r="J90" s="51">
        <v>96.23</v>
      </c>
      <c r="K90" s="51">
        <v>88.55</v>
      </c>
      <c r="L90" s="51">
        <v>157.08000000000001</v>
      </c>
      <c r="M90" s="51">
        <v>69.61</v>
      </c>
      <c r="N90" s="51">
        <v>484.22</v>
      </c>
      <c r="O90" s="51">
        <v>78.98</v>
      </c>
      <c r="P90" s="51"/>
      <c r="Q90" s="51">
        <v>61.24</v>
      </c>
      <c r="R90" s="51">
        <v>49.54</v>
      </c>
      <c r="S90" s="51">
        <v>89.82</v>
      </c>
      <c r="T90" s="51">
        <v>31.56</v>
      </c>
      <c r="U90" s="51"/>
    </row>
    <row r="91" spans="1:21" ht="15" customHeight="1" x14ac:dyDescent="0.2">
      <c r="A91" s="50">
        <v>45764</v>
      </c>
      <c r="B91" s="51">
        <v>348.8</v>
      </c>
      <c r="C91" s="51">
        <v>71.2</v>
      </c>
      <c r="D91" s="51">
        <v>640.16</v>
      </c>
      <c r="E91" s="51">
        <v>170.99</v>
      </c>
      <c r="F91" s="51">
        <v>93.91</v>
      </c>
      <c r="G91" s="51">
        <v>63.44</v>
      </c>
      <c r="H91" s="51">
        <v>68.8</v>
      </c>
      <c r="I91" s="51">
        <v>101.49</v>
      </c>
      <c r="J91" s="51">
        <v>102.1</v>
      </c>
      <c r="K91" s="51">
        <v>93.78</v>
      </c>
      <c r="L91" s="51">
        <v>151.74</v>
      </c>
      <c r="M91" s="51">
        <v>73.209999999999994</v>
      </c>
      <c r="N91" s="51">
        <v>489.1</v>
      </c>
      <c r="O91" s="51">
        <v>80.45</v>
      </c>
      <c r="P91" s="51"/>
      <c r="Q91" s="51">
        <v>61.83</v>
      </c>
      <c r="R91" s="51">
        <v>48.74</v>
      </c>
      <c r="S91" s="51">
        <v>88.26</v>
      </c>
      <c r="T91" s="51">
        <v>31.78</v>
      </c>
      <c r="U91" s="51"/>
    </row>
    <row r="92" spans="1:21" ht="15" customHeight="1" x14ac:dyDescent="0.2">
      <c r="A92" s="50">
        <v>45772</v>
      </c>
      <c r="B92" s="51">
        <v>367.72</v>
      </c>
      <c r="C92" s="51">
        <v>77.91</v>
      </c>
      <c r="D92" s="51">
        <v>677.27</v>
      </c>
      <c r="E92" s="51">
        <v>192.31</v>
      </c>
      <c r="F92" s="51">
        <v>106.22</v>
      </c>
      <c r="G92" s="51">
        <v>69.459999999999994</v>
      </c>
      <c r="H92" s="51">
        <v>79.78</v>
      </c>
      <c r="I92" s="51">
        <v>111.01</v>
      </c>
      <c r="J92" s="51">
        <v>102.24</v>
      </c>
      <c r="K92" s="51">
        <v>112.78</v>
      </c>
      <c r="L92" s="51">
        <v>165.1</v>
      </c>
      <c r="M92" s="51">
        <v>86.95</v>
      </c>
      <c r="N92" s="51">
        <v>493.84</v>
      </c>
      <c r="O92" s="51">
        <v>82.71</v>
      </c>
      <c r="P92" s="51"/>
      <c r="Q92" s="51">
        <v>61.82</v>
      </c>
      <c r="R92" s="51">
        <v>51.09</v>
      </c>
      <c r="S92" s="51">
        <v>94.02</v>
      </c>
      <c r="T92" s="51">
        <v>32.83</v>
      </c>
      <c r="U92" s="51"/>
    </row>
    <row r="93" spans="1:21" ht="15" customHeight="1" x14ac:dyDescent="0.2">
      <c r="A93" s="50">
        <v>45779</v>
      </c>
      <c r="B93" s="51">
        <v>380.87</v>
      </c>
      <c r="C93" s="51">
        <v>91.02</v>
      </c>
      <c r="D93" s="51">
        <v>690.33</v>
      </c>
      <c r="E93" s="51">
        <v>203.64</v>
      </c>
      <c r="F93" s="51">
        <v>110.15</v>
      </c>
      <c r="G93" s="51">
        <v>69.819999999999993</v>
      </c>
      <c r="H93" s="51">
        <v>80.72</v>
      </c>
      <c r="I93" s="51">
        <v>114.5</v>
      </c>
      <c r="J93" s="51">
        <v>105.41</v>
      </c>
      <c r="K93" s="51">
        <v>124.28</v>
      </c>
      <c r="L93" s="51">
        <v>179.28</v>
      </c>
      <c r="M93" s="51">
        <v>95</v>
      </c>
      <c r="N93" s="51">
        <v>501.15</v>
      </c>
      <c r="O93" s="51">
        <v>85.52</v>
      </c>
      <c r="P93" s="51"/>
      <c r="Q93" s="51">
        <v>61.87</v>
      </c>
      <c r="R93" s="51">
        <v>51.49</v>
      </c>
      <c r="S93" s="51">
        <v>97.8</v>
      </c>
      <c r="T93" s="51">
        <v>33.46</v>
      </c>
      <c r="U93" s="51"/>
    </row>
    <row r="94" spans="1:21" ht="15" customHeight="1" x14ac:dyDescent="0.2">
      <c r="A94" s="50">
        <v>45786</v>
      </c>
      <c r="B94" s="51">
        <v>383.28</v>
      </c>
      <c r="C94" s="51">
        <v>86.52</v>
      </c>
      <c r="D94" s="51">
        <v>706.21</v>
      </c>
      <c r="E94" s="51">
        <v>208.2</v>
      </c>
      <c r="F94" s="51">
        <v>102.64</v>
      </c>
      <c r="G94" s="51">
        <v>70.12</v>
      </c>
      <c r="H94" s="51">
        <v>85.86</v>
      </c>
      <c r="I94" s="51">
        <v>116.65</v>
      </c>
      <c r="J94" s="51">
        <v>106.91</v>
      </c>
      <c r="K94" s="51">
        <v>117.3</v>
      </c>
      <c r="L94" s="51">
        <v>176.52</v>
      </c>
      <c r="M94" s="51">
        <v>94.06</v>
      </c>
      <c r="N94" s="51">
        <v>424.99</v>
      </c>
      <c r="O94" s="51">
        <v>86.51</v>
      </c>
      <c r="P94" s="51"/>
      <c r="Q94" s="51">
        <v>62.54</v>
      </c>
      <c r="R94" s="51">
        <v>51.63</v>
      </c>
      <c r="S94" s="51">
        <v>98.48</v>
      </c>
      <c r="T94" s="51">
        <v>33.4</v>
      </c>
      <c r="U94" s="51"/>
    </row>
    <row r="95" spans="1:21" ht="15" customHeight="1" x14ac:dyDescent="0.2">
      <c r="A95" s="50">
        <v>45793</v>
      </c>
      <c r="B95" s="51">
        <v>417.13</v>
      </c>
      <c r="C95" s="51">
        <v>96.42</v>
      </c>
      <c r="D95" s="51">
        <v>748.1</v>
      </c>
      <c r="E95" s="51">
        <v>228.61</v>
      </c>
      <c r="F95" s="51">
        <v>109.82</v>
      </c>
      <c r="G95" s="51">
        <v>79.12</v>
      </c>
      <c r="H95" s="51">
        <v>98</v>
      </c>
      <c r="I95" s="51">
        <v>135.4</v>
      </c>
      <c r="J95" s="51">
        <v>110.55</v>
      </c>
      <c r="K95" s="51">
        <v>129.52000000000001</v>
      </c>
      <c r="L95" s="51">
        <v>194.22</v>
      </c>
      <c r="M95" s="51">
        <v>106.04</v>
      </c>
      <c r="N95" s="51">
        <v>438.65</v>
      </c>
      <c r="O95" s="51">
        <v>90.74</v>
      </c>
      <c r="P95" s="51"/>
      <c r="Q95" s="51">
        <v>62.95</v>
      </c>
      <c r="R95" s="51">
        <v>52.52</v>
      </c>
      <c r="S95" s="51">
        <v>105.2</v>
      </c>
      <c r="T95" s="51">
        <v>34.840000000000003</v>
      </c>
      <c r="U95" s="51"/>
    </row>
    <row r="96" spans="1:21" ht="15" customHeight="1" x14ac:dyDescent="0.2">
      <c r="A96" s="50">
        <v>45800</v>
      </c>
      <c r="B96" s="51">
        <v>407.69</v>
      </c>
      <c r="C96" s="51">
        <v>91.2</v>
      </c>
      <c r="D96" s="51">
        <v>732.49</v>
      </c>
      <c r="E96" s="51">
        <v>228.72</v>
      </c>
      <c r="F96" s="51">
        <v>113.9</v>
      </c>
      <c r="G96" s="51">
        <v>75.72</v>
      </c>
      <c r="H96" s="51">
        <v>93.37</v>
      </c>
      <c r="I96" s="51">
        <v>131.29</v>
      </c>
      <c r="J96" s="51">
        <v>104.04</v>
      </c>
      <c r="K96" s="51">
        <v>123.31</v>
      </c>
      <c r="L96" s="51">
        <v>191.98</v>
      </c>
      <c r="M96" s="51">
        <v>104.14</v>
      </c>
      <c r="N96" s="51">
        <v>436</v>
      </c>
      <c r="O96" s="51">
        <v>87.11</v>
      </c>
      <c r="P96" s="51"/>
      <c r="Q96" s="51">
        <v>63.05</v>
      </c>
      <c r="R96" s="51">
        <v>52.04</v>
      </c>
      <c r="S96" s="51">
        <v>102.85</v>
      </c>
      <c r="T96" s="51">
        <v>33.630000000000003</v>
      </c>
      <c r="U96" s="51"/>
    </row>
    <row r="97" spans="1:21" ht="15" customHeight="1" x14ac:dyDescent="0.2">
      <c r="A97" s="50">
        <v>45807</v>
      </c>
      <c r="B97" s="51">
        <v>415.09</v>
      </c>
      <c r="C97" s="51">
        <v>86.64</v>
      </c>
      <c r="D97" s="51">
        <v>736.77</v>
      </c>
      <c r="E97" s="51">
        <v>242.07</v>
      </c>
      <c r="F97" s="51">
        <v>117.84</v>
      </c>
      <c r="G97" s="51">
        <v>75.69</v>
      </c>
      <c r="H97" s="51">
        <v>94.46</v>
      </c>
      <c r="I97" s="51">
        <v>135.13</v>
      </c>
      <c r="J97" s="51">
        <v>108.6</v>
      </c>
      <c r="K97" s="51">
        <v>131.78</v>
      </c>
      <c r="L97" s="51">
        <v>193.32</v>
      </c>
      <c r="M97" s="51">
        <v>107.93</v>
      </c>
      <c r="N97" s="51">
        <v>442.05</v>
      </c>
      <c r="O97" s="51">
        <v>88.13</v>
      </c>
      <c r="P97" s="51"/>
      <c r="Q97" s="51">
        <v>63.27</v>
      </c>
      <c r="R97" s="51">
        <v>52.63</v>
      </c>
      <c r="S97" s="51">
        <v>105.35</v>
      </c>
      <c r="T97" s="51">
        <v>33.89</v>
      </c>
      <c r="U97" s="51"/>
    </row>
    <row r="98" spans="1:21" ht="15" customHeight="1" x14ac:dyDescent="0.2">
      <c r="A98" s="50">
        <v>45814</v>
      </c>
      <c r="B98" s="51">
        <v>416.92</v>
      </c>
      <c r="C98" s="51">
        <v>97.25</v>
      </c>
      <c r="D98" s="51">
        <v>753.02</v>
      </c>
      <c r="E98" s="51">
        <v>246.93</v>
      </c>
      <c r="F98" s="51">
        <v>117.1</v>
      </c>
      <c r="G98" s="51">
        <v>80.8</v>
      </c>
      <c r="H98" s="51">
        <v>108.56</v>
      </c>
      <c r="I98" s="51">
        <v>141.72</v>
      </c>
      <c r="J98" s="51">
        <v>108.79</v>
      </c>
      <c r="K98" s="51">
        <v>127.72</v>
      </c>
      <c r="L98" s="51">
        <v>205.18</v>
      </c>
      <c r="M98" s="51">
        <v>115.36</v>
      </c>
      <c r="N98" s="51">
        <v>450.5</v>
      </c>
      <c r="O98" s="51">
        <v>89.76</v>
      </c>
      <c r="P98" s="51"/>
      <c r="Q98" s="51">
        <v>63.41</v>
      </c>
      <c r="R98" s="51">
        <v>52.7</v>
      </c>
      <c r="S98" s="51">
        <v>106.92</v>
      </c>
      <c r="T98" s="51">
        <v>34.69</v>
      </c>
      <c r="U98" s="51"/>
    </row>
    <row r="99" spans="1:21" ht="15" customHeight="1" x14ac:dyDescent="0.2">
      <c r="A99" s="50">
        <v>45821</v>
      </c>
      <c r="B99" s="51">
        <v>391.68</v>
      </c>
      <c r="C99" s="51">
        <v>92.35</v>
      </c>
      <c r="D99" s="51">
        <v>761</v>
      </c>
      <c r="E99" s="51">
        <v>248.7</v>
      </c>
      <c r="F99" s="51">
        <v>120.16</v>
      </c>
      <c r="G99" s="51">
        <v>86.77</v>
      </c>
      <c r="H99" s="51">
        <v>115.6</v>
      </c>
      <c r="I99" s="51">
        <v>141.97</v>
      </c>
      <c r="J99" s="51">
        <v>107.28</v>
      </c>
      <c r="K99" s="51">
        <v>137.4</v>
      </c>
      <c r="L99" s="51">
        <v>211.1</v>
      </c>
      <c r="M99" s="51">
        <v>110.97</v>
      </c>
      <c r="N99" s="51">
        <v>455.45</v>
      </c>
      <c r="O99" s="51">
        <v>89.22</v>
      </c>
      <c r="P99" s="51"/>
      <c r="Q99" s="51">
        <v>62.75</v>
      </c>
      <c r="R99" s="51">
        <v>52.59</v>
      </c>
      <c r="S99" s="51">
        <v>106.16</v>
      </c>
      <c r="T99" s="51">
        <v>35.07</v>
      </c>
      <c r="U99" s="51"/>
    </row>
    <row r="100" spans="1:21" ht="15" customHeight="1" x14ac:dyDescent="0.2">
      <c r="A100" s="50">
        <v>45828</v>
      </c>
      <c r="B100" s="51">
        <v>376.92</v>
      </c>
      <c r="C100" s="51">
        <v>86.25</v>
      </c>
      <c r="D100" s="51">
        <v>756.53</v>
      </c>
      <c r="E100" s="51">
        <v>249.99</v>
      </c>
      <c r="F100" s="51">
        <v>119.08</v>
      </c>
      <c r="G100" s="51">
        <v>85</v>
      </c>
      <c r="H100" s="51">
        <v>123.6</v>
      </c>
      <c r="I100" s="51">
        <v>143.85</v>
      </c>
      <c r="J100" s="51">
        <v>105.69</v>
      </c>
      <c r="K100" s="51">
        <v>137.30000000000001</v>
      </c>
      <c r="L100" s="51">
        <v>209.51</v>
      </c>
      <c r="M100" s="51">
        <v>118.54</v>
      </c>
      <c r="N100" s="51">
        <v>440.87</v>
      </c>
      <c r="O100" s="51">
        <v>89.37</v>
      </c>
      <c r="P100" s="51"/>
      <c r="Q100" s="51">
        <v>63.47</v>
      </c>
      <c r="R100" s="51">
        <v>52.75</v>
      </c>
      <c r="S100" s="51">
        <v>106.91</v>
      </c>
      <c r="T100" s="51">
        <v>35.03</v>
      </c>
      <c r="U100" s="51"/>
    </row>
    <row r="101" spans="1:21" ht="15" customHeight="1" x14ac:dyDescent="0.2">
      <c r="A101" s="50">
        <v>45835</v>
      </c>
      <c r="B101" s="51">
        <v>385.83</v>
      </c>
      <c r="C101" s="51">
        <v>99.39</v>
      </c>
      <c r="D101" s="51">
        <v>795.95</v>
      </c>
      <c r="E101" s="51">
        <v>269.35000000000002</v>
      </c>
      <c r="F101" s="51">
        <v>124.83</v>
      </c>
      <c r="G101" s="51">
        <v>88.99</v>
      </c>
      <c r="H101" s="51">
        <v>124.76</v>
      </c>
      <c r="I101" s="51">
        <v>157.75</v>
      </c>
      <c r="J101" s="51">
        <v>105.62</v>
      </c>
      <c r="K101" s="51">
        <v>130.74</v>
      </c>
      <c r="L101" s="51">
        <v>228.57</v>
      </c>
      <c r="M101" s="51">
        <v>127.16</v>
      </c>
      <c r="N101" s="51">
        <v>441.3</v>
      </c>
      <c r="O101" s="51">
        <v>91.21</v>
      </c>
      <c r="P101" s="51"/>
      <c r="Q101" s="51">
        <v>63.94</v>
      </c>
      <c r="R101" s="51">
        <v>54.27</v>
      </c>
      <c r="S101" s="51">
        <v>111.84</v>
      </c>
      <c r="T101" s="51">
        <v>35.33</v>
      </c>
      <c r="U101" s="51"/>
    </row>
    <row r="102" spans="1:21" ht="15" customHeight="1" x14ac:dyDescent="0.2">
      <c r="A102" s="50">
        <v>45841</v>
      </c>
      <c r="B102" s="51">
        <v>379.31</v>
      </c>
      <c r="C102" s="51">
        <v>102.52</v>
      </c>
      <c r="D102" s="51">
        <v>794.5</v>
      </c>
      <c r="E102" s="51">
        <v>275.18</v>
      </c>
      <c r="F102" s="51">
        <v>128.53</v>
      </c>
      <c r="G102" s="51">
        <v>92.46</v>
      </c>
      <c r="H102" s="51">
        <v>122.29</v>
      </c>
      <c r="I102" s="51">
        <v>159.34</v>
      </c>
      <c r="J102" s="51">
        <v>108.02</v>
      </c>
      <c r="K102" s="51">
        <v>134.36000000000001</v>
      </c>
      <c r="L102" s="51">
        <v>234.8</v>
      </c>
      <c r="M102" s="51">
        <v>127.84</v>
      </c>
      <c r="N102" s="51">
        <v>459.62</v>
      </c>
      <c r="O102" s="51">
        <v>95.01</v>
      </c>
      <c r="P102" s="51"/>
      <c r="Q102" s="51">
        <v>64.17</v>
      </c>
      <c r="R102" s="51">
        <v>54.16</v>
      </c>
      <c r="S102" s="51">
        <v>112.51</v>
      </c>
      <c r="T102" s="51">
        <v>35.770000000000003</v>
      </c>
      <c r="U102" s="51"/>
    </row>
    <row r="103" spans="1:21" ht="15" customHeight="1" x14ac:dyDescent="0.2">
      <c r="A103" s="50">
        <v>45849</v>
      </c>
      <c r="B103" s="51">
        <v>363.35</v>
      </c>
      <c r="C103" s="51">
        <v>108.57</v>
      </c>
      <c r="D103" s="51">
        <v>801.93</v>
      </c>
      <c r="E103" s="51">
        <v>274.38</v>
      </c>
      <c r="F103" s="51">
        <v>119.61</v>
      </c>
      <c r="G103" s="51">
        <v>92.46</v>
      </c>
      <c r="H103" s="51">
        <v>124.53</v>
      </c>
      <c r="I103" s="51">
        <v>164.92</v>
      </c>
      <c r="J103" s="51">
        <v>109.17</v>
      </c>
      <c r="K103" s="51">
        <v>142.1</v>
      </c>
      <c r="L103" s="51">
        <v>230.4</v>
      </c>
      <c r="M103" s="51">
        <v>123.3</v>
      </c>
      <c r="N103" s="51">
        <v>468.85</v>
      </c>
      <c r="O103" s="51">
        <v>94.88</v>
      </c>
      <c r="P103" s="51"/>
      <c r="Q103" s="51">
        <v>64.180000000000007</v>
      </c>
      <c r="R103" s="51">
        <v>54.36</v>
      </c>
      <c r="S103" s="51">
        <v>112.17</v>
      </c>
      <c r="T103" s="51">
        <v>35.840000000000003</v>
      </c>
      <c r="U103" s="51"/>
    </row>
    <row r="104" spans="1:21" ht="15" customHeight="1" x14ac:dyDescent="0.2">
      <c r="A104" s="50">
        <v>45856</v>
      </c>
      <c r="B104" s="51">
        <v>365.79</v>
      </c>
      <c r="C104" s="51">
        <v>111.78</v>
      </c>
      <c r="D104" s="51">
        <v>734.58</v>
      </c>
      <c r="E104" s="51">
        <v>283.33999999999997</v>
      </c>
      <c r="F104" s="51">
        <v>118.99</v>
      </c>
      <c r="G104" s="51">
        <v>93.11</v>
      </c>
      <c r="H104" s="51">
        <v>114.39</v>
      </c>
      <c r="I104" s="51">
        <v>172.41</v>
      </c>
      <c r="J104" s="51">
        <v>106.78</v>
      </c>
      <c r="K104" s="51">
        <v>153.52000000000001</v>
      </c>
      <c r="L104" s="51">
        <v>240.4</v>
      </c>
      <c r="M104" s="51">
        <v>129.06</v>
      </c>
      <c r="N104" s="51">
        <v>459.81</v>
      </c>
      <c r="O104" s="51">
        <v>93.77</v>
      </c>
      <c r="P104" s="51"/>
      <c r="Q104" s="51">
        <v>64.319999999999993</v>
      </c>
      <c r="R104" s="51">
        <v>54.69</v>
      </c>
      <c r="S104" s="51">
        <v>113.83</v>
      </c>
      <c r="T104" s="51">
        <v>35.08</v>
      </c>
      <c r="U104" s="51"/>
    </row>
    <row r="105" spans="1:21" ht="15" customHeight="1" x14ac:dyDescent="0.2">
      <c r="A105" s="50">
        <v>45863</v>
      </c>
      <c r="B105" s="51">
        <v>370.74</v>
      </c>
      <c r="C105" s="51">
        <v>114.28</v>
      </c>
      <c r="D105" s="51">
        <v>711.25</v>
      </c>
      <c r="E105" s="51">
        <v>290.18</v>
      </c>
      <c r="F105" s="51">
        <v>116.98</v>
      </c>
      <c r="G105" s="51">
        <v>90.21</v>
      </c>
      <c r="H105" s="51">
        <v>111.26</v>
      </c>
      <c r="I105" s="51">
        <v>173.5</v>
      </c>
      <c r="J105" s="51">
        <v>110.29</v>
      </c>
      <c r="K105" s="51">
        <v>158.80000000000001</v>
      </c>
      <c r="L105" s="51">
        <v>245.6</v>
      </c>
      <c r="M105" s="51">
        <v>137.47</v>
      </c>
      <c r="N105" s="51">
        <v>469.65</v>
      </c>
      <c r="O105" s="51">
        <v>95.15</v>
      </c>
      <c r="P105" s="51"/>
      <c r="Q105" s="51">
        <v>64.87</v>
      </c>
      <c r="R105" s="51">
        <v>55.08</v>
      </c>
      <c r="S105" s="51">
        <v>115.03</v>
      </c>
      <c r="T105" s="51">
        <v>35.85</v>
      </c>
      <c r="U105" s="51"/>
    </row>
    <row r="106" spans="1:21" ht="15" customHeight="1" x14ac:dyDescent="0.2">
      <c r="A106" s="50">
        <v>45870</v>
      </c>
      <c r="B106" s="51">
        <v>347.8</v>
      </c>
      <c r="C106" s="51">
        <v>117.57</v>
      </c>
      <c r="D106" s="51">
        <v>689.82</v>
      </c>
      <c r="E106" s="51">
        <v>288.64</v>
      </c>
      <c r="F106" s="51">
        <v>111.67</v>
      </c>
      <c r="G106" s="51">
        <v>88.66</v>
      </c>
      <c r="H106" s="51">
        <v>104.88</v>
      </c>
      <c r="I106" s="51">
        <v>173.72</v>
      </c>
      <c r="J106" s="51">
        <v>104.91</v>
      </c>
      <c r="K106" s="51">
        <v>154.27000000000001</v>
      </c>
      <c r="L106" s="51">
        <v>235.21</v>
      </c>
      <c r="M106" s="51">
        <v>141.59</v>
      </c>
      <c r="N106" s="51">
        <v>462.13</v>
      </c>
      <c r="O106" s="51">
        <v>90.37</v>
      </c>
      <c r="P106" s="51"/>
      <c r="Q106" s="51">
        <v>65</v>
      </c>
      <c r="R106" s="51">
        <v>53.81</v>
      </c>
      <c r="S106" s="51">
        <v>113.23</v>
      </c>
      <c r="T106" s="51">
        <v>34.35</v>
      </c>
      <c r="U106" s="51"/>
    </row>
    <row r="107" spans="1:21" ht="15" customHeight="1" x14ac:dyDescent="0.2">
      <c r="A107" s="50">
        <v>45877</v>
      </c>
      <c r="B107" s="51">
        <v>341.05</v>
      </c>
      <c r="C107" s="51">
        <v>139.18</v>
      </c>
      <c r="D107" s="51">
        <v>722.32</v>
      </c>
      <c r="E107" s="51">
        <v>304.97000000000003</v>
      </c>
      <c r="F107" s="51">
        <v>106.12</v>
      </c>
      <c r="G107" s="51">
        <v>91.48</v>
      </c>
      <c r="H107" s="51">
        <v>118.89</v>
      </c>
      <c r="I107" s="51">
        <v>182.7</v>
      </c>
      <c r="J107" s="51">
        <v>105.68</v>
      </c>
      <c r="K107" s="51">
        <v>186.96</v>
      </c>
      <c r="L107" s="51">
        <v>241.83</v>
      </c>
      <c r="M107" s="51">
        <v>139.93</v>
      </c>
      <c r="N107" s="51">
        <v>366.54</v>
      </c>
      <c r="O107" s="51">
        <v>92.47</v>
      </c>
      <c r="P107" s="51"/>
      <c r="Q107" s="51">
        <v>64.89</v>
      </c>
      <c r="R107" s="51">
        <v>55.32</v>
      </c>
      <c r="S107" s="51">
        <v>117.19</v>
      </c>
      <c r="T107" s="51">
        <v>34.69</v>
      </c>
      <c r="U107" s="51"/>
    </row>
    <row r="108" spans="1:21" ht="15" customHeight="1" x14ac:dyDescent="0.2">
      <c r="A108" s="50">
        <v>45884</v>
      </c>
      <c r="B108" s="51">
        <v>354.85</v>
      </c>
      <c r="C108" s="51">
        <v>137.30000000000001</v>
      </c>
      <c r="D108" s="51">
        <v>742.16</v>
      </c>
      <c r="E108" s="51">
        <v>306.33999999999997</v>
      </c>
      <c r="F108" s="51">
        <v>106.98</v>
      </c>
      <c r="G108" s="51">
        <v>87.49</v>
      </c>
      <c r="H108" s="51">
        <v>120.87</v>
      </c>
      <c r="I108" s="51">
        <v>180.45</v>
      </c>
      <c r="J108" s="51">
        <v>106.59</v>
      </c>
      <c r="K108" s="51">
        <v>177.17</v>
      </c>
      <c r="L108" s="51">
        <v>238.88</v>
      </c>
      <c r="M108" s="51">
        <v>133.07</v>
      </c>
      <c r="N108" s="51">
        <v>392.79</v>
      </c>
      <c r="O108" s="51">
        <v>95.23</v>
      </c>
      <c r="P108" s="51"/>
      <c r="Q108" s="51">
        <v>65.099999999999994</v>
      </c>
      <c r="R108" s="51">
        <v>55.8</v>
      </c>
      <c r="S108" s="51">
        <v>117.31</v>
      </c>
      <c r="T108" s="51">
        <v>36.06</v>
      </c>
      <c r="U108" s="51"/>
    </row>
    <row r="109" spans="1:21" ht="15" customHeight="1" x14ac:dyDescent="0.2">
      <c r="A109" s="50">
        <v>45891</v>
      </c>
      <c r="B109" s="51">
        <v>362.09</v>
      </c>
      <c r="C109" s="51">
        <v>133.25</v>
      </c>
      <c r="D109" s="51">
        <v>754.89</v>
      </c>
      <c r="E109" s="51">
        <v>294</v>
      </c>
      <c r="F109" s="51">
        <v>105.14</v>
      </c>
      <c r="G109" s="51">
        <v>87.03</v>
      </c>
      <c r="H109" s="51">
        <v>117.68</v>
      </c>
      <c r="I109" s="51">
        <v>177.99</v>
      </c>
      <c r="J109" s="51">
        <v>112.28</v>
      </c>
      <c r="K109" s="51">
        <v>158.74</v>
      </c>
      <c r="L109" s="51">
        <v>232.99</v>
      </c>
      <c r="M109" s="51">
        <v>125.97</v>
      </c>
      <c r="N109" s="51">
        <v>395.12</v>
      </c>
      <c r="O109" s="51">
        <v>99.02</v>
      </c>
      <c r="P109" s="51"/>
      <c r="Q109" s="51">
        <v>64.28</v>
      </c>
      <c r="R109" s="51">
        <v>55.67</v>
      </c>
      <c r="S109" s="51">
        <v>116.51</v>
      </c>
      <c r="T109" s="51">
        <v>36.99</v>
      </c>
      <c r="U109" s="51"/>
    </row>
    <row r="110" spans="1:21" ht="15" customHeight="1" x14ac:dyDescent="0.2">
      <c r="A110" s="50">
        <v>45898</v>
      </c>
      <c r="B110" s="51">
        <v>356.7</v>
      </c>
      <c r="C110" s="51">
        <v>136.55000000000001</v>
      </c>
      <c r="D110" s="51">
        <v>742.62</v>
      </c>
      <c r="E110" s="51">
        <v>297.39</v>
      </c>
      <c r="F110" s="51">
        <v>105.93</v>
      </c>
      <c r="G110" s="51">
        <v>87.2</v>
      </c>
      <c r="H110" s="51">
        <v>119.01</v>
      </c>
      <c r="I110" s="51">
        <v>174.18</v>
      </c>
      <c r="J110" s="51">
        <v>113.78</v>
      </c>
      <c r="K110" s="51">
        <v>156.71</v>
      </c>
      <c r="L110" s="51">
        <v>230.87</v>
      </c>
      <c r="M110" s="51">
        <v>127.55</v>
      </c>
      <c r="N110" s="51">
        <v>391.02</v>
      </c>
      <c r="O110" s="51">
        <v>99.85</v>
      </c>
      <c r="P110" s="51"/>
      <c r="Q110" s="51">
        <v>64.91</v>
      </c>
      <c r="R110" s="51">
        <v>55.68</v>
      </c>
      <c r="S110" s="51">
        <v>116.48</v>
      </c>
      <c r="T110" s="51">
        <v>37.33</v>
      </c>
      <c r="U110" s="51"/>
    </row>
    <row r="111" spans="1:21" ht="15" customHeight="1" x14ac:dyDescent="0.2">
      <c r="A111" s="50">
        <v>45905</v>
      </c>
      <c r="B111" s="51">
        <v>348.97</v>
      </c>
      <c r="C111" s="51">
        <v>142.85</v>
      </c>
      <c r="D111" s="51">
        <v>781.7</v>
      </c>
      <c r="E111" s="51">
        <v>334.89</v>
      </c>
      <c r="F111" s="51">
        <v>104.41</v>
      </c>
      <c r="G111" s="51">
        <v>90.51</v>
      </c>
      <c r="H111" s="51">
        <v>131.37</v>
      </c>
      <c r="I111" s="51">
        <v>167.02</v>
      </c>
      <c r="J111" s="51">
        <v>113.65</v>
      </c>
      <c r="K111" s="51">
        <v>153.11000000000001</v>
      </c>
      <c r="L111" s="51">
        <v>243.41</v>
      </c>
      <c r="M111" s="51">
        <v>124</v>
      </c>
      <c r="N111" s="51">
        <v>396.12</v>
      </c>
      <c r="O111" s="51">
        <v>100.94</v>
      </c>
      <c r="P111" s="51"/>
      <c r="Q111" s="51">
        <v>65.56</v>
      </c>
      <c r="R111" s="51">
        <v>55.78</v>
      </c>
      <c r="S111" s="51">
        <v>117.05</v>
      </c>
      <c r="T111" s="51">
        <v>37.61</v>
      </c>
      <c r="U111" s="51"/>
    </row>
    <row r="112" spans="1:21" ht="15" customHeight="1" x14ac:dyDescent="0.2">
      <c r="A112" s="50">
        <v>45912</v>
      </c>
      <c r="B112" s="51">
        <v>349.36</v>
      </c>
      <c r="C112" s="51">
        <v>139.38999999999999</v>
      </c>
      <c r="D112" s="51">
        <v>813.87</v>
      </c>
      <c r="E112" s="51">
        <v>359.87</v>
      </c>
      <c r="F112" s="51">
        <v>109.03</v>
      </c>
      <c r="G112" s="51">
        <v>96.4</v>
      </c>
      <c r="H112" s="51">
        <v>157.22999999999999</v>
      </c>
      <c r="I112" s="51">
        <v>177.82</v>
      </c>
      <c r="J112" s="51">
        <v>115.35</v>
      </c>
      <c r="K112" s="51">
        <v>171.43</v>
      </c>
      <c r="L112" s="51">
        <v>259.33</v>
      </c>
      <c r="M112" s="51">
        <v>134.84</v>
      </c>
      <c r="N112" s="51">
        <v>394.53</v>
      </c>
      <c r="O112" s="51">
        <v>100.14</v>
      </c>
      <c r="P112" s="51"/>
      <c r="Q112" s="51">
        <v>65.599999999999994</v>
      </c>
      <c r="R112" s="51">
        <v>56.54</v>
      </c>
      <c r="S112" s="51">
        <v>120.48</v>
      </c>
      <c r="T112" s="51">
        <v>37.5</v>
      </c>
      <c r="U112" s="51"/>
    </row>
    <row r="113" spans="1:21" ht="15" customHeight="1" x14ac:dyDescent="0.2">
      <c r="A113" s="50">
        <v>45919</v>
      </c>
      <c r="B113" s="51">
        <v>365.9</v>
      </c>
      <c r="C113" s="51">
        <v>149.61000000000001</v>
      </c>
      <c r="D113" s="51">
        <v>932.15</v>
      </c>
      <c r="E113" s="51">
        <v>344.94</v>
      </c>
      <c r="F113" s="51">
        <v>125.64</v>
      </c>
      <c r="G113" s="51">
        <v>104.48</v>
      </c>
      <c r="H113" s="51">
        <v>162.72999999999999</v>
      </c>
      <c r="I113" s="51">
        <v>176.67</v>
      </c>
      <c r="J113" s="51">
        <v>113.51</v>
      </c>
      <c r="K113" s="51">
        <v>182.39</v>
      </c>
      <c r="L113" s="51">
        <v>264.87</v>
      </c>
      <c r="M113" s="51">
        <v>143.6</v>
      </c>
      <c r="N113" s="51">
        <v>383.12</v>
      </c>
      <c r="O113" s="51">
        <v>100.71</v>
      </c>
      <c r="P113" s="51"/>
      <c r="Q113" s="51">
        <v>65.27</v>
      </c>
      <c r="R113" s="51">
        <v>57.16</v>
      </c>
      <c r="S113" s="51">
        <v>121.93</v>
      </c>
      <c r="T113" s="51">
        <v>37.450000000000003</v>
      </c>
      <c r="U113" s="51"/>
    </row>
    <row r="114" spans="1:21" ht="15" customHeight="1" x14ac:dyDescent="0.2">
      <c r="A114" s="50">
        <v>45926</v>
      </c>
      <c r="B114" s="51">
        <v>360.37</v>
      </c>
      <c r="C114" s="51">
        <v>142.5</v>
      </c>
      <c r="D114" s="51">
        <v>951.52</v>
      </c>
      <c r="E114" s="51">
        <v>334.53</v>
      </c>
      <c r="F114" s="51">
        <v>120.36</v>
      </c>
      <c r="G114" s="51">
        <v>106.43</v>
      </c>
      <c r="H114" s="51">
        <v>157.27000000000001</v>
      </c>
      <c r="I114" s="51">
        <v>178.19</v>
      </c>
      <c r="J114" s="51">
        <v>114.19</v>
      </c>
      <c r="K114" s="51">
        <v>177.57</v>
      </c>
      <c r="L114" s="51">
        <v>273.36</v>
      </c>
      <c r="M114" s="51">
        <v>138.62</v>
      </c>
      <c r="N114" s="51">
        <v>385.74</v>
      </c>
      <c r="O114" s="51">
        <v>100.55</v>
      </c>
      <c r="P114" s="51"/>
      <c r="Q114" s="51">
        <v>65.37</v>
      </c>
      <c r="R114" s="51">
        <v>57.25</v>
      </c>
      <c r="S114" s="51">
        <v>120.58</v>
      </c>
      <c r="T114" s="51">
        <v>37.74</v>
      </c>
      <c r="U114" s="51"/>
    </row>
    <row r="115" spans="1:21" ht="15" customHeight="1" x14ac:dyDescent="0.2">
      <c r="A115" s="50">
        <v>45933</v>
      </c>
      <c r="B115" s="51">
        <v>346.74</v>
      </c>
      <c r="C115" s="51">
        <v>145.5</v>
      </c>
      <c r="D115" s="51">
        <v>1032.22</v>
      </c>
      <c r="E115" s="51">
        <v>338.37</v>
      </c>
      <c r="F115" s="51">
        <v>122.47</v>
      </c>
      <c r="G115" s="51">
        <v>110.16</v>
      </c>
      <c r="H115" s="51">
        <v>187.83</v>
      </c>
      <c r="I115" s="51">
        <v>187.62</v>
      </c>
      <c r="J115" s="51">
        <v>117.06</v>
      </c>
      <c r="K115" s="51">
        <v>173.07</v>
      </c>
      <c r="L115" s="51">
        <v>292.19</v>
      </c>
      <c r="M115" s="51">
        <v>160.19999999999999</v>
      </c>
      <c r="N115" s="51">
        <v>403.3</v>
      </c>
      <c r="O115" s="51">
        <v>100.66</v>
      </c>
      <c r="P115" s="51"/>
      <c r="Q115" s="51">
        <v>64.790000000000006</v>
      </c>
      <c r="R115" s="51">
        <v>57.28</v>
      </c>
      <c r="S115" s="51">
        <v>120.09</v>
      </c>
      <c r="T115" s="51">
        <v>37.869999999999997</v>
      </c>
      <c r="U115" s="51"/>
    </row>
    <row r="116" spans="1:21" ht="15" customHeight="1" x14ac:dyDescent="0.2">
      <c r="A116" s="50">
        <v>45940</v>
      </c>
      <c r="B116" s="51">
        <v>337.51</v>
      </c>
      <c r="C116" s="51">
        <v>154.1</v>
      </c>
      <c r="D116" s="51">
        <v>936.19</v>
      </c>
      <c r="E116" s="51">
        <v>324.63</v>
      </c>
      <c r="F116" s="51">
        <v>123.42</v>
      </c>
      <c r="G116" s="51">
        <v>98.28</v>
      </c>
      <c r="H116" s="51">
        <v>181.6</v>
      </c>
      <c r="I116" s="51">
        <v>183.16</v>
      </c>
      <c r="J116" s="51">
        <v>111.23</v>
      </c>
      <c r="K116" s="51">
        <v>175.44</v>
      </c>
      <c r="L116" s="51">
        <v>280.66000000000003</v>
      </c>
      <c r="M116" s="51">
        <v>169.01</v>
      </c>
      <c r="N116" s="51">
        <v>407.79</v>
      </c>
      <c r="O116" s="51">
        <v>95.19</v>
      </c>
      <c r="P116" s="51"/>
      <c r="Q116" s="51">
        <v>66.2</v>
      </c>
      <c r="R116" s="51">
        <v>56.33</v>
      </c>
      <c r="S116" s="51">
        <v>118.5</v>
      </c>
      <c r="T116" s="51">
        <v>36.58</v>
      </c>
      <c r="U116" s="51"/>
    </row>
    <row r="117" spans="1:21" ht="15" customHeight="1" x14ac:dyDescent="0.2">
      <c r="A117" s="50">
        <v>45947</v>
      </c>
      <c r="B117" s="51">
        <v>333.26</v>
      </c>
      <c r="C117" s="51">
        <v>143.1</v>
      </c>
      <c r="D117" s="51">
        <v>1029.27</v>
      </c>
      <c r="E117" s="51">
        <v>349.33</v>
      </c>
      <c r="F117" s="51">
        <v>121.16</v>
      </c>
      <c r="G117" s="51">
        <v>110.67</v>
      </c>
      <c r="H117" s="51">
        <v>202.38</v>
      </c>
      <c r="I117" s="51">
        <v>183.22</v>
      </c>
      <c r="J117" s="51">
        <v>124.08</v>
      </c>
      <c r="K117" s="51">
        <v>178.15</v>
      </c>
      <c r="L117" s="51">
        <v>295.08</v>
      </c>
      <c r="M117" s="51">
        <v>174</v>
      </c>
      <c r="N117" s="51">
        <v>416.81</v>
      </c>
      <c r="O117" s="51">
        <v>97.06</v>
      </c>
      <c r="P117" s="51"/>
      <c r="Q117" s="51">
        <v>66.349999999999994</v>
      </c>
      <c r="R117" s="51">
        <v>57.48</v>
      </c>
      <c r="S117" s="51">
        <v>120.42</v>
      </c>
      <c r="T117" s="51">
        <v>37.090000000000003</v>
      </c>
      <c r="U117" s="51"/>
    </row>
    <row r="118" spans="1:21" ht="15" customHeight="1" x14ac:dyDescent="0.2">
      <c r="A118" s="50">
        <v>45954</v>
      </c>
      <c r="B118" s="51">
        <v>353.52</v>
      </c>
      <c r="C118" s="51">
        <v>153.82</v>
      </c>
      <c r="D118" s="51">
        <v>1033.0999999999999</v>
      </c>
      <c r="E118" s="51">
        <v>354.13</v>
      </c>
      <c r="F118" s="51">
        <v>131.83000000000001</v>
      </c>
      <c r="G118" s="51">
        <v>118.28</v>
      </c>
      <c r="H118" s="51">
        <v>219.02</v>
      </c>
      <c r="I118" s="51">
        <v>186.26</v>
      </c>
      <c r="J118" s="51">
        <v>126.43</v>
      </c>
      <c r="K118" s="51">
        <v>184.63</v>
      </c>
      <c r="L118" s="51">
        <v>294.95999999999998</v>
      </c>
      <c r="M118" s="51">
        <v>186.06</v>
      </c>
      <c r="N118" s="51">
        <v>421.39</v>
      </c>
      <c r="O118" s="51">
        <v>99.91</v>
      </c>
      <c r="P118" s="51"/>
      <c r="Q118" s="51">
        <v>66.27</v>
      </c>
      <c r="R118" s="51">
        <v>58.55</v>
      </c>
      <c r="S118" s="51">
        <v>121.71</v>
      </c>
      <c r="T118" s="51">
        <v>38.06</v>
      </c>
      <c r="U118" s="51"/>
    </row>
    <row r="119" spans="1:21" ht="15" customHeight="1" x14ac:dyDescent="0.2">
      <c r="A119" s="50">
        <v>45961</v>
      </c>
      <c r="B119" s="51">
        <v>340.31</v>
      </c>
      <c r="C119" s="51">
        <v>157.69</v>
      </c>
      <c r="D119" s="51">
        <v>1059.23</v>
      </c>
      <c r="E119" s="51">
        <v>369.63</v>
      </c>
      <c r="F119" s="51">
        <v>135.75</v>
      </c>
      <c r="G119" s="51">
        <v>120.87</v>
      </c>
      <c r="H119" s="51">
        <v>223.77</v>
      </c>
      <c r="I119" s="51">
        <v>202.49</v>
      </c>
      <c r="J119" s="51">
        <v>124.09</v>
      </c>
      <c r="K119" s="51">
        <v>200.47</v>
      </c>
      <c r="L119" s="51">
        <v>300.43</v>
      </c>
      <c r="M119" s="51">
        <v>192.86</v>
      </c>
      <c r="N119" s="51">
        <v>425.57</v>
      </c>
      <c r="O119" s="51">
        <v>97.8</v>
      </c>
      <c r="P119" s="51"/>
      <c r="Q119" s="51">
        <v>66.290000000000006</v>
      </c>
      <c r="R119" s="51">
        <v>59.1</v>
      </c>
      <c r="S119" s="51">
        <v>121.7</v>
      </c>
      <c r="T119" s="51">
        <v>37.82</v>
      </c>
      <c r="U119" s="51"/>
    </row>
    <row r="120" spans="1:21" ht="15" customHeight="1" x14ac:dyDescent="0.2">
      <c r="A120" s="50">
        <v>45968</v>
      </c>
      <c r="B120" s="51">
        <v>326.95</v>
      </c>
      <c r="C120" s="51">
        <v>134.65</v>
      </c>
      <c r="D120" s="51">
        <v>1016.96</v>
      </c>
      <c r="E120" s="51">
        <v>349.43</v>
      </c>
      <c r="F120" s="51">
        <v>134.94999999999999</v>
      </c>
      <c r="G120" s="51">
        <v>119.34</v>
      </c>
      <c r="H120" s="51">
        <v>237.92</v>
      </c>
      <c r="I120" s="51">
        <v>188.15</v>
      </c>
      <c r="J120" s="51">
        <v>125.6</v>
      </c>
      <c r="K120" s="51">
        <v>177.93</v>
      </c>
      <c r="L120" s="51">
        <v>286.5</v>
      </c>
      <c r="M120" s="51">
        <v>179.8</v>
      </c>
      <c r="N120" s="51">
        <v>409.47</v>
      </c>
      <c r="O120" s="51">
        <v>97.74</v>
      </c>
      <c r="P120" s="51"/>
      <c r="Q120" s="51">
        <v>67</v>
      </c>
      <c r="R120" s="51">
        <v>57.71</v>
      </c>
      <c r="S120" s="51">
        <v>118.53</v>
      </c>
      <c r="T120" s="51">
        <v>37.880000000000003</v>
      </c>
      <c r="U120" s="51"/>
    </row>
    <row r="121" spans="1:21" ht="15" customHeight="1" x14ac:dyDescent="0.2">
      <c r="A121" s="50">
        <v>45975</v>
      </c>
      <c r="B121" s="51">
        <v>331.11</v>
      </c>
      <c r="C121" s="51">
        <v>131.37</v>
      </c>
      <c r="D121" s="51">
        <v>1006.98</v>
      </c>
      <c r="E121" s="51">
        <v>342.46</v>
      </c>
      <c r="F121" s="51">
        <v>134.38999999999999</v>
      </c>
      <c r="G121" s="51">
        <v>113.43</v>
      </c>
      <c r="H121" s="51">
        <v>246.83</v>
      </c>
      <c r="I121" s="51">
        <v>190.17</v>
      </c>
      <c r="J121" s="51">
        <v>122.83</v>
      </c>
      <c r="K121" s="51">
        <v>174.01</v>
      </c>
      <c r="L121" s="51">
        <v>284.82</v>
      </c>
      <c r="M121" s="51">
        <v>170.97</v>
      </c>
      <c r="N121" s="51">
        <v>437.15</v>
      </c>
      <c r="O121" s="51">
        <v>97.59</v>
      </c>
      <c r="P121" s="51"/>
      <c r="Q121" s="51">
        <v>66.44</v>
      </c>
      <c r="R121" s="51">
        <v>57.82</v>
      </c>
      <c r="S121" s="51">
        <v>117.83</v>
      </c>
      <c r="T121" s="51">
        <v>38.299999999999997</v>
      </c>
      <c r="U121" s="51"/>
    </row>
    <row r="122" spans="1:21" ht="15" customHeight="1" x14ac:dyDescent="0.2">
      <c r="A122" s="50">
        <v>45982</v>
      </c>
      <c r="B122" s="51">
        <v>324.19</v>
      </c>
      <c r="C122" s="51">
        <v>117.43</v>
      </c>
      <c r="D122" s="51">
        <v>966.57</v>
      </c>
      <c r="E122" s="51">
        <v>340.2</v>
      </c>
      <c r="F122" s="51">
        <v>122.67</v>
      </c>
      <c r="G122" s="51">
        <v>109.71</v>
      </c>
      <c r="H122" s="51">
        <v>207.37</v>
      </c>
      <c r="I122" s="51">
        <v>178.88</v>
      </c>
      <c r="J122" s="51">
        <v>125.79</v>
      </c>
      <c r="K122" s="51">
        <v>154.85</v>
      </c>
      <c r="L122" s="51">
        <v>275.06</v>
      </c>
      <c r="M122" s="51">
        <v>159.83000000000001</v>
      </c>
      <c r="N122" s="51">
        <v>426.76</v>
      </c>
      <c r="O122" s="51">
        <v>96.83</v>
      </c>
      <c r="P122" s="51"/>
      <c r="Q122" s="51">
        <v>67.05</v>
      </c>
      <c r="R122" s="51">
        <v>56.24</v>
      </c>
      <c r="S122" s="51">
        <v>114.3</v>
      </c>
      <c r="T122" s="51">
        <v>37.53</v>
      </c>
      <c r="U122" s="51"/>
    </row>
    <row r="123" spans="1:21" ht="15" customHeight="1" x14ac:dyDescent="0.2">
      <c r="A123" s="50">
        <v>45989</v>
      </c>
      <c r="B123" s="51">
        <v>320.13</v>
      </c>
      <c r="C123" s="51">
        <v>130.68</v>
      </c>
      <c r="D123" s="51">
        <v>1060</v>
      </c>
      <c r="E123" s="51">
        <v>402.96</v>
      </c>
      <c r="F123" s="51">
        <v>127.29</v>
      </c>
      <c r="G123" s="51">
        <v>117.55</v>
      </c>
      <c r="H123" s="51">
        <v>236.48</v>
      </c>
      <c r="I123" s="51">
        <v>177</v>
      </c>
      <c r="J123" s="51">
        <v>128.53</v>
      </c>
      <c r="K123" s="51">
        <v>168.45</v>
      </c>
      <c r="L123" s="51">
        <v>291.51</v>
      </c>
      <c r="M123" s="51">
        <v>179.73</v>
      </c>
      <c r="N123" s="51">
        <v>433.61</v>
      </c>
      <c r="O123" s="51">
        <v>101.13</v>
      </c>
      <c r="P123" s="51"/>
      <c r="Q123" s="51">
        <v>66.739999999999995</v>
      </c>
      <c r="R123" s="51">
        <v>58.81</v>
      </c>
      <c r="S123" s="51">
        <v>120.12</v>
      </c>
      <c r="T123" s="51">
        <v>38.82</v>
      </c>
      <c r="U123" s="51"/>
    </row>
    <row r="124" spans="1:21" ht="15" customHeight="1" x14ac:dyDescent="0.2">
      <c r="A124" s="50">
        <v>45996</v>
      </c>
      <c r="B124" s="51">
        <v>346.26</v>
      </c>
      <c r="C124" s="51">
        <v>128.59</v>
      </c>
      <c r="D124" s="51">
        <v>1099.47</v>
      </c>
      <c r="E124" s="51">
        <v>390.24</v>
      </c>
      <c r="F124" s="51">
        <v>128.01</v>
      </c>
      <c r="G124" s="51">
        <v>121.45</v>
      </c>
      <c r="H124" s="51">
        <v>237.22</v>
      </c>
      <c r="I124" s="51">
        <v>182.41</v>
      </c>
      <c r="J124" s="51">
        <v>127.98</v>
      </c>
      <c r="K124" s="51">
        <v>181.76</v>
      </c>
      <c r="L124" s="51">
        <v>294.72000000000003</v>
      </c>
      <c r="M124" s="51">
        <v>189.02</v>
      </c>
      <c r="N124" s="51">
        <v>455.48</v>
      </c>
      <c r="O124" s="51">
        <v>102.9</v>
      </c>
      <c r="P124" s="51"/>
      <c r="Q124" s="51">
        <v>66.72</v>
      </c>
      <c r="R124" s="51">
        <v>58.82</v>
      </c>
      <c r="S124" s="51">
        <v>120.85</v>
      </c>
      <c r="T124" s="51">
        <v>39.42</v>
      </c>
      <c r="U124" s="51"/>
    </row>
    <row r="125" spans="1:21" ht="15" customHeight="1" x14ac:dyDescent="0.2">
      <c r="A125" s="50">
        <v>46003</v>
      </c>
      <c r="B125" s="51">
        <v>356.43</v>
      </c>
      <c r="C125" s="51">
        <v>124.76</v>
      </c>
      <c r="D125" s="51">
        <v>1080.8499999999999</v>
      </c>
      <c r="E125" s="51">
        <v>359.93</v>
      </c>
      <c r="F125" s="51">
        <v>126.2</v>
      </c>
      <c r="G125" s="51">
        <v>119.39</v>
      </c>
      <c r="H125" s="51">
        <v>241.14</v>
      </c>
      <c r="I125" s="51">
        <v>175.02</v>
      </c>
      <c r="J125" s="51">
        <v>130.18</v>
      </c>
      <c r="K125" s="51">
        <v>183.57</v>
      </c>
      <c r="L125" s="51">
        <v>292.04000000000002</v>
      </c>
      <c r="M125" s="51">
        <v>161.27000000000001</v>
      </c>
      <c r="N125" s="51">
        <v>452.04</v>
      </c>
      <c r="O125" s="51">
        <v>105.11</v>
      </c>
      <c r="P125" s="51"/>
      <c r="Q125" s="51">
        <v>66.97</v>
      </c>
      <c r="R125" s="51">
        <v>58.18</v>
      </c>
      <c r="S125" s="51">
        <v>119.1</v>
      </c>
      <c r="T125" s="51">
        <v>39.700000000000003</v>
      </c>
      <c r="U125" s="51"/>
    </row>
    <row r="126" spans="1:21" ht="15" customHeight="1" x14ac:dyDescent="0.2">
      <c r="A126" s="50">
        <v>46010</v>
      </c>
      <c r="B126" s="51">
        <v>355.86</v>
      </c>
      <c r="C126" s="51">
        <v>131.12</v>
      </c>
      <c r="D126" s="51">
        <v>1056.02</v>
      </c>
      <c r="E126" s="51">
        <v>340.36</v>
      </c>
      <c r="F126" s="51">
        <v>120.32</v>
      </c>
      <c r="G126" s="51">
        <v>124.57</v>
      </c>
      <c r="H126" s="51">
        <v>265.92</v>
      </c>
      <c r="I126" s="51">
        <v>180.99</v>
      </c>
      <c r="J126" s="51">
        <v>127.23</v>
      </c>
      <c r="K126" s="51">
        <v>193.38</v>
      </c>
      <c r="L126" s="51">
        <v>288.95</v>
      </c>
      <c r="M126" s="51">
        <v>159.82</v>
      </c>
      <c r="N126" s="51">
        <v>456.2</v>
      </c>
      <c r="O126" s="51">
        <v>103.78</v>
      </c>
      <c r="P126" s="51"/>
      <c r="Q126" s="51">
        <v>67.16</v>
      </c>
      <c r="R126" s="51">
        <v>58.62</v>
      </c>
      <c r="S126" s="51">
        <v>119.53</v>
      </c>
      <c r="T126" s="51">
        <v>39.53</v>
      </c>
      <c r="U126" s="51"/>
    </row>
    <row r="127" spans="1:21" ht="15" customHeight="1" x14ac:dyDescent="0.2">
      <c r="A127" s="50">
        <v>46017</v>
      </c>
      <c r="B127" s="51">
        <v>353.8</v>
      </c>
      <c r="C127" s="51">
        <v>131.84</v>
      </c>
      <c r="D127" s="51">
        <v>1072.75</v>
      </c>
      <c r="E127" s="51">
        <v>352.13</v>
      </c>
      <c r="F127" s="51">
        <v>120.3</v>
      </c>
      <c r="G127" s="51">
        <v>127.96</v>
      </c>
      <c r="H127" s="51">
        <v>284.79000000000002</v>
      </c>
      <c r="I127" s="51">
        <v>190.53</v>
      </c>
      <c r="J127" s="51">
        <v>128.71</v>
      </c>
      <c r="K127" s="51">
        <v>188.71</v>
      </c>
      <c r="L127" s="51">
        <v>302.83999999999997</v>
      </c>
      <c r="M127" s="51">
        <v>167.58</v>
      </c>
      <c r="N127" s="51">
        <v>462.9</v>
      </c>
      <c r="O127" s="51">
        <v>103.69</v>
      </c>
      <c r="P127" s="51"/>
      <c r="Q127" s="51">
        <v>66.569999999999993</v>
      </c>
      <c r="R127" s="51">
        <v>59.34</v>
      </c>
      <c r="S127" s="51">
        <v>121.38</v>
      </c>
      <c r="T127" s="51">
        <v>39.79</v>
      </c>
      <c r="U127" s="51"/>
    </row>
    <row r="128" spans="1:21" ht="15" customHeight="1" x14ac:dyDescent="0.2">
      <c r="A128" s="50">
        <v>46024</v>
      </c>
      <c r="B128" s="51">
        <v>333.3</v>
      </c>
      <c r="C128" s="51">
        <v>133.6</v>
      </c>
      <c r="D128" s="51">
        <v>1163.78</v>
      </c>
      <c r="E128" s="51">
        <v>347.62</v>
      </c>
      <c r="F128" s="51">
        <v>113.4</v>
      </c>
      <c r="G128" s="51">
        <v>127.45</v>
      </c>
      <c r="H128" s="51">
        <v>315.42</v>
      </c>
      <c r="I128" s="51">
        <v>188.85</v>
      </c>
      <c r="J128" s="51">
        <v>129.05000000000001</v>
      </c>
      <c r="K128" s="51">
        <v>167.86</v>
      </c>
      <c r="L128" s="51">
        <v>319.61</v>
      </c>
      <c r="M128" s="51">
        <v>175.61</v>
      </c>
      <c r="N128" s="51">
        <v>452.13</v>
      </c>
      <c r="O128" s="51">
        <v>103.12</v>
      </c>
      <c r="P128" s="51"/>
      <c r="Q128" s="51">
        <v>67.03</v>
      </c>
      <c r="R128" s="51">
        <v>58.09</v>
      </c>
      <c r="S128" s="51">
        <v>119.67</v>
      </c>
      <c r="T128" s="51">
        <v>39.42</v>
      </c>
      <c r="U128" s="51"/>
    </row>
    <row r="129" spans="1:21" ht="15" customHeight="1" x14ac:dyDescent="0.2">
      <c r="A129" s="50">
        <v>46031</v>
      </c>
      <c r="B129" s="51">
        <v>333.95</v>
      </c>
      <c r="C129" s="51">
        <v>122.89</v>
      </c>
      <c r="D129" s="51">
        <v>1273.8800000000001</v>
      </c>
      <c r="E129" s="51">
        <v>344.97</v>
      </c>
      <c r="F129" s="51">
        <v>117.65</v>
      </c>
      <c r="G129" s="51">
        <v>140</v>
      </c>
      <c r="H129" s="51">
        <v>345.09</v>
      </c>
      <c r="I129" s="51">
        <v>184.86</v>
      </c>
      <c r="J129" s="51">
        <v>129.4</v>
      </c>
      <c r="K129" s="51">
        <v>177.49</v>
      </c>
      <c r="L129" s="51">
        <v>323.63</v>
      </c>
      <c r="M129" s="51">
        <v>163.58000000000001</v>
      </c>
      <c r="N129" s="51">
        <v>463.86</v>
      </c>
      <c r="O129" s="51">
        <v>107.33</v>
      </c>
      <c r="P129" s="51"/>
      <c r="Q129" s="51">
        <v>66.64</v>
      </c>
      <c r="R129" s="51">
        <v>59.16</v>
      </c>
      <c r="S129" s="51">
        <v>120.03</v>
      </c>
      <c r="T129" s="51">
        <v>40.43</v>
      </c>
      <c r="U129" s="51"/>
    </row>
    <row r="130" spans="1:21" ht="15" customHeight="1" x14ac:dyDescent="0.2">
      <c r="A130" s="50">
        <v>46038</v>
      </c>
      <c r="B130" s="51">
        <v>296.12</v>
      </c>
      <c r="C130" s="51">
        <v>129.83000000000001</v>
      </c>
      <c r="D130" s="51">
        <v>1358.57</v>
      </c>
      <c r="E130" s="51">
        <v>351.71</v>
      </c>
      <c r="F130" s="51">
        <v>113.47</v>
      </c>
      <c r="G130" s="51">
        <v>156.78</v>
      </c>
      <c r="H130" s="51">
        <v>362.75</v>
      </c>
      <c r="I130" s="51">
        <v>186.23</v>
      </c>
      <c r="J130" s="51">
        <v>133.21</v>
      </c>
      <c r="K130" s="51">
        <v>170.96</v>
      </c>
      <c r="L130" s="51">
        <v>342.4</v>
      </c>
      <c r="M130" s="51">
        <v>176.93</v>
      </c>
      <c r="N130" s="51">
        <v>441.36</v>
      </c>
      <c r="O130" s="51">
        <v>108.51</v>
      </c>
      <c r="P130" s="51"/>
      <c r="Q130" s="51">
        <v>65.89</v>
      </c>
      <c r="R130" s="51">
        <v>58.92</v>
      </c>
      <c r="S130" s="51">
        <v>120</v>
      </c>
      <c r="T130" s="51">
        <v>39.61</v>
      </c>
      <c r="U130" s="51"/>
    </row>
    <row r="131" spans="1:21" ht="15" customHeight="1" x14ac:dyDescent="0.2">
      <c r="A131" s="50">
        <v>46045</v>
      </c>
      <c r="B131" s="51">
        <v>301.07</v>
      </c>
      <c r="C131" s="51">
        <v>136.34</v>
      </c>
      <c r="D131" s="51">
        <v>1389.04</v>
      </c>
      <c r="E131" s="51">
        <v>320.05</v>
      </c>
      <c r="F131" s="51">
        <v>113.12</v>
      </c>
      <c r="G131" s="51">
        <v>151.28</v>
      </c>
      <c r="H131" s="51">
        <v>399.65</v>
      </c>
      <c r="I131" s="51">
        <v>187.67</v>
      </c>
      <c r="J131" s="51">
        <v>127.15</v>
      </c>
      <c r="K131" s="51">
        <v>169.6</v>
      </c>
      <c r="L131" s="51">
        <v>334.87</v>
      </c>
      <c r="M131" s="51">
        <v>182.49</v>
      </c>
      <c r="N131" s="51">
        <v>468.41</v>
      </c>
      <c r="O131" s="51">
        <v>108.49</v>
      </c>
      <c r="P131" s="51"/>
      <c r="Q131" s="51">
        <v>65.010000000000005</v>
      </c>
      <c r="R131" s="51">
        <v>59.22</v>
      </c>
      <c r="S131" s="51">
        <v>117.92</v>
      </c>
      <c r="T131" s="51">
        <v>39.86</v>
      </c>
      <c r="U131" s="51"/>
    </row>
    <row r="132" spans="1:21" ht="15" customHeight="1" x14ac:dyDescent="0.2">
      <c r="A132" s="50">
        <v>46052</v>
      </c>
      <c r="B132" s="51">
        <v>293.25</v>
      </c>
      <c r="C132" s="51">
        <v>141.74</v>
      </c>
      <c r="D132" s="51">
        <v>1423</v>
      </c>
      <c r="E132" s="51">
        <v>331.3</v>
      </c>
      <c r="F132" s="51">
        <v>110.35</v>
      </c>
      <c r="G132" s="51">
        <v>142.79</v>
      </c>
      <c r="H132" s="51">
        <v>414.88</v>
      </c>
      <c r="I132" s="51">
        <v>191.13</v>
      </c>
      <c r="J132" s="51">
        <v>130.56</v>
      </c>
      <c r="K132" s="51">
        <v>146.59</v>
      </c>
      <c r="L132" s="51">
        <v>330.56</v>
      </c>
      <c r="M132" s="51">
        <v>186.18</v>
      </c>
      <c r="N132" s="51">
        <v>469.9</v>
      </c>
      <c r="O132" s="51">
        <v>109.27</v>
      </c>
      <c r="P132" s="51"/>
      <c r="Q132" s="51">
        <v>64.28</v>
      </c>
      <c r="R132" s="51">
        <v>59.43</v>
      </c>
      <c r="S132" s="51">
        <v>119.87</v>
      </c>
      <c r="T132" s="51">
        <v>39.47</v>
      </c>
      <c r="U132" s="51"/>
    </row>
    <row r="133" spans="1:21" ht="15" customHeight="1" x14ac:dyDescent="0.2">
      <c r="A133" s="50">
        <v>46059</v>
      </c>
      <c r="B133" s="51">
        <v>268.38</v>
      </c>
      <c r="C133" s="51">
        <v>137.49</v>
      </c>
      <c r="D133" s="51">
        <v>1413.01</v>
      </c>
      <c r="E133" s="51">
        <v>332.92</v>
      </c>
      <c r="F133" s="51">
        <v>98.88</v>
      </c>
      <c r="G133" s="51">
        <v>144.29</v>
      </c>
      <c r="H133" s="51">
        <v>394.69</v>
      </c>
      <c r="I133" s="51">
        <v>185.41</v>
      </c>
      <c r="J133" s="51">
        <v>136.94999999999999</v>
      </c>
      <c r="K133" s="51">
        <v>135.9</v>
      </c>
      <c r="L133" s="51">
        <v>348.85</v>
      </c>
      <c r="M133" s="51">
        <v>195.58</v>
      </c>
      <c r="N133" s="51">
        <v>477.92</v>
      </c>
      <c r="O133" s="51">
        <v>115.19</v>
      </c>
      <c r="P133" s="51"/>
      <c r="Q133" s="51">
        <v>63.39</v>
      </c>
      <c r="R133" s="51">
        <v>58.05</v>
      </c>
      <c r="S133" s="51">
        <v>119.84</v>
      </c>
      <c r="T133" s="51">
        <v>40.43</v>
      </c>
      <c r="U133" s="51"/>
    </row>
    <row r="134" spans="1:21" ht="15" customHeight="1" x14ac:dyDescent="0.2">
      <c r="A134" s="50">
        <v>46066</v>
      </c>
      <c r="B134" s="51">
        <v>263.97000000000003</v>
      </c>
      <c r="C134" s="51">
        <v>141.59</v>
      </c>
      <c r="D134" s="51">
        <v>1406.61</v>
      </c>
      <c r="E134" s="51">
        <v>325.17</v>
      </c>
      <c r="F134" s="51">
        <v>107.41</v>
      </c>
      <c r="G134" s="51">
        <v>146.41</v>
      </c>
      <c r="H134" s="51">
        <v>411.66</v>
      </c>
      <c r="I134" s="51">
        <v>182.81</v>
      </c>
      <c r="J134" s="51">
        <v>138.97</v>
      </c>
      <c r="K134" s="51">
        <v>131.41</v>
      </c>
      <c r="L134" s="51">
        <v>366.36</v>
      </c>
      <c r="M134" s="51">
        <v>234.53</v>
      </c>
      <c r="N134" s="51">
        <v>491.47</v>
      </c>
      <c r="O134" s="51">
        <v>114.9</v>
      </c>
      <c r="P134" s="51"/>
      <c r="Q134" s="51">
        <v>64.13</v>
      </c>
      <c r="R134" s="51">
        <v>57.51</v>
      </c>
      <c r="S134" s="51">
        <v>118.25</v>
      </c>
      <c r="T134" s="51">
        <v>40.26</v>
      </c>
      <c r="U134" s="51"/>
    </row>
    <row r="135" spans="1:21" ht="15" customHeight="1" x14ac:dyDescent="0.2">
      <c r="A135" s="50">
        <v>46073</v>
      </c>
      <c r="B135" s="51">
        <v>258.61</v>
      </c>
      <c r="C135" s="51">
        <v>132.79</v>
      </c>
      <c r="D135" s="51">
        <v>1469.59</v>
      </c>
      <c r="E135" s="51">
        <v>332.65</v>
      </c>
      <c r="F135" s="51">
        <v>97.15</v>
      </c>
      <c r="G135" s="51">
        <v>149.6</v>
      </c>
      <c r="H135" s="51">
        <v>428.17</v>
      </c>
      <c r="I135" s="51">
        <v>189.82</v>
      </c>
      <c r="J135" s="51">
        <v>141.51</v>
      </c>
      <c r="K135" s="51">
        <v>135.24</v>
      </c>
      <c r="L135" s="51">
        <v>370.54</v>
      </c>
      <c r="M135" s="51">
        <v>243.75</v>
      </c>
      <c r="N135" s="51">
        <v>476.9</v>
      </c>
      <c r="O135" s="51">
        <v>115.54</v>
      </c>
      <c r="P135" s="51"/>
      <c r="Q135" s="51">
        <v>65.44</v>
      </c>
      <c r="R135" s="51">
        <v>58.15</v>
      </c>
      <c r="S135" s="51">
        <v>119.96</v>
      </c>
      <c r="T135" s="51">
        <v>40.340000000000003</v>
      </c>
      <c r="U135" s="51"/>
    </row>
    <row r="136" spans="1:21" ht="15" customHeight="1" x14ac:dyDescent="0.2">
      <c r="A136" s="50">
        <v>46080</v>
      </c>
      <c r="B136" s="51">
        <v>262.41000000000003</v>
      </c>
      <c r="C136" s="51">
        <v>133.5</v>
      </c>
      <c r="D136" s="51">
        <v>1450.56</v>
      </c>
      <c r="E136" s="51">
        <v>319.55</v>
      </c>
      <c r="F136" s="51">
        <v>93</v>
      </c>
      <c r="G136" s="51">
        <v>152.46</v>
      </c>
      <c r="H136" s="51">
        <v>412.37</v>
      </c>
      <c r="I136" s="51">
        <v>177.19</v>
      </c>
      <c r="J136" s="51">
        <v>142.57</v>
      </c>
      <c r="K136" s="51">
        <v>137.19</v>
      </c>
      <c r="L136" s="51">
        <v>374.58</v>
      </c>
      <c r="M136" s="51">
        <v>254.89</v>
      </c>
      <c r="N136" s="51">
        <v>496.83</v>
      </c>
      <c r="O136" s="51">
        <v>112.98</v>
      </c>
      <c r="P136" s="51"/>
      <c r="Q136" s="51">
        <v>67.12</v>
      </c>
      <c r="R136" s="51">
        <v>58.04</v>
      </c>
      <c r="S136" s="51">
        <v>119.47</v>
      </c>
      <c r="T136" s="51">
        <v>40.479999999999997</v>
      </c>
      <c r="U136" s="51"/>
    </row>
    <row r="137" spans="1:21" ht="15" customHeight="1" x14ac:dyDescent="0.2">
      <c r="A137" s="50">
        <v>46087</v>
      </c>
      <c r="B137" s="51">
        <v>283.62</v>
      </c>
      <c r="C137" s="51">
        <v>132.88999999999999</v>
      </c>
      <c r="D137" s="51">
        <v>1292.8</v>
      </c>
      <c r="E137" s="51">
        <v>330.48</v>
      </c>
      <c r="F137" s="51">
        <v>107.25</v>
      </c>
      <c r="G137" s="51">
        <v>134.46</v>
      </c>
      <c r="H137" s="51">
        <v>370.3</v>
      </c>
      <c r="I137" s="51">
        <v>177.82</v>
      </c>
      <c r="J137" s="51">
        <v>134.54</v>
      </c>
      <c r="K137" s="51">
        <v>157.16</v>
      </c>
      <c r="L137" s="51">
        <v>338.89</v>
      </c>
      <c r="M137" s="51">
        <v>241.78</v>
      </c>
      <c r="N137" s="51">
        <v>456.69</v>
      </c>
      <c r="O137" s="51">
        <v>108.65</v>
      </c>
      <c r="P137" s="51"/>
      <c r="Q137" s="51">
        <v>67.27</v>
      </c>
      <c r="R137" s="51">
        <v>56.85</v>
      </c>
      <c r="S137" s="51">
        <v>118.24</v>
      </c>
      <c r="T137" s="51">
        <v>40.11</v>
      </c>
      <c r="U137" s="51"/>
    </row>
    <row r="138" spans="1:21" ht="15" customHeight="1" x14ac:dyDescent="0.2">
      <c r="A138" s="50">
        <v>46094</v>
      </c>
      <c r="B138" s="51">
        <v>249.32</v>
      </c>
      <c r="C138" s="51">
        <v>133.57</v>
      </c>
      <c r="D138" s="51">
        <v>1345.69</v>
      </c>
      <c r="E138" s="51">
        <v>322.16000000000003</v>
      </c>
      <c r="F138" s="51">
        <v>110.45</v>
      </c>
      <c r="G138" s="51">
        <v>141.86000000000001</v>
      </c>
      <c r="H138" s="51">
        <v>426.13</v>
      </c>
      <c r="I138" s="51">
        <v>180.25</v>
      </c>
      <c r="J138" s="51">
        <v>131.75</v>
      </c>
      <c r="K138" s="51">
        <v>150.94999999999999</v>
      </c>
      <c r="L138" s="51">
        <v>338.31</v>
      </c>
      <c r="M138" s="51">
        <v>258.88</v>
      </c>
      <c r="N138" s="51">
        <v>469.34</v>
      </c>
      <c r="O138" s="51">
        <v>106.29</v>
      </c>
      <c r="P138" s="51"/>
      <c r="Q138" s="51">
        <v>67.540000000000006</v>
      </c>
      <c r="R138" s="51">
        <v>56.56</v>
      </c>
      <c r="S138" s="51">
        <v>116.18</v>
      </c>
      <c r="T138" s="51">
        <v>39.200000000000003</v>
      </c>
      <c r="U138" s="51"/>
    </row>
    <row r="139" spans="1:21" ht="15" customHeight="1" x14ac:dyDescent="0.2">
      <c r="A139" s="50">
        <v>46101</v>
      </c>
      <c r="B139" s="51">
        <v>248.15</v>
      </c>
      <c r="C139" s="51">
        <v>131.22</v>
      </c>
      <c r="D139" s="51">
        <v>1317.25</v>
      </c>
      <c r="E139" s="51">
        <v>310.51</v>
      </c>
      <c r="F139" s="51">
        <v>102.25</v>
      </c>
      <c r="G139" s="51">
        <v>149.87</v>
      </c>
      <c r="H139" s="51">
        <v>422.9</v>
      </c>
      <c r="I139" s="51">
        <v>172.7</v>
      </c>
      <c r="J139" s="51">
        <v>128.01</v>
      </c>
      <c r="K139" s="51">
        <v>150.68</v>
      </c>
      <c r="L139" s="51">
        <v>329.24</v>
      </c>
      <c r="M139" s="51">
        <v>255.88</v>
      </c>
      <c r="N139" s="51">
        <v>454</v>
      </c>
      <c r="O139" s="51">
        <v>106.08</v>
      </c>
      <c r="P139" s="51"/>
      <c r="Q139" s="51">
        <v>67.680000000000007</v>
      </c>
      <c r="R139" s="51">
        <v>55.76</v>
      </c>
      <c r="S139" s="51">
        <v>113.78</v>
      </c>
      <c r="T139" s="51">
        <v>39.24</v>
      </c>
      <c r="U139" s="51"/>
    </row>
    <row r="140" spans="1:21" ht="15" customHeight="1" x14ac:dyDescent="0.2">
      <c r="A140" s="50">
        <v>46108</v>
      </c>
      <c r="B140" s="51">
        <v>234.84</v>
      </c>
      <c r="C140" s="51">
        <v>120.77</v>
      </c>
      <c r="D140" s="51">
        <v>1302.47</v>
      </c>
      <c r="E140" s="51">
        <v>300.68</v>
      </c>
      <c r="F140" s="51">
        <v>92.4</v>
      </c>
      <c r="G140" s="51">
        <v>144.32</v>
      </c>
      <c r="H140" s="51">
        <v>357.22</v>
      </c>
      <c r="I140" s="51">
        <v>167.52</v>
      </c>
      <c r="J140" s="51">
        <v>128.9</v>
      </c>
      <c r="K140" s="51">
        <v>143.06</v>
      </c>
      <c r="L140" s="51">
        <v>326.74</v>
      </c>
      <c r="M140" s="51">
        <v>251.07</v>
      </c>
      <c r="N140" s="51">
        <v>433.07</v>
      </c>
      <c r="O140" s="51">
        <v>109.23</v>
      </c>
      <c r="P140" s="51"/>
      <c r="Q140" s="51">
        <v>67.7</v>
      </c>
      <c r="R140" s="51">
        <v>54.13</v>
      </c>
      <c r="S140" s="51">
        <v>110.31</v>
      </c>
      <c r="T140" s="51">
        <v>38.75</v>
      </c>
      <c r="U140" s="51"/>
    </row>
    <row r="141" spans="1:21" ht="15" customHeight="1" x14ac:dyDescent="0.2">
      <c r="A141" s="50">
        <v>46114</v>
      </c>
      <c r="B141" s="51">
        <v>242.92</v>
      </c>
      <c r="C141" s="51">
        <v>126.68</v>
      </c>
      <c r="D141" s="51">
        <v>1317.23</v>
      </c>
      <c r="E141" s="51">
        <v>314.55</v>
      </c>
      <c r="F141" s="51">
        <v>99.78</v>
      </c>
      <c r="G141" s="51">
        <v>151.68</v>
      </c>
      <c r="H141" s="51">
        <v>366.24</v>
      </c>
      <c r="I141" s="51">
        <v>177.39</v>
      </c>
      <c r="J141" s="51">
        <v>133.77000000000001</v>
      </c>
      <c r="K141" s="51">
        <v>148.46</v>
      </c>
      <c r="L141" s="51">
        <v>339.04</v>
      </c>
      <c r="M141" s="51">
        <v>261.29000000000002</v>
      </c>
      <c r="N141" s="51">
        <v>438.71</v>
      </c>
      <c r="O141" s="51">
        <v>111.42</v>
      </c>
      <c r="P141" s="51"/>
      <c r="Q141" s="51">
        <v>67.75</v>
      </c>
      <c r="R141" s="51">
        <v>55.59</v>
      </c>
      <c r="S141" s="51">
        <v>114.74</v>
      </c>
      <c r="T141" s="51">
        <v>39.840000000000003</v>
      </c>
      <c r="U141" s="51"/>
    </row>
    <row r="142" spans="1:21" ht="15" customHeight="1" x14ac:dyDescent="0.2">
      <c r="A142" s="50">
        <v>46122</v>
      </c>
      <c r="B142" s="51">
        <v>225.35</v>
      </c>
      <c r="C142" s="51">
        <v>147.35</v>
      </c>
      <c r="D142" s="51">
        <v>1478.28</v>
      </c>
      <c r="E142" s="51">
        <v>371.55</v>
      </c>
      <c r="F142" s="51">
        <v>94.76</v>
      </c>
      <c r="G142" s="51">
        <v>173.73</v>
      </c>
      <c r="H142" s="51">
        <v>420.59</v>
      </c>
      <c r="I142" s="51">
        <v>188.63</v>
      </c>
      <c r="J142" s="51">
        <v>137.19</v>
      </c>
      <c r="K142" s="51">
        <v>128.06</v>
      </c>
      <c r="L142" s="51">
        <v>370.6</v>
      </c>
      <c r="M142" s="51">
        <v>295.11</v>
      </c>
      <c r="N142" s="51">
        <v>436.27</v>
      </c>
      <c r="O142" s="51">
        <v>114.73</v>
      </c>
      <c r="P142" s="51"/>
      <c r="Q142" s="51">
        <v>68.040000000000006</v>
      </c>
      <c r="R142" s="51">
        <v>57.62</v>
      </c>
      <c r="S142" s="51">
        <v>123.34</v>
      </c>
      <c r="T142" s="51">
        <v>39.64</v>
      </c>
      <c r="U142" s="51"/>
    </row>
    <row r="143" spans="1:21" ht="15" customHeight="1" x14ac:dyDescent="0.2">
      <c r="A143" s="50">
        <v>46129</v>
      </c>
      <c r="B143" s="51">
        <v>244.45</v>
      </c>
      <c r="C143" s="51">
        <v>164.23</v>
      </c>
      <c r="D143" s="51">
        <v>1459.8</v>
      </c>
      <c r="E143" s="51">
        <v>406.54</v>
      </c>
      <c r="F143" s="51">
        <v>105.99</v>
      </c>
      <c r="G143" s="51">
        <v>179.14</v>
      </c>
      <c r="H143" s="51">
        <v>455.07</v>
      </c>
      <c r="I143" s="51">
        <v>201.68</v>
      </c>
      <c r="J143" s="51">
        <v>145.1</v>
      </c>
      <c r="K143" s="51">
        <v>146.38999999999999</v>
      </c>
      <c r="L143" s="51">
        <v>370.5</v>
      </c>
      <c r="M143" s="51">
        <v>307.33999999999997</v>
      </c>
      <c r="N143" s="51">
        <v>441.2</v>
      </c>
      <c r="O143" s="51">
        <v>117.52</v>
      </c>
      <c r="P143" s="51"/>
      <c r="Q143" s="51">
        <v>67.319999999999993</v>
      </c>
      <c r="R143" s="51">
        <v>58.66</v>
      </c>
      <c r="S143" s="51">
        <v>128.30000000000001</v>
      </c>
      <c r="T143" s="51">
        <v>41.76</v>
      </c>
      <c r="U143" s="51"/>
    </row>
    <row r="144" spans="1:21" ht="15" customHeight="1" x14ac:dyDescent="0.2">
      <c r="A144" s="50">
        <v>46136</v>
      </c>
      <c r="B144" s="51">
        <v>245.44</v>
      </c>
      <c r="C144" s="51">
        <v>176.91</v>
      </c>
      <c r="D144" s="51">
        <v>1457.7</v>
      </c>
      <c r="E144" s="51">
        <v>422.76</v>
      </c>
      <c r="F144" s="51">
        <v>112.03</v>
      </c>
      <c r="G144" s="51">
        <v>193.5</v>
      </c>
      <c r="H144" s="51">
        <v>496.72</v>
      </c>
      <c r="I144" s="51">
        <v>208.27</v>
      </c>
      <c r="J144" s="51">
        <v>142.1</v>
      </c>
      <c r="K144" s="51">
        <v>143.09</v>
      </c>
      <c r="L144" s="51">
        <v>402.46</v>
      </c>
      <c r="M144" s="51">
        <v>323.45999999999998</v>
      </c>
      <c r="N144" s="51">
        <v>430.29</v>
      </c>
      <c r="O144" s="51">
        <v>118.96</v>
      </c>
      <c r="P144" s="51"/>
      <c r="Q144" s="51">
        <v>67.349999999999994</v>
      </c>
      <c r="R144" s="51">
        <v>58.99</v>
      </c>
      <c r="S144" s="51">
        <v>131.52000000000001</v>
      </c>
      <c r="T144" s="51">
        <v>41.52</v>
      </c>
      <c r="U144" s="51"/>
    </row>
    <row r="145" spans="1:21" ht="15" customHeight="1" x14ac:dyDescent="0.2">
      <c r="A145" s="50">
        <v>46143</v>
      </c>
      <c r="B145" s="51">
        <v>250.71</v>
      </c>
      <c r="C145" s="51">
        <v>172.7</v>
      </c>
      <c r="D145" s="51">
        <v>1427.02</v>
      </c>
      <c r="E145" s="51">
        <v>421.28</v>
      </c>
      <c r="F145" s="51">
        <v>113.91</v>
      </c>
      <c r="G145" s="51">
        <v>172.63</v>
      </c>
      <c r="H145" s="51">
        <v>542.21</v>
      </c>
      <c r="I145" s="51">
        <v>198.45</v>
      </c>
      <c r="J145" s="51">
        <v>141.41</v>
      </c>
      <c r="K145" s="51">
        <v>144.07</v>
      </c>
      <c r="L145" s="51">
        <v>397.67</v>
      </c>
      <c r="M145" s="51">
        <v>328.31</v>
      </c>
      <c r="N145" s="51">
        <v>423.92</v>
      </c>
      <c r="O145" s="51">
        <v>119.96</v>
      </c>
      <c r="P145" s="51"/>
      <c r="Q145" s="51">
        <v>67.92</v>
      </c>
      <c r="R145" s="51">
        <v>58.86</v>
      </c>
      <c r="S145" s="51">
        <v>134.41999999999999</v>
      </c>
      <c r="T145" s="51">
        <v>42.59</v>
      </c>
      <c r="U145" s="51"/>
    </row>
    <row r="146" spans="1:21" ht="15" customHeight="1" x14ac:dyDescent="0.2">
      <c r="A146" s="50">
        <v>46150</v>
      </c>
      <c r="B146" s="51">
        <v>253.04</v>
      </c>
      <c r="C146" s="51">
        <v>141.77000000000001</v>
      </c>
      <c r="D146" s="51">
        <v>1592.02</v>
      </c>
      <c r="E146" s="51">
        <v>430</v>
      </c>
      <c r="F146" s="51">
        <v>131.94</v>
      </c>
      <c r="G146" s="51">
        <v>186.92</v>
      </c>
      <c r="H146" s="51">
        <v>746.81</v>
      </c>
      <c r="I146" s="51">
        <v>215.2</v>
      </c>
      <c r="J146" s="51">
        <v>144.09</v>
      </c>
      <c r="K146" s="51">
        <v>137.80000000000001</v>
      </c>
      <c r="L146" s="51">
        <v>411.68</v>
      </c>
      <c r="M146" s="51">
        <v>339.97</v>
      </c>
      <c r="N146" s="51">
        <v>429.82</v>
      </c>
      <c r="O146" s="51">
        <v>119.84</v>
      </c>
      <c r="P146" s="51"/>
      <c r="Q146" s="51">
        <v>67.08</v>
      </c>
      <c r="R146" s="51">
        <v>59.61</v>
      </c>
      <c r="S146" s="51">
        <v>143.81</v>
      </c>
      <c r="T146" s="51">
        <v>43.62</v>
      </c>
      <c r="U146" s="51"/>
    </row>
    <row r="147" spans="1:21" ht="15" customHeight="1" x14ac:dyDescent="0.2">
      <c r="A147" s="50">
        <v>46157</v>
      </c>
      <c r="B147" s="51">
        <v>247.6</v>
      </c>
      <c r="C147" s="51">
        <v>141.97</v>
      </c>
      <c r="D147" s="51">
        <v>1501.81</v>
      </c>
      <c r="E147" s="51">
        <v>425.19</v>
      </c>
      <c r="F147" s="51">
        <v>148.52000000000001</v>
      </c>
      <c r="G147" s="51">
        <v>180.43</v>
      </c>
      <c r="H147" s="51">
        <v>724.66</v>
      </c>
      <c r="I147" s="51">
        <v>225.32</v>
      </c>
      <c r="J147" s="51">
        <v>140.53</v>
      </c>
      <c r="K147" s="51">
        <v>133.99</v>
      </c>
      <c r="L147" s="51">
        <v>404.35</v>
      </c>
      <c r="M147" s="51">
        <v>370.94</v>
      </c>
      <c r="N147" s="51">
        <v>436.95</v>
      </c>
      <c r="O147" s="51">
        <v>117.25</v>
      </c>
      <c r="P147" s="51"/>
      <c r="Q147" s="51">
        <v>67.59</v>
      </c>
      <c r="R147" s="51">
        <v>59.77</v>
      </c>
      <c r="S147" s="51">
        <v>143.47999999999999</v>
      </c>
      <c r="T147" s="51">
        <v>42.5</v>
      </c>
      <c r="U147" s="51"/>
    </row>
    <row r="148" spans="1:21" ht="15" customHeight="1" x14ac:dyDescent="0.2">
      <c r="A148" s="50">
        <v>46164</v>
      </c>
      <c r="B148" s="51">
        <v>244.76</v>
      </c>
      <c r="C148" s="51">
        <v>154.03</v>
      </c>
      <c r="D148" s="51">
        <v>1632.9</v>
      </c>
      <c r="E148" s="51">
        <v>414.14</v>
      </c>
      <c r="F148" s="51">
        <v>165.87</v>
      </c>
      <c r="G148" s="51">
        <v>188.84</v>
      </c>
      <c r="H148" s="51">
        <v>751</v>
      </c>
      <c r="I148" s="51">
        <v>215.33</v>
      </c>
      <c r="J148" s="51">
        <v>145.9</v>
      </c>
      <c r="K148" s="51">
        <v>136.88</v>
      </c>
      <c r="L148" s="51">
        <v>404.52</v>
      </c>
      <c r="M148" s="51">
        <v>327.45999999999998</v>
      </c>
      <c r="N148" s="51">
        <v>434.52</v>
      </c>
      <c r="O148" s="51">
        <v>120.03</v>
      </c>
      <c r="P148" s="51"/>
      <c r="Q148" s="51">
        <v>68.33</v>
      </c>
      <c r="R148" s="51">
        <v>60.21</v>
      </c>
      <c r="S148" s="51">
        <v>144.94</v>
      </c>
      <c r="T148" s="51">
        <v>44.18</v>
      </c>
      <c r="U148" s="51"/>
    </row>
    <row r="149" spans="1:21" ht="15" customHeight="1" x14ac:dyDescent="0.2">
      <c r="A149" s="50">
        <v>46171</v>
      </c>
      <c r="B149" s="51">
        <v>259.20999999999998</v>
      </c>
      <c r="C149" s="51">
        <v>159.47</v>
      </c>
      <c r="D149" s="51">
        <v>1612.76</v>
      </c>
      <c r="E149" s="51">
        <v>446.77</v>
      </c>
      <c r="F149" s="51">
        <v>182.75</v>
      </c>
      <c r="G149" s="51">
        <v>192.17</v>
      </c>
      <c r="H149" s="51">
        <v>971</v>
      </c>
      <c r="I149" s="51">
        <v>211.14</v>
      </c>
      <c r="J149" s="51">
        <v>143.47</v>
      </c>
      <c r="K149" s="51">
        <v>156.54</v>
      </c>
      <c r="L149" s="51">
        <v>418.45</v>
      </c>
      <c r="M149" s="51">
        <v>315.70999999999998</v>
      </c>
      <c r="N149" s="51">
        <v>447.54</v>
      </c>
      <c r="O149" s="51">
        <v>120.05</v>
      </c>
      <c r="P149" s="51"/>
      <c r="Q149" s="51">
        <v>67.7</v>
      </c>
      <c r="R149" s="51">
        <v>61.15</v>
      </c>
      <c r="S149" s="51">
        <v>150.59</v>
      </c>
      <c r="T149" s="51">
        <v>46.57</v>
      </c>
      <c r="U149" s="51"/>
    </row>
    <row r="150" spans="1:21" ht="15" customHeight="1" x14ac:dyDescent="0.2">
      <c r="A150" s="50">
        <v>46178</v>
      </c>
      <c r="B150" s="51">
        <v>251.44</v>
      </c>
      <c r="C150" s="51">
        <v>154.27000000000001</v>
      </c>
      <c r="D150" s="51">
        <v>1641.74</v>
      </c>
      <c r="E150" s="51">
        <v>385.73</v>
      </c>
      <c r="F150" s="51">
        <v>167.76</v>
      </c>
      <c r="G150" s="51">
        <v>192.92</v>
      </c>
      <c r="H150" s="51">
        <v>864.01</v>
      </c>
      <c r="I150" s="51">
        <v>205.1</v>
      </c>
      <c r="J150" s="51">
        <v>144.54</v>
      </c>
      <c r="K150" s="51">
        <v>135.53</v>
      </c>
      <c r="L150" s="51">
        <v>415.17</v>
      </c>
      <c r="M150" s="51">
        <v>300.51</v>
      </c>
      <c r="N150" s="51">
        <v>446.83</v>
      </c>
      <c r="O150" s="51">
        <v>119.7</v>
      </c>
      <c r="P150" s="51"/>
      <c r="Q150" s="51">
        <v>67.58</v>
      </c>
      <c r="R150" s="51">
        <v>58.9</v>
      </c>
      <c r="S150" s="51">
        <v>144.28</v>
      </c>
      <c r="T150" s="51">
        <v>46.05</v>
      </c>
      <c r="U150" s="51"/>
    </row>
    <row r="151" spans="1:21" ht="15" customHeight="1" x14ac:dyDescent="0.2">
      <c r="A151" s="50">
        <v>46185</v>
      </c>
      <c r="B151" s="51">
        <v>204.02</v>
      </c>
      <c r="C151" s="51">
        <v>163.24</v>
      </c>
      <c r="D151" s="51">
        <v>1863.55</v>
      </c>
      <c r="E151" s="51">
        <v>382.07</v>
      </c>
      <c r="F151" s="51">
        <v>170.7</v>
      </c>
      <c r="G151" s="51">
        <v>254.54</v>
      </c>
      <c r="H151" s="51">
        <v>981.61</v>
      </c>
      <c r="I151" s="51">
        <v>205.19</v>
      </c>
      <c r="J151" s="51">
        <v>148.74</v>
      </c>
      <c r="K151" s="51">
        <v>127.99</v>
      </c>
      <c r="L151" s="51">
        <v>423.93</v>
      </c>
      <c r="M151" s="51">
        <v>302.87</v>
      </c>
      <c r="N151" s="51">
        <v>444.93</v>
      </c>
      <c r="O151" s="51">
        <v>124.38</v>
      </c>
      <c r="P151" s="51"/>
      <c r="Q151" s="51">
        <v>68.45</v>
      </c>
      <c r="R151" s="51">
        <v>59.86</v>
      </c>
      <c r="S151" s="51">
        <v>152.47999999999999</v>
      </c>
      <c r="T151" s="51">
        <v>46.29</v>
      </c>
      <c r="U151" s="51"/>
    </row>
    <row r="152" spans="1:21" ht="15" customHeight="1" x14ac:dyDescent="0.2">
      <c r="A152" s="50">
        <v>46191</v>
      </c>
      <c r="B152" s="51">
        <v>195.16</v>
      </c>
      <c r="C152" s="51">
        <v>169.67</v>
      </c>
      <c r="D152" s="51">
        <v>1929.68</v>
      </c>
      <c r="E152" s="51">
        <v>411.35</v>
      </c>
      <c r="F152" s="51">
        <v>171.22</v>
      </c>
      <c r="G152" s="51">
        <v>259.56</v>
      </c>
      <c r="H152" s="51">
        <v>1133.99</v>
      </c>
      <c r="I152" s="51">
        <v>210.69</v>
      </c>
      <c r="J152" s="51">
        <v>140.54</v>
      </c>
      <c r="K152" s="51">
        <v>128.47</v>
      </c>
      <c r="L152" s="51">
        <v>462.12</v>
      </c>
      <c r="M152" s="51">
        <v>333.05</v>
      </c>
      <c r="N152" s="51">
        <v>451.63</v>
      </c>
      <c r="O152" s="51">
        <v>122</v>
      </c>
      <c r="P152" s="51"/>
      <c r="Q152" s="51"/>
      <c r="R152" s="51">
        <v>61.34</v>
      </c>
      <c r="S152" s="51">
        <v>159.9</v>
      </c>
      <c r="T152" s="51">
        <v>45.25</v>
      </c>
      <c r="U152" s="51"/>
    </row>
    <row r="153" spans="1:21" ht="15" customHeight="1" x14ac:dyDescent="0.2">
      <c r="A153" s="50">
        <v>46199</v>
      </c>
      <c r="B153" s="51">
        <v>202.73</v>
      </c>
      <c r="C153" s="51">
        <v>157.6</v>
      </c>
      <c r="D153" s="51">
        <v>1794.62</v>
      </c>
      <c r="E153" s="51">
        <v>365.02</v>
      </c>
      <c r="F153" s="51">
        <v>175.27</v>
      </c>
      <c r="G153" s="51">
        <v>248.64</v>
      </c>
      <c r="H153" s="51">
        <v>1132.33</v>
      </c>
      <c r="I153" s="51">
        <v>192.53</v>
      </c>
      <c r="J153" s="51">
        <v>139.97</v>
      </c>
      <c r="K153" s="51">
        <v>112.93</v>
      </c>
      <c r="L153" s="51">
        <v>432.35</v>
      </c>
      <c r="M153" s="51">
        <v>303.95</v>
      </c>
      <c r="N153" s="51">
        <v>491.34</v>
      </c>
      <c r="O153" s="51">
        <v>124.94</v>
      </c>
      <c r="P153" s="51"/>
      <c r="Q153" s="51"/>
      <c r="R153" s="51">
        <v>59.42</v>
      </c>
      <c r="S153" s="51">
        <v>154.19999999999999</v>
      </c>
      <c r="T153" s="51">
        <v>46.19</v>
      </c>
      <c r="U153" s="51"/>
    </row>
    <row r="154" spans="1:21" ht="15" customHeight="1" x14ac:dyDescent="0.2">
      <c r="A154" s="50">
        <v>46205</v>
      </c>
      <c r="B154" s="51">
        <v>219.72</v>
      </c>
      <c r="C154" s="51">
        <v>159.99</v>
      </c>
      <c r="D154" s="51">
        <v>1769.32</v>
      </c>
      <c r="E154" s="51">
        <v>360.45</v>
      </c>
      <c r="F154" s="51">
        <v>193.98</v>
      </c>
      <c r="G154" s="51">
        <v>235.55</v>
      </c>
      <c r="H154" s="51">
        <v>975.56</v>
      </c>
      <c r="I154" s="51">
        <v>194.83</v>
      </c>
      <c r="J154" s="51">
        <v>139.43</v>
      </c>
      <c r="K154" s="51">
        <v>129.30000000000001</v>
      </c>
      <c r="L154" s="51">
        <v>434.16</v>
      </c>
      <c r="M154" s="51">
        <v>300.52999999999997</v>
      </c>
      <c r="N154" s="51">
        <v>528.04</v>
      </c>
      <c r="O154" s="51">
        <v>123.51</v>
      </c>
      <c r="P154" s="51"/>
      <c r="Q154" s="51"/>
      <c r="R154" s="51">
        <v>59.39</v>
      </c>
      <c r="S154" s="51">
        <v>150.83000000000001</v>
      </c>
      <c r="T154" s="51">
        <v>47</v>
      </c>
      <c r="U154" s="51"/>
    </row>
    <row r="155" spans="1:21" ht="15" customHeight="1" x14ac:dyDescent="0.2">
      <c r="A155" s="50">
        <v>46213</v>
      </c>
      <c r="B155" s="51">
        <v>223.64</v>
      </c>
      <c r="C155" s="51">
        <v>186.96</v>
      </c>
      <c r="D155" s="51">
        <v>1797.32</v>
      </c>
      <c r="E155" s="51">
        <v>399.97</v>
      </c>
      <c r="F155" s="51">
        <v>187.18</v>
      </c>
      <c r="G155" s="51">
        <v>231.52</v>
      </c>
      <c r="H155" s="51">
        <v>979.3</v>
      </c>
      <c r="I155" s="51">
        <v>210.96</v>
      </c>
      <c r="J155" s="51">
        <v>140.87</v>
      </c>
      <c r="K155" s="51">
        <v>126.79</v>
      </c>
      <c r="L155" s="51">
        <v>434.11</v>
      </c>
      <c r="M155" s="51">
        <v>318.86</v>
      </c>
      <c r="N155" s="51">
        <v>485.39</v>
      </c>
      <c r="O155" s="51">
        <v>123.95</v>
      </c>
      <c r="P155" s="51"/>
      <c r="Q155" s="51"/>
      <c r="R155" s="51">
        <v>60.51</v>
      </c>
      <c r="S155" s="51">
        <v>153.75</v>
      </c>
      <c r="T155" s="51">
        <v>47.39</v>
      </c>
      <c r="U155" s="51"/>
    </row>
    <row r="156" spans="1:21" ht="15" customHeight="1" x14ac:dyDescent="0.2">
      <c r="A156" s="50">
        <v>46220</v>
      </c>
      <c r="B156" s="51">
        <v>237.25</v>
      </c>
      <c r="C156" s="51">
        <v>168.61</v>
      </c>
      <c r="D156" s="51">
        <v>1747.58</v>
      </c>
      <c r="E156" s="51">
        <v>370.83</v>
      </c>
      <c r="F156" s="51">
        <v>203.08</v>
      </c>
      <c r="G156" s="51">
        <v>212.75</v>
      </c>
      <c r="H156" s="51">
        <v>848.95</v>
      </c>
      <c r="I156" s="51">
        <v>202.81</v>
      </c>
      <c r="J156" s="51">
        <v>149.79</v>
      </c>
      <c r="K156" s="51">
        <v>132.38</v>
      </c>
      <c r="L156" s="51">
        <v>398.37</v>
      </c>
      <c r="M156" s="51">
        <v>289.56</v>
      </c>
      <c r="N156" s="51">
        <v>485.65</v>
      </c>
      <c r="O156" s="51">
        <v>125.35</v>
      </c>
      <c r="P156" s="51"/>
      <c r="Q156" s="51"/>
      <c r="R156" s="51">
        <v>58.51</v>
      </c>
      <c r="S156" s="51">
        <v>143.88999999999999</v>
      </c>
      <c r="T156" s="51">
        <v>47.8</v>
      </c>
      <c r="U156" s="51"/>
    </row>
    <row r="157" spans="1:21" ht="15" customHeight="1" x14ac:dyDescent="0.2">
      <c r="A157" s="50">
        <v>46227</v>
      </c>
      <c r="B157" s="51">
        <v>225.11</v>
      </c>
      <c r="C157" s="51">
        <v>173.99</v>
      </c>
      <c r="D157" s="51">
        <v>1757.09</v>
      </c>
      <c r="E157" s="51">
        <v>381.92</v>
      </c>
      <c r="F157" s="51">
        <v>183.28</v>
      </c>
      <c r="G157" s="51">
        <v>210.52</v>
      </c>
      <c r="H157" s="51">
        <v>920.95</v>
      </c>
      <c r="I157" s="51">
        <v>206.84</v>
      </c>
      <c r="J157" s="51">
        <v>147.63</v>
      </c>
      <c r="K157" s="51">
        <v>122.92</v>
      </c>
      <c r="L157" s="51">
        <v>403.41</v>
      </c>
      <c r="M157" s="51">
        <v>290.36</v>
      </c>
      <c r="N157" s="51">
        <v>477.36</v>
      </c>
      <c r="O157" s="51">
        <v>125.28</v>
      </c>
      <c r="P157" s="51"/>
      <c r="Q157" s="51"/>
      <c r="R157" s="51">
        <v>57.96</v>
      </c>
      <c r="S157" s="51">
        <v>146.51</v>
      </c>
      <c r="T157" s="51">
        <v>48.14</v>
      </c>
      <c r="U157" s="51"/>
    </row>
    <row r="158" spans="1:21" ht="15" customHeight="1" x14ac:dyDescent="0.2">
      <c r="A158" s="50">
        <v>46234</v>
      </c>
      <c r="B158" s="51">
        <v>250.41</v>
      </c>
      <c r="C158" s="51">
        <v>180.35</v>
      </c>
      <c r="D158" s="51">
        <v>1629</v>
      </c>
      <c r="E158" s="51">
        <v>389.28</v>
      </c>
      <c r="F158" s="51">
        <v>190.86</v>
      </c>
      <c r="G158" s="51">
        <v>182.82</v>
      </c>
      <c r="H158" s="51">
        <v>823.03</v>
      </c>
      <c r="I158" s="51">
        <v>200.75</v>
      </c>
      <c r="J158" s="51">
        <v>144.61000000000001</v>
      </c>
      <c r="K158" s="51">
        <v>123.06</v>
      </c>
      <c r="L158" s="51">
        <v>404.25</v>
      </c>
      <c r="M158" s="51">
        <v>241.57</v>
      </c>
      <c r="N158" s="51">
        <v>477.1</v>
      </c>
      <c r="O158" s="51">
        <v>125.28</v>
      </c>
      <c r="P158" s="51"/>
      <c r="Q158" s="51"/>
      <c r="R158" s="51">
        <v>58.25</v>
      </c>
      <c r="S158" s="51">
        <v>143.83000000000001</v>
      </c>
      <c r="T158" s="51">
        <v>49.74</v>
      </c>
      <c r="U158" s="51"/>
    </row>
    <row r="159" spans="1:21" ht="15" customHeight="1" x14ac:dyDescent="0.2">
      <c r="A159" s="50"/>
      <c r="B159" s="51"/>
      <c r="C159" s="51"/>
      <c r="D159" s="51"/>
      <c r="E159" s="51"/>
      <c r="F159" s="51"/>
      <c r="G159" s="51"/>
      <c r="H159" s="51"/>
      <c r="I159" s="51"/>
      <c r="J159" s="51"/>
      <c r="K159" s="51"/>
      <c r="L159" s="51"/>
      <c r="M159" s="51"/>
      <c r="N159" s="51"/>
      <c r="O159" s="51"/>
      <c r="P159" s="51"/>
      <c r="Q159" s="51"/>
      <c r="R159" s="51"/>
      <c r="S159" s="51"/>
      <c r="T159" s="51"/>
      <c r="U159" s="51"/>
    </row>
    <row r="160" spans="1:21" ht="15" customHeight="1" x14ac:dyDescent="0.2">
      <c r="A160" s="50"/>
      <c r="B160" s="51"/>
      <c r="C160" s="51"/>
      <c r="D160" s="51"/>
      <c r="E160" s="51"/>
      <c r="F160" s="51"/>
      <c r="G160" s="51"/>
      <c r="H160" s="51"/>
      <c r="I160" s="51"/>
      <c r="J160" s="51"/>
      <c r="K160" s="51"/>
      <c r="L160" s="51"/>
      <c r="M160" s="51"/>
      <c r="N160" s="51"/>
      <c r="O160" s="51"/>
      <c r="P160" s="51"/>
      <c r="Q160" s="51"/>
      <c r="R160" s="51"/>
      <c r="S160" s="51"/>
      <c r="T160" s="51"/>
      <c r="U160" s="51"/>
    </row>
    <row r="161" spans="1:21" ht="15" customHeight="1" x14ac:dyDescent="0.2">
      <c r="A161" s="50"/>
      <c r="B161" s="51"/>
      <c r="C161" s="51"/>
      <c r="D161" s="51"/>
      <c r="E161" s="51"/>
      <c r="F161" s="51"/>
      <c r="G161" s="51"/>
      <c r="H161" s="51"/>
      <c r="I161" s="51"/>
      <c r="J161" s="51"/>
      <c r="K161" s="51"/>
      <c r="L161" s="51"/>
      <c r="M161" s="51"/>
      <c r="N161" s="51"/>
      <c r="O161" s="51"/>
      <c r="P161" s="51"/>
      <c r="Q161" s="51"/>
      <c r="R161" s="51"/>
      <c r="S161" s="51"/>
      <c r="T161" s="51"/>
      <c r="U161" s="51"/>
    </row>
    <row r="162" spans="1:21" ht="15" customHeight="1" x14ac:dyDescent="0.2">
      <c r="A162" s="50"/>
      <c r="B162" s="51"/>
      <c r="C162" s="51"/>
      <c r="D162" s="51"/>
      <c r="E162" s="51"/>
      <c r="F162" s="51"/>
      <c r="G162" s="51"/>
      <c r="H162" s="51"/>
      <c r="I162" s="51"/>
      <c r="J162" s="51"/>
      <c r="K162" s="51"/>
      <c r="L162" s="51"/>
      <c r="M162" s="51"/>
      <c r="N162" s="51"/>
      <c r="O162" s="51"/>
      <c r="P162" s="51"/>
      <c r="Q162" s="51"/>
      <c r="R162" s="51"/>
      <c r="S162" s="51"/>
      <c r="T162" s="51"/>
      <c r="U162" s="51"/>
    </row>
  </sheetData>
  <mergeCells count="1">
    <mergeCell ref="A1:Q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8"/>
  <sheetViews>
    <sheetView showGridLines="0" zoomScaleNormal="100" workbookViewId="0">
      <pane ySplit="1" topLeftCell="A2" activePane="bottomLeft" state="frozen"/>
      <selection pane="bottomLeft" activeCell="J31" sqref="J31"/>
    </sheetView>
  </sheetViews>
  <sheetFormatPr baseColWidth="10" defaultColWidth="8.6640625" defaultRowHeight="15" x14ac:dyDescent="0.2"/>
  <cols>
    <col min="1" max="1" width="10" customWidth="1"/>
    <col min="2" max="2" width="18" customWidth="1"/>
    <col min="3" max="3" width="12" customWidth="1"/>
    <col min="4" max="4" width="8.5" customWidth="1"/>
    <col min="5" max="5" width="10.5" customWidth="1"/>
    <col min="6" max="6" width="13" customWidth="1"/>
    <col min="7" max="8" width="9" customWidth="1"/>
    <col min="9" max="9" width="11" customWidth="1"/>
    <col min="10" max="10" width="12" customWidth="1"/>
  </cols>
  <sheetData>
    <row r="1" spans="1:10" ht="25.5" customHeight="1" x14ac:dyDescent="0.2">
      <c r="A1" s="52" t="s">
        <v>71</v>
      </c>
      <c r="B1" s="52" t="s">
        <v>182</v>
      </c>
      <c r="C1" s="52" t="s">
        <v>183</v>
      </c>
      <c r="D1" s="52" t="s">
        <v>184</v>
      </c>
      <c r="E1" s="52" t="s">
        <v>185</v>
      </c>
      <c r="F1" s="52" t="s">
        <v>186</v>
      </c>
      <c r="G1" s="52" t="s">
        <v>187</v>
      </c>
      <c r="H1" s="52" t="s">
        <v>188</v>
      </c>
      <c r="I1" s="52" t="s">
        <v>189</v>
      </c>
      <c r="J1" s="52" t="s">
        <v>190</v>
      </c>
    </row>
    <row r="2" spans="1:10" ht="15" customHeight="1" x14ac:dyDescent="0.2">
      <c r="A2" s="53" t="str">
        <f>IF(Scoring!A3="","",Scoring!A3)</f>
        <v>MU</v>
      </c>
      <c r="B2" s="54" t="str">
        <f>IF(Scoring!B3="","",Scoring!B3)</f>
        <v>Micron Technology</v>
      </c>
      <c r="C2" s="55">
        <f>IF(Scoring!C3="","",Scoring!C3)</f>
        <v>46240</v>
      </c>
      <c r="D2" s="56">
        <f>IF(Scoring!N3="","",Scoring!N3)</f>
        <v>3.6428571428571428</v>
      </c>
      <c r="E2" s="57">
        <f>IF(Scoring!AF3="","",Scoring!AF3)</f>
        <v>71.8</v>
      </c>
      <c r="F2" s="53" t="str">
        <f>IF(Scoring!AG3="","",Scoring!AG3)</f>
        <v>BUY</v>
      </c>
      <c r="G2" s="53" t="str">
        <f>IF(Scoring!AH3="","",Scoring!AH3)</f>
        <v>OK</v>
      </c>
      <c r="H2" s="53" t="str">
        <f>IF(Scoring!AI3="","",Scoring!AI3)</f>
        <v>OK</v>
      </c>
      <c r="I2" s="53" t="str">
        <f>IF(Scoring!AJ3="","",Scoring!AJ3)</f>
        <v>OK</v>
      </c>
      <c r="J2" s="53" t="str">
        <f>IF(Scoring!AK3="","",Scoring!AK3)</f>
        <v>OK</v>
      </c>
    </row>
    <row r="3" spans="1:10" ht="15" customHeight="1" x14ac:dyDescent="0.2">
      <c r="A3" s="53" t="str">
        <f>IF(Scoring!A4="","",Scoring!A4)</f>
        <v>AVGO</v>
      </c>
      <c r="B3" s="54" t="str">
        <f>IF(Scoring!B4="","",Scoring!B4)</f>
        <v>Broadcom Inc.</v>
      </c>
      <c r="C3" s="55">
        <f>IF(Scoring!C4="","",Scoring!C4)</f>
        <v>46240</v>
      </c>
      <c r="D3" s="56">
        <f>IF(Scoring!N4="","",Scoring!N4)</f>
        <v>4.0714285714285721</v>
      </c>
      <c r="E3" s="57">
        <f>IF(Scoring!AF4="","",Scoring!AF4)</f>
        <v>80.8</v>
      </c>
      <c r="F3" s="53" t="str">
        <f>IF(Scoring!AG4="","",Scoring!AG4)</f>
        <v>STRONG BUY</v>
      </c>
      <c r="G3" s="53" t="str">
        <f>IF(Scoring!AH4="","",Scoring!AH4)</f>
        <v>OK</v>
      </c>
      <c r="H3" s="53" t="str">
        <f>IF(Scoring!AI4="","",Scoring!AI4)</f>
        <v>OK</v>
      </c>
      <c r="I3" s="53" t="str">
        <f>IF(Scoring!AJ4="","",Scoring!AJ4)</f>
        <v>OK</v>
      </c>
      <c r="J3" s="53" t="str">
        <f>IF(Scoring!AK4="","",Scoring!AK4)</f>
        <v>OK</v>
      </c>
    </row>
    <row r="4" spans="1:10" ht="15" customHeight="1" x14ac:dyDescent="0.2">
      <c r="A4" s="53" t="str">
        <f>IF(Scoring!A5="","",Scoring!A5)</f>
        <v>PLTR</v>
      </c>
      <c r="B4" s="54" t="str">
        <f>IF(Scoring!B5="","",Scoring!B5)</f>
        <v>Palantir Technologies</v>
      </c>
      <c r="C4" s="55">
        <f>IF(Scoring!C5="","",Scoring!C5)</f>
        <v>46240</v>
      </c>
      <c r="D4" s="56">
        <f>IF(Scoring!N5="","",Scoring!N5)</f>
        <v>4</v>
      </c>
      <c r="E4" s="57">
        <f>IF(Scoring!AF5="","",Scoring!AF5)</f>
        <v>75.199999999999989</v>
      </c>
      <c r="F4" s="53" t="str">
        <f>IF(Scoring!AG5="","",Scoring!AG5)</f>
        <v>BUY</v>
      </c>
      <c r="G4" s="53" t="str">
        <f>IF(Scoring!AH5="","",Scoring!AH5)</f>
        <v>OK</v>
      </c>
      <c r="H4" s="53" t="str">
        <f>IF(Scoring!AI5="","",Scoring!AI5)</f>
        <v>OK</v>
      </c>
      <c r="I4" s="53" t="str">
        <f>IF(Scoring!AJ5="","",Scoring!AJ5)</f>
        <v>OK</v>
      </c>
      <c r="J4" s="53" t="str">
        <f>IF(Scoring!AK5="","",Scoring!AK5)</f>
        <v>OK</v>
      </c>
    </row>
    <row r="5" spans="1:10" ht="15" customHeight="1" x14ac:dyDescent="0.2">
      <c r="A5" s="53" t="str">
        <f>IF(Scoring!A6="","",Scoring!A6)</f>
        <v>NVDA</v>
      </c>
      <c r="B5" s="54" t="str">
        <f>IF(Scoring!B6="","",Scoring!B6)</f>
        <v>NVIDIA Corporation</v>
      </c>
      <c r="C5" s="55">
        <f>IF(Scoring!C6="","",Scoring!C6)</f>
        <v>46240</v>
      </c>
      <c r="D5" s="56">
        <f>IF(Scoring!N6="","",Scoring!N6)</f>
        <v>4.5714285714285712</v>
      </c>
      <c r="E5" s="57">
        <f>IF(Scoring!AF6="","",Scoring!AF6)</f>
        <v>93.199999999999989</v>
      </c>
      <c r="F5" s="53" t="str">
        <f>IF(Scoring!AG6="","",Scoring!AG6)</f>
        <v>STRONG BUY</v>
      </c>
      <c r="G5" s="53" t="str">
        <f>IF(Scoring!AH6="","",Scoring!AH6)</f>
        <v>OK</v>
      </c>
      <c r="H5" s="53" t="str">
        <f>IF(Scoring!AI6="","",Scoring!AI6)</f>
        <v>OK</v>
      </c>
      <c r="I5" s="53" t="str">
        <f>IF(Scoring!AJ6="","",Scoring!AJ6)</f>
        <v>OK</v>
      </c>
      <c r="J5" s="53" t="str">
        <f>IF(Scoring!AK6="","",Scoring!AK6)</f>
        <v>OK</v>
      </c>
    </row>
    <row r="6" spans="1:10" ht="15" customHeight="1" x14ac:dyDescent="0.2">
      <c r="A6" s="53" t="str">
        <f>IF(Scoring!A7="","",Scoring!A7)</f>
        <v>VRTX</v>
      </c>
      <c r="B6" s="54" t="str">
        <f>IF(Scoring!B7="","",Scoring!B7)</f>
        <v>Vertex Pharmaceuticals</v>
      </c>
      <c r="C6" s="55">
        <f>IF(Scoring!C7="","",Scoring!C7)</f>
        <v>46241</v>
      </c>
      <c r="D6" s="56">
        <f>IF(Scoring!N7="","",Scoring!N7)</f>
        <v>3.785714285714286</v>
      </c>
      <c r="E6" s="57">
        <f>IF(Scoring!AF7="","",Scoring!AF7)</f>
        <v>75.599999999999994</v>
      </c>
      <c r="F6" s="53" t="str">
        <f>IF(Scoring!AG7="","",Scoring!AG7)</f>
        <v>BUY</v>
      </c>
      <c r="G6" s="53" t="str">
        <f>IF(Scoring!AH7="","",Scoring!AH7)</f>
        <v>OK</v>
      </c>
      <c r="H6" s="53" t="str">
        <f>IF(Scoring!AI7="","",Scoring!AI7)</f>
        <v>OK</v>
      </c>
      <c r="I6" s="53" t="str">
        <f>IF(Scoring!AJ7="","",Scoring!AJ7)</f>
        <v>OK</v>
      </c>
      <c r="J6" s="53" t="str">
        <f>IF(Scoring!AK7="","",Scoring!AK7)</f>
        <v>OK</v>
      </c>
    </row>
    <row r="7" spans="1:10" ht="15" customHeight="1" x14ac:dyDescent="0.2">
      <c r="A7" s="53" t="str">
        <f>IF(Scoring!A8="","",Scoring!A8)</f>
        <v>PLD</v>
      </c>
      <c r="B7" s="54" t="str">
        <f>IF(Scoring!B8="","",Scoring!B8)</f>
        <v>Prologis Inc. (REIT-adapted)</v>
      </c>
      <c r="C7" s="55">
        <f>IF(Scoring!C8="","",Scoring!C8)</f>
        <v>46240</v>
      </c>
      <c r="D7" s="56">
        <f>IF(Scoring!N8="","",Scoring!N8)</f>
        <v>4.3571428571428568</v>
      </c>
      <c r="E7" s="57">
        <f>IF(Scoring!AF8="","",Scoring!AF8)</f>
        <v>82.000000000000014</v>
      </c>
      <c r="F7" s="53" t="str">
        <f>IF(Scoring!AG8="","",Scoring!AG8)</f>
        <v>STRONG BUY</v>
      </c>
      <c r="G7" s="53" t="str">
        <f>IF(Scoring!AH8="","",Scoring!AH8)</f>
        <v>OK</v>
      </c>
      <c r="H7" s="53" t="str">
        <f>IF(Scoring!AI8="","",Scoring!AI8)</f>
        <v>OK</v>
      </c>
      <c r="I7" s="53" t="str">
        <f>IF(Scoring!AJ8="","",Scoring!AJ8)</f>
        <v>OK</v>
      </c>
      <c r="J7" s="53" t="str">
        <f>IF(Scoring!AK8="","",Scoring!AK8)</f>
        <v>OK</v>
      </c>
    </row>
    <row r="8" spans="1:10" ht="15" customHeight="1" x14ac:dyDescent="0.2">
      <c r="A8" s="53" t="str">
        <f>IF(Scoring!A9="","",Scoring!A9)</f>
        <v>SFM</v>
      </c>
      <c r="B8" s="54" t="str">
        <f>IF(Scoring!B9="","",Scoring!B9)</f>
        <v>Sprouts Farmers Market</v>
      </c>
      <c r="C8" s="55">
        <f>IF(Scoring!C9="","",Scoring!C9)</f>
        <v>46240</v>
      </c>
      <c r="D8" s="56">
        <f>IF(Scoring!N9="","",Scoring!N9)</f>
        <v>1.8571428571428574</v>
      </c>
      <c r="E8" s="57" t="str">
        <f>IF(Scoring!AF9="","",Scoring!AF9)</f>
        <v/>
      </c>
      <c r="F8" s="53" t="str">
        <f>IF(Scoring!AG9="","",Scoring!AG9)</f>
        <v/>
      </c>
      <c r="G8" s="53" t="str">
        <f>IF(Scoring!AH9="","",Scoring!AH9)</f>
        <v>FAIL</v>
      </c>
      <c r="H8" s="53" t="str">
        <f>IF(Scoring!AI9="","",Scoring!AI9)</f>
        <v>REVIEW</v>
      </c>
      <c r="I8" s="53" t="str">
        <f>IF(Scoring!AJ9="","",Scoring!AJ9)</f>
        <v>AVOID</v>
      </c>
      <c r="J8" s="53" t="str">
        <f>IF(Scoring!AK9="","",Scoring!AK9)</f>
        <v>OK</v>
      </c>
    </row>
    <row r="9" spans="1:10" ht="15" customHeight="1" x14ac:dyDescent="0.2">
      <c r="A9" s="53" t="str">
        <f>IF(Scoring!A10="","",Scoring!A10)</f>
        <v>ONON</v>
      </c>
      <c r="B9" s="54" t="str">
        <f>IF(Scoring!B10="","",Scoring!B10)</f>
        <v>On Holding AG</v>
      </c>
      <c r="C9" s="55">
        <f>IF(Scoring!C10="","",Scoring!C10)</f>
        <v>46240</v>
      </c>
      <c r="D9" s="56">
        <f>IF(Scoring!N10="","",Scoring!N10)</f>
        <v>2.6428571428571428</v>
      </c>
      <c r="E9" s="57" t="str">
        <f>IF(Scoring!AF10="","",Scoring!AF10)</f>
        <v/>
      </c>
      <c r="F9" s="53" t="str">
        <f>IF(Scoring!AG10="","",Scoring!AG10)</f>
        <v/>
      </c>
      <c r="G9" s="53" t="str">
        <f>IF(Scoring!AH10="","",Scoring!AH10)</f>
        <v>FAIL</v>
      </c>
      <c r="H9" s="53" t="str">
        <f>IF(Scoring!AI10="","",Scoring!AI10)</f>
        <v>OK</v>
      </c>
      <c r="I9" s="53" t="str">
        <f>IF(Scoring!AJ10="","",Scoring!AJ10)</f>
        <v>AVOID</v>
      </c>
      <c r="J9" s="53" t="str">
        <f>IF(Scoring!AK10="","",Scoring!AK10)</f>
        <v>OK</v>
      </c>
    </row>
    <row r="10" spans="1:10" ht="15" customHeight="1" x14ac:dyDescent="0.2">
      <c r="A10" s="53" t="str">
        <f>IF(Scoring!A11="","",Scoring!A11)</f>
        <v>TSLA</v>
      </c>
      <c r="B10" s="54" t="str">
        <f>IF(Scoring!B11="","",Scoring!B11)</f>
        <v>Tesla Inc.</v>
      </c>
      <c r="C10" s="55">
        <f>IF(Scoring!C11="","",Scoring!C11)</f>
        <v>46240</v>
      </c>
      <c r="D10" s="56">
        <f>IF(Scoring!N11="","",Scoring!N11)</f>
        <v>1.9285714285714288</v>
      </c>
      <c r="E10" s="57" t="str">
        <f>IF(Scoring!AF11="","",Scoring!AF11)</f>
        <v/>
      </c>
      <c r="F10" s="53" t="str">
        <f>IF(Scoring!AG11="","",Scoring!AG11)</f>
        <v/>
      </c>
      <c r="G10" s="53" t="str">
        <f>IF(Scoring!AH11="","",Scoring!AH11)</f>
        <v>FAIL</v>
      </c>
      <c r="H10" s="53" t="str">
        <f>IF(Scoring!AI11="","",Scoring!AI11)</f>
        <v>REVIEW</v>
      </c>
      <c r="I10" s="53" t="str">
        <f>IF(Scoring!AJ11="","",Scoring!AJ11)</f>
        <v>AVOID</v>
      </c>
      <c r="J10" s="53" t="str">
        <f>IF(Scoring!AK11="","",Scoring!AK11)</f>
        <v>OK</v>
      </c>
    </row>
    <row r="11" spans="1:10" ht="15" customHeight="1" x14ac:dyDescent="0.2">
      <c r="A11" s="53" t="str">
        <f>IF(Scoring!A12="","",Scoring!A12)</f>
        <v>ADBE</v>
      </c>
      <c r="B11" s="54" t="str">
        <f>IF(Scoring!B12="","",Scoring!B12)</f>
        <v>Adobe Inc.</v>
      </c>
      <c r="C11" s="55">
        <f>IF(Scoring!C12="","",Scoring!C12)</f>
        <v>46240</v>
      </c>
      <c r="D11" s="56">
        <f>IF(Scoring!N12="","",Scoring!N12)</f>
        <v>4.5714285714285721</v>
      </c>
      <c r="E11" s="57">
        <f>IF(Scoring!AF12="","",Scoring!AF12)</f>
        <v>85.8</v>
      </c>
      <c r="F11" s="53" t="str">
        <f>IF(Scoring!AG12="","",Scoring!AG12)</f>
        <v>STRONG BUY</v>
      </c>
      <c r="G11" s="53" t="str">
        <f>IF(Scoring!AH12="","",Scoring!AH12)</f>
        <v>OK</v>
      </c>
      <c r="H11" s="53" t="str">
        <f>IF(Scoring!AI12="","",Scoring!AI12)</f>
        <v>OK</v>
      </c>
      <c r="I11" s="53" t="str">
        <f>IF(Scoring!AJ12="","",Scoring!AJ12)</f>
        <v>OK</v>
      </c>
      <c r="J11" s="53" t="str">
        <f>IF(Scoring!AK12="","",Scoring!AK12)</f>
        <v>OK</v>
      </c>
    </row>
    <row r="12" spans="1:10" ht="15" customHeight="1" x14ac:dyDescent="0.2">
      <c r="A12" s="53" t="str">
        <f>IF(Scoring!A13="","",Scoring!A13)</f>
        <v>ANET</v>
      </c>
      <c r="B12" s="54" t="str">
        <f>IF(Scoring!B13="","",Scoring!B13)</f>
        <v>Arista Networks</v>
      </c>
      <c r="C12" s="55">
        <f>IF(Scoring!C13="","",Scoring!C13)</f>
        <v>46240</v>
      </c>
      <c r="D12" s="56">
        <f>IF(Scoring!N13="","",Scoring!N13)</f>
        <v>4.5714285714285712</v>
      </c>
      <c r="E12" s="57">
        <f>IF(Scoring!AF13="","",Scoring!AF13)</f>
        <v>85</v>
      </c>
      <c r="F12" s="53" t="str">
        <f>IF(Scoring!AG13="","",Scoring!AG13)</f>
        <v>STRONG BUY</v>
      </c>
      <c r="G12" s="53" t="str">
        <f>IF(Scoring!AH13="","",Scoring!AH13)</f>
        <v>OK</v>
      </c>
      <c r="H12" s="53" t="str">
        <f>IF(Scoring!AI13="","",Scoring!AI13)</f>
        <v>OK</v>
      </c>
      <c r="I12" s="53" t="str">
        <f>IF(Scoring!AJ13="","",Scoring!AJ13)</f>
        <v>OK</v>
      </c>
      <c r="J12" s="53" t="str">
        <f>IF(Scoring!AK13="","",Scoring!AK13)</f>
        <v>OK</v>
      </c>
    </row>
    <row r="13" spans="1:10" ht="15" customHeight="1" x14ac:dyDescent="0.2">
      <c r="A13" s="53" t="str">
        <f>IF(Scoring!A14="","",Scoring!A14)</f>
        <v>ASML</v>
      </c>
      <c r="B13" s="54" t="str">
        <f>IF(Scoring!B14="","",Scoring!B14)</f>
        <v>ASML Holding</v>
      </c>
      <c r="C13" s="55">
        <f>IF(Scoring!C14="","",Scoring!C14)</f>
        <v>46240</v>
      </c>
      <c r="D13" s="56">
        <f>IF(Scoring!N14="","",Scoring!N14)</f>
        <v>3.5714285714285716</v>
      </c>
      <c r="E13" s="57">
        <f>IF(Scoring!AF14="","",Scoring!AF14)</f>
        <v>73.2</v>
      </c>
      <c r="F13" s="53" t="str">
        <f>IF(Scoring!AG14="","",Scoring!AG14)</f>
        <v>BUY</v>
      </c>
      <c r="G13" s="53" t="str">
        <f>IF(Scoring!AH14="","",Scoring!AH14)</f>
        <v>OK</v>
      </c>
      <c r="H13" s="53" t="str">
        <f>IF(Scoring!AI14="","",Scoring!AI14)</f>
        <v>OK</v>
      </c>
      <c r="I13" s="53" t="str">
        <f>IF(Scoring!AJ14="","",Scoring!AJ14)</f>
        <v>OK</v>
      </c>
      <c r="J13" s="53" t="str">
        <f>IF(Scoring!AK14="","",Scoring!AK14)</f>
        <v>OK</v>
      </c>
    </row>
    <row r="14" spans="1:10" ht="15" customHeight="1" x14ac:dyDescent="0.2">
      <c r="A14" s="53" t="str">
        <f>IF(Scoring!A15="","",Scoring!A15)</f>
        <v>CRWD</v>
      </c>
      <c r="B14" s="54" t="str">
        <f>IF(Scoring!B15="","",Scoring!B15)</f>
        <v>CrowdStrike Holdings</v>
      </c>
      <c r="C14" s="55">
        <f>IF(Scoring!C15="","",Scoring!C15)</f>
        <v>46240</v>
      </c>
      <c r="D14" s="56">
        <f>IF(Scoring!N15="","",Scoring!N15)</f>
        <v>4.0000000000000009</v>
      </c>
      <c r="E14" s="57">
        <f>IF(Scoring!AF15="","",Scoring!AF15)</f>
        <v>70.400000000000006</v>
      </c>
      <c r="F14" s="53" t="str">
        <f>IF(Scoring!AG15="","",Scoring!AG15)</f>
        <v>BUY</v>
      </c>
      <c r="G14" s="53" t="str">
        <f>IF(Scoring!AH15="","",Scoring!AH15)</f>
        <v>OK</v>
      </c>
      <c r="H14" s="53" t="str">
        <f>IF(Scoring!AI15="","",Scoring!AI15)</f>
        <v>OK</v>
      </c>
      <c r="I14" s="53" t="str">
        <f>IF(Scoring!AJ15="","",Scoring!AJ15)</f>
        <v>OK</v>
      </c>
      <c r="J14" s="53" t="str">
        <f>IF(Scoring!AK15="","",Scoring!AK15)</f>
        <v>OK</v>
      </c>
    </row>
    <row r="15" spans="1:10" ht="15" customHeight="1" x14ac:dyDescent="0.2">
      <c r="A15" s="53" t="str">
        <f>IF(Scoring!A16="","",Scoring!A16)</f>
        <v>KLAC</v>
      </c>
      <c r="B15" s="54" t="str">
        <f>IF(Scoring!B16="","",Scoring!B16)</f>
        <v>KLA Corporation</v>
      </c>
      <c r="C15" s="55">
        <f>IF(Scoring!C16="","",Scoring!C16)</f>
        <v>46240</v>
      </c>
      <c r="D15" s="56">
        <f>IF(Scoring!N16="","",Scoring!N16)</f>
        <v>3.4285714285714293</v>
      </c>
      <c r="E15" s="57">
        <f>IF(Scoring!AF16="","",Scoring!AF16)</f>
        <v>68.600000000000009</v>
      </c>
      <c r="F15" s="53" t="str">
        <f>IF(Scoring!AG16="","",Scoring!AG16)</f>
        <v>BUY</v>
      </c>
      <c r="G15" s="53" t="str">
        <f>IF(Scoring!AH16="","",Scoring!AH16)</f>
        <v>OK</v>
      </c>
      <c r="H15" s="53" t="str">
        <f>IF(Scoring!AI16="","",Scoring!AI16)</f>
        <v>OK</v>
      </c>
      <c r="I15" s="53" t="str">
        <f>IF(Scoring!AJ16="","",Scoring!AJ16)</f>
        <v>OK</v>
      </c>
      <c r="J15" s="53" t="str">
        <f>IF(Scoring!AK16="","",Scoring!AK16)</f>
        <v>OK</v>
      </c>
    </row>
    <row r="16" spans="1:10" ht="15" customHeight="1" x14ac:dyDescent="0.2">
      <c r="A16" s="53" t="str">
        <f>IF(Scoring!A17="","",Scoring!A17)</f>
        <v>TSM</v>
      </c>
      <c r="B16" s="54" t="str">
        <f>IF(Scoring!B17="","",Scoring!B17)</f>
        <v>Taiwan Semiconductor Mfg.</v>
      </c>
      <c r="C16" s="55">
        <f>IF(Scoring!C17="","",Scoring!C17)</f>
        <v>46240</v>
      </c>
      <c r="D16" s="56">
        <f>IF(Scoring!N17="","",Scoring!N17)</f>
        <v>4</v>
      </c>
      <c r="E16" s="57">
        <f>IF(Scoring!AF17="","",Scoring!AF17)</f>
        <v>81</v>
      </c>
      <c r="F16" s="53" t="str">
        <f>IF(Scoring!AG17="","",Scoring!AG17)</f>
        <v>STRONG BUY</v>
      </c>
      <c r="G16" s="53" t="str">
        <f>IF(Scoring!AH17="","",Scoring!AH17)</f>
        <v>OK</v>
      </c>
      <c r="H16" s="53" t="str">
        <f>IF(Scoring!AI17="","",Scoring!AI17)</f>
        <v>OK</v>
      </c>
      <c r="I16" s="53" t="str">
        <f>IF(Scoring!AJ17="","",Scoring!AJ17)</f>
        <v>OK</v>
      </c>
      <c r="J16" s="53" t="str">
        <f>IF(Scoring!AK17="","",Scoring!AK17)</f>
        <v>OK</v>
      </c>
    </row>
    <row r="17" spans="1:10" ht="15" customHeight="1" x14ac:dyDescent="0.2">
      <c r="A17" s="53" t="str">
        <f>IF(Scoring!A18="","",Scoring!A18)</f>
        <v>VRT</v>
      </c>
      <c r="B17" s="54" t="str">
        <f>IF(Scoring!B18="","",Scoring!B18)</f>
        <v>Vertiv Holdings</v>
      </c>
      <c r="C17" s="55">
        <f>IF(Scoring!C18="","",Scoring!C18)</f>
        <v>46240</v>
      </c>
      <c r="D17" s="56">
        <f>IF(Scoring!N18="","",Scoring!N18)</f>
        <v>4.3571428571428568</v>
      </c>
      <c r="E17" s="57">
        <f>IF(Scoring!AF18="","",Scoring!AF18)</f>
        <v>82.8</v>
      </c>
      <c r="F17" s="53" t="str">
        <f>IF(Scoring!AG18="","",Scoring!AG18)</f>
        <v>STRONG BUY</v>
      </c>
      <c r="G17" s="53" t="str">
        <f>IF(Scoring!AH18="","",Scoring!AH18)</f>
        <v>OK</v>
      </c>
      <c r="H17" s="53" t="str">
        <f>IF(Scoring!AI18="","",Scoring!AI18)</f>
        <v>OK</v>
      </c>
      <c r="I17" s="53" t="str">
        <f>IF(Scoring!AJ18="","",Scoring!AJ18)</f>
        <v>OK</v>
      </c>
      <c r="J17" s="53" t="str">
        <f>IF(Scoring!AK18="","",Scoring!AK18)</f>
        <v>OK</v>
      </c>
    </row>
    <row r="18" spans="1:10" ht="15" customHeight="1" x14ac:dyDescent="0.2">
      <c r="A18" s="53" t="str">
        <f>IF(Scoring!A19="","",Scoring!A19)</f>
        <v>COST</v>
      </c>
      <c r="B18" s="54" t="str">
        <f>IF(Scoring!B19="","",Scoring!B19)</f>
        <v>Costco Wholesale Corp.</v>
      </c>
      <c r="C18" s="55">
        <f>IF(Scoring!C19="","",Scoring!C19)</f>
        <v>46245</v>
      </c>
      <c r="D18" s="56">
        <f>IF(Scoring!N19="","",Scoring!N19)</f>
        <v>4.1428571428571432</v>
      </c>
      <c r="E18" s="57">
        <f>IF(Scoring!AF19="","",Scoring!AF19)</f>
        <v>77.400000000000006</v>
      </c>
      <c r="F18" s="53" t="str">
        <f>IF(Scoring!AG19="","",Scoring!AG19)</f>
        <v>BUY</v>
      </c>
      <c r="G18" s="53" t="str">
        <f>IF(Scoring!AH19="","",Scoring!AH19)</f>
        <v>OK</v>
      </c>
      <c r="H18" s="53" t="str">
        <f>IF(Scoring!AI19="","",Scoring!AI19)</f>
        <v>OK</v>
      </c>
      <c r="I18" s="53" t="str">
        <f>IF(Scoring!AJ19="","",Scoring!AJ19)</f>
        <v>OK</v>
      </c>
      <c r="J18" s="53" t="str">
        <f>IF(Scoring!AK19="","",Scoring!AK19)</f>
        <v>OK</v>
      </c>
    </row>
    <row r="19" spans="1:10" ht="15" customHeight="1" x14ac:dyDescent="0.2">
      <c r="A19" s="53" t="str">
        <f>IF(Scoring!A20="","",Scoring!A20)</f>
        <v>V</v>
      </c>
      <c r="B19" s="54" t="str">
        <f>IF(Scoring!B20="","",Scoring!B20)</f>
        <v>Visa Inc.</v>
      </c>
      <c r="C19" s="55">
        <f>IF(Scoring!C20="","",Scoring!C20)</f>
        <v>46245</v>
      </c>
      <c r="D19" s="56">
        <f>IF(Scoring!N20="","",Scoring!N20)</f>
        <v>4.5714285714285712</v>
      </c>
      <c r="E19" s="57">
        <f>IF(Scoring!AF20="","",Scoring!AF20)</f>
        <v>86.399999999999991</v>
      </c>
      <c r="F19" s="53" t="str">
        <f>IF(Scoring!AG20="","",Scoring!AG20)</f>
        <v>STRONG BUY</v>
      </c>
      <c r="G19" s="53" t="str">
        <f>IF(Scoring!AH20="","",Scoring!AH20)</f>
        <v>OK</v>
      </c>
      <c r="H19" s="53" t="str">
        <f>IF(Scoring!AI20="","",Scoring!AI20)</f>
        <v>OK</v>
      </c>
      <c r="I19" s="53" t="str">
        <f>IF(Scoring!AJ20="","",Scoring!AJ20)</f>
        <v>OK</v>
      </c>
      <c r="J19" s="53" t="str">
        <f>IF(Scoring!AK20="","",Scoring!AK20)</f>
        <v>OK</v>
      </c>
    </row>
    <row r="20" spans="1:10" ht="15" customHeight="1" x14ac:dyDescent="0.2">
      <c r="A20" s="53" t="str">
        <f>IF(Scoring!A21="","",Scoring!A21)</f>
        <v>NEE</v>
      </c>
      <c r="B20" s="54" t="str">
        <f>IF(Scoring!B21="","",Scoring!B21)</f>
        <v>NextEra Energy Inc.</v>
      </c>
      <c r="C20" s="55">
        <f>IF(Scoring!C21="","",Scoring!C21)</f>
        <v>46245</v>
      </c>
      <c r="D20" s="56">
        <f>IF(Scoring!N21="","",Scoring!N21)</f>
        <v>2.5</v>
      </c>
      <c r="E20" s="57" t="str">
        <f>IF(Scoring!AF21="","",Scoring!AF21)</f>
        <v/>
      </c>
      <c r="F20" s="53" t="str">
        <f>IF(Scoring!AG21="","",Scoring!AG21)</f>
        <v/>
      </c>
      <c r="G20" s="53" t="str">
        <f>IF(Scoring!AH21="","",Scoring!AH21)</f>
        <v>FAIL</v>
      </c>
      <c r="H20" s="53" t="str">
        <f>IF(Scoring!AI21="","",Scoring!AI21)</f>
        <v>REVIEW</v>
      </c>
      <c r="I20" s="53" t="str">
        <f>IF(Scoring!AJ21="","",Scoring!AJ21)</f>
        <v>AVOID</v>
      </c>
      <c r="J20" s="53" t="str">
        <f>IF(Scoring!AK21="","",Scoring!AK21)</f>
        <v>OK</v>
      </c>
    </row>
    <row r="21" spans="1:10" ht="15" customHeight="1" x14ac:dyDescent="0.2">
      <c r="A21" s="53" t="str">
        <f>IF(Scoring!A22="","",Scoring!A22)</f>
        <v>CRK</v>
      </c>
      <c r="B21" s="54" t="str">
        <f>IF(Scoring!B22="","",Scoring!B22)</f>
        <v>Comstock Resources Inc.</v>
      </c>
      <c r="C21" s="55">
        <f>IF(Scoring!C22="","",Scoring!C22)</f>
        <v>46245</v>
      </c>
      <c r="D21" s="56">
        <f>IF(Scoring!N22="","",Scoring!N22)</f>
        <v>1.2142857142857142</v>
      </c>
      <c r="E21" s="57" t="str">
        <f>IF(Scoring!AF22="","",Scoring!AF22)</f>
        <v/>
      </c>
      <c r="F21" s="53" t="str">
        <f>IF(Scoring!AG22="","",Scoring!AG22)</f>
        <v/>
      </c>
      <c r="G21" s="53" t="str">
        <f>IF(Scoring!AH22="","",Scoring!AH22)</f>
        <v>FAIL</v>
      </c>
      <c r="H21" s="53" t="str">
        <f>IF(Scoring!AI22="","",Scoring!AI22)</f>
        <v>REVIEW</v>
      </c>
      <c r="I21" s="53" t="str">
        <f>IF(Scoring!AJ22="","",Scoring!AJ22)</f>
        <v>AVOID</v>
      </c>
      <c r="J21" s="53" t="str">
        <f>IF(Scoring!AK22="","",Scoring!AK22)</f>
        <v>OK</v>
      </c>
    </row>
    <row r="22" spans="1:10" ht="15" customHeight="1" x14ac:dyDescent="0.2">
      <c r="A22" s="53" t="str">
        <f>IF(Scoring!A23="","",Scoring!A23)</f>
        <v>ET</v>
      </c>
      <c r="B22" s="54" t="str">
        <f>IF(Scoring!B23="","",Scoring!B23)</f>
        <v>Energy Transfer LP</v>
      </c>
      <c r="C22" s="55">
        <f>IF(Scoring!C23="","",Scoring!C23)</f>
        <v>46245</v>
      </c>
      <c r="D22" s="56">
        <f>IF(Scoring!N23="","",Scoring!N23)</f>
        <v>4</v>
      </c>
      <c r="E22" s="57" t="str">
        <f>IF(Scoring!AF23="","",Scoring!AF23)</f>
        <v/>
      </c>
      <c r="F22" s="53" t="str">
        <f>IF(Scoring!AG23="","",Scoring!AG23)</f>
        <v/>
      </c>
      <c r="G22" s="53" t="str">
        <f>IF(Scoring!AH23="","",Scoring!AH23)</f>
        <v>OK</v>
      </c>
      <c r="H22" s="53" t="str">
        <f>IF(Scoring!AI23="","",Scoring!AI23)</f>
        <v>OK</v>
      </c>
      <c r="I22" s="53" t="str">
        <f>IF(Scoring!AJ23="","",Scoring!AJ23)</f>
        <v>OK</v>
      </c>
      <c r="J22" s="53" t="str">
        <f>IF(Scoring!AK23="","",Scoring!AK23)</f>
        <v>OK</v>
      </c>
    </row>
    <row r="23" spans="1:10" ht="15" customHeight="1" x14ac:dyDescent="0.2">
      <c r="A23" s="53" t="str">
        <f>IF(Scoring!A24="","",Scoring!A24)</f>
        <v>LBRT</v>
      </c>
      <c r="B23" s="54" t="str">
        <f>IF(Scoring!B24="","",Scoring!B24)</f>
        <v>Liberty Energy Inc.</v>
      </c>
      <c r="C23" s="55">
        <f>IF(Scoring!C24="","",Scoring!C24)</f>
        <v>46245</v>
      </c>
      <c r="D23" s="56">
        <f>IF(Scoring!N24="","",Scoring!N24)</f>
        <v>2.0714285714285716</v>
      </c>
      <c r="E23" s="57" t="str">
        <f>IF(Scoring!AF24="","",Scoring!AF24)</f>
        <v/>
      </c>
      <c r="F23" s="53" t="str">
        <f>IF(Scoring!AG24="","",Scoring!AG24)</f>
        <v/>
      </c>
      <c r="G23" s="53" t="str">
        <f>IF(Scoring!AH24="","",Scoring!AH24)</f>
        <v>FAIL</v>
      </c>
      <c r="H23" s="53" t="str">
        <f>IF(Scoring!AI24="","",Scoring!AI24)</f>
        <v>REVIEW</v>
      </c>
      <c r="I23" s="53" t="str">
        <f>IF(Scoring!AJ24="","",Scoring!AJ24)</f>
        <v>AVOID</v>
      </c>
      <c r="J23" s="53" t="str">
        <f>IF(Scoring!AK24="","",Scoring!AK24)</f>
        <v>OK</v>
      </c>
    </row>
    <row r="24" spans="1:10" ht="15" customHeight="1" x14ac:dyDescent="0.2">
      <c r="A24" s="53" t="str">
        <f>IF(Scoring!A25="","",Scoring!A25)</f>
        <v>NOV</v>
      </c>
      <c r="B24" s="54" t="str">
        <f>IF(Scoring!B25="","",Scoring!B25)</f>
        <v>NOV Inc.</v>
      </c>
      <c r="C24" s="55">
        <f>IF(Scoring!C25="","",Scoring!C25)</f>
        <v>46245</v>
      </c>
      <c r="D24" s="56">
        <f>IF(Scoring!N25="","",Scoring!N25)</f>
        <v>2.6428571428571432</v>
      </c>
      <c r="E24" s="57" t="str">
        <f>IF(Scoring!AF25="","",Scoring!AF25)</f>
        <v/>
      </c>
      <c r="F24" s="53" t="str">
        <f>IF(Scoring!AG25="","",Scoring!AG25)</f>
        <v/>
      </c>
      <c r="G24" s="53" t="str">
        <f>IF(Scoring!AH25="","",Scoring!AH25)</f>
        <v>FAIL</v>
      </c>
      <c r="H24" s="53" t="str">
        <f>IF(Scoring!AI25="","",Scoring!AI25)</f>
        <v>OK</v>
      </c>
      <c r="I24" s="53" t="str">
        <f>IF(Scoring!AJ25="","",Scoring!AJ25)</f>
        <v>AVOID</v>
      </c>
      <c r="J24" s="53" t="str">
        <f>IF(Scoring!AK25="","",Scoring!AK25)</f>
        <v>OK</v>
      </c>
    </row>
    <row r="25" spans="1:10" ht="15" customHeight="1" x14ac:dyDescent="0.2">
      <c r="A25" s="53" t="str">
        <f>IF(Scoring!A26="","",Scoring!A26)</f>
        <v>CE</v>
      </c>
      <c r="B25" s="54" t="str">
        <f>IF(Scoring!B26="","",Scoring!B26)</f>
        <v>Celanese Corp.</v>
      </c>
      <c r="C25" s="55">
        <f>IF(Scoring!C26="","",Scoring!C26)</f>
        <v>46245</v>
      </c>
      <c r="D25" s="56">
        <f>IF(Scoring!N26="","",Scoring!N26)</f>
        <v>1.7857142857142858</v>
      </c>
      <c r="E25" s="57" t="str">
        <f>IF(Scoring!AF26="","",Scoring!AF26)</f>
        <v/>
      </c>
      <c r="F25" s="53" t="str">
        <f>IF(Scoring!AG26="","",Scoring!AG26)</f>
        <v/>
      </c>
      <c r="G25" s="53" t="str">
        <f>IF(Scoring!AH26="","",Scoring!AH26)</f>
        <v>FAIL</v>
      </c>
      <c r="H25" s="53" t="str">
        <f>IF(Scoring!AI26="","",Scoring!AI26)</f>
        <v>REVIEW</v>
      </c>
      <c r="I25" s="53" t="str">
        <f>IF(Scoring!AJ26="","",Scoring!AJ26)</f>
        <v>AVOID</v>
      </c>
      <c r="J25" s="53" t="str">
        <f>IF(Scoring!AK26="","",Scoring!AK26)</f>
        <v>OK</v>
      </c>
    </row>
    <row r="26" spans="1:10" ht="15" customHeight="1" x14ac:dyDescent="0.2">
      <c r="A26" s="53" t="str">
        <f>IF(Scoring!A27="","",Scoring!A27)</f>
        <v>CLF</v>
      </c>
      <c r="B26" s="54" t="str">
        <f>IF(Scoring!B27="","",Scoring!B27)</f>
        <v>Cleveland-Cliffs Inc.</v>
      </c>
      <c r="C26" s="55">
        <f>IF(Scoring!C27="","",Scoring!C27)</f>
        <v>46245</v>
      </c>
      <c r="D26" s="56">
        <f>IF(Scoring!N27="","",Scoring!N27)</f>
        <v>1.8571428571428574</v>
      </c>
      <c r="E26" s="57" t="str">
        <f>IF(Scoring!AF27="","",Scoring!AF27)</f>
        <v/>
      </c>
      <c r="F26" s="53" t="str">
        <f>IF(Scoring!AG27="","",Scoring!AG27)</f>
        <v/>
      </c>
      <c r="G26" s="53" t="str">
        <f>IF(Scoring!AH27="","",Scoring!AH27)</f>
        <v>FAIL</v>
      </c>
      <c r="H26" s="53" t="str">
        <f>IF(Scoring!AI27="","",Scoring!AI27)</f>
        <v>REVIEW</v>
      </c>
      <c r="I26" s="53" t="str">
        <f>IF(Scoring!AJ27="","",Scoring!AJ27)</f>
        <v>AVOID</v>
      </c>
      <c r="J26" s="53" t="str">
        <f>IF(Scoring!AK27="","",Scoring!AK27)</f>
        <v>OK</v>
      </c>
    </row>
    <row r="28" spans="1:10" ht="30" customHeight="1" x14ac:dyDescent="0.2">
      <c r="A28" s="91" t="s">
        <v>191</v>
      </c>
      <c r="B28" s="91"/>
      <c r="C28" s="91"/>
      <c r="D28" s="91"/>
      <c r="E28" s="91"/>
      <c r="F28" s="91"/>
      <c r="G28" s="58"/>
      <c r="H28" s="58"/>
      <c r="I28" s="58"/>
      <c r="J28" s="58"/>
    </row>
  </sheetData>
  <mergeCells count="1">
    <mergeCell ref="A28:F28"/>
  </mergeCells>
  <conditionalFormatting sqref="F2:F26">
    <cfRule type="cellIs" dxfId="69" priority="2" operator="equal">
      <formula>"STRONG BUY"</formula>
    </cfRule>
    <cfRule type="cellIs" dxfId="68" priority="3" operator="equal">
      <formula>"BUY"</formula>
    </cfRule>
    <cfRule type="cellIs" dxfId="67" priority="4" operator="equal">
      <formula>"WATCH LIST"</formula>
    </cfRule>
    <cfRule type="cellIs" dxfId="66" priority="5" operator="equal">
      <formula>"AVOID"</formula>
    </cfRule>
    <cfRule type="cellIs" dxfId="65" priority="6" operator="equal">
      <formula>"PASS"</formula>
    </cfRule>
  </conditionalFormatting>
  <conditionalFormatting sqref="G2:G26">
    <cfRule type="cellIs" dxfId="64" priority="7" operator="equal">
      <formula>"FAIL"</formula>
    </cfRule>
  </conditionalFormatting>
  <conditionalFormatting sqref="H2:H26">
    <cfRule type="cellIs" dxfId="63" priority="9" operator="equal">
      <formula>"REVIEW"</formula>
    </cfRule>
  </conditionalFormatting>
  <conditionalFormatting sqref="I2:I26">
    <cfRule type="cellIs" dxfId="62" priority="8" operator="equal">
      <formula>"AVOID"</formula>
    </cfRule>
  </conditionalFormatting>
  <conditionalFormatting sqref="J2:J26">
    <cfRule type="cellIs" dxfId="61" priority="10" operator="equal">
      <formula>"CAP AT BUY"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60"/>
  <sheetViews>
    <sheetView showGridLines="0" tabSelected="1" zoomScaleNormal="100" workbookViewId="0">
      <pane xSplit="3" ySplit="2" topLeftCell="X3" activePane="bottomRight" state="frozen"/>
      <selection pane="topRight" activeCell="D1" sqref="D1"/>
      <selection pane="bottomLeft" activeCell="A3" sqref="A3"/>
      <selection pane="bottomRight"/>
    </sheetView>
  </sheetViews>
  <sheetFormatPr baseColWidth="10" defaultColWidth="8.6640625" defaultRowHeight="15" x14ac:dyDescent="0.2"/>
  <cols>
    <col min="1" max="1" width="8" customWidth="1"/>
    <col min="2" max="2" width="14" customWidth="1"/>
    <col min="3" max="3" width="10" customWidth="1"/>
    <col min="4" max="32" width="7.5" customWidth="1"/>
    <col min="33" max="33" width="12" customWidth="1"/>
    <col min="34" max="37" width="7.5" customWidth="1"/>
    <col min="38" max="38" width="15.33203125" bestFit="1" customWidth="1"/>
    <col min="39" max="39" width="25.1640625" bestFit="1" customWidth="1"/>
  </cols>
  <sheetData>
    <row r="1" spans="1:39" ht="15.75" customHeight="1" x14ac:dyDescent="0.2">
      <c r="D1" s="92" t="s">
        <v>192</v>
      </c>
      <c r="E1" s="92"/>
      <c r="F1" s="92"/>
      <c r="G1" s="92"/>
      <c r="H1" s="92"/>
      <c r="I1" s="92"/>
      <c r="J1" s="92"/>
      <c r="K1" s="92"/>
      <c r="L1" s="92"/>
      <c r="M1" s="92"/>
      <c r="N1" s="92"/>
      <c r="O1" s="92"/>
      <c r="P1" s="92" t="s">
        <v>193</v>
      </c>
      <c r="Q1" s="92"/>
      <c r="R1" s="92"/>
      <c r="S1" s="92"/>
      <c r="T1" s="92"/>
      <c r="U1" s="92"/>
      <c r="V1" s="92"/>
      <c r="W1" s="92"/>
      <c r="X1" s="92"/>
      <c r="Y1" s="92" t="s">
        <v>194</v>
      </c>
      <c r="Z1" s="92"/>
      <c r="AA1" s="92"/>
      <c r="AB1" s="92"/>
      <c r="AC1" s="92"/>
      <c r="AD1" s="92"/>
      <c r="AE1" s="92"/>
      <c r="AH1" s="93" t="s">
        <v>195</v>
      </c>
      <c r="AI1" s="93"/>
      <c r="AJ1" s="93"/>
      <c r="AK1" s="93"/>
      <c r="AL1" s="94" t="s">
        <v>196</v>
      </c>
      <c r="AM1" s="94"/>
    </row>
    <row r="2" spans="1:39" ht="30" customHeight="1" x14ac:dyDescent="0.2">
      <c r="A2" s="22" t="s">
        <v>71</v>
      </c>
      <c r="B2" s="22" t="s">
        <v>182</v>
      </c>
      <c r="C2" s="22" t="s">
        <v>197</v>
      </c>
      <c r="D2" s="22" t="s">
        <v>198</v>
      </c>
      <c r="E2" s="22" t="s">
        <v>199</v>
      </c>
      <c r="F2" s="22" t="s">
        <v>200</v>
      </c>
      <c r="G2" s="22" t="s">
        <v>199</v>
      </c>
      <c r="H2" s="22" t="s">
        <v>201</v>
      </c>
      <c r="I2" s="22" t="s">
        <v>199</v>
      </c>
      <c r="J2" s="22" t="s">
        <v>202</v>
      </c>
      <c r="K2" s="22" t="s">
        <v>199</v>
      </c>
      <c r="L2" s="22" t="s">
        <v>203</v>
      </c>
      <c r="M2" s="22" t="s">
        <v>199</v>
      </c>
      <c r="N2" s="22" t="s">
        <v>204</v>
      </c>
      <c r="O2" s="22" t="s">
        <v>205</v>
      </c>
      <c r="P2" s="22" t="s">
        <v>206</v>
      </c>
      <c r="Q2" s="22" t="s">
        <v>199</v>
      </c>
      <c r="R2" s="22" t="s">
        <v>207</v>
      </c>
      <c r="S2" s="22" t="s">
        <v>199</v>
      </c>
      <c r="T2" s="22" t="s">
        <v>208</v>
      </c>
      <c r="U2" s="22" t="s">
        <v>199</v>
      </c>
      <c r="V2" s="22" t="s">
        <v>209</v>
      </c>
      <c r="W2" s="22" t="s">
        <v>199</v>
      </c>
      <c r="X2" s="22" t="s">
        <v>210</v>
      </c>
      <c r="Y2" s="22" t="s">
        <v>211</v>
      </c>
      <c r="Z2" s="22" t="s">
        <v>199</v>
      </c>
      <c r="AA2" s="22" t="s">
        <v>212</v>
      </c>
      <c r="AB2" s="22" t="s">
        <v>199</v>
      </c>
      <c r="AC2" s="22" t="s">
        <v>213</v>
      </c>
      <c r="AD2" s="22" t="s">
        <v>199</v>
      </c>
      <c r="AE2" s="22" t="s">
        <v>214</v>
      </c>
      <c r="AF2" s="22" t="s">
        <v>215</v>
      </c>
      <c r="AG2" s="22" t="s">
        <v>186</v>
      </c>
      <c r="AH2" s="59" t="s">
        <v>216</v>
      </c>
      <c r="AI2" s="59" t="s">
        <v>217</v>
      </c>
      <c r="AJ2" s="59" t="s">
        <v>218</v>
      </c>
      <c r="AK2" s="59" t="s">
        <v>219</v>
      </c>
      <c r="AL2" s="59" t="s">
        <v>220</v>
      </c>
      <c r="AM2" s="59" t="s">
        <v>221</v>
      </c>
    </row>
    <row r="3" spans="1:39" ht="15" customHeight="1" x14ac:dyDescent="0.2">
      <c r="A3" s="26" t="s">
        <v>98</v>
      </c>
      <c r="B3" s="26" t="s">
        <v>99</v>
      </c>
      <c r="C3" s="46">
        <v>46240</v>
      </c>
      <c r="D3" s="26">
        <v>3</v>
      </c>
      <c r="E3" s="26" t="s">
        <v>222</v>
      </c>
      <c r="F3" s="26">
        <v>3</v>
      </c>
      <c r="G3" s="26" t="s">
        <v>222</v>
      </c>
      <c r="H3" s="26">
        <v>4</v>
      </c>
      <c r="I3" s="26" t="s">
        <v>223</v>
      </c>
      <c r="J3" s="26">
        <v>5</v>
      </c>
      <c r="K3" s="26" t="s">
        <v>223</v>
      </c>
      <c r="L3" s="26">
        <v>4</v>
      </c>
      <c r="M3" s="26" t="s">
        <v>222</v>
      </c>
      <c r="N3" s="60">
        <f t="shared" ref="N3:N34" si="0">IF(COUNT(D3,F3,H3,J3,L3)=0,"",(D3*0.2+F3*0.15+H3*0.15+J3*0.1+L3*0.1)/0.7)</f>
        <v>3.6428571428571428</v>
      </c>
      <c r="O3" s="61">
        <f t="shared" ref="O3:O34" si="1">IF(COUNT(D3,F3,H3,J3,L3)=0,"",D3*0.2+F3*0.15+H3*0.15+J3*0.1+L3*0.1)</f>
        <v>2.5499999999999998</v>
      </c>
      <c r="P3" s="26">
        <v>4</v>
      </c>
      <c r="Q3" s="26" t="s">
        <v>222</v>
      </c>
      <c r="R3" s="26">
        <v>5</v>
      </c>
      <c r="S3" s="26" t="s">
        <v>222</v>
      </c>
      <c r="T3" s="26">
        <v>5</v>
      </c>
      <c r="U3" s="26" t="s">
        <v>223</v>
      </c>
      <c r="V3" s="26">
        <v>1</v>
      </c>
      <c r="W3" s="26" t="s">
        <v>223</v>
      </c>
      <c r="X3" s="61">
        <f t="shared" ref="X3:X34" si="2">IF(COUNT(P3,R3,T3,V3)=0,"",P3*0.08+R3*0.06+T3*0.03+V3*0.08)</f>
        <v>0.85</v>
      </c>
      <c r="Y3" s="26">
        <v>5</v>
      </c>
      <c r="Z3" s="26" t="s">
        <v>223</v>
      </c>
      <c r="AA3" s="26">
        <v>3</v>
      </c>
      <c r="AB3" s="26" t="s">
        <v>222</v>
      </c>
      <c r="AC3" s="26">
        <v>3</v>
      </c>
      <c r="AD3" s="26" t="s">
        <v>224</v>
      </c>
      <c r="AE3" s="61">
        <f t="shared" ref="AE3:AE34" si="3">IF(COUNT(Y3,AA3,AC3)=0,"",Y3*0.02+AA3*0.02+AC3*0.01)</f>
        <v>0.19</v>
      </c>
      <c r="AF3" s="62">
        <f t="shared" ref="AF3:AF34" si="4">IF(OR(O3="",X3="",AE3=""),"",(O3+X3+AE3)*20)</f>
        <v>71.8</v>
      </c>
      <c r="AG3" s="48" t="str">
        <f t="shared" ref="AG3:AG34" si="5">IF(AF3="","",IF(AF3&gt;=80,"STRONG BUY",IF(AF3&gt;=65,"BUY",IF(AF3&gt;=50,"WATCH LIST",IF(AF3&gt;=35,"AVOID","PASS")))))</f>
        <v>BUY</v>
      </c>
      <c r="AH3" s="48" t="str">
        <f t="shared" ref="AH3:AH34" si="6">IF(N3="","",IF(N3&lt;3,"FAIL","OK"))</f>
        <v>OK</v>
      </c>
      <c r="AI3" s="48" t="str">
        <f t="shared" ref="AI3:AI34" si="7">IF(COUNT(D3:L3)=0,"",IF(COUNTIF(D3:L3,1)&gt;0,"REVIEW","OK"))</f>
        <v>OK</v>
      </c>
      <c r="AJ3" s="48" t="str">
        <f t="shared" ref="AJ3:AJ34" si="8">IF(COUNT(D3:L3)=0,"",IF(COUNTIF(D3:L3,"&lt;=2")&gt;=2,"AVOID","OK"))</f>
        <v>OK</v>
      </c>
      <c r="AK3" s="48" t="str">
        <f t="shared" ref="AK3:AK34" si="9">IF(COUNTA(E3:M3)=0,"",IF(COUNTIF(E3:M3,"L")&gt;=2,"CAP AT BUY","OK"))</f>
        <v>OK</v>
      </c>
      <c r="AL3" s="26" t="s">
        <v>225</v>
      </c>
      <c r="AM3" s="26" t="s">
        <v>226</v>
      </c>
    </row>
    <row r="4" spans="1:39" ht="15" customHeight="1" x14ac:dyDescent="0.2">
      <c r="A4" s="26" t="s">
        <v>128</v>
      </c>
      <c r="B4" s="26" t="s">
        <v>129</v>
      </c>
      <c r="C4" s="46">
        <v>46240</v>
      </c>
      <c r="D4" s="26">
        <v>3</v>
      </c>
      <c r="E4" s="26" t="s">
        <v>222</v>
      </c>
      <c r="F4" s="26">
        <v>4</v>
      </c>
      <c r="G4" s="26" t="s">
        <v>223</v>
      </c>
      <c r="H4" s="26">
        <v>5</v>
      </c>
      <c r="I4" s="26" t="s">
        <v>223</v>
      </c>
      <c r="J4" s="26">
        <v>4</v>
      </c>
      <c r="K4" s="26" t="s">
        <v>222</v>
      </c>
      <c r="L4" s="26">
        <v>5</v>
      </c>
      <c r="M4" s="26" t="s">
        <v>223</v>
      </c>
      <c r="N4" s="60">
        <f t="shared" si="0"/>
        <v>4.0714285714285721</v>
      </c>
      <c r="O4" s="61">
        <f t="shared" si="1"/>
        <v>2.85</v>
      </c>
      <c r="P4" s="26">
        <v>4</v>
      </c>
      <c r="Q4" s="26" t="s">
        <v>223</v>
      </c>
      <c r="R4" s="26">
        <v>4</v>
      </c>
      <c r="S4" s="26" t="s">
        <v>224</v>
      </c>
      <c r="T4" s="26">
        <v>4</v>
      </c>
      <c r="U4" s="26" t="s">
        <v>222</v>
      </c>
      <c r="V4" s="26">
        <v>4</v>
      </c>
      <c r="W4" s="26" t="s">
        <v>222</v>
      </c>
      <c r="X4" s="61">
        <f t="shared" si="2"/>
        <v>1</v>
      </c>
      <c r="Y4" s="26">
        <v>3</v>
      </c>
      <c r="Z4" s="26" t="s">
        <v>222</v>
      </c>
      <c r="AA4" s="26">
        <v>5</v>
      </c>
      <c r="AB4" s="26" t="s">
        <v>223</v>
      </c>
      <c r="AC4" s="26">
        <v>3</v>
      </c>
      <c r="AD4" s="26" t="s">
        <v>222</v>
      </c>
      <c r="AE4" s="61">
        <f t="shared" si="3"/>
        <v>0.19</v>
      </c>
      <c r="AF4" s="62">
        <f t="shared" si="4"/>
        <v>80.8</v>
      </c>
      <c r="AG4" s="48" t="str">
        <f t="shared" si="5"/>
        <v>STRONG BUY</v>
      </c>
      <c r="AH4" s="48" t="str">
        <f t="shared" si="6"/>
        <v>OK</v>
      </c>
      <c r="AI4" s="48" t="str">
        <f t="shared" si="7"/>
        <v>OK</v>
      </c>
      <c r="AJ4" s="48" t="str">
        <f t="shared" si="8"/>
        <v>OK</v>
      </c>
      <c r="AK4" s="48" t="str">
        <f t="shared" si="9"/>
        <v>OK</v>
      </c>
      <c r="AL4" s="26" t="s">
        <v>225</v>
      </c>
      <c r="AM4" s="26" t="s">
        <v>226</v>
      </c>
    </row>
    <row r="5" spans="1:39" ht="15" customHeight="1" x14ac:dyDescent="0.2">
      <c r="A5" s="26" t="s">
        <v>102</v>
      </c>
      <c r="B5" s="26" t="s">
        <v>103</v>
      </c>
      <c r="C5" s="46">
        <v>46240</v>
      </c>
      <c r="D5" s="26">
        <v>2</v>
      </c>
      <c r="E5" s="26" t="s">
        <v>223</v>
      </c>
      <c r="F5" s="26">
        <v>5</v>
      </c>
      <c r="G5" s="26" t="s">
        <v>223</v>
      </c>
      <c r="H5" s="26">
        <v>5</v>
      </c>
      <c r="I5" s="26" t="s">
        <v>222</v>
      </c>
      <c r="J5" s="26">
        <v>4</v>
      </c>
      <c r="K5" s="26" t="s">
        <v>222</v>
      </c>
      <c r="L5" s="26">
        <v>5</v>
      </c>
      <c r="M5" s="26" t="s">
        <v>223</v>
      </c>
      <c r="N5" s="60">
        <f t="shared" si="0"/>
        <v>4</v>
      </c>
      <c r="O5" s="61">
        <f t="shared" si="1"/>
        <v>2.8</v>
      </c>
      <c r="P5" s="26">
        <v>3</v>
      </c>
      <c r="Q5" s="26" t="s">
        <v>222</v>
      </c>
      <c r="R5" s="26">
        <v>5</v>
      </c>
      <c r="S5" s="26" t="s">
        <v>223</v>
      </c>
      <c r="T5" s="26">
        <v>3</v>
      </c>
      <c r="U5" s="26" t="s">
        <v>222</v>
      </c>
      <c r="V5" s="26">
        <v>2</v>
      </c>
      <c r="W5" s="26" t="s">
        <v>222</v>
      </c>
      <c r="X5" s="61">
        <f t="shared" si="2"/>
        <v>0.79</v>
      </c>
      <c r="Y5" s="26">
        <v>3</v>
      </c>
      <c r="Z5" s="26" t="s">
        <v>224</v>
      </c>
      <c r="AA5" s="26">
        <v>4</v>
      </c>
      <c r="AB5" s="26" t="s">
        <v>222</v>
      </c>
      <c r="AC5" s="26">
        <v>3</v>
      </c>
      <c r="AD5" s="26" t="s">
        <v>224</v>
      </c>
      <c r="AE5" s="61">
        <f t="shared" si="3"/>
        <v>0.17</v>
      </c>
      <c r="AF5" s="62">
        <f t="shared" si="4"/>
        <v>75.199999999999989</v>
      </c>
      <c r="AG5" s="48" t="str">
        <f t="shared" si="5"/>
        <v>BUY</v>
      </c>
      <c r="AH5" s="48" t="str">
        <f t="shared" si="6"/>
        <v>OK</v>
      </c>
      <c r="AI5" s="48" t="str">
        <f t="shared" si="7"/>
        <v>OK</v>
      </c>
      <c r="AJ5" s="48" t="str">
        <f t="shared" si="8"/>
        <v>OK</v>
      </c>
      <c r="AK5" s="48" t="str">
        <f t="shared" si="9"/>
        <v>OK</v>
      </c>
      <c r="AL5" s="26" t="s">
        <v>225</v>
      </c>
      <c r="AM5" s="26" t="s">
        <v>227</v>
      </c>
    </row>
    <row r="6" spans="1:39" ht="15" customHeight="1" x14ac:dyDescent="0.2">
      <c r="A6" s="26" t="s">
        <v>100</v>
      </c>
      <c r="B6" s="26" t="s">
        <v>101</v>
      </c>
      <c r="C6" s="46">
        <v>46240</v>
      </c>
      <c r="D6" s="26">
        <v>4</v>
      </c>
      <c r="E6" s="26" t="s">
        <v>223</v>
      </c>
      <c r="F6" s="26">
        <v>5</v>
      </c>
      <c r="G6" s="26" t="s">
        <v>223</v>
      </c>
      <c r="H6" s="26">
        <v>5</v>
      </c>
      <c r="I6" s="26" t="s">
        <v>223</v>
      </c>
      <c r="J6" s="26">
        <v>4</v>
      </c>
      <c r="K6" s="26" t="s">
        <v>223</v>
      </c>
      <c r="L6" s="26">
        <v>5</v>
      </c>
      <c r="M6" s="26" t="s">
        <v>223</v>
      </c>
      <c r="N6" s="60">
        <f t="shared" si="0"/>
        <v>4.5714285714285712</v>
      </c>
      <c r="O6" s="61">
        <f t="shared" si="1"/>
        <v>3.1999999999999997</v>
      </c>
      <c r="P6" s="26">
        <v>5</v>
      </c>
      <c r="Q6" s="26" t="s">
        <v>223</v>
      </c>
      <c r="R6" s="26">
        <v>5</v>
      </c>
      <c r="S6" s="26" t="s">
        <v>223</v>
      </c>
      <c r="T6" s="26">
        <v>5</v>
      </c>
      <c r="U6" s="26" t="s">
        <v>223</v>
      </c>
      <c r="V6" s="26">
        <v>5</v>
      </c>
      <c r="W6" s="26" t="s">
        <v>222</v>
      </c>
      <c r="X6" s="61">
        <f t="shared" si="2"/>
        <v>1.25</v>
      </c>
      <c r="Y6" s="26">
        <v>4</v>
      </c>
      <c r="Z6" s="26" t="s">
        <v>222</v>
      </c>
      <c r="AA6" s="26">
        <v>5</v>
      </c>
      <c r="AB6" s="26" t="s">
        <v>222</v>
      </c>
      <c r="AC6" s="26">
        <v>3</v>
      </c>
      <c r="AD6" s="26" t="s">
        <v>224</v>
      </c>
      <c r="AE6" s="61">
        <f t="shared" si="3"/>
        <v>0.21</v>
      </c>
      <c r="AF6" s="62">
        <f t="shared" si="4"/>
        <v>93.199999999999989</v>
      </c>
      <c r="AG6" s="48" t="str">
        <f t="shared" si="5"/>
        <v>STRONG BUY</v>
      </c>
      <c r="AH6" s="48" t="str">
        <f t="shared" si="6"/>
        <v>OK</v>
      </c>
      <c r="AI6" s="48" t="str">
        <f t="shared" si="7"/>
        <v>OK</v>
      </c>
      <c r="AJ6" s="48" t="str">
        <f t="shared" si="8"/>
        <v>OK</v>
      </c>
      <c r="AK6" s="48" t="str">
        <f t="shared" si="9"/>
        <v>OK</v>
      </c>
      <c r="AL6" s="26" t="s">
        <v>225</v>
      </c>
      <c r="AM6" s="26" t="s">
        <v>226</v>
      </c>
    </row>
    <row r="7" spans="1:39" ht="15" customHeight="1" x14ac:dyDescent="0.2">
      <c r="A7" s="26" t="s">
        <v>130</v>
      </c>
      <c r="B7" s="26" t="s">
        <v>131</v>
      </c>
      <c r="C7" s="46">
        <v>46241</v>
      </c>
      <c r="D7" s="26">
        <v>4</v>
      </c>
      <c r="E7" s="26" t="s">
        <v>223</v>
      </c>
      <c r="F7" s="26">
        <v>3</v>
      </c>
      <c r="G7" s="26" t="s">
        <v>222</v>
      </c>
      <c r="H7" s="26">
        <v>4</v>
      </c>
      <c r="I7" s="26" t="s">
        <v>222</v>
      </c>
      <c r="J7" s="26">
        <v>4</v>
      </c>
      <c r="K7" s="26" t="s">
        <v>222</v>
      </c>
      <c r="L7" s="26">
        <v>4</v>
      </c>
      <c r="M7" s="26" t="s">
        <v>223</v>
      </c>
      <c r="N7" s="60">
        <f t="shared" si="0"/>
        <v>3.785714285714286</v>
      </c>
      <c r="O7" s="61">
        <f t="shared" si="1"/>
        <v>2.65</v>
      </c>
      <c r="P7" s="26">
        <v>3</v>
      </c>
      <c r="Q7" s="26" t="s">
        <v>222</v>
      </c>
      <c r="R7" s="26">
        <v>4</v>
      </c>
      <c r="S7" s="26" t="s">
        <v>222</v>
      </c>
      <c r="T7" s="26">
        <v>4</v>
      </c>
      <c r="U7" s="26" t="s">
        <v>222</v>
      </c>
      <c r="V7" s="26">
        <v>4</v>
      </c>
      <c r="W7" s="26" t="s">
        <v>222</v>
      </c>
      <c r="X7" s="61">
        <f t="shared" si="2"/>
        <v>0.91999999999999993</v>
      </c>
      <c r="Y7" s="26">
        <v>4</v>
      </c>
      <c r="Z7" s="26" t="s">
        <v>222</v>
      </c>
      <c r="AA7" s="26">
        <v>5</v>
      </c>
      <c r="AB7" s="26" t="s">
        <v>223</v>
      </c>
      <c r="AC7" s="26">
        <v>3</v>
      </c>
      <c r="AD7" s="26" t="s">
        <v>224</v>
      </c>
      <c r="AE7" s="61">
        <f t="shared" si="3"/>
        <v>0.21</v>
      </c>
      <c r="AF7" s="62">
        <f t="shared" si="4"/>
        <v>75.599999999999994</v>
      </c>
      <c r="AG7" s="48" t="str">
        <f t="shared" si="5"/>
        <v>BUY</v>
      </c>
      <c r="AH7" s="48" t="str">
        <f t="shared" si="6"/>
        <v>OK</v>
      </c>
      <c r="AI7" s="48" t="str">
        <f t="shared" si="7"/>
        <v>OK</v>
      </c>
      <c r="AJ7" s="48" t="str">
        <f t="shared" si="8"/>
        <v>OK</v>
      </c>
      <c r="AK7" s="48" t="str">
        <f t="shared" si="9"/>
        <v>OK</v>
      </c>
      <c r="AL7" s="26" t="s">
        <v>228</v>
      </c>
      <c r="AM7" s="26" t="s">
        <v>229</v>
      </c>
    </row>
    <row r="8" spans="1:39" ht="15" customHeight="1" x14ac:dyDescent="0.2">
      <c r="A8" s="26" t="s">
        <v>137</v>
      </c>
      <c r="B8" s="26" t="s">
        <v>230</v>
      </c>
      <c r="C8" s="46">
        <v>46240</v>
      </c>
      <c r="D8" s="26">
        <v>4</v>
      </c>
      <c r="E8" s="26" t="s">
        <v>222</v>
      </c>
      <c r="F8" s="26">
        <v>4</v>
      </c>
      <c r="G8" s="26" t="s">
        <v>222</v>
      </c>
      <c r="H8" s="26">
        <v>5</v>
      </c>
      <c r="I8" s="26" t="s">
        <v>223</v>
      </c>
      <c r="J8" s="26">
        <v>4</v>
      </c>
      <c r="K8" s="26" t="s">
        <v>222</v>
      </c>
      <c r="L8" s="26">
        <v>5</v>
      </c>
      <c r="M8" s="26" t="s">
        <v>223</v>
      </c>
      <c r="N8" s="60">
        <f t="shared" si="0"/>
        <v>4.3571428571428568</v>
      </c>
      <c r="O8" s="61">
        <f t="shared" si="1"/>
        <v>3.05</v>
      </c>
      <c r="P8" s="26">
        <v>5</v>
      </c>
      <c r="Q8" s="26" t="s">
        <v>223</v>
      </c>
      <c r="R8" s="26">
        <v>3</v>
      </c>
      <c r="S8" s="26" t="s">
        <v>224</v>
      </c>
      <c r="T8" s="26">
        <v>4</v>
      </c>
      <c r="U8" s="26" t="s">
        <v>224</v>
      </c>
      <c r="V8" s="26">
        <v>2</v>
      </c>
      <c r="W8" s="26" t="s">
        <v>223</v>
      </c>
      <c r="X8" s="61">
        <f t="shared" si="2"/>
        <v>0.8600000000000001</v>
      </c>
      <c r="Y8" s="26">
        <v>4</v>
      </c>
      <c r="Z8" s="26" t="s">
        <v>224</v>
      </c>
      <c r="AA8" s="26">
        <v>4</v>
      </c>
      <c r="AB8" s="26" t="s">
        <v>222</v>
      </c>
      <c r="AC8" s="26">
        <v>3</v>
      </c>
      <c r="AD8" s="26" t="s">
        <v>224</v>
      </c>
      <c r="AE8" s="61">
        <f t="shared" si="3"/>
        <v>0.19</v>
      </c>
      <c r="AF8" s="62">
        <f t="shared" si="4"/>
        <v>82.000000000000014</v>
      </c>
      <c r="AG8" s="48" t="str">
        <f t="shared" si="5"/>
        <v>STRONG BUY</v>
      </c>
      <c r="AH8" s="48" t="str">
        <f t="shared" si="6"/>
        <v>OK</v>
      </c>
      <c r="AI8" s="48" t="str">
        <f t="shared" si="7"/>
        <v>OK</v>
      </c>
      <c r="AJ8" s="48" t="str">
        <f t="shared" si="8"/>
        <v>OK</v>
      </c>
      <c r="AK8" s="48" t="str">
        <f t="shared" si="9"/>
        <v>OK</v>
      </c>
      <c r="AL8" s="26" t="s">
        <v>231</v>
      </c>
      <c r="AM8" s="26" t="s">
        <v>232</v>
      </c>
    </row>
    <row r="9" spans="1:39" ht="15" customHeight="1" x14ac:dyDescent="0.2">
      <c r="A9" s="26" t="s">
        <v>140</v>
      </c>
      <c r="B9" s="26" t="s">
        <v>141</v>
      </c>
      <c r="C9" s="46">
        <v>46240</v>
      </c>
      <c r="D9" s="26">
        <v>2</v>
      </c>
      <c r="E9" s="26" t="s">
        <v>222</v>
      </c>
      <c r="F9" s="26">
        <v>2</v>
      </c>
      <c r="G9" s="26" t="s">
        <v>222</v>
      </c>
      <c r="H9" s="26">
        <v>2</v>
      </c>
      <c r="I9" s="26" t="s">
        <v>222</v>
      </c>
      <c r="J9" s="26">
        <v>2</v>
      </c>
      <c r="K9" s="26" t="s">
        <v>222</v>
      </c>
      <c r="L9" s="26">
        <v>1</v>
      </c>
      <c r="M9" s="26" t="s">
        <v>223</v>
      </c>
      <c r="N9" s="60">
        <f t="shared" si="0"/>
        <v>1.8571428571428574</v>
      </c>
      <c r="O9" s="61">
        <f t="shared" si="1"/>
        <v>1.3</v>
      </c>
      <c r="P9" s="26"/>
      <c r="Q9" s="26"/>
      <c r="R9" s="26"/>
      <c r="S9" s="26"/>
      <c r="T9" s="26"/>
      <c r="U9" s="26"/>
      <c r="V9" s="26"/>
      <c r="W9" s="26"/>
      <c r="X9" s="61" t="str">
        <f t="shared" si="2"/>
        <v/>
      </c>
      <c r="Y9" s="26"/>
      <c r="Z9" s="26"/>
      <c r="AA9" s="26"/>
      <c r="AB9" s="26"/>
      <c r="AC9" s="26"/>
      <c r="AD9" s="26"/>
      <c r="AE9" s="61" t="str">
        <f t="shared" si="3"/>
        <v/>
      </c>
      <c r="AF9" s="62" t="str">
        <f t="shared" si="4"/>
        <v/>
      </c>
      <c r="AG9" s="48" t="str">
        <f t="shared" si="5"/>
        <v/>
      </c>
      <c r="AH9" s="48" t="str">
        <f t="shared" si="6"/>
        <v>FAIL</v>
      </c>
      <c r="AI9" s="48" t="str">
        <f t="shared" si="7"/>
        <v>REVIEW</v>
      </c>
      <c r="AJ9" s="48" t="str">
        <f t="shared" si="8"/>
        <v>AVOID</v>
      </c>
      <c r="AK9" s="48" t="str">
        <f t="shared" si="9"/>
        <v>OK</v>
      </c>
      <c r="AL9" s="26" t="s">
        <v>233</v>
      </c>
      <c r="AM9" s="26" t="s">
        <v>234</v>
      </c>
    </row>
    <row r="10" spans="1:39" ht="15" customHeight="1" x14ac:dyDescent="0.2">
      <c r="A10" s="26" t="s">
        <v>151</v>
      </c>
      <c r="B10" s="26" t="s">
        <v>152</v>
      </c>
      <c r="C10" s="46">
        <v>46240</v>
      </c>
      <c r="D10" s="26">
        <v>2</v>
      </c>
      <c r="E10" s="26" t="s">
        <v>222</v>
      </c>
      <c r="F10" s="26">
        <v>4</v>
      </c>
      <c r="G10" s="26" t="s">
        <v>223</v>
      </c>
      <c r="H10" s="26">
        <v>3</v>
      </c>
      <c r="I10" s="26" t="s">
        <v>222</v>
      </c>
      <c r="J10" s="26">
        <v>2</v>
      </c>
      <c r="K10" s="26" t="s">
        <v>222</v>
      </c>
      <c r="L10" s="26">
        <v>2</v>
      </c>
      <c r="M10" s="26" t="s">
        <v>223</v>
      </c>
      <c r="N10" s="60">
        <f t="shared" si="0"/>
        <v>2.6428571428571428</v>
      </c>
      <c r="O10" s="61">
        <f t="shared" si="1"/>
        <v>1.8499999999999999</v>
      </c>
      <c r="P10" s="26"/>
      <c r="Q10" s="26"/>
      <c r="R10" s="26"/>
      <c r="S10" s="26"/>
      <c r="T10" s="26"/>
      <c r="U10" s="26"/>
      <c r="V10" s="26"/>
      <c r="W10" s="26"/>
      <c r="X10" s="61" t="str">
        <f t="shared" si="2"/>
        <v/>
      </c>
      <c r="Y10" s="26"/>
      <c r="Z10" s="26"/>
      <c r="AA10" s="26"/>
      <c r="AB10" s="26"/>
      <c r="AC10" s="26"/>
      <c r="AD10" s="26"/>
      <c r="AE10" s="61" t="str">
        <f t="shared" si="3"/>
        <v/>
      </c>
      <c r="AF10" s="62" t="str">
        <f t="shared" si="4"/>
        <v/>
      </c>
      <c r="AG10" s="48" t="str">
        <f t="shared" si="5"/>
        <v/>
      </c>
      <c r="AH10" s="48" t="str">
        <f t="shared" si="6"/>
        <v>FAIL</v>
      </c>
      <c r="AI10" s="48" t="str">
        <f t="shared" si="7"/>
        <v>OK</v>
      </c>
      <c r="AJ10" s="48" t="str">
        <f t="shared" si="8"/>
        <v>AVOID</v>
      </c>
      <c r="AK10" s="48" t="str">
        <f t="shared" si="9"/>
        <v>OK</v>
      </c>
      <c r="AL10" s="26" t="s">
        <v>235</v>
      </c>
      <c r="AM10" s="26" t="s">
        <v>236</v>
      </c>
    </row>
    <row r="11" spans="1:39" ht="15" customHeight="1" x14ac:dyDescent="0.2">
      <c r="A11" s="26" t="s">
        <v>143</v>
      </c>
      <c r="B11" s="26" t="s">
        <v>144</v>
      </c>
      <c r="C11" s="46">
        <v>46240</v>
      </c>
      <c r="D11" s="26">
        <v>1</v>
      </c>
      <c r="E11" s="26" t="s">
        <v>223</v>
      </c>
      <c r="F11" s="26">
        <v>2</v>
      </c>
      <c r="G11" s="26" t="s">
        <v>222</v>
      </c>
      <c r="H11" s="26">
        <v>3</v>
      </c>
      <c r="I11" s="26" t="s">
        <v>222</v>
      </c>
      <c r="J11" s="26">
        <v>3</v>
      </c>
      <c r="K11" s="26" t="s">
        <v>222</v>
      </c>
      <c r="L11" s="26">
        <v>1</v>
      </c>
      <c r="M11" s="26" t="s">
        <v>223</v>
      </c>
      <c r="N11" s="60">
        <f t="shared" si="0"/>
        <v>1.9285714285714288</v>
      </c>
      <c r="O11" s="61">
        <f t="shared" si="1"/>
        <v>1.35</v>
      </c>
      <c r="P11" s="26"/>
      <c r="Q11" s="26"/>
      <c r="R11" s="26"/>
      <c r="S11" s="26"/>
      <c r="T11" s="26"/>
      <c r="U11" s="26"/>
      <c r="V11" s="26"/>
      <c r="W11" s="26"/>
      <c r="X11" s="61" t="str">
        <f t="shared" si="2"/>
        <v/>
      </c>
      <c r="Y11" s="26"/>
      <c r="Z11" s="26"/>
      <c r="AA11" s="26"/>
      <c r="AB11" s="26"/>
      <c r="AC11" s="26"/>
      <c r="AD11" s="26"/>
      <c r="AE11" s="61" t="str">
        <f t="shared" si="3"/>
        <v/>
      </c>
      <c r="AF11" s="62" t="str">
        <f t="shared" si="4"/>
        <v/>
      </c>
      <c r="AG11" s="48" t="str">
        <f t="shared" si="5"/>
        <v/>
      </c>
      <c r="AH11" s="48" t="str">
        <f t="shared" si="6"/>
        <v>FAIL</v>
      </c>
      <c r="AI11" s="48" t="str">
        <f t="shared" si="7"/>
        <v>REVIEW</v>
      </c>
      <c r="AJ11" s="48" t="str">
        <f t="shared" si="8"/>
        <v>AVOID</v>
      </c>
      <c r="AK11" s="48" t="str">
        <f t="shared" si="9"/>
        <v>OK</v>
      </c>
      <c r="AL11" s="26" t="s">
        <v>235</v>
      </c>
      <c r="AM11" s="26" t="s">
        <v>237</v>
      </c>
    </row>
    <row r="12" spans="1:39" ht="15" customHeight="1" x14ac:dyDescent="0.2">
      <c r="A12" s="26" t="s">
        <v>85</v>
      </c>
      <c r="B12" s="26" t="s">
        <v>86</v>
      </c>
      <c r="C12" s="46">
        <v>46240</v>
      </c>
      <c r="D12" s="26">
        <v>5</v>
      </c>
      <c r="E12" s="26" t="s">
        <v>223</v>
      </c>
      <c r="F12" s="26">
        <v>4</v>
      </c>
      <c r="G12" s="26" t="s">
        <v>223</v>
      </c>
      <c r="H12" s="26">
        <v>4</v>
      </c>
      <c r="I12" s="26" t="s">
        <v>222</v>
      </c>
      <c r="J12" s="26">
        <v>5</v>
      </c>
      <c r="K12" s="26" t="s">
        <v>223</v>
      </c>
      <c r="L12" s="26">
        <v>5</v>
      </c>
      <c r="M12" s="26" t="s">
        <v>223</v>
      </c>
      <c r="N12" s="60">
        <f t="shared" si="0"/>
        <v>4.5714285714285721</v>
      </c>
      <c r="O12" s="61">
        <f t="shared" si="1"/>
        <v>3.2</v>
      </c>
      <c r="P12" s="26">
        <v>3</v>
      </c>
      <c r="Q12" s="26" t="s">
        <v>222</v>
      </c>
      <c r="R12" s="26">
        <v>5</v>
      </c>
      <c r="S12" s="26" t="s">
        <v>223</v>
      </c>
      <c r="T12" s="26">
        <v>1</v>
      </c>
      <c r="U12" s="26" t="s">
        <v>223</v>
      </c>
      <c r="V12" s="26">
        <v>5</v>
      </c>
      <c r="W12" s="26" t="s">
        <v>223</v>
      </c>
      <c r="X12" s="61">
        <f t="shared" si="2"/>
        <v>0.97000000000000008</v>
      </c>
      <c r="Y12" s="26">
        <v>2</v>
      </c>
      <c r="Z12" s="26" t="s">
        <v>222</v>
      </c>
      <c r="AA12" s="26">
        <v>3</v>
      </c>
      <c r="AB12" s="26" t="s">
        <v>222</v>
      </c>
      <c r="AC12" s="26">
        <v>2</v>
      </c>
      <c r="AD12" s="26" t="s">
        <v>224</v>
      </c>
      <c r="AE12" s="61">
        <f t="shared" si="3"/>
        <v>0.12000000000000001</v>
      </c>
      <c r="AF12" s="62">
        <f t="shared" si="4"/>
        <v>85.8</v>
      </c>
      <c r="AG12" s="48" t="str">
        <f t="shared" si="5"/>
        <v>STRONG BUY</v>
      </c>
      <c r="AH12" s="48" t="str">
        <f t="shared" si="6"/>
        <v>OK</v>
      </c>
      <c r="AI12" s="48" t="str">
        <f t="shared" si="7"/>
        <v>OK</v>
      </c>
      <c r="AJ12" s="48" t="str">
        <f t="shared" si="8"/>
        <v>OK</v>
      </c>
      <c r="AK12" s="48" t="str">
        <f t="shared" si="9"/>
        <v>OK</v>
      </c>
      <c r="AL12" s="26" t="s">
        <v>225</v>
      </c>
      <c r="AM12" s="26" t="s">
        <v>238</v>
      </c>
    </row>
    <row r="13" spans="1:39" ht="15" customHeight="1" x14ac:dyDescent="0.2">
      <c r="A13" s="26" t="s">
        <v>90</v>
      </c>
      <c r="B13" s="26" t="s">
        <v>91</v>
      </c>
      <c r="C13" s="46">
        <v>46240</v>
      </c>
      <c r="D13" s="26">
        <v>4</v>
      </c>
      <c r="E13" s="26" t="s">
        <v>222</v>
      </c>
      <c r="F13" s="26">
        <v>5</v>
      </c>
      <c r="G13" s="26" t="s">
        <v>223</v>
      </c>
      <c r="H13" s="26">
        <v>5</v>
      </c>
      <c r="I13" s="26" t="s">
        <v>223</v>
      </c>
      <c r="J13" s="26">
        <v>4</v>
      </c>
      <c r="K13" s="26" t="s">
        <v>222</v>
      </c>
      <c r="L13" s="26">
        <v>5</v>
      </c>
      <c r="M13" s="26" t="s">
        <v>223</v>
      </c>
      <c r="N13" s="60">
        <f t="shared" si="0"/>
        <v>4.5714285714285712</v>
      </c>
      <c r="O13" s="61">
        <f t="shared" si="1"/>
        <v>3.1999999999999997</v>
      </c>
      <c r="P13" s="26">
        <v>4</v>
      </c>
      <c r="Q13" s="26" t="s">
        <v>223</v>
      </c>
      <c r="R13" s="26">
        <v>5</v>
      </c>
      <c r="S13" s="26" t="s">
        <v>223</v>
      </c>
      <c r="T13" s="26">
        <v>5</v>
      </c>
      <c r="U13" s="26" t="s">
        <v>222</v>
      </c>
      <c r="V13" s="26">
        <v>1</v>
      </c>
      <c r="W13" s="26" t="s">
        <v>223</v>
      </c>
      <c r="X13" s="61">
        <f t="shared" si="2"/>
        <v>0.85</v>
      </c>
      <c r="Y13" s="26">
        <v>4</v>
      </c>
      <c r="Z13" s="26" t="s">
        <v>222</v>
      </c>
      <c r="AA13" s="26">
        <v>5</v>
      </c>
      <c r="AB13" s="26" t="s">
        <v>223</v>
      </c>
      <c r="AC13" s="26">
        <v>2</v>
      </c>
      <c r="AD13" s="26" t="s">
        <v>222</v>
      </c>
      <c r="AE13" s="61">
        <f t="shared" si="3"/>
        <v>0.19999999999999998</v>
      </c>
      <c r="AF13" s="62">
        <f t="shared" si="4"/>
        <v>85</v>
      </c>
      <c r="AG13" s="48" t="str">
        <f t="shared" si="5"/>
        <v>STRONG BUY</v>
      </c>
      <c r="AH13" s="48" t="str">
        <f t="shared" si="6"/>
        <v>OK</v>
      </c>
      <c r="AI13" s="48" t="str">
        <f t="shared" si="7"/>
        <v>OK</v>
      </c>
      <c r="AJ13" s="48" t="str">
        <f t="shared" si="8"/>
        <v>OK</v>
      </c>
      <c r="AK13" s="48" t="str">
        <f t="shared" si="9"/>
        <v>OK</v>
      </c>
      <c r="AL13" s="26" t="s">
        <v>225</v>
      </c>
      <c r="AM13" s="26" t="s">
        <v>239</v>
      </c>
    </row>
    <row r="14" spans="1:39" ht="15" customHeight="1" x14ac:dyDescent="0.2">
      <c r="A14" s="26" t="s">
        <v>92</v>
      </c>
      <c r="B14" s="26" t="s">
        <v>93</v>
      </c>
      <c r="C14" s="46">
        <v>46240</v>
      </c>
      <c r="D14" s="26">
        <v>3</v>
      </c>
      <c r="E14" s="26" t="s">
        <v>222</v>
      </c>
      <c r="F14" s="26">
        <v>3</v>
      </c>
      <c r="G14" s="26" t="s">
        <v>222</v>
      </c>
      <c r="H14" s="26">
        <v>5</v>
      </c>
      <c r="I14" s="26" t="s">
        <v>223</v>
      </c>
      <c r="J14" s="26">
        <v>4</v>
      </c>
      <c r="K14" s="26" t="s">
        <v>222</v>
      </c>
      <c r="L14" s="26">
        <v>3</v>
      </c>
      <c r="M14" s="26" t="s">
        <v>222</v>
      </c>
      <c r="N14" s="60">
        <f t="shared" si="0"/>
        <v>3.5714285714285716</v>
      </c>
      <c r="O14" s="61">
        <f t="shared" si="1"/>
        <v>2.5</v>
      </c>
      <c r="P14" s="26">
        <v>4</v>
      </c>
      <c r="Q14" s="26" t="s">
        <v>222</v>
      </c>
      <c r="R14" s="26">
        <v>5</v>
      </c>
      <c r="S14" s="26" t="s">
        <v>223</v>
      </c>
      <c r="T14" s="26">
        <v>5</v>
      </c>
      <c r="U14" s="26" t="s">
        <v>223</v>
      </c>
      <c r="V14" s="26">
        <v>2</v>
      </c>
      <c r="W14" s="26" t="s">
        <v>222</v>
      </c>
      <c r="X14" s="61">
        <f t="shared" si="2"/>
        <v>0.93</v>
      </c>
      <c r="Y14" s="26">
        <v>5</v>
      </c>
      <c r="Z14" s="26" t="s">
        <v>222</v>
      </c>
      <c r="AA14" s="26">
        <v>5</v>
      </c>
      <c r="AB14" s="26" t="s">
        <v>223</v>
      </c>
      <c r="AC14" s="26">
        <v>3</v>
      </c>
      <c r="AD14" s="26" t="s">
        <v>224</v>
      </c>
      <c r="AE14" s="61">
        <f t="shared" si="3"/>
        <v>0.23</v>
      </c>
      <c r="AF14" s="62">
        <f t="shared" si="4"/>
        <v>73.2</v>
      </c>
      <c r="AG14" s="48" t="str">
        <f t="shared" si="5"/>
        <v>BUY</v>
      </c>
      <c r="AH14" s="48" t="str">
        <f t="shared" si="6"/>
        <v>OK</v>
      </c>
      <c r="AI14" s="48" t="str">
        <f t="shared" si="7"/>
        <v>OK</v>
      </c>
      <c r="AJ14" s="48" t="str">
        <f t="shared" si="8"/>
        <v>OK</v>
      </c>
      <c r="AK14" s="48" t="str">
        <f t="shared" si="9"/>
        <v>OK</v>
      </c>
      <c r="AL14" s="26" t="s">
        <v>225</v>
      </c>
      <c r="AM14" s="26" t="s">
        <v>240</v>
      </c>
    </row>
    <row r="15" spans="1:39" ht="15" customHeight="1" x14ac:dyDescent="0.2">
      <c r="A15" s="26" t="s">
        <v>94</v>
      </c>
      <c r="B15" s="26" t="s">
        <v>95</v>
      </c>
      <c r="C15" s="46">
        <v>46240</v>
      </c>
      <c r="D15" s="26">
        <v>3</v>
      </c>
      <c r="E15" s="26" t="s">
        <v>222</v>
      </c>
      <c r="F15" s="26">
        <v>4</v>
      </c>
      <c r="G15" s="26" t="s">
        <v>222</v>
      </c>
      <c r="H15" s="26">
        <v>4</v>
      </c>
      <c r="I15" s="26" t="s">
        <v>222</v>
      </c>
      <c r="J15" s="26">
        <v>5</v>
      </c>
      <c r="K15" s="26" t="s">
        <v>223</v>
      </c>
      <c r="L15" s="26">
        <v>5</v>
      </c>
      <c r="M15" s="26" t="s">
        <v>223</v>
      </c>
      <c r="N15" s="60">
        <f t="shared" si="0"/>
        <v>4.0000000000000009</v>
      </c>
      <c r="O15" s="61">
        <f t="shared" si="1"/>
        <v>2.8000000000000003</v>
      </c>
      <c r="P15" s="26">
        <v>3</v>
      </c>
      <c r="Q15" s="26" t="s">
        <v>222</v>
      </c>
      <c r="R15" s="26">
        <v>2</v>
      </c>
      <c r="S15" s="26" t="s">
        <v>222</v>
      </c>
      <c r="T15" s="26">
        <v>4</v>
      </c>
      <c r="U15" s="26" t="s">
        <v>223</v>
      </c>
      <c r="V15" s="26">
        <v>1</v>
      </c>
      <c r="W15" s="26" t="s">
        <v>223</v>
      </c>
      <c r="X15" s="61">
        <f t="shared" si="2"/>
        <v>0.55999999999999994</v>
      </c>
      <c r="Y15" s="26">
        <v>4</v>
      </c>
      <c r="Z15" s="26" t="s">
        <v>222</v>
      </c>
      <c r="AA15" s="26">
        <v>3</v>
      </c>
      <c r="AB15" s="26" t="s">
        <v>222</v>
      </c>
      <c r="AC15" s="26">
        <v>2</v>
      </c>
      <c r="AD15" s="26" t="s">
        <v>222</v>
      </c>
      <c r="AE15" s="61">
        <f t="shared" si="3"/>
        <v>0.16</v>
      </c>
      <c r="AF15" s="62">
        <f t="shared" si="4"/>
        <v>70.400000000000006</v>
      </c>
      <c r="AG15" s="48" t="str">
        <f t="shared" si="5"/>
        <v>BUY</v>
      </c>
      <c r="AH15" s="48" t="str">
        <f t="shared" si="6"/>
        <v>OK</v>
      </c>
      <c r="AI15" s="48" t="str">
        <f t="shared" si="7"/>
        <v>OK</v>
      </c>
      <c r="AJ15" s="48" t="str">
        <f t="shared" si="8"/>
        <v>OK</v>
      </c>
      <c r="AK15" s="48" t="str">
        <f t="shared" si="9"/>
        <v>OK</v>
      </c>
      <c r="AL15" s="26" t="s">
        <v>225</v>
      </c>
      <c r="AM15" s="26" t="s">
        <v>227</v>
      </c>
    </row>
    <row r="16" spans="1:39" ht="15" customHeight="1" x14ac:dyDescent="0.2">
      <c r="A16" s="26" t="s">
        <v>96</v>
      </c>
      <c r="B16" s="26" t="s">
        <v>97</v>
      </c>
      <c r="C16" s="46">
        <v>46240</v>
      </c>
      <c r="D16" s="26">
        <v>2</v>
      </c>
      <c r="E16" s="26" t="s">
        <v>222</v>
      </c>
      <c r="F16" s="26">
        <v>3</v>
      </c>
      <c r="G16" s="26" t="s">
        <v>222</v>
      </c>
      <c r="H16" s="26">
        <v>5</v>
      </c>
      <c r="I16" s="26" t="s">
        <v>223</v>
      </c>
      <c r="J16" s="26">
        <v>3</v>
      </c>
      <c r="K16" s="26" t="s">
        <v>222</v>
      </c>
      <c r="L16" s="26">
        <v>5</v>
      </c>
      <c r="M16" s="26" t="s">
        <v>223</v>
      </c>
      <c r="N16" s="60">
        <f t="shared" si="0"/>
        <v>3.4285714285714293</v>
      </c>
      <c r="O16" s="61">
        <f t="shared" si="1"/>
        <v>2.4000000000000004</v>
      </c>
      <c r="P16" s="26">
        <v>4</v>
      </c>
      <c r="Q16" s="26" t="s">
        <v>223</v>
      </c>
      <c r="R16" s="26">
        <v>5</v>
      </c>
      <c r="S16" s="26" t="s">
        <v>223</v>
      </c>
      <c r="T16" s="26">
        <v>3</v>
      </c>
      <c r="U16" s="26" t="s">
        <v>222</v>
      </c>
      <c r="V16" s="26">
        <v>2</v>
      </c>
      <c r="W16" s="26" t="s">
        <v>222</v>
      </c>
      <c r="X16" s="61">
        <f t="shared" si="2"/>
        <v>0.87</v>
      </c>
      <c r="Y16" s="26">
        <v>2</v>
      </c>
      <c r="Z16" s="26" t="s">
        <v>222</v>
      </c>
      <c r="AA16" s="26">
        <v>5</v>
      </c>
      <c r="AB16" s="26" t="s">
        <v>223</v>
      </c>
      <c r="AC16" s="26">
        <v>2</v>
      </c>
      <c r="AD16" s="26" t="s">
        <v>224</v>
      </c>
      <c r="AE16" s="61">
        <f t="shared" si="3"/>
        <v>0.16</v>
      </c>
      <c r="AF16" s="62">
        <f t="shared" si="4"/>
        <v>68.600000000000009</v>
      </c>
      <c r="AG16" s="48" t="str">
        <f t="shared" si="5"/>
        <v>BUY</v>
      </c>
      <c r="AH16" s="48" t="str">
        <f t="shared" si="6"/>
        <v>OK</v>
      </c>
      <c r="AI16" s="48" t="str">
        <f t="shared" si="7"/>
        <v>OK</v>
      </c>
      <c r="AJ16" s="48" t="str">
        <f t="shared" si="8"/>
        <v>OK</v>
      </c>
      <c r="AK16" s="48" t="str">
        <f t="shared" si="9"/>
        <v>OK</v>
      </c>
      <c r="AL16" s="26" t="s">
        <v>225</v>
      </c>
      <c r="AM16" s="26" t="s">
        <v>240</v>
      </c>
    </row>
    <row r="17" spans="1:39" ht="15" customHeight="1" x14ac:dyDescent="0.2">
      <c r="A17" s="26" t="s">
        <v>104</v>
      </c>
      <c r="B17" s="26" t="s">
        <v>241</v>
      </c>
      <c r="C17" s="46">
        <v>46240</v>
      </c>
      <c r="D17" s="26">
        <v>3</v>
      </c>
      <c r="E17" s="26" t="s">
        <v>222</v>
      </c>
      <c r="F17" s="26">
        <v>5</v>
      </c>
      <c r="G17" s="26" t="s">
        <v>223</v>
      </c>
      <c r="H17" s="26">
        <v>5</v>
      </c>
      <c r="I17" s="26" t="s">
        <v>223</v>
      </c>
      <c r="J17" s="26">
        <v>4</v>
      </c>
      <c r="K17" s="26" t="s">
        <v>222</v>
      </c>
      <c r="L17" s="26">
        <v>3</v>
      </c>
      <c r="M17" s="26" t="s">
        <v>222</v>
      </c>
      <c r="N17" s="60">
        <f t="shared" si="0"/>
        <v>4</v>
      </c>
      <c r="O17" s="61">
        <f t="shared" si="1"/>
        <v>2.8</v>
      </c>
      <c r="P17" s="26">
        <v>4</v>
      </c>
      <c r="Q17" s="26" t="s">
        <v>223</v>
      </c>
      <c r="R17" s="26">
        <v>5</v>
      </c>
      <c r="S17" s="26" t="s">
        <v>223</v>
      </c>
      <c r="T17" s="26">
        <v>4</v>
      </c>
      <c r="U17" s="26" t="s">
        <v>222</v>
      </c>
      <c r="V17" s="26">
        <v>4</v>
      </c>
      <c r="W17" s="26" t="s">
        <v>222</v>
      </c>
      <c r="X17" s="61">
        <f t="shared" si="2"/>
        <v>1.06</v>
      </c>
      <c r="Y17" s="26">
        <v>3</v>
      </c>
      <c r="Z17" s="26" t="s">
        <v>222</v>
      </c>
      <c r="AA17" s="26">
        <v>5</v>
      </c>
      <c r="AB17" s="26" t="s">
        <v>223</v>
      </c>
      <c r="AC17" s="26">
        <v>3</v>
      </c>
      <c r="AD17" s="26" t="s">
        <v>224</v>
      </c>
      <c r="AE17" s="61">
        <f t="shared" si="3"/>
        <v>0.19</v>
      </c>
      <c r="AF17" s="62">
        <f t="shared" si="4"/>
        <v>81</v>
      </c>
      <c r="AG17" s="48" t="str">
        <f t="shared" si="5"/>
        <v>STRONG BUY</v>
      </c>
      <c r="AH17" s="48" t="str">
        <f t="shared" si="6"/>
        <v>OK</v>
      </c>
      <c r="AI17" s="48" t="str">
        <f t="shared" si="7"/>
        <v>OK</v>
      </c>
      <c r="AJ17" s="48" t="str">
        <f t="shared" si="8"/>
        <v>OK</v>
      </c>
      <c r="AK17" s="48" t="str">
        <f t="shared" si="9"/>
        <v>OK</v>
      </c>
      <c r="AL17" s="26" t="s">
        <v>225</v>
      </c>
      <c r="AM17" s="26" t="s">
        <v>226</v>
      </c>
    </row>
    <row r="18" spans="1:39" ht="15" customHeight="1" x14ac:dyDescent="0.2">
      <c r="A18" s="26" t="s">
        <v>106</v>
      </c>
      <c r="B18" s="26" t="s">
        <v>107</v>
      </c>
      <c r="C18" s="46">
        <v>46240</v>
      </c>
      <c r="D18" s="26">
        <v>4</v>
      </c>
      <c r="E18" s="26" t="s">
        <v>223</v>
      </c>
      <c r="F18" s="26">
        <v>5</v>
      </c>
      <c r="G18" s="26" t="s">
        <v>223</v>
      </c>
      <c r="H18" s="26">
        <v>4</v>
      </c>
      <c r="I18" s="26" t="s">
        <v>222</v>
      </c>
      <c r="J18" s="26">
        <v>4</v>
      </c>
      <c r="K18" s="26" t="s">
        <v>222</v>
      </c>
      <c r="L18" s="26">
        <v>5</v>
      </c>
      <c r="M18" s="26" t="s">
        <v>223</v>
      </c>
      <c r="N18" s="60">
        <f t="shared" si="0"/>
        <v>4.3571428571428568</v>
      </c>
      <c r="O18" s="61">
        <f t="shared" si="1"/>
        <v>3.05</v>
      </c>
      <c r="P18" s="26">
        <v>4</v>
      </c>
      <c r="Q18" s="26" t="s">
        <v>222</v>
      </c>
      <c r="R18" s="26">
        <v>5</v>
      </c>
      <c r="S18" s="26" t="s">
        <v>223</v>
      </c>
      <c r="T18" s="26">
        <v>4</v>
      </c>
      <c r="U18" s="26" t="s">
        <v>222</v>
      </c>
      <c r="V18" s="26">
        <v>2</v>
      </c>
      <c r="W18" s="26" t="s">
        <v>222</v>
      </c>
      <c r="X18" s="61">
        <f t="shared" si="2"/>
        <v>0.9</v>
      </c>
      <c r="Y18" s="26">
        <v>4</v>
      </c>
      <c r="Z18" s="26" t="s">
        <v>222</v>
      </c>
      <c r="AA18" s="26">
        <v>4</v>
      </c>
      <c r="AB18" s="26" t="s">
        <v>222</v>
      </c>
      <c r="AC18" s="26">
        <v>3</v>
      </c>
      <c r="AD18" s="26" t="s">
        <v>224</v>
      </c>
      <c r="AE18" s="61">
        <f t="shared" si="3"/>
        <v>0.19</v>
      </c>
      <c r="AF18" s="62">
        <f t="shared" si="4"/>
        <v>82.8</v>
      </c>
      <c r="AG18" s="48" t="str">
        <f t="shared" si="5"/>
        <v>STRONG BUY</v>
      </c>
      <c r="AH18" s="48" t="str">
        <f t="shared" si="6"/>
        <v>OK</v>
      </c>
      <c r="AI18" s="48" t="str">
        <f t="shared" si="7"/>
        <v>OK</v>
      </c>
      <c r="AJ18" s="48" t="str">
        <f t="shared" si="8"/>
        <v>OK</v>
      </c>
      <c r="AK18" s="48" t="str">
        <f t="shared" si="9"/>
        <v>OK</v>
      </c>
      <c r="AL18" s="26" t="s">
        <v>242</v>
      </c>
      <c r="AM18" s="26" t="s">
        <v>243</v>
      </c>
    </row>
    <row r="19" spans="1:39" ht="15" customHeight="1" x14ac:dyDescent="0.2">
      <c r="A19" s="26" t="s">
        <v>244</v>
      </c>
      <c r="B19" s="26" t="s">
        <v>245</v>
      </c>
      <c r="C19" s="46">
        <v>46245</v>
      </c>
      <c r="D19" s="26">
        <v>3</v>
      </c>
      <c r="E19" s="26" t="s">
        <v>222</v>
      </c>
      <c r="F19" s="26">
        <v>5</v>
      </c>
      <c r="G19" s="26" t="s">
        <v>223</v>
      </c>
      <c r="H19" s="26">
        <v>5</v>
      </c>
      <c r="I19" s="26" t="s">
        <v>223</v>
      </c>
      <c r="J19" s="26">
        <v>4</v>
      </c>
      <c r="K19" s="26" t="s">
        <v>222</v>
      </c>
      <c r="L19" s="26">
        <v>4</v>
      </c>
      <c r="M19" s="26" t="s">
        <v>223</v>
      </c>
      <c r="N19" s="60">
        <f t="shared" si="0"/>
        <v>4.1428571428571432</v>
      </c>
      <c r="O19" s="61">
        <f t="shared" si="1"/>
        <v>2.9</v>
      </c>
      <c r="P19" s="26">
        <v>3</v>
      </c>
      <c r="Q19" s="26" t="s">
        <v>224</v>
      </c>
      <c r="R19" s="26">
        <v>5</v>
      </c>
      <c r="S19" s="26" t="s">
        <v>223</v>
      </c>
      <c r="T19" s="26">
        <v>5</v>
      </c>
      <c r="U19" s="26" t="s">
        <v>223</v>
      </c>
      <c r="V19" s="26">
        <v>1</v>
      </c>
      <c r="W19" s="26" t="s">
        <v>223</v>
      </c>
      <c r="X19" s="61">
        <f t="shared" si="2"/>
        <v>0.77</v>
      </c>
      <c r="Y19" s="26">
        <v>4</v>
      </c>
      <c r="Z19" s="26" t="s">
        <v>222</v>
      </c>
      <c r="AA19" s="26">
        <v>4</v>
      </c>
      <c r="AB19" s="26" t="s">
        <v>222</v>
      </c>
      <c r="AC19" s="26">
        <v>4</v>
      </c>
      <c r="AD19" s="26" t="s">
        <v>222</v>
      </c>
      <c r="AE19" s="61">
        <f t="shared" si="3"/>
        <v>0.2</v>
      </c>
      <c r="AF19" s="62">
        <f t="shared" si="4"/>
        <v>77.400000000000006</v>
      </c>
      <c r="AG19" s="48" t="str">
        <f t="shared" si="5"/>
        <v>BUY</v>
      </c>
      <c r="AH19" s="48" t="str">
        <f t="shared" si="6"/>
        <v>OK</v>
      </c>
      <c r="AI19" s="48" t="str">
        <f t="shared" si="7"/>
        <v>OK</v>
      </c>
      <c r="AJ19" s="48" t="str">
        <f t="shared" si="8"/>
        <v>OK</v>
      </c>
      <c r="AK19" s="48" t="str">
        <f t="shared" si="9"/>
        <v>OK</v>
      </c>
      <c r="AL19" s="26" t="s">
        <v>233</v>
      </c>
      <c r="AM19" s="26" t="s">
        <v>246</v>
      </c>
    </row>
    <row r="20" spans="1:39" ht="15" customHeight="1" x14ac:dyDescent="0.2">
      <c r="A20" s="26" t="s">
        <v>247</v>
      </c>
      <c r="B20" s="26" t="s">
        <v>248</v>
      </c>
      <c r="C20" s="46">
        <v>46245</v>
      </c>
      <c r="D20" s="26">
        <v>4</v>
      </c>
      <c r="E20" s="26" t="s">
        <v>223</v>
      </c>
      <c r="F20" s="26">
        <v>5</v>
      </c>
      <c r="G20" s="26" t="s">
        <v>223</v>
      </c>
      <c r="H20" s="26">
        <v>5</v>
      </c>
      <c r="I20" s="26" t="s">
        <v>223</v>
      </c>
      <c r="J20" s="26">
        <v>4</v>
      </c>
      <c r="K20" s="26" t="s">
        <v>222</v>
      </c>
      <c r="L20" s="26">
        <v>5</v>
      </c>
      <c r="M20" s="26" t="s">
        <v>223</v>
      </c>
      <c r="N20" s="60">
        <f t="shared" si="0"/>
        <v>4.5714285714285712</v>
      </c>
      <c r="O20" s="61">
        <f t="shared" si="1"/>
        <v>3.1999999999999997</v>
      </c>
      <c r="P20" s="26">
        <v>4</v>
      </c>
      <c r="Q20" s="26" t="s">
        <v>222</v>
      </c>
      <c r="R20" s="26">
        <v>5</v>
      </c>
      <c r="S20" s="26" t="s">
        <v>223</v>
      </c>
      <c r="T20" s="26">
        <v>3</v>
      </c>
      <c r="U20" s="26" t="s">
        <v>222</v>
      </c>
      <c r="V20" s="26">
        <v>3</v>
      </c>
      <c r="W20" s="26" t="s">
        <v>222</v>
      </c>
      <c r="X20" s="61">
        <f t="shared" si="2"/>
        <v>0.95</v>
      </c>
      <c r="Y20" s="26">
        <v>3</v>
      </c>
      <c r="Z20" s="26" t="s">
        <v>222</v>
      </c>
      <c r="AA20" s="26">
        <v>4</v>
      </c>
      <c r="AB20" s="26" t="s">
        <v>222</v>
      </c>
      <c r="AC20" s="26">
        <v>3</v>
      </c>
      <c r="AD20" s="26" t="s">
        <v>224</v>
      </c>
      <c r="AE20" s="61">
        <f t="shared" si="3"/>
        <v>0.17</v>
      </c>
      <c r="AF20" s="62">
        <f t="shared" si="4"/>
        <v>86.399999999999991</v>
      </c>
      <c r="AG20" s="48" t="str">
        <f t="shared" si="5"/>
        <v>STRONG BUY</v>
      </c>
      <c r="AH20" s="48" t="str">
        <f t="shared" si="6"/>
        <v>OK</v>
      </c>
      <c r="AI20" s="48" t="str">
        <f t="shared" si="7"/>
        <v>OK</v>
      </c>
      <c r="AJ20" s="48" t="str">
        <f t="shared" si="8"/>
        <v>OK</v>
      </c>
      <c r="AK20" s="48" t="str">
        <f t="shared" si="9"/>
        <v>OK</v>
      </c>
      <c r="AL20" s="26" t="s">
        <v>249</v>
      </c>
      <c r="AM20" s="26" t="s">
        <v>250</v>
      </c>
    </row>
    <row r="21" spans="1:39" ht="15" customHeight="1" x14ac:dyDescent="0.2">
      <c r="A21" s="26" t="s">
        <v>251</v>
      </c>
      <c r="B21" s="26" t="s">
        <v>252</v>
      </c>
      <c r="C21" s="46">
        <v>46245</v>
      </c>
      <c r="D21" s="26">
        <v>1</v>
      </c>
      <c r="E21" s="26" t="s">
        <v>223</v>
      </c>
      <c r="F21" s="26">
        <v>3</v>
      </c>
      <c r="G21" s="26" t="s">
        <v>222</v>
      </c>
      <c r="H21" s="26">
        <v>4</v>
      </c>
      <c r="I21" s="26" t="s">
        <v>222</v>
      </c>
      <c r="J21" s="26">
        <v>4</v>
      </c>
      <c r="K21" s="26" t="s">
        <v>222</v>
      </c>
      <c r="L21" s="26">
        <v>1</v>
      </c>
      <c r="M21" s="26" t="s">
        <v>223</v>
      </c>
      <c r="N21" s="60">
        <f t="shared" si="0"/>
        <v>2.5</v>
      </c>
      <c r="O21" s="61">
        <f t="shared" si="1"/>
        <v>1.75</v>
      </c>
      <c r="P21" s="26"/>
      <c r="Q21" s="26"/>
      <c r="R21" s="26"/>
      <c r="S21" s="26"/>
      <c r="T21" s="26"/>
      <c r="U21" s="26"/>
      <c r="V21" s="26"/>
      <c r="W21" s="26"/>
      <c r="X21" s="61" t="str">
        <f t="shared" si="2"/>
        <v/>
      </c>
      <c r="Y21" s="26"/>
      <c r="Z21" s="26"/>
      <c r="AA21" s="26"/>
      <c r="AB21" s="26"/>
      <c r="AC21" s="26"/>
      <c r="AD21" s="26"/>
      <c r="AE21" s="61" t="str">
        <f t="shared" si="3"/>
        <v/>
      </c>
      <c r="AF21" s="62" t="str">
        <f t="shared" si="4"/>
        <v/>
      </c>
      <c r="AG21" s="48" t="str">
        <f t="shared" si="5"/>
        <v/>
      </c>
      <c r="AH21" s="48" t="str">
        <f t="shared" si="6"/>
        <v>FAIL</v>
      </c>
      <c r="AI21" s="48" t="str">
        <f t="shared" si="7"/>
        <v>REVIEW</v>
      </c>
      <c r="AJ21" s="48" t="str">
        <f t="shared" si="8"/>
        <v>AVOID</v>
      </c>
      <c r="AK21" s="48" t="str">
        <f t="shared" si="9"/>
        <v>OK</v>
      </c>
      <c r="AL21" s="26" t="s">
        <v>253</v>
      </c>
      <c r="AM21" s="26" t="s">
        <v>254</v>
      </c>
    </row>
    <row r="22" spans="1:39" ht="15" customHeight="1" x14ac:dyDescent="0.2">
      <c r="A22" s="26" t="s">
        <v>255</v>
      </c>
      <c r="B22" s="26" t="s">
        <v>256</v>
      </c>
      <c r="C22" s="46">
        <v>46245</v>
      </c>
      <c r="D22" s="26">
        <v>1</v>
      </c>
      <c r="E22" s="26" t="s">
        <v>223</v>
      </c>
      <c r="F22" s="26">
        <v>1</v>
      </c>
      <c r="G22" s="26" t="s">
        <v>223</v>
      </c>
      <c r="H22" s="26">
        <v>2</v>
      </c>
      <c r="I22" s="26" t="s">
        <v>222</v>
      </c>
      <c r="J22" s="26">
        <v>1</v>
      </c>
      <c r="K22" s="26" t="s">
        <v>223</v>
      </c>
      <c r="L22" s="26">
        <v>1</v>
      </c>
      <c r="M22" s="26" t="s">
        <v>223</v>
      </c>
      <c r="N22" s="60">
        <f t="shared" si="0"/>
        <v>1.2142857142857142</v>
      </c>
      <c r="O22" s="61">
        <f t="shared" si="1"/>
        <v>0.84999999999999987</v>
      </c>
      <c r="P22" s="26"/>
      <c r="Q22" s="26"/>
      <c r="R22" s="26"/>
      <c r="S22" s="26"/>
      <c r="T22" s="26"/>
      <c r="U22" s="26"/>
      <c r="V22" s="26"/>
      <c r="W22" s="26"/>
      <c r="X22" s="61" t="str">
        <f t="shared" si="2"/>
        <v/>
      </c>
      <c r="Y22" s="26"/>
      <c r="Z22" s="26"/>
      <c r="AA22" s="26"/>
      <c r="AB22" s="26"/>
      <c r="AC22" s="26"/>
      <c r="AD22" s="26"/>
      <c r="AE22" s="61" t="str">
        <f t="shared" si="3"/>
        <v/>
      </c>
      <c r="AF22" s="62" t="str">
        <f t="shared" si="4"/>
        <v/>
      </c>
      <c r="AG22" s="48" t="str">
        <f t="shared" si="5"/>
        <v/>
      </c>
      <c r="AH22" s="48" t="str">
        <f t="shared" si="6"/>
        <v>FAIL</v>
      </c>
      <c r="AI22" s="48" t="str">
        <f t="shared" si="7"/>
        <v>REVIEW</v>
      </c>
      <c r="AJ22" s="48" t="str">
        <f t="shared" si="8"/>
        <v>AVOID</v>
      </c>
      <c r="AK22" s="48" t="str">
        <f t="shared" si="9"/>
        <v>OK</v>
      </c>
      <c r="AL22" s="26" t="s">
        <v>257</v>
      </c>
      <c r="AM22" s="26" t="s">
        <v>258</v>
      </c>
    </row>
    <row r="23" spans="1:39" ht="15" customHeight="1" x14ac:dyDescent="0.2">
      <c r="A23" s="26" t="s">
        <v>259</v>
      </c>
      <c r="B23" s="26" t="s">
        <v>260</v>
      </c>
      <c r="C23" s="46">
        <v>46245</v>
      </c>
      <c r="D23" s="26">
        <v>4</v>
      </c>
      <c r="E23" s="26" t="s">
        <v>222</v>
      </c>
      <c r="F23" s="26">
        <v>4</v>
      </c>
      <c r="G23" s="26" t="s">
        <v>222</v>
      </c>
      <c r="H23" s="26">
        <v>4</v>
      </c>
      <c r="I23" s="26" t="s">
        <v>222</v>
      </c>
      <c r="J23" s="26">
        <v>4</v>
      </c>
      <c r="K23" s="26" t="s">
        <v>222</v>
      </c>
      <c r="L23" s="26">
        <v>4</v>
      </c>
      <c r="M23" s="26" t="s">
        <v>222</v>
      </c>
      <c r="N23" s="60">
        <f t="shared" si="0"/>
        <v>4</v>
      </c>
      <c r="O23" s="61">
        <f t="shared" si="1"/>
        <v>2.8</v>
      </c>
      <c r="P23" s="26"/>
      <c r="Q23" s="26"/>
      <c r="R23" s="26"/>
      <c r="S23" s="26"/>
      <c r="T23" s="26"/>
      <c r="U23" s="26"/>
      <c r="V23" s="26"/>
      <c r="W23" s="26"/>
      <c r="X23" s="61" t="str">
        <f t="shared" si="2"/>
        <v/>
      </c>
      <c r="Y23" s="26"/>
      <c r="Z23" s="26"/>
      <c r="AA23" s="26"/>
      <c r="AB23" s="26"/>
      <c r="AC23" s="26"/>
      <c r="AD23" s="26"/>
      <c r="AE23" s="61" t="str">
        <f t="shared" si="3"/>
        <v/>
      </c>
      <c r="AF23" s="62" t="str">
        <f t="shared" si="4"/>
        <v/>
      </c>
      <c r="AG23" s="48" t="str">
        <f t="shared" si="5"/>
        <v/>
      </c>
      <c r="AH23" s="48" t="str">
        <f t="shared" si="6"/>
        <v>OK</v>
      </c>
      <c r="AI23" s="48" t="str">
        <f t="shared" si="7"/>
        <v>OK</v>
      </c>
      <c r="AJ23" s="48" t="str">
        <f t="shared" si="8"/>
        <v>OK</v>
      </c>
      <c r="AK23" s="48" t="str">
        <f t="shared" si="9"/>
        <v>OK</v>
      </c>
      <c r="AL23" s="26" t="s">
        <v>257</v>
      </c>
      <c r="AM23" s="26" t="s">
        <v>261</v>
      </c>
    </row>
    <row r="24" spans="1:39" ht="15" customHeight="1" x14ac:dyDescent="0.2">
      <c r="A24" s="26" t="s">
        <v>262</v>
      </c>
      <c r="B24" s="26" t="s">
        <v>263</v>
      </c>
      <c r="C24" s="46">
        <v>46245</v>
      </c>
      <c r="D24" s="26">
        <v>2</v>
      </c>
      <c r="E24" s="26" t="s">
        <v>224</v>
      </c>
      <c r="F24" s="26">
        <v>2</v>
      </c>
      <c r="G24" s="26" t="s">
        <v>222</v>
      </c>
      <c r="H24" s="26">
        <v>3</v>
      </c>
      <c r="I24" s="26" t="s">
        <v>222</v>
      </c>
      <c r="J24" s="26">
        <v>2</v>
      </c>
      <c r="K24" s="26" t="s">
        <v>222</v>
      </c>
      <c r="L24" s="26">
        <v>1</v>
      </c>
      <c r="M24" s="26" t="s">
        <v>223</v>
      </c>
      <c r="N24" s="60">
        <f t="shared" si="0"/>
        <v>2.0714285714285716</v>
      </c>
      <c r="O24" s="61">
        <f t="shared" si="1"/>
        <v>1.45</v>
      </c>
      <c r="P24" s="26"/>
      <c r="Q24" s="26"/>
      <c r="R24" s="26"/>
      <c r="S24" s="26"/>
      <c r="T24" s="26"/>
      <c r="U24" s="26"/>
      <c r="V24" s="26"/>
      <c r="W24" s="26"/>
      <c r="X24" s="61" t="str">
        <f t="shared" si="2"/>
        <v/>
      </c>
      <c r="Y24" s="26"/>
      <c r="Z24" s="26"/>
      <c r="AA24" s="26"/>
      <c r="AB24" s="26"/>
      <c r="AC24" s="26"/>
      <c r="AD24" s="26"/>
      <c r="AE24" s="61" t="str">
        <f t="shared" si="3"/>
        <v/>
      </c>
      <c r="AF24" s="62" t="str">
        <f t="shared" si="4"/>
        <v/>
      </c>
      <c r="AG24" s="48" t="str">
        <f t="shared" si="5"/>
        <v/>
      </c>
      <c r="AH24" s="48" t="str">
        <f t="shared" si="6"/>
        <v>FAIL</v>
      </c>
      <c r="AI24" s="48" t="str">
        <f t="shared" si="7"/>
        <v>REVIEW</v>
      </c>
      <c r="AJ24" s="48" t="str">
        <f t="shared" si="8"/>
        <v>AVOID</v>
      </c>
      <c r="AK24" s="48" t="str">
        <f t="shared" si="9"/>
        <v>OK</v>
      </c>
      <c r="AL24" s="26" t="s">
        <v>257</v>
      </c>
      <c r="AM24" s="26" t="s">
        <v>264</v>
      </c>
    </row>
    <row r="25" spans="1:39" ht="15" customHeight="1" x14ac:dyDescent="0.2">
      <c r="A25" s="26" t="s">
        <v>265</v>
      </c>
      <c r="B25" s="26" t="s">
        <v>266</v>
      </c>
      <c r="C25" s="46">
        <v>46245</v>
      </c>
      <c r="D25" s="26">
        <v>3</v>
      </c>
      <c r="E25" s="26" t="s">
        <v>222</v>
      </c>
      <c r="F25" s="26">
        <v>2</v>
      </c>
      <c r="G25" s="26" t="s">
        <v>223</v>
      </c>
      <c r="H25" s="26">
        <v>3</v>
      </c>
      <c r="I25" s="26" t="s">
        <v>222</v>
      </c>
      <c r="J25" s="26">
        <v>3</v>
      </c>
      <c r="K25" s="26" t="s">
        <v>222</v>
      </c>
      <c r="L25" s="26">
        <v>2</v>
      </c>
      <c r="M25" s="26" t="s">
        <v>223</v>
      </c>
      <c r="N25" s="60">
        <f t="shared" si="0"/>
        <v>2.6428571428571432</v>
      </c>
      <c r="O25" s="61">
        <f t="shared" si="1"/>
        <v>1.85</v>
      </c>
      <c r="P25" s="26"/>
      <c r="Q25" s="26"/>
      <c r="R25" s="26"/>
      <c r="S25" s="26"/>
      <c r="T25" s="26"/>
      <c r="U25" s="26"/>
      <c r="V25" s="26"/>
      <c r="W25" s="26"/>
      <c r="X25" s="61" t="str">
        <f t="shared" si="2"/>
        <v/>
      </c>
      <c r="Y25" s="26"/>
      <c r="Z25" s="26"/>
      <c r="AA25" s="26"/>
      <c r="AB25" s="26"/>
      <c r="AC25" s="26"/>
      <c r="AD25" s="26"/>
      <c r="AE25" s="61" t="str">
        <f t="shared" si="3"/>
        <v/>
      </c>
      <c r="AF25" s="62" t="str">
        <f t="shared" si="4"/>
        <v/>
      </c>
      <c r="AG25" s="48" t="str">
        <f t="shared" si="5"/>
        <v/>
      </c>
      <c r="AH25" s="48" t="str">
        <f t="shared" si="6"/>
        <v>FAIL</v>
      </c>
      <c r="AI25" s="48" t="str">
        <f t="shared" si="7"/>
        <v>OK</v>
      </c>
      <c r="AJ25" s="48" t="str">
        <f t="shared" si="8"/>
        <v>AVOID</v>
      </c>
      <c r="AK25" s="48" t="str">
        <f t="shared" si="9"/>
        <v>OK</v>
      </c>
      <c r="AL25" s="26" t="s">
        <v>257</v>
      </c>
      <c r="AM25" s="26" t="s">
        <v>264</v>
      </c>
    </row>
    <row r="26" spans="1:39" ht="15" customHeight="1" x14ac:dyDescent="0.2">
      <c r="A26" s="26" t="s">
        <v>267</v>
      </c>
      <c r="B26" s="26" t="s">
        <v>268</v>
      </c>
      <c r="C26" s="46">
        <v>46245</v>
      </c>
      <c r="D26" s="26">
        <v>2</v>
      </c>
      <c r="E26" s="26" t="s">
        <v>222</v>
      </c>
      <c r="F26" s="26">
        <v>1</v>
      </c>
      <c r="G26" s="26" t="s">
        <v>223</v>
      </c>
      <c r="H26" s="26">
        <v>2</v>
      </c>
      <c r="I26" s="26" t="s">
        <v>222</v>
      </c>
      <c r="J26" s="26">
        <v>2</v>
      </c>
      <c r="K26" s="26" t="s">
        <v>222</v>
      </c>
      <c r="L26" s="26">
        <v>2</v>
      </c>
      <c r="M26" s="26" t="s">
        <v>222</v>
      </c>
      <c r="N26" s="60">
        <f t="shared" si="0"/>
        <v>1.7857142857142858</v>
      </c>
      <c r="O26" s="61">
        <f t="shared" si="1"/>
        <v>1.25</v>
      </c>
      <c r="P26" s="26"/>
      <c r="Q26" s="26"/>
      <c r="R26" s="26"/>
      <c r="S26" s="26"/>
      <c r="T26" s="26"/>
      <c r="U26" s="26"/>
      <c r="V26" s="26"/>
      <c r="W26" s="26"/>
      <c r="X26" s="61" t="str">
        <f t="shared" si="2"/>
        <v/>
      </c>
      <c r="Y26" s="26"/>
      <c r="Z26" s="26"/>
      <c r="AA26" s="26"/>
      <c r="AB26" s="26"/>
      <c r="AC26" s="26"/>
      <c r="AD26" s="26"/>
      <c r="AE26" s="61" t="str">
        <f t="shared" si="3"/>
        <v/>
      </c>
      <c r="AF26" s="62" t="str">
        <f t="shared" si="4"/>
        <v/>
      </c>
      <c r="AG26" s="48" t="str">
        <f t="shared" si="5"/>
        <v/>
      </c>
      <c r="AH26" s="48" t="str">
        <f t="shared" si="6"/>
        <v>FAIL</v>
      </c>
      <c r="AI26" s="48" t="str">
        <f t="shared" si="7"/>
        <v>REVIEW</v>
      </c>
      <c r="AJ26" s="48" t="str">
        <f t="shared" si="8"/>
        <v>AVOID</v>
      </c>
      <c r="AK26" s="48" t="str">
        <f t="shared" si="9"/>
        <v>OK</v>
      </c>
      <c r="AL26" s="26" t="s">
        <v>269</v>
      </c>
      <c r="AM26" s="26" t="s">
        <v>270</v>
      </c>
    </row>
    <row r="27" spans="1:39" ht="15" customHeight="1" x14ac:dyDescent="0.2">
      <c r="A27" s="26" t="s">
        <v>271</v>
      </c>
      <c r="B27" s="26" t="s">
        <v>272</v>
      </c>
      <c r="C27" s="46">
        <v>46245</v>
      </c>
      <c r="D27" s="26">
        <v>2</v>
      </c>
      <c r="E27" s="26" t="s">
        <v>223</v>
      </c>
      <c r="F27" s="26">
        <v>2</v>
      </c>
      <c r="G27" s="26" t="s">
        <v>222</v>
      </c>
      <c r="H27" s="26">
        <v>2</v>
      </c>
      <c r="I27" s="26" t="s">
        <v>222</v>
      </c>
      <c r="J27" s="26">
        <v>2</v>
      </c>
      <c r="K27" s="26" t="s">
        <v>222</v>
      </c>
      <c r="L27" s="26">
        <v>1</v>
      </c>
      <c r="M27" s="26" t="s">
        <v>223</v>
      </c>
      <c r="N27" s="60">
        <f t="shared" si="0"/>
        <v>1.8571428571428574</v>
      </c>
      <c r="O27" s="61">
        <f t="shared" si="1"/>
        <v>1.3</v>
      </c>
      <c r="P27" s="26"/>
      <c r="Q27" s="26"/>
      <c r="R27" s="26"/>
      <c r="S27" s="26"/>
      <c r="T27" s="26"/>
      <c r="U27" s="26"/>
      <c r="V27" s="26"/>
      <c r="W27" s="26"/>
      <c r="X27" s="61" t="str">
        <f t="shared" si="2"/>
        <v/>
      </c>
      <c r="Y27" s="26"/>
      <c r="Z27" s="26"/>
      <c r="AA27" s="26"/>
      <c r="AB27" s="26"/>
      <c r="AC27" s="26"/>
      <c r="AD27" s="26"/>
      <c r="AE27" s="61" t="str">
        <f t="shared" si="3"/>
        <v/>
      </c>
      <c r="AF27" s="62" t="str">
        <f t="shared" si="4"/>
        <v/>
      </c>
      <c r="AG27" s="48" t="str">
        <f t="shared" si="5"/>
        <v/>
      </c>
      <c r="AH27" s="48" t="str">
        <f t="shared" si="6"/>
        <v>FAIL</v>
      </c>
      <c r="AI27" s="48" t="str">
        <f t="shared" si="7"/>
        <v>REVIEW</v>
      </c>
      <c r="AJ27" s="48" t="str">
        <f t="shared" si="8"/>
        <v>AVOID</v>
      </c>
      <c r="AK27" s="48" t="str">
        <f t="shared" si="9"/>
        <v>OK</v>
      </c>
      <c r="AL27" s="26" t="s">
        <v>269</v>
      </c>
      <c r="AM27" s="26" t="s">
        <v>273</v>
      </c>
    </row>
    <row r="28" spans="1:39" ht="15" customHeight="1" x14ac:dyDescent="0.2">
      <c r="A28" s="63" t="s">
        <v>274</v>
      </c>
      <c r="B28" s="63" t="s">
        <v>275</v>
      </c>
      <c r="C28" s="64">
        <v>46245</v>
      </c>
      <c r="D28" s="63">
        <v>4</v>
      </c>
      <c r="E28" s="63" t="s">
        <v>223</v>
      </c>
      <c r="F28" s="63">
        <v>4</v>
      </c>
      <c r="G28" s="63" t="s">
        <v>223</v>
      </c>
      <c r="H28" s="63">
        <v>5</v>
      </c>
      <c r="I28" s="63" t="s">
        <v>223</v>
      </c>
      <c r="J28" s="63">
        <v>5</v>
      </c>
      <c r="K28" s="63" t="s">
        <v>223</v>
      </c>
      <c r="L28" s="63">
        <v>5</v>
      </c>
      <c r="M28" s="63" t="s">
        <v>223</v>
      </c>
      <c r="N28" s="65">
        <f t="shared" si="0"/>
        <v>4.5</v>
      </c>
      <c r="O28" s="66">
        <f t="shared" si="1"/>
        <v>3.15</v>
      </c>
      <c r="P28" s="63"/>
      <c r="Q28" s="63"/>
      <c r="R28" s="63"/>
      <c r="S28" s="63"/>
      <c r="T28" s="63"/>
      <c r="U28" s="63"/>
      <c r="V28" s="63"/>
      <c r="W28" s="63"/>
      <c r="X28" s="53" t="str">
        <f t="shared" si="2"/>
        <v/>
      </c>
      <c r="Y28" s="63"/>
      <c r="Z28" s="63"/>
      <c r="AA28" s="63"/>
      <c r="AB28" s="63"/>
      <c r="AC28" s="63"/>
      <c r="AD28" s="63"/>
      <c r="AE28" s="53" t="str">
        <f t="shared" si="3"/>
        <v/>
      </c>
      <c r="AF28" s="66" t="str">
        <f t="shared" si="4"/>
        <v/>
      </c>
      <c r="AG28" s="66" t="str">
        <f t="shared" si="5"/>
        <v/>
      </c>
      <c r="AH28" s="66" t="str">
        <f t="shared" si="6"/>
        <v>OK</v>
      </c>
      <c r="AI28" s="66" t="str">
        <f t="shared" si="7"/>
        <v>OK</v>
      </c>
      <c r="AJ28" s="66" t="str">
        <f t="shared" si="8"/>
        <v>OK</v>
      </c>
      <c r="AK28" s="66" t="str">
        <f t="shared" si="9"/>
        <v>OK</v>
      </c>
      <c r="AL28" s="63" t="s">
        <v>269</v>
      </c>
      <c r="AM28" s="63" t="s">
        <v>276</v>
      </c>
    </row>
    <row r="29" spans="1:39" ht="15" customHeight="1" x14ac:dyDescent="0.2">
      <c r="A29" s="63" t="s">
        <v>277</v>
      </c>
      <c r="B29" s="63" t="s">
        <v>278</v>
      </c>
      <c r="C29" s="64">
        <v>46245</v>
      </c>
      <c r="D29" s="63">
        <v>2</v>
      </c>
      <c r="E29" s="63" t="s">
        <v>222</v>
      </c>
      <c r="F29" s="63">
        <v>2</v>
      </c>
      <c r="G29" s="63" t="s">
        <v>222</v>
      </c>
      <c r="H29" s="63">
        <v>3</v>
      </c>
      <c r="I29" s="63" t="s">
        <v>222</v>
      </c>
      <c r="J29" s="63">
        <v>3</v>
      </c>
      <c r="K29" s="63" t="s">
        <v>222</v>
      </c>
      <c r="L29" s="63">
        <v>2</v>
      </c>
      <c r="M29" s="63" t="s">
        <v>223</v>
      </c>
      <c r="N29" s="65">
        <f t="shared" si="0"/>
        <v>2.3571428571428572</v>
      </c>
      <c r="O29" s="66">
        <f t="shared" si="1"/>
        <v>1.65</v>
      </c>
      <c r="P29" s="63"/>
      <c r="Q29" s="63"/>
      <c r="R29" s="63"/>
      <c r="S29" s="63"/>
      <c r="T29" s="63"/>
      <c r="U29" s="63"/>
      <c r="V29" s="63"/>
      <c r="W29" s="63"/>
      <c r="X29" s="53" t="str">
        <f t="shared" si="2"/>
        <v/>
      </c>
      <c r="Y29" s="63"/>
      <c r="Z29" s="63"/>
      <c r="AA29" s="63"/>
      <c r="AB29" s="63"/>
      <c r="AC29" s="63"/>
      <c r="AD29" s="63"/>
      <c r="AE29" s="53" t="str">
        <f t="shared" si="3"/>
        <v/>
      </c>
      <c r="AF29" s="66" t="str">
        <f t="shared" si="4"/>
        <v/>
      </c>
      <c r="AG29" s="66" t="str">
        <f t="shared" si="5"/>
        <v/>
      </c>
      <c r="AH29" s="66" t="str">
        <f t="shared" si="6"/>
        <v>FAIL</v>
      </c>
      <c r="AI29" s="66" t="str">
        <f t="shared" si="7"/>
        <v>OK</v>
      </c>
      <c r="AJ29" s="66" t="str">
        <f t="shared" si="8"/>
        <v>AVOID</v>
      </c>
      <c r="AK29" s="66" t="str">
        <f t="shared" si="9"/>
        <v>OK</v>
      </c>
      <c r="AL29" s="63" t="s">
        <v>233</v>
      </c>
      <c r="AM29" s="63" t="s">
        <v>279</v>
      </c>
    </row>
    <row r="30" spans="1:39" ht="15" customHeight="1" x14ac:dyDescent="0.2">
      <c r="A30" s="63" t="s">
        <v>280</v>
      </c>
      <c r="B30" s="63" t="s">
        <v>281</v>
      </c>
      <c r="C30" s="64">
        <v>46245</v>
      </c>
      <c r="D30" s="63">
        <v>2</v>
      </c>
      <c r="E30" s="63" t="s">
        <v>222</v>
      </c>
      <c r="F30" s="63">
        <v>1</v>
      </c>
      <c r="G30" s="63" t="s">
        <v>223</v>
      </c>
      <c r="H30" s="63">
        <v>3</v>
      </c>
      <c r="I30" s="63" t="s">
        <v>222</v>
      </c>
      <c r="J30" s="63">
        <v>2</v>
      </c>
      <c r="K30" s="63" t="s">
        <v>222</v>
      </c>
      <c r="L30" s="63">
        <v>3</v>
      </c>
      <c r="M30" s="63" t="s">
        <v>222</v>
      </c>
      <c r="N30" s="65">
        <f t="shared" si="0"/>
        <v>2.1428571428571428</v>
      </c>
      <c r="O30" s="66">
        <f t="shared" si="1"/>
        <v>1.5</v>
      </c>
      <c r="P30" s="63"/>
      <c r="Q30" s="63"/>
      <c r="R30" s="63"/>
      <c r="S30" s="63"/>
      <c r="T30" s="63"/>
      <c r="U30" s="63"/>
      <c r="V30" s="63"/>
      <c r="W30" s="63"/>
      <c r="X30" s="53" t="str">
        <f t="shared" si="2"/>
        <v/>
      </c>
      <c r="Y30" s="63"/>
      <c r="Z30" s="63"/>
      <c r="AA30" s="63"/>
      <c r="AB30" s="63"/>
      <c r="AC30" s="63"/>
      <c r="AD30" s="63"/>
      <c r="AE30" s="53" t="str">
        <f t="shared" si="3"/>
        <v/>
      </c>
      <c r="AF30" s="66" t="str">
        <f t="shared" si="4"/>
        <v/>
      </c>
      <c r="AG30" s="66" t="str">
        <f t="shared" si="5"/>
        <v/>
      </c>
      <c r="AH30" s="66" t="str">
        <f t="shared" si="6"/>
        <v>FAIL</v>
      </c>
      <c r="AI30" s="66" t="str">
        <f t="shared" si="7"/>
        <v>REVIEW</v>
      </c>
      <c r="AJ30" s="66" t="str">
        <f t="shared" si="8"/>
        <v>AVOID</v>
      </c>
      <c r="AK30" s="66" t="str">
        <f t="shared" si="9"/>
        <v>OK</v>
      </c>
      <c r="AL30" s="63" t="s">
        <v>233</v>
      </c>
      <c r="AM30" s="63" t="s">
        <v>282</v>
      </c>
    </row>
    <row r="31" spans="1:39" ht="15" customHeight="1" x14ac:dyDescent="0.2">
      <c r="A31" s="63" t="s">
        <v>283</v>
      </c>
      <c r="B31" s="63" t="s">
        <v>284</v>
      </c>
      <c r="C31" s="64">
        <v>46245</v>
      </c>
      <c r="D31" s="63">
        <v>1</v>
      </c>
      <c r="E31" s="63" t="s">
        <v>223</v>
      </c>
      <c r="F31" s="63">
        <v>2</v>
      </c>
      <c r="G31" s="63" t="s">
        <v>222</v>
      </c>
      <c r="H31" s="63">
        <v>3</v>
      </c>
      <c r="I31" s="63" t="s">
        <v>222</v>
      </c>
      <c r="J31" s="63">
        <v>3</v>
      </c>
      <c r="K31" s="63" t="s">
        <v>222</v>
      </c>
      <c r="L31" s="63">
        <v>1</v>
      </c>
      <c r="M31" s="63" t="s">
        <v>223</v>
      </c>
      <c r="N31" s="65">
        <f t="shared" si="0"/>
        <v>1.9285714285714288</v>
      </c>
      <c r="O31" s="66">
        <f t="shared" si="1"/>
        <v>1.35</v>
      </c>
      <c r="P31" s="63"/>
      <c r="Q31" s="63"/>
      <c r="R31" s="63"/>
      <c r="S31" s="63"/>
      <c r="T31" s="63"/>
      <c r="U31" s="63"/>
      <c r="V31" s="63"/>
      <c r="W31" s="63"/>
      <c r="X31" s="53" t="str">
        <f t="shared" si="2"/>
        <v/>
      </c>
      <c r="Y31" s="63"/>
      <c r="Z31" s="63"/>
      <c r="AA31" s="63"/>
      <c r="AB31" s="63"/>
      <c r="AC31" s="63"/>
      <c r="AD31" s="63"/>
      <c r="AE31" s="53" t="str">
        <f t="shared" si="3"/>
        <v/>
      </c>
      <c r="AF31" s="66" t="str">
        <f t="shared" si="4"/>
        <v/>
      </c>
      <c r="AG31" s="66" t="str">
        <f t="shared" si="5"/>
        <v/>
      </c>
      <c r="AH31" s="66" t="str">
        <f t="shared" si="6"/>
        <v>FAIL</v>
      </c>
      <c r="AI31" s="66" t="str">
        <f t="shared" si="7"/>
        <v>REVIEW</v>
      </c>
      <c r="AJ31" s="66" t="str">
        <f t="shared" si="8"/>
        <v>AVOID</v>
      </c>
      <c r="AK31" s="66" t="str">
        <f t="shared" si="9"/>
        <v>OK</v>
      </c>
      <c r="AL31" s="63" t="s">
        <v>233</v>
      </c>
      <c r="AM31" s="63" t="s">
        <v>285</v>
      </c>
    </row>
    <row r="32" spans="1:39" ht="15" customHeight="1" x14ac:dyDescent="0.2">
      <c r="A32" s="63" t="s">
        <v>286</v>
      </c>
      <c r="B32" s="63" t="s">
        <v>287</v>
      </c>
      <c r="C32" s="64">
        <v>46245</v>
      </c>
      <c r="D32" s="63">
        <v>4</v>
      </c>
      <c r="E32" s="63" t="s">
        <v>222</v>
      </c>
      <c r="F32" s="63">
        <v>4</v>
      </c>
      <c r="G32" s="63" t="s">
        <v>223</v>
      </c>
      <c r="H32" s="63">
        <v>5</v>
      </c>
      <c r="I32" s="63" t="s">
        <v>223</v>
      </c>
      <c r="J32" s="63">
        <v>4</v>
      </c>
      <c r="K32" s="63" t="s">
        <v>222</v>
      </c>
      <c r="L32" s="63">
        <v>4</v>
      </c>
      <c r="M32" s="63" t="s">
        <v>223</v>
      </c>
      <c r="N32" s="65">
        <f t="shared" si="0"/>
        <v>4.2142857142857144</v>
      </c>
      <c r="O32" s="66">
        <f t="shared" si="1"/>
        <v>2.9499999999999997</v>
      </c>
      <c r="P32" s="63"/>
      <c r="Q32" s="63"/>
      <c r="R32" s="63"/>
      <c r="S32" s="63"/>
      <c r="T32" s="63"/>
      <c r="U32" s="63"/>
      <c r="V32" s="63"/>
      <c r="W32" s="63"/>
      <c r="X32" s="53" t="str">
        <f t="shared" si="2"/>
        <v/>
      </c>
      <c r="Y32" s="63"/>
      <c r="Z32" s="63"/>
      <c r="AA32" s="63"/>
      <c r="AB32" s="63"/>
      <c r="AC32" s="63"/>
      <c r="AD32" s="63"/>
      <c r="AE32" s="53" t="str">
        <f t="shared" si="3"/>
        <v/>
      </c>
      <c r="AF32" s="66" t="str">
        <f t="shared" si="4"/>
        <v/>
      </c>
      <c r="AG32" s="66" t="str">
        <f t="shared" si="5"/>
        <v/>
      </c>
      <c r="AH32" s="66" t="str">
        <f t="shared" si="6"/>
        <v>OK</v>
      </c>
      <c r="AI32" s="66" t="str">
        <f t="shared" si="7"/>
        <v>OK</v>
      </c>
      <c r="AJ32" s="66" t="str">
        <f t="shared" si="8"/>
        <v>OK</v>
      </c>
      <c r="AK32" s="66" t="str">
        <f t="shared" si="9"/>
        <v>OK</v>
      </c>
      <c r="AL32" s="63" t="s">
        <v>233</v>
      </c>
      <c r="AM32" s="63" t="s">
        <v>282</v>
      </c>
    </row>
    <row r="33" spans="1:39" ht="15" customHeight="1" x14ac:dyDescent="0.2">
      <c r="A33" s="63" t="s">
        <v>288</v>
      </c>
      <c r="B33" s="63" t="s">
        <v>289</v>
      </c>
      <c r="C33" s="64">
        <v>46245</v>
      </c>
      <c r="D33" s="63">
        <v>4</v>
      </c>
      <c r="E33" s="63" t="s">
        <v>223</v>
      </c>
      <c r="F33" s="63">
        <v>4</v>
      </c>
      <c r="G33" s="63" t="s">
        <v>223</v>
      </c>
      <c r="H33" s="63">
        <v>4</v>
      </c>
      <c r="I33" s="63" t="s">
        <v>223</v>
      </c>
      <c r="J33" s="63">
        <v>3</v>
      </c>
      <c r="K33" s="63" t="s">
        <v>222</v>
      </c>
      <c r="L33" s="63">
        <v>3</v>
      </c>
      <c r="M33" s="63" t="s">
        <v>223</v>
      </c>
      <c r="N33" s="65">
        <f t="shared" si="0"/>
        <v>3.714285714285714</v>
      </c>
      <c r="O33" s="66">
        <f t="shared" si="1"/>
        <v>2.5999999999999996</v>
      </c>
      <c r="P33" s="63"/>
      <c r="Q33" s="63"/>
      <c r="R33" s="63"/>
      <c r="S33" s="63"/>
      <c r="T33" s="63"/>
      <c r="U33" s="63"/>
      <c r="V33" s="63"/>
      <c r="W33" s="63"/>
      <c r="X33" s="53" t="str">
        <f t="shared" si="2"/>
        <v/>
      </c>
      <c r="Y33" s="63"/>
      <c r="Z33" s="63"/>
      <c r="AA33" s="63"/>
      <c r="AB33" s="63"/>
      <c r="AC33" s="63"/>
      <c r="AD33" s="63"/>
      <c r="AE33" s="53" t="str">
        <f t="shared" si="3"/>
        <v/>
      </c>
      <c r="AF33" s="66" t="str">
        <f t="shared" si="4"/>
        <v/>
      </c>
      <c r="AG33" s="66" t="str">
        <f t="shared" si="5"/>
        <v/>
      </c>
      <c r="AH33" s="66" t="str">
        <f t="shared" si="6"/>
        <v>OK</v>
      </c>
      <c r="AI33" s="66" t="str">
        <f t="shared" si="7"/>
        <v>OK</v>
      </c>
      <c r="AJ33" s="66" t="str">
        <f t="shared" si="8"/>
        <v>OK</v>
      </c>
      <c r="AK33" s="66" t="str">
        <f t="shared" si="9"/>
        <v>OK</v>
      </c>
      <c r="AL33" s="63" t="s">
        <v>235</v>
      </c>
      <c r="AM33" s="63" t="s">
        <v>290</v>
      </c>
    </row>
    <row r="34" spans="1:39" ht="15" customHeight="1" x14ac:dyDescent="0.2">
      <c r="A34" s="63" t="s">
        <v>291</v>
      </c>
      <c r="B34" s="63" t="s">
        <v>292</v>
      </c>
      <c r="C34" s="64">
        <v>46245</v>
      </c>
      <c r="D34" s="63">
        <v>5</v>
      </c>
      <c r="E34" s="63" t="s">
        <v>223</v>
      </c>
      <c r="F34" s="63">
        <v>5</v>
      </c>
      <c r="G34" s="63" t="s">
        <v>223</v>
      </c>
      <c r="H34" s="63">
        <v>5</v>
      </c>
      <c r="I34" s="63" t="s">
        <v>223</v>
      </c>
      <c r="J34" s="63">
        <v>4</v>
      </c>
      <c r="K34" s="63" t="s">
        <v>223</v>
      </c>
      <c r="L34" s="63">
        <v>5</v>
      </c>
      <c r="M34" s="63" t="s">
        <v>223</v>
      </c>
      <c r="N34" s="65">
        <f t="shared" si="0"/>
        <v>4.8571428571428577</v>
      </c>
      <c r="O34" s="66">
        <f t="shared" si="1"/>
        <v>3.4</v>
      </c>
      <c r="P34" s="63"/>
      <c r="Q34" s="63"/>
      <c r="R34" s="63"/>
      <c r="S34" s="63"/>
      <c r="T34" s="63"/>
      <c r="U34" s="63"/>
      <c r="V34" s="63"/>
      <c r="W34" s="63"/>
      <c r="X34" s="53" t="str">
        <f t="shared" si="2"/>
        <v/>
      </c>
      <c r="Y34" s="63"/>
      <c r="Z34" s="63"/>
      <c r="AA34" s="63"/>
      <c r="AB34" s="63"/>
      <c r="AC34" s="63"/>
      <c r="AD34" s="63"/>
      <c r="AE34" s="53" t="str">
        <f t="shared" si="3"/>
        <v/>
      </c>
      <c r="AF34" s="66" t="str">
        <f t="shared" si="4"/>
        <v/>
      </c>
      <c r="AG34" s="66" t="str">
        <f t="shared" si="5"/>
        <v/>
      </c>
      <c r="AH34" s="66" t="str">
        <f t="shared" si="6"/>
        <v>OK</v>
      </c>
      <c r="AI34" s="66" t="str">
        <f t="shared" si="7"/>
        <v>OK</v>
      </c>
      <c r="AJ34" s="66" t="str">
        <f t="shared" si="8"/>
        <v>OK</v>
      </c>
      <c r="AK34" s="66" t="str">
        <f t="shared" si="9"/>
        <v>OK</v>
      </c>
      <c r="AL34" s="63" t="s">
        <v>235</v>
      </c>
      <c r="AM34" s="63" t="s">
        <v>290</v>
      </c>
    </row>
    <row r="35" spans="1:39" ht="15" customHeight="1" x14ac:dyDescent="0.2">
      <c r="A35" s="63" t="s">
        <v>293</v>
      </c>
      <c r="B35" s="63" t="s">
        <v>294</v>
      </c>
      <c r="C35" s="64">
        <v>46245</v>
      </c>
      <c r="D35" s="63">
        <v>1</v>
      </c>
      <c r="E35" s="63" t="s">
        <v>223</v>
      </c>
      <c r="F35" s="63">
        <v>1</v>
      </c>
      <c r="G35" s="63" t="s">
        <v>223</v>
      </c>
      <c r="H35" s="63">
        <v>2</v>
      </c>
      <c r="I35" s="63" t="s">
        <v>222</v>
      </c>
      <c r="J35" s="63">
        <v>2</v>
      </c>
      <c r="K35" s="63" t="s">
        <v>222</v>
      </c>
      <c r="L35" s="63">
        <v>1</v>
      </c>
      <c r="M35" s="63" t="s">
        <v>223</v>
      </c>
      <c r="N35" s="65">
        <f t="shared" ref="N35:N60" si="10">IF(COUNT(D35,F35,H35,J35,L35)=0,"",(D35*0.2+F35*0.15+H35*0.15+J35*0.1+L35*0.1)/0.7)</f>
        <v>1.357142857142857</v>
      </c>
      <c r="O35" s="66">
        <f t="shared" ref="O35:O60" si="11">IF(COUNT(D35,F35,H35,J35,L35)=0,"",D35*0.2+F35*0.15+H35*0.15+J35*0.1+L35*0.1)</f>
        <v>0.94999999999999984</v>
      </c>
      <c r="P35" s="63"/>
      <c r="Q35" s="63"/>
      <c r="R35" s="63"/>
      <c r="S35" s="63"/>
      <c r="T35" s="63"/>
      <c r="U35" s="63"/>
      <c r="V35" s="63"/>
      <c r="W35" s="63"/>
      <c r="X35" s="53" t="str">
        <f t="shared" ref="X35:X60" si="12">IF(COUNT(P35,R35,T35,V35)=0,"",P35*0.08+R35*0.06+T35*0.03+V35*0.08)</f>
        <v/>
      </c>
      <c r="Y35" s="63"/>
      <c r="Z35" s="63"/>
      <c r="AA35" s="63"/>
      <c r="AB35" s="63"/>
      <c r="AC35" s="63"/>
      <c r="AD35" s="63"/>
      <c r="AE35" s="53" t="str">
        <f t="shared" ref="AE35:AE60" si="13">IF(COUNT(Y35,AA35,AC35)=0,"",Y35*0.02+AA35*0.02+AC35*0.01)</f>
        <v/>
      </c>
      <c r="AF35" s="66" t="str">
        <f t="shared" ref="AF35:AF66" si="14">IF(OR(O35="",X35="",AE35=""),"",(O35+X35+AE35)*20)</f>
        <v/>
      </c>
      <c r="AG35" s="66" t="str">
        <f t="shared" ref="AG35:AG66" si="15">IF(AF35="","",IF(AF35&gt;=80,"STRONG BUY",IF(AF35&gt;=65,"BUY",IF(AF35&gt;=50,"WATCH LIST",IF(AF35&gt;=35,"AVOID","PASS")))))</f>
        <v/>
      </c>
      <c r="AH35" s="66" t="str">
        <f t="shared" ref="AH35:AH60" si="16">IF(N35="","",IF(N35&lt;3,"FAIL","OK"))</f>
        <v>FAIL</v>
      </c>
      <c r="AI35" s="66" t="str">
        <f t="shared" ref="AI35:AI60" si="17">IF(COUNT(D35:L35)=0,"",IF(COUNTIF(D35:L35,1)&gt;0,"REVIEW","OK"))</f>
        <v>REVIEW</v>
      </c>
      <c r="AJ35" s="66" t="str">
        <f t="shared" ref="AJ35:AJ60" si="18">IF(COUNT(D35:L35)=0,"",IF(COUNTIF(D35:L35,"&lt;=2")&gt;=2,"AVOID","OK"))</f>
        <v>AVOID</v>
      </c>
      <c r="AK35" s="66" t="str">
        <f t="shared" ref="AK35:AK60" si="19">IF(COUNTA(E35:M35)=0,"",IF(COUNTIF(E35:M35,"L")&gt;=2,"CAP AT BUY","OK"))</f>
        <v>OK</v>
      </c>
      <c r="AL35" s="63" t="s">
        <v>235</v>
      </c>
      <c r="AM35" s="63" t="s">
        <v>290</v>
      </c>
    </row>
    <row r="36" spans="1:39" ht="15" customHeight="1" x14ac:dyDescent="0.2">
      <c r="A36" s="63" t="s">
        <v>295</v>
      </c>
      <c r="B36" s="63" t="s">
        <v>296</v>
      </c>
      <c r="C36" s="64">
        <v>46245</v>
      </c>
      <c r="D36" s="63">
        <v>5</v>
      </c>
      <c r="E36" s="63" t="s">
        <v>223</v>
      </c>
      <c r="F36" s="63">
        <v>4</v>
      </c>
      <c r="G36" s="63" t="s">
        <v>223</v>
      </c>
      <c r="H36" s="63">
        <v>4</v>
      </c>
      <c r="I36" s="63" t="s">
        <v>222</v>
      </c>
      <c r="J36" s="63">
        <v>4</v>
      </c>
      <c r="K36" s="63" t="s">
        <v>223</v>
      </c>
      <c r="L36" s="63">
        <v>4</v>
      </c>
      <c r="M36" s="63" t="s">
        <v>223</v>
      </c>
      <c r="N36" s="65">
        <f t="shared" si="10"/>
        <v>4.2857142857142856</v>
      </c>
      <c r="O36" s="66">
        <f t="shared" si="11"/>
        <v>3</v>
      </c>
      <c r="P36" s="63"/>
      <c r="Q36" s="63"/>
      <c r="R36" s="63"/>
      <c r="S36" s="63"/>
      <c r="T36" s="63"/>
      <c r="U36" s="63"/>
      <c r="V36" s="63"/>
      <c r="W36" s="63"/>
      <c r="X36" s="53" t="str">
        <f t="shared" si="12"/>
        <v/>
      </c>
      <c r="Y36" s="63"/>
      <c r="Z36" s="63"/>
      <c r="AA36" s="63"/>
      <c r="AB36" s="63"/>
      <c r="AC36" s="63"/>
      <c r="AD36" s="63"/>
      <c r="AE36" s="53" t="str">
        <f t="shared" si="13"/>
        <v/>
      </c>
      <c r="AF36" s="66" t="str">
        <f t="shared" si="14"/>
        <v/>
      </c>
      <c r="AG36" s="66" t="str">
        <f t="shared" si="15"/>
        <v/>
      </c>
      <c r="AH36" s="66" t="str">
        <f t="shared" si="16"/>
        <v>OK</v>
      </c>
      <c r="AI36" s="66" t="str">
        <f t="shared" si="17"/>
        <v>OK</v>
      </c>
      <c r="AJ36" s="66" t="str">
        <f t="shared" si="18"/>
        <v>OK</v>
      </c>
      <c r="AK36" s="66" t="str">
        <f t="shared" si="19"/>
        <v>OK</v>
      </c>
      <c r="AL36" s="63" t="s">
        <v>235</v>
      </c>
      <c r="AM36" s="63" t="s">
        <v>290</v>
      </c>
    </row>
    <row r="37" spans="1:39" ht="15" customHeight="1" x14ac:dyDescent="0.2">
      <c r="A37" s="63" t="s">
        <v>297</v>
      </c>
      <c r="B37" s="63" t="s">
        <v>298</v>
      </c>
      <c r="C37" s="64">
        <v>46246</v>
      </c>
      <c r="D37" s="63">
        <v>1</v>
      </c>
      <c r="E37" s="63" t="s">
        <v>223</v>
      </c>
      <c r="F37" s="63">
        <v>1</v>
      </c>
      <c r="G37" s="63" t="s">
        <v>223</v>
      </c>
      <c r="H37" s="63">
        <v>3</v>
      </c>
      <c r="I37" s="63" t="s">
        <v>222</v>
      </c>
      <c r="J37" s="63">
        <v>2</v>
      </c>
      <c r="K37" s="63" t="s">
        <v>222</v>
      </c>
      <c r="L37" s="63">
        <v>1</v>
      </c>
      <c r="M37" s="63" t="s">
        <v>223</v>
      </c>
      <c r="N37" s="65">
        <f t="shared" si="10"/>
        <v>1.5714285714285716</v>
      </c>
      <c r="O37" s="66">
        <f t="shared" si="11"/>
        <v>1.1000000000000001</v>
      </c>
      <c r="P37" s="63"/>
      <c r="Q37" s="63"/>
      <c r="R37" s="63"/>
      <c r="S37" s="63"/>
      <c r="T37" s="63"/>
      <c r="U37" s="63"/>
      <c r="V37" s="63"/>
      <c r="W37" s="63"/>
      <c r="X37" s="53" t="str">
        <f t="shared" si="12"/>
        <v/>
      </c>
      <c r="Y37" s="63"/>
      <c r="Z37" s="63"/>
      <c r="AA37" s="63"/>
      <c r="AB37" s="63"/>
      <c r="AC37" s="63"/>
      <c r="AD37" s="63"/>
      <c r="AE37" s="53" t="str">
        <f t="shared" si="13"/>
        <v/>
      </c>
      <c r="AF37" s="66" t="str">
        <f t="shared" si="14"/>
        <v/>
      </c>
      <c r="AG37" s="66" t="str">
        <f t="shared" si="15"/>
        <v/>
      </c>
      <c r="AH37" s="66" t="str">
        <f t="shared" si="16"/>
        <v>FAIL</v>
      </c>
      <c r="AI37" s="66" t="str">
        <f t="shared" si="17"/>
        <v>REVIEW</v>
      </c>
      <c r="AJ37" s="66" t="str">
        <f t="shared" si="18"/>
        <v>AVOID</v>
      </c>
      <c r="AK37" s="66" t="str">
        <f t="shared" si="19"/>
        <v>OK</v>
      </c>
      <c r="AL37" s="63" t="s">
        <v>235</v>
      </c>
      <c r="AM37" s="63" t="s">
        <v>236</v>
      </c>
    </row>
    <row r="38" spans="1:39" ht="15" customHeight="1" x14ac:dyDescent="0.2">
      <c r="A38" s="63" t="s">
        <v>299</v>
      </c>
      <c r="B38" s="63" t="s">
        <v>300</v>
      </c>
      <c r="C38" s="64">
        <v>46246</v>
      </c>
      <c r="D38" s="63">
        <v>3</v>
      </c>
      <c r="E38" s="63" t="s">
        <v>222</v>
      </c>
      <c r="F38" s="63">
        <v>3</v>
      </c>
      <c r="G38" s="63" t="s">
        <v>222</v>
      </c>
      <c r="H38" s="63">
        <v>3</v>
      </c>
      <c r="I38" s="63" t="s">
        <v>222</v>
      </c>
      <c r="J38" s="63">
        <v>2</v>
      </c>
      <c r="K38" s="63" t="s">
        <v>222</v>
      </c>
      <c r="L38" s="63">
        <v>3</v>
      </c>
      <c r="M38" s="63" t="s">
        <v>222</v>
      </c>
      <c r="N38" s="65">
        <f t="shared" si="10"/>
        <v>2.8571428571428572</v>
      </c>
      <c r="O38" s="66">
        <f t="shared" si="11"/>
        <v>2</v>
      </c>
      <c r="P38" s="63"/>
      <c r="Q38" s="63"/>
      <c r="R38" s="63"/>
      <c r="S38" s="63"/>
      <c r="T38" s="63"/>
      <c r="U38" s="63"/>
      <c r="V38" s="63"/>
      <c r="W38" s="63"/>
      <c r="X38" s="53" t="str">
        <f t="shared" si="12"/>
        <v/>
      </c>
      <c r="Y38" s="63"/>
      <c r="Z38" s="63"/>
      <c r="AA38" s="63"/>
      <c r="AB38" s="63"/>
      <c r="AC38" s="63"/>
      <c r="AD38" s="63"/>
      <c r="AE38" s="53" t="str">
        <f t="shared" si="13"/>
        <v/>
      </c>
      <c r="AF38" s="66" t="str">
        <f t="shared" si="14"/>
        <v/>
      </c>
      <c r="AG38" s="66" t="str">
        <f t="shared" si="15"/>
        <v/>
      </c>
      <c r="AH38" s="66" t="str">
        <f t="shared" si="16"/>
        <v>FAIL</v>
      </c>
      <c r="AI38" s="66" t="str">
        <f t="shared" si="17"/>
        <v>OK</v>
      </c>
      <c r="AJ38" s="66" t="str">
        <f t="shared" si="18"/>
        <v>OK</v>
      </c>
      <c r="AK38" s="66" t="str">
        <f t="shared" si="19"/>
        <v>OK</v>
      </c>
      <c r="AL38" s="63" t="s">
        <v>235</v>
      </c>
      <c r="AM38" s="63" t="s">
        <v>301</v>
      </c>
    </row>
    <row r="39" spans="1:39" ht="15" customHeight="1" x14ac:dyDescent="0.2">
      <c r="A39" s="63" t="s">
        <v>302</v>
      </c>
      <c r="B39" s="63" t="s">
        <v>303</v>
      </c>
      <c r="C39" s="64">
        <v>46246</v>
      </c>
      <c r="D39" s="63">
        <v>2</v>
      </c>
      <c r="E39" s="63" t="s">
        <v>224</v>
      </c>
      <c r="F39" s="63">
        <v>4</v>
      </c>
      <c r="G39" s="63" t="s">
        <v>223</v>
      </c>
      <c r="H39" s="63">
        <v>3</v>
      </c>
      <c r="I39" s="63" t="s">
        <v>222</v>
      </c>
      <c r="J39" s="63">
        <v>2</v>
      </c>
      <c r="K39" s="63" t="s">
        <v>222</v>
      </c>
      <c r="L39" s="63">
        <v>1</v>
      </c>
      <c r="M39" s="63" t="s">
        <v>223</v>
      </c>
      <c r="N39" s="65">
        <f t="shared" si="10"/>
        <v>2.5</v>
      </c>
      <c r="O39" s="66">
        <f t="shared" si="11"/>
        <v>1.75</v>
      </c>
      <c r="P39" s="63"/>
      <c r="Q39" s="63"/>
      <c r="R39" s="63"/>
      <c r="S39" s="63"/>
      <c r="T39" s="63"/>
      <c r="U39" s="63"/>
      <c r="V39" s="63"/>
      <c r="W39" s="63"/>
      <c r="X39" s="53" t="str">
        <f t="shared" si="12"/>
        <v/>
      </c>
      <c r="Y39" s="63"/>
      <c r="Z39" s="63"/>
      <c r="AA39" s="63"/>
      <c r="AB39" s="63"/>
      <c r="AC39" s="63"/>
      <c r="AD39" s="63"/>
      <c r="AE39" s="53" t="str">
        <f t="shared" si="13"/>
        <v/>
      </c>
      <c r="AF39" s="66" t="str">
        <f t="shared" si="14"/>
        <v/>
      </c>
      <c r="AG39" s="66" t="str">
        <f t="shared" si="15"/>
        <v/>
      </c>
      <c r="AH39" s="66" t="str">
        <f t="shared" si="16"/>
        <v>FAIL</v>
      </c>
      <c r="AI39" s="66" t="str">
        <f t="shared" si="17"/>
        <v>REVIEW</v>
      </c>
      <c r="AJ39" s="66" t="str">
        <f t="shared" si="18"/>
        <v>AVOID</v>
      </c>
      <c r="AK39" s="66" t="str">
        <f t="shared" si="19"/>
        <v>OK</v>
      </c>
      <c r="AL39" s="63" t="s">
        <v>235</v>
      </c>
      <c r="AM39" s="63" t="s">
        <v>301</v>
      </c>
    </row>
    <row r="40" spans="1:39" ht="15" customHeight="1" x14ac:dyDescent="0.2">
      <c r="A40" s="63" t="s">
        <v>304</v>
      </c>
      <c r="B40" s="63" t="s">
        <v>305</v>
      </c>
      <c r="C40" s="64">
        <v>46246</v>
      </c>
      <c r="D40" s="63">
        <v>1</v>
      </c>
      <c r="E40" s="63" t="s">
        <v>223</v>
      </c>
      <c r="F40" s="63">
        <v>1</v>
      </c>
      <c r="G40" s="63" t="s">
        <v>223</v>
      </c>
      <c r="H40" s="63">
        <v>2</v>
      </c>
      <c r="I40" s="63" t="s">
        <v>222</v>
      </c>
      <c r="J40" s="63">
        <v>2</v>
      </c>
      <c r="K40" s="63" t="s">
        <v>222</v>
      </c>
      <c r="L40" s="63">
        <v>1</v>
      </c>
      <c r="M40" s="63" t="s">
        <v>223</v>
      </c>
      <c r="N40" s="65">
        <f t="shared" si="10"/>
        <v>1.357142857142857</v>
      </c>
      <c r="O40" s="66">
        <f t="shared" si="11"/>
        <v>0.94999999999999984</v>
      </c>
      <c r="P40" s="63"/>
      <c r="Q40" s="63"/>
      <c r="R40" s="63"/>
      <c r="S40" s="63"/>
      <c r="T40" s="63"/>
      <c r="U40" s="63"/>
      <c r="V40" s="63"/>
      <c r="W40" s="63"/>
      <c r="X40" s="53" t="str">
        <f t="shared" si="12"/>
        <v/>
      </c>
      <c r="Y40" s="63"/>
      <c r="Z40" s="63"/>
      <c r="AA40" s="63"/>
      <c r="AB40" s="63"/>
      <c r="AC40" s="63"/>
      <c r="AD40" s="63"/>
      <c r="AE40" s="53" t="str">
        <f t="shared" si="13"/>
        <v/>
      </c>
      <c r="AF40" s="66" t="str">
        <f t="shared" si="14"/>
        <v/>
      </c>
      <c r="AG40" s="66" t="str">
        <f t="shared" si="15"/>
        <v/>
      </c>
      <c r="AH40" s="66" t="str">
        <f t="shared" si="16"/>
        <v>FAIL</v>
      </c>
      <c r="AI40" s="66" t="str">
        <f t="shared" si="17"/>
        <v>REVIEW</v>
      </c>
      <c r="AJ40" s="66" t="str">
        <f t="shared" si="18"/>
        <v>AVOID</v>
      </c>
      <c r="AK40" s="66" t="str">
        <f t="shared" si="19"/>
        <v>OK</v>
      </c>
      <c r="AL40" s="63" t="s">
        <v>235</v>
      </c>
      <c r="AM40" s="63" t="s">
        <v>306</v>
      </c>
    </row>
    <row r="41" spans="1:39" ht="15" customHeight="1" x14ac:dyDescent="0.2">
      <c r="A41" s="63" t="s">
        <v>307</v>
      </c>
      <c r="B41" s="63" t="s">
        <v>308</v>
      </c>
      <c r="C41" s="64">
        <v>46246</v>
      </c>
      <c r="D41" s="63">
        <v>2</v>
      </c>
      <c r="E41" s="63" t="s">
        <v>222</v>
      </c>
      <c r="F41" s="63">
        <v>3</v>
      </c>
      <c r="G41" s="63" t="s">
        <v>223</v>
      </c>
      <c r="H41" s="63">
        <v>4</v>
      </c>
      <c r="I41" s="63" t="s">
        <v>222</v>
      </c>
      <c r="J41" s="63">
        <v>3</v>
      </c>
      <c r="K41" s="63" t="s">
        <v>222</v>
      </c>
      <c r="L41" s="63">
        <v>2</v>
      </c>
      <c r="M41" s="63" t="s">
        <v>223</v>
      </c>
      <c r="N41" s="65">
        <f t="shared" si="10"/>
        <v>2.785714285714286</v>
      </c>
      <c r="O41" s="66">
        <f t="shared" si="11"/>
        <v>1.95</v>
      </c>
      <c r="P41" s="63"/>
      <c r="Q41" s="63"/>
      <c r="R41" s="63"/>
      <c r="S41" s="63"/>
      <c r="T41" s="63"/>
      <c r="U41" s="63"/>
      <c r="V41" s="63"/>
      <c r="W41" s="63"/>
      <c r="X41" s="53" t="str">
        <f t="shared" si="12"/>
        <v/>
      </c>
      <c r="Y41" s="63"/>
      <c r="Z41" s="63"/>
      <c r="AA41" s="63"/>
      <c r="AB41" s="63"/>
      <c r="AC41" s="63"/>
      <c r="AD41" s="63"/>
      <c r="AE41" s="53" t="str">
        <f t="shared" si="13"/>
        <v/>
      </c>
      <c r="AF41" s="66" t="str">
        <f t="shared" si="14"/>
        <v/>
      </c>
      <c r="AG41" s="66" t="str">
        <f t="shared" si="15"/>
        <v/>
      </c>
      <c r="AH41" s="66" t="str">
        <f t="shared" si="16"/>
        <v>FAIL</v>
      </c>
      <c r="AI41" s="66" t="str">
        <f t="shared" si="17"/>
        <v>OK</v>
      </c>
      <c r="AJ41" s="66" t="str">
        <f t="shared" si="18"/>
        <v>AVOID</v>
      </c>
      <c r="AK41" s="66" t="str">
        <f t="shared" si="19"/>
        <v>OK</v>
      </c>
      <c r="AL41" s="63" t="s">
        <v>235</v>
      </c>
      <c r="AM41" s="63" t="s">
        <v>309</v>
      </c>
    </row>
    <row r="42" spans="1:39" ht="15" customHeight="1" x14ac:dyDescent="0.2">
      <c r="A42" s="63" t="s">
        <v>310</v>
      </c>
      <c r="B42" s="63" t="s">
        <v>311</v>
      </c>
      <c r="C42" s="64">
        <v>46246</v>
      </c>
      <c r="D42" s="63">
        <v>4</v>
      </c>
      <c r="E42" s="63" t="s">
        <v>223</v>
      </c>
      <c r="F42" s="63">
        <v>3</v>
      </c>
      <c r="G42" s="63" t="s">
        <v>223</v>
      </c>
      <c r="H42" s="63">
        <v>3</v>
      </c>
      <c r="I42" s="63" t="s">
        <v>222</v>
      </c>
      <c r="J42" s="63">
        <v>3</v>
      </c>
      <c r="K42" s="63" t="s">
        <v>222</v>
      </c>
      <c r="L42" s="63">
        <v>4</v>
      </c>
      <c r="M42" s="63" t="s">
        <v>223</v>
      </c>
      <c r="N42" s="65">
        <f t="shared" si="10"/>
        <v>3.4285714285714288</v>
      </c>
      <c r="O42" s="66">
        <f t="shared" si="11"/>
        <v>2.4</v>
      </c>
      <c r="P42" s="63"/>
      <c r="Q42" s="63"/>
      <c r="R42" s="63"/>
      <c r="S42" s="63"/>
      <c r="T42" s="63"/>
      <c r="U42" s="63"/>
      <c r="V42" s="63"/>
      <c r="W42" s="63"/>
      <c r="X42" s="53" t="str">
        <f t="shared" si="12"/>
        <v/>
      </c>
      <c r="Y42" s="63"/>
      <c r="Z42" s="63"/>
      <c r="AA42" s="63"/>
      <c r="AB42" s="63"/>
      <c r="AC42" s="63"/>
      <c r="AD42" s="63"/>
      <c r="AE42" s="53" t="str">
        <f t="shared" si="13"/>
        <v/>
      </c>
      <c r="AF42" s="66" t="str">
        <f t="shared" si="14"/>
        <v/>
      </c>
      <c r="AG42" s="66" t="str">
        <f t="shared" si="15"/>
        <v/>
      </c>
      <c r="AH42" s="66" t="str">
        <f t="shared" si="16"/>
        <v>OK</v>
      </c>
      <c r="AI42" s="66" t="str">
        <f t="shared" si="17"/>
        <v>OK</v>
      </c>
      <c r="AJ42" s="66" t="str">
        <f t="shared" si="18"/>
        <v>OK</v>
      </c>
      <c r="AK42" s="66" t="str">
        <f t="shared" si="19"/>
        <v>OK</v>
      </c>
      <c r="AL42" s="63" t="s">
        <v>235</v>
      </c>
      <c r="AM42" s="63" t="s">
        <v>309</v>
      </c>
    </row>
    <row r="43" spans="1:39" ht="15" customHeight="1" x14ac:dyDescent="0.2">
      <c r="A43" s="63" t="s">
        <v>312</v>
      </c>
      <c r="B43" s="63" t="s">
        <v>313</v>
      </c>
      <c r="C43" s="64">
        <v>46247</v>
      </c>
      <c r="D43" s="63">
        <v>3</v>
      </c>
      <c r="E43" s="63" t="s">
        <v>222</v>
      </c>
      <c r="F43" s="63">
        <v>5</v>
      </c>
      <c r="G43" s="63" t="s">
        <v>222</v>
      </c>
      <c r="H43" s="63">
        <v>5</v>
      </c>
      <c r="I43" s="63" t="s">
        <v>222</v>
      </c>
      <c r="J43" s="63">
        <v>4</v>
      </c>
      <c r="K43" s="63" t="s">
        <v>222</v>
      </c>
      <c r="L43" s="63">
        <v>2</v>
      </c>
      <c r="M43" s="63" t="s">
        <v>222</v>
      </c>
      <c r="N43" s="65">
        <f t="shared" si="10"/>
        <v>3.8571428571428577</v>
      </c>
      <c r="O43" s="66">
        <f t="shared" si="11"/>
        <v>2.7</v>
      </c>
      <c r="P43" s="63"/>
      <c r="Q43" s="63"/>
      <c r="R43" s="63"/>
      <c r="S43" s="63"/>
      <c r="T43" s="63"/>
      <c r="U43" s="63"/>
      <c r="V43" s="63"/>
      <c r="W43" s="63"/>
      <c r="X43" s="53" t="str">
        <f t="shared" si="12"/>
        <v/>
      </c>
      <c r="Y43" s="63"/>
      <c r="Z43" s="63"/>
      <c r="AA43" s="63">
        <v>4</v>
      </c>
      <c r="AB43" s="63" t="s">
        <v>222</v>
      </c>
      <c r="AC43" s="63"/>
      <c r="AD43" s="63"/>
      <c r="AE43" s="53">
        <f t="shared" si="13"/>
        <v>0.08</v>
      </c>
      <c r="AF43" s="66" t="str">
        <f t="shared" si="14"/>
        <v/>
      </c>
      <c r="AG43" s="66" t="str">
        <f t="shared" si="15"/>
        <v/>
      </c>
      <c r="AH43" s="66" t="str">
        <f t="shared" si="16"/>
        <v>OK</v>
      </c>
      <c r="AI43" s="66" t="str">
        <f t="shared" si="17"/>
        <v>OK</v>
      </c>
      <c r="AJ43" s="66" t="str">
        <f t="shared" si="18"/>
        <v>OK</v>
      </c>
      <c r="AK43" s="66" t="str">
        <f t="shared" si="19"/>
        <v>OK</v>
      </c>
      <c r="AL43" s="63" t="s">
        <v>242</v>
      </c>
      <c r="AM43" s="63" t="s">
        <v>314</v>
      </c>
    </row>
    <row r="44" spans="1:39" ht="15" customHeight="1" x14ac:dyDescent="0.2">
      <c r="A44" s="63" t="s">
        <v>315</v>
      </c>
      <c r="B44" s="63" t="s">
        <v>316</v>
      </c>
      <c r="C44" s="64">
        <v>46247</v>
      </c>
      <c r="D44" s="63">
        <v>4</v>
      </c>
      <c r="E44" s="63" t="s">
        <v>222</v>
      </c>
      <c r="F44" s="63">
        <v>3</v>
      </c>
      <c r="G44" s="63" t="s">
        <v>222</v>
      </c>
      <c r="H44" s="63">
        <v>3</v>
      </c>
      <c r="I44" s="63" t="s">
        <v>222</v>
      </c>
      <c r="J44" s="63">
        <v>2</v>
      </c>
      <c r="K44" s="63" t="s">
        <v>222</v>
      </c>
      <c r="L44" s="63">
        <v>4</v>
      </c>
      <c r="M44" s="63" t="s">
        <v>222</v>
      </c>
      <c r="N44" s="65">
        <f t="shared" si="10"/>
        <v>3.2857142857142856</v>
      </c>
      <c r="O44" s="66">
        <f t="shared" si="11"/>
        <v>2.2999999999999998</v>
      </c>
      <c r="P44" s="63"/>
      <c r="Q44" s="63"/>
      <c r="R44" s="63"/>
      <c r="S44" s="63"/>
      <c r="T44" s="63"/>
      <c r="U44" s="63"/>
      <c r="V44" s="63"/>
      <c r="W44" s="63"/>
      <c r="X44" s="53" t="str">
        <f t="shared" si="12"/>
        <v/>
      </c>
      <c r="Y44" s="63"/>
      <c r="Z44" s="63"/>
      <c r="AA44" s="63">
        <v>4</v>
      </c>
      <c r="AB44" s="63" t="s">
        <v>222</v>
      </c>
      <c r="AC44" s="63"/>
      <c r="AD44" s="63"/>
      <c r="AE44" s="53">
        <f t="shared" si="13"/>
        <v>0.08</v>
      </c>
      <c r="AF44" s="66" t="str">
        <f t="shared" si="14"/>
        <v/>
      </c>
      <c r="AG44" s="66" t="str">
        <f t="shared" si="15"/>
        <v/>
      </c>
      <c r="AH44" s="66" t="str">
        <f t="shared" si="16"/>
        <v>OK</v>
      </c>
      <c r="AI44" s="66" t="str">
        <f t="shared" si="17"/>
        <v>OK</v>
      </c>
      <c r="AJ44" s="66" t="str">
        <f t="shared" si="18"/>
        <v>OK</v>
      </c>
      <c r="AK44" s="66" t="str">
        <f t="shared" si="19"/>
        <v>OK</v>
      </c>
      <c r="AL44" s="63" t="s">
        <v>242</v>
      </c>
      <c r="AM44" s="63" t="s">
        <v>317</v>
      </c>
    </row>
    <row r="45" spans="1:39" ht="15" customHeight="1" x14ac:dyDescent="0.2">
      <c r="A45" s="63" t="s">
        <v>318</v>
      </c>
      <c r="B45" s="63" t="s">
        <v>319</v>
      </c>
      <c r="C45" s="64">
        <v>46247</v>
      </c>
      <c r="D45" s="63">
        <v>4</v>
      </c>
      <c r="E45" s="63" t="s">
        <v>222</v>
      </c>
      <c r="F45" s="63">
        <v>3</v>
      </c>
      <c r="G45" s="63" t="s">
        <v>222</v>
      </c>
      <c r="H45" s="63">
        <v>4</v>
      </c>
      <c r="I45" s="63" t="s">
        <v>222</v>
      </c>
      <c r="J45" s="63">
        <v>3</v>
      </c>
      <c r="K45" s="63" t="s">
        <v>222</v>
      </c>
      <c r="L45" s="63">
        <v>3</v>
      </c>
      <c r="M45" s="63" t="s">
        <v>222</v>
      </c>
      <c r="N45" s="65">
        <f t="shared" si="10"/>
        <v>3.5000000000000004</v>
      </c>
      <c r="O45" s="66">
        <f t="shared" si="11"/>
        <v>2.4500000000000002</v>
      </c>
      <c r="P45" s="63"/>
      <c r="Q45" s="63"/>
      <c r="R45" s="63"/>
      <c r="S45" s="63"/>
      <c r="T45" s="63"/>
      <c r="U45" s="63"/>
      <c r="V45" s="63"/>
      <c r="W45" s="63"/>
      <c r="X45" s="53" t="str">
        <f t="shared" si="12"/>
        <v/>
      </c>
      <c r="Y45" s="63"/>
      <c r="Z45" s="63"/>
      <c r="AA45" s="63">
        <v>4</v>
      </c>
      <c r="AB45" s="63" t="s">
        <v>222</v>
      </c>
      <c r="AC45" s="63"/>
      <c r="AD45" s="63"/>
      <c r="AE45" s="53">
        <f t="shared" si="13"/>
        <v>0.08</v>
      </c>
      <c r="AF45" s="66" t="str">
        <f t="shared" si="14"/>
        <v/>
      </c>
      <c r="AG45" s="66" t="str">
        <f t="shared" si="15"/>
        <v/>
      </c>
      <c r="AH45" s="66" t="str">
        <f t="shared" si="16"/>
        <v>OK</v>
      </c>
      <c r="AI45" s="66" t="str">
        <f t="shared" si="17"/>
        <v>OK</v>
      </c>
      <c r="AJ45" s="66" t="str">
        <f t="shared" si="18"/>
        <v>OK</v>
      </c>
      <c r="AK45" s="66" t="str">
        <f t="shared" si="19"/>
        <v>OK</v>
      </c>
      <c r="AL45" s="63" t="s">
        <v>242</v>
      </c>
      <c r="AM45" s="63" t="s">
        <v>317</v>
      </c>
    </row>
    <row r="46" spans="1:39" ht="15" customHeight="1" x14ac:dyDescent="0.2">
      <c r="A46" s="63"/>
      <c r="B46" s="63"/>
      <c r="C46" s="63"/>
      <c r="D46" s="63"/>
      <c r="E46" s="63"/>
      <c r="F46" s="63"/>
      <c r="G46" s="63"/>
      <c r="H46" s="63"/>
      <c r="I46" s="63"/>
      <c r="J46" s="63"/>
      <c r="K46" s="63"/>
      <c r="L46" s="63"/>
      <c r="M46" s="63"/>
      <c r="N46" s="65" t="str">
        <f t="shared" si="10"/>
        <v/>
      </c>
      <c r="O46" s="66" t="str">
        <f t="shared" si="11"/>
        <v/>
      </c>
      <c r="P46" s="63"/>
      <c r="Q46" s="63"/>
      <c r="R46" s="63"/>
      <c r="S46" s="63"/>
      <c r="T46" s="63"/>
      <c r="U46" s="63"/>
      <c r="V46" s="63"/>
      <c r="W46" s="63"/>
      <c r="X46" s="53" t="str">
        <f t="shared" si="12"/>
        <v/>
      </c>
      <c r="Y46" s="63"/>
      <c r="Z46" s="63"/>
      <c r="AA46" s="63"/>
      <c r="AB46" s="63"/>
      <c r="AC46" s="63"/>
      <c r="AD46" s="63"/>
      <c r="AE46" s="53" t="str">
        <f t="shared" si="13"/>
        <v/>
      </c>
      <c r="AF46" s="66" t="str">
        <f t="shared" si="14"/>
        <v/>
      </c>
      <c r="AG46" s="66" t="str">
        <f t="shared" si="15"/>
        <v/>
      </c>
      <c r="AH46" s="66" t="str">
        <f t="shared" si="16"/>
        <v/>
      </c>
      <c r="AI46" s="66" t="str">
        <f t="shared" si="17"/>
        <v/>
      </c>
      <c r="AJ46" s="66" t="str">
        <f t="shared" si="18"/>
        <v/>
      </c>
      <c r="AK46" s="66" t="str">
        <f t="shared" si="19"/>
        <v/>
      </c>
    </row>
    <row r="47" spans="1:39" ht="15" customHeight="1" x14ac:dyDescent="0.2">
      <c r="A47" s="63"/>
      <c r="B47" s="63"/>
      <c r="C47" s="63"/>
      <c r="D47" s="63"/>
      <c r="E47" s="63"/>
      <c r="F47" s="63"/>
      <c r="G47" s="63"/>
      <c r="H47" s="63"/>
      <c r="I47" s="63"/>
      <c r="J47" s="63"/>
      <c r="K47" s="63"/>
      <c r="L47" s="63"/>
      <c r="M47" s="63"/>
      <c r="N47" s="65" t="str">
        <f t="shared" si="10"/>
        <v/>
      </c>
      <c r="O47" s="66" t="str">
        <f t="shared" si="11"/>
        <v/>
      </c>
      <c r="P47" s="63"/>
      <c r="Q47" s="63"/>
      <c r="R47" s="63"/>
      <c r="S47" s="63"/>
      <c r="T47" s="63"/>
      <c r="U47" s="63"/>
      <c r="V47" s="63"/>
      <c r="W47" s="63"/>
      <c r="X47" s="53" t="str">
        <f t="shared" si="12"/>
        <v/>
      </c>
      <c r="Y47" s="63"/>
      <c r="Z47" s="63"/>
      <c r="AA47" s="63"/>
      <c r="AB47" s="63"/>
      <c r="AC47" s="63"/>
      <c r="AD47" s="63"/>
      <c r="AE47" s="53" t="str">
        <f t="shared" si="13"/>
        <v/>
      </c>
      <c r="AF47" s="66" t="str">
        <f t="shared" si="14"/>
        <v/>
      </c>
      <c r="AG47" s="66" t="str">
        <f t="shared" si="15"/>
        <v/>
      </c>
      <c r="AH47" s="66" t="str">
        <f t="shared" si="16"/>
        <v/>
      </c>
      <c r="AI47" s="66" t="str">
        <f t="shared" si="17"/>
        <v/>
      </c>
      <c r="AJ47" s="66" t="str">
        <f t="shared" si="18"/>
        <v/>
      </c>
      <c r="AK47" s="66" t="str">
        <f t="shared" si="19"/>
        <v/>
      </c>
    </row>
    <row r="48" spans="1:39" ht="15" customHeight="1" x14ac:dyDescent="0.2">
      <c r="A48" s="63"/>
      <c r="B48" s="63"/>
      <c r="C48" s="63"/>
      <c r="D48" s="63"/>
      <c r="E48" s="63"/>
      <c r="F48" s="63"/>
      <c r="G48" s="63"/>
      <c r="H48" s="63"/>
      <c r="I48" s="63"/>
      <c r="J48" s="63"/>
      <c r="K48" s="63"/>
      <c r="L48" s="63"/>
      <c r="M48" s="63"/>
      <c r="N48" s="65" t="str">
        <f t="shared" si="10"/>
        <v/>
      </c>
      <c r="O48" s="66" t="str">
        <f t="shared" si="11"/>
        <v/>
      </c>
      <c r="P48" s="63"/>
      <c r="Q48" s="63"/>
      <c r="R48" s="63"/>
      <c r="S48" s="63"/>
      <c r="T48" s="63"/>
      <c r="U48" s="63"/>
      <c r="V48" s="63"/>
      <c r="W48" s="63"/>
      <c r="X48" s="53" t="str">
        <f t="shared" si="12"/>
        <v/>
      </c>
      <c r="Y48" s="63"/>
      <c r="Z48" s="63"/>
      <c r="AA48" s="63"/>
      <c r="AB48" s="63"/>
      <c r="AC48" s="63"/>
      <c r="AD48" s="63"/>
      <c r="AE48" s="53" t="str">
        <f t="shared" si="13"/>
        <v/>
      </c>
      <c r="AF48" s="66" t="str">
        <f t="shared" si="14"/>
        <v/>
      </c>
      <c r="AG48" s="66" t="str">
        <f t="shared" si="15"/>
        <v/>
      </c>
      <c r="AH48" s="66" t="str">
        <f t="shared" si="16"/>
        <v/>
      </c>
      <c r="AI48" s="66" t="str">
        <f t="shared" si="17"/>
        <v/>
      </c>
      <c r="AJ48" s="66" t="str">
        <f t="shared" si="18"/>
        <v/>
      </c>
      <c r="AK48" s="66" t="str">
        <f t="shared" si="19"/>
        <v/>
      </c>
    </row>
    <row r="49" spans="1:37" ht="15" customHeight="1" x14ac:dyDescent="0.2">
      <c r="A49" s="63"/>
      <c r="B49" s="63"/>
      <c r="C49" s="63"/>
      <c r="D49" s="63"/>
      <c r="E49" s="63"/>
      <c r="F49" s="63"/>
      <c r="G49" s="63"/>
      <c r="H49" s="63"/>
      <c r="I49" s="63"/>
      <c r="J49" s="63"/>
      <c r="K49" s="63"/>
      <c r="L49" s="63"/>
      <c r="M49" s="63"/>
      <c r="N49" s="65" t="str">
        <f t="shared" si="10"/>
        <v/>
      </c>
      <c r="O49" s="66" t="str">
        <f t="shared" si="11"/>
        <v/>
      </c>
      <c r="P49" s="63"/>
      <c r="Q49" s="63"/>
      <c r="R49" s="63"/>
      <c r="S49" s="63"/>
      <c r="T49" s="63"/>
      <c r="U49" s="63"/>
      <c r="V49" s="63"/>
      <c r="W49" s="63"/>
      <c r="X49" s="53" t="str">
        <f t="shared" si="12"/>
        <v/>
      </c>
      <c r="Y49" s="63"/>
      <c r="Z49" s="63"/>
      <c r="AA49" s="63"/>
      <c r="AB49" s="63"/>
      <c r="AC49" s="63"/>
      <c r="AD49" s="63"/>
      <c r="AE49" s="53" t="str">
        <f t="shared" si="13"/>
        <v/>
      </c>
      <c r="AF49" s="66" t="str">
        <f t="shared" si="14"/>
        <v/>
      </c>
      <c r="AG49" s="66" t="str">
        <f t="shared" si="15"/>
        <v/>
      </c>
      <c r="AH49" s="66" t="str">
        <f t="shared" si="16"/>
        <v/>
      </c>
      <c r="AI49" s="66" t="str">
        <f t="shared" si="17"/>
        <v/>
      </c>
      <c r="AJ49" s="66" t="str">
        <f t="shared" si="18"/>
        <v/>
      </c>
      <c r="AK49" s="66" t="str">
        <f t="shared" si="19"/>
        <v/>
      </c>
    </row>
    <row r="50" spans="1:37" ht="15" customHeight="1" x14ac:dyDescent="0.2">
      <c r="A50" s="63"/>
      <c r="B50" s="63"/>
      <c r="C50" s="63"/>
      <c r="D50" s="63"/>
      <c r="E50" s="63"/>
      <c r="F50" s="63"/>
      <c r="G50" s="63"/>
      <c r="H50" s="63"/>
      <c r="I50" s="63"/>
      <c r="J50" s="63"/>
      <c r="K50" s="63"/>
      <c r="L50" s="63"/>
      <c r="M50" s="63"/>
      <c r="N50" s="65" t="str">
        <f t="shared" si="10"/>
        <v/>
      </c>
      <c r="O50" s="66" t="str">
        <f t="shared" si="11"/>
        <v/>
      </c>
      <c r="P50" s="63"/>
      <c r="Q50" s="63"/>
      <c r="R50" s="63"/>
      <c r="S50" s="63"/>
      <c r="T50" s="63"/>
      <c r="U50" s="63"/>
      <c r="V50" s="63"/>
      <c r="W50" s="63"/>
      <c r="X50" s="53" t="str">
        <f t="shared" si="12"/>
        <v/>
      </c>
      <c r="Y50" s="63"/>
      <c r="Z50" s="63"/>
      <c r="AA50" s="63"/>
      <c r="AB50" s="63"/>
      <c r="AC50" s="63"/>
      <c r="AD50" s="63"/>
      <c r="AE50" s="53" t="str">
        <f t="shared" si="13"/>
        <v/>
      </c>
      <c r="AF50" s="66" t="str">
        <f t="shared" si="14"/>
        <v/>
      </c>
      <c r="AG50" s="66" t="str">
        <f t="shared" si="15"/>
        <v/>
      </c>
      <c r="AH50" s="66" t="str">
        <f t="shared" si="16"/>
        <v/>
      </c>
      <c r="AI50" s="66" t="str">
        <f t="shared" si="17"/>
        <v/>
      </c>
      <c r="AJ50" s="66" t="str">
        <f t="shared" si="18"/>
        <v/>
      </c>
      <c r="AK50" s="66" t="str">
        <f t="shared" si="19"/>
        <v/>
      </c>
    </row>
    <row r="51" spans="1:37" ht="15" customHeight="1" x14ac:dyDescent="0.2">
      <c r="A51" s="63"/>
      <c r="B51" s="63"/>
      <c r="C51" s="63"/>
      <c r="D51" s="63"/>
      <c r="E51" s="63"/>
      <c r="F51" s="63"/>
      <c r="G51" s="63"/>
      <c r="H51" s="63"/>
      <c r="I51" s="63"/>
      <c r="J51" s="63"/>
      <c r="K51" s="63"/>
      <c r="L51" s="63"/>
      <c r="M51" s="63"/>
      <c r="N51" s="65" t="str">
        <f t="shared" si="10"/>
        <v/>
      </c>
      <c r="O51" s="66" t="str">
        <f t="shared" si="11"/>
        <v/>
      </c>
      <c r="P51" s="63"/>
      <c r="Q51" s="63"/>
      <c r="R51" s="63"/>
      <c r="S51" s="63"/>
      <c r="T51" s="63"/>
      <c r="U51" s="63"/>
      <c r="V51" s="63"/>
      <c r="W51" s="63"/>
      <c r="X51" s="53" t="str">
        <f t="shared" si="12"/>
        <v/>
      </c>
      <c r="Y51" s="63"/>
      <c r="Z51" s="63"/>
      <c r="AA51" s="63"/>
      <c r="AB51" s="63"/>
      <c r="AC51" s="63"/>
      <c r="AD51" s="63"/>
      <c r="AE51" s="53" t="str">
        <f t="shared" si="13"/>
        <v/>
      </c>
      <c r="AF51" s="66" t="str">
        <f t="shared" si="14"/>
        <v/>
      </c>
      <c r="AG51" s="66" t="str">
        <f t="shared" si="15"/>
        <v/>
      </c>
      <c r="AH51" s="66" t="str">
        <f t="shared" si="16"/>
        <v/>
      </c>
      <c r="AI51" s="66" t="str">
        <f t="shared" si="17"/>
        <v/>
      </c>
      <c r="AJ51" s="66" t="str">
        <f t="shared" si="18"/>
        <v/>
      </c>
      <c r="AK51" s="66" t="str">
        <f t="shared" si="19"/>
        <v/>
      </c>
    </row>
    <row r="52" spans="1:37" ht="15" customHeight="1" x14ac:dyDescent="0.2">
      <c r="A52" s="63"/>
      <c r="B52" s="63"/>
      <c r="C52" s="63"/>
      <c r="D52" s="63"/>
      <c r="E52" s="63"/>
      <c r="F52" s="63"/>
      <c r="G52" s="63"/>
      <c r="H52" s="63"/>
      <c r="I52" s="63"/>
      <c r="J52" s="63"/>
      <c r="K52" s="63"/>
      <c r="L52" s="63"/>
      <c r="M52" s="63"/>
      <c r="N52" s="65" t="str">
        <f t="shared" si="10"/>
        <v/>
      </c>
      <c r="O52" s="66" t="str">
        <f t="shared" si="11"/>
        <v/>
      </c>
      <c r="P52" s="63"/>
      <c r="Q52" s="63"/>
      <c r="R52" s="63"/>
      <c r="S52" s="63"/>
      <c r="T52" s="63"/>
      <c r="U52" s="63"/>
      <c r="V52" s="63"/>
      <c r="W52" s="63"/>
      <c r="X52" s="53" t="str">
        <f t="shared" si="12"/>
        <v/>
      </c>
      <c r="Y52" s="63"/>
      <c r="Z52" s="63"/>
      <c r="AA52" s="63"/>
      <c r="AB52" s="63"/>
      <c r="AC52" s="63"/>
      <c r="AD52" s="63"/>
      <c r="AE52" s="53" t="str">
        <f t="shared" si="13"/>
        <v/>
      </c>
      <c r="AF52" s="66" t="str">
        <f t="shared" si="14"/>
        <v/>
      </c>
      <c r="AG52" s="66" t="str">
        <f t="shared" si="15"/>
        <v/>
      </c>
      <c r="AH52" s="66" t="str">
        <f t="shared" si="16"/>
        <v/>
      </c>
      <c r="AI52" s="66" t="str">
        <f t="shared" si="17"/>
        <v/>
      </c>
      <c r="AJ52" s="66" t="str">
        <f t="shared" si="18"/>
        <v/>
      </c>
      <c r="AK52" s="66" t="str">
        <f t="shared" si="19"/>
        <v/>
      </c>
    </row>
    <row r="53" spans="1:37" ht="15" customHeight="1" x14ac:dyDescent="0.2">
      <c r="A53" s="63"/>
      <c r="B53" s="63"/>
      <c r="C53" s="63"/>
      <c r="D53" s="63"/>
      <c r="E53" s="63"/>
      <c r="F53" s="63"/>
      <c r="G53" s="63"/>
      <c r="H53" s="63"/>
      <c r="I53" s="63"/>
      <c r="J53" s="63"/>
      <c r="K53" s="63"/>
      <c r="L53" s="63"/>
      <c r="M53" s="63"/>
      <c r="N53" s="65" t="str">
        <f t="shared" si="10"/>
        <v/>
      </c>
      <c r="O53" s="66" t="str">
        <f t="shared" si="11"/>
        <v/>
      </c>
      <c r="P53" s="63"/>
      <c r="Q53" s="63"/>
      <c r="R53" s="63"/>
      <c r="S53" s="63"/>
      <c r="T53" s="63"/>
      <c r="U53" s="63"/>
      <c r="V53" s="63"/>
      <c r="W53" s="63"/>
      <c r="X53" s="53" t="str">
        <f t="shared" si="12"/>
        <v/>
      </c>
      <c r="Y53" s="63"/>
      <c r="Z53" s="63"/>
      <c r="AA53" s="63"/>
      <c r="AB53" s="63"/>
      <c r="AC53" s="63"/>
      <c r="AD53" s="63"/>
      <c r="AE53" s="53" t="str">
        <f t="shared" si="13"/>
        <v/>
      </c>
      <c r="AF53" s="66" t="str">
        <f t="shared" si="14"/>
        <v/>
      </c>
      <c r="AG53" s="66" t="str">
        <f t="shared" si="15"/>
        <v/>
      </c>
      <c r="AH53" s="66" t="str">
        <f t="shared" si="16"/>
        <v/>
      </c>
      <c r="AI53" s="66" t="str">
        <f t="shared" si="17"/>
        <v/>
      </c>
      <c r="AJ53" s="66" t="str">
        <f t="shared" si="18"/>
        <v/>
      </c>
      <c r="AK53" s="66" t="str">
        <f t="shared" si="19"/>
        <v/>
      </c>
    </row>
    <row r="54" spans="1:37" ht="15" customHeight="1" x14ac:dyDescent="0.2">
      <c r="A54" s="63"/>
      <c r="B54" s="63"/>
      <c r="C54" s="63"/>
      <c r="D54" s="63"/>
      <c r="E54" s="63"/>
      <c r="F54" s="63"/>
      <c r="G54" s="63"/>
      <c r="H54" s="63"/>
      <c r="I54" s="63"/>
      <c r="J54" s="63"/>
      <c r="K54" s="63"/>
      <c r="L54" s="63"/>
      <c r="M54" s="63"/>
      <c r="N54" s="65" t="str">
        <f t="shared" si="10"/>
        <v/>
      </c>
      <c r="O54" s="66" t="str">
        <f t="shared" si="11"/>
        <v/>
      </c>
      <c r="P54" s="63"/>
      <c r="Q54" s="63"/>
      <c r="R54" s="63"/>
      <c r="S54" s="63"/>
      <c r="T54" s="63"/>
      <c r="U54" s="63"/>
      <c r="V54" s="63"/>
      <c r="W54" s="63"/>
      <c r="X54" s="53" t="str">
        <f t="shared" si="12"/>
        <v/>
      </c>
      <c r="Y54" s="63"/>
      <c r="Z54" s="63"/>
      <c r="AA54" s="63"/>
      <c r="AB54" s="63"/>
      <c r="AC54" s="63"/>
      <c r="AD54" s="63"/>
      <c r="AE54" s="53" t="str">
        <f t="shared" si="13"/>
        <v/>
      </c>
      <c r="AF54" s="66" t="str">
        <f t="shared" si="14"/>
        <v/>
      </c>
      <c r="AG54" s="66" t="str">
        <f t="shared" si="15"/>
        <v/>
      </c>
      <c r="AH54" s="66" t="str">
        <f t="shared" si="16"/>
        <v/>
      </c>
      <c r="AI54" s="66" t="str">
        <f t="shared" si="17"/>
        <v/>
      </c>
      <c r="AJ54" s="66" t="str">
        <f t="shared" si="18"/>
        <v/>
      </c>
      <c r="AK54" s="66" t="str">
        <f t="shared" si="19"/>
        <v/>
      </c>
    </row>
    <row r="55" spans="1:37" ht="15" customHeight="1" x14ac:dyDescent="0.2">
      <c r="A55" s="63"/>
      <c r="B55" s="63"/>
      <c r="C55" s="63"/>
      <c r="D55" s="63"/>
      <c r="E55" s="63"/>
      <c r="F55" s="63"/>
      <c r="G55" s="63"/>
      <c r="H55" s="63"/>
      <c r="I55" s="63"/>
      <c r="J55" s="63"/>
      <c r="K55" s="63"/>
      <c r="L55" s="63"/>
      <c r="M55" s="63"/>
      <c r="N55" s="65" t="str">
        <f t="shared" si="10"/>
        <v/>
      </c>
      <c r="O55" s="66" t="str">
        <f t="shared" si="11"/>
        <v/>
      </c>
      <c r="P55" s="63"/>
      <c r="Q55" s="63"/>
      <c r="R55" s="63"/>
      <c r="S55" s="63"/>
      <c r="T55" s="63"/>
      <c r="U55" s="63"/>
      <c r="V55" s="63"/>
      <c r="W55" s="63"/>
      <c r="X55" s="53" t="str">
        <f t="shared" si="12"/>
        <v/>
      </c>
      <c r="Y55" s="63"/>
      <c r="Z55" s="63"/>
      <c r="AA55" s="63"/>
      <c r="AB55" s="63"/>
      <c r="AC55" s="63"/>
      <c r="AD55" s="63"/>
      <c r="AE55" s="53" t="str">
        <f t="shared" si="13"/>
        <v/>
      </c>
      <c r="AF55" s="66" t="str">
        <f t="shared" si="14"/>
        <v/>
      </c>
      <c r="AG55" s="66" t="str">
        <f t="shared" si="15"/>
        <v/>
      </c>
      <c r="AH55" s="66" t="str">
        <f t="shared" si="16"/>
        <v/>
      </c>
      <c r="AI55" s="66" t="str">
        <f t="shared" si="17"/>
        <v/>
      </c>
      <c r="AJ55" s="66" t="str">
        <f t="shared" si="18"/>
        <v/>
      </c>
      <c r="AK55" s="66" t="str">
        <f t="shared" si="19"/>
        <v/>
      </c>
    </row>
    <row r="56" spans="1:37" ht="15" customHeight="1" x14ac:dyDescent="0.2">
      <c r="A56" s="63"/>
      <c r="B56" s="63"/>
      <c r="C56" s="63"/>
      <c r="D56" s="63"/>
      <c r="E56" s="63"/>
      <c r="F56" s="63"/>
      <c r="G56" s="63"/>
      <c r="H56" s="63"/>
      <c r="I56" s="63"/>
      <c r="J56" s="63"/>
      <c r="K56" s="63"/>
      <c r="L56" s="63"/>
      <c r="M56" s="63"/>
      <c r="N56" s="65" t="str">
        <f t="shared" si="10"/>
        <v/>
      </c>
      <c r="O56" s="66" t="str">
        <f t="shared" si="11"/>
        <v/>
      </c>
      <c r="P56" s="63"/>
      <c r="Q56" s="63"/>
      <c r="R56" s="63"/>
      <c r="S56" s="63"/>
      <c r="T56" s="63"/>
      <c r="U56" s="63"/>
      <c r="V56" s="63"/>
      <c r="W56" s="63"/>
      <c r="X56" s="53" t="str">
        <f t="shared" si="12"/>
        <v/>
      </c>
      <c r="Y56" s="63"/>
      <c r="Z56" s="63"/>
      <c r="AA56" s="63"/>
      <c r="AB56" s="63"/>
      <c r="AC56" s="63"/>
      <c r="AD56" s="63"/>
      <c r="AE56" s="53" t="str">
        <f t="shared" si="13"/>
        <v/>
      </c>
      <c r="AF56" s="66" t="str">
        <f t="shared" si="14"/>
        <v/>
      </c>
      <c r="AG56" s="66" t="str">
        <f t="shared" si="15"/>
        <v/>
      </c>
      <c r="AH56" s="66" t="str">
        <f t="shared" si="16"/>
        <v/>
      </c>
      <c r="AI56" s="66" t="str">
        <f t="shared" si="17"/>
        <v/>
      </c>
      <c r="AJ56" s="66" t="str">
        <f t="shared" si="18"/>
        <v/>
      </c>
      <c r="AK56" s="66" t="str">
        <f t="shared" si="19"/>
        <v/>
      </c>
    </row>
    <row r="57" spans="1:37" ht="15" customHeight="1" x14ac:dyDescent="0.2">
      <c r="A57" s="63"/>
      <c r="B57" s="63"/>
      <c r="C57" s="63"/>
      <c r="D57" s="63"/>
      <c r="E57" s="63"/>
      <c r="F57" s="63"/>
      <c r="G57" s="63"/>
      <c r="H57" s="63"/>
      <c r="I57" s="63"/>
      <c r="J57" s="63"/>
      <c r="K57" s="63"/>
      <c r="L57" s="63"/>
      <c r="M57" s="63"/>
      <c r="N57" s="65" t="str">
        <f t="shared" si="10"/>
        <v/>
      </c>
      <c r="O57" s="66" t="str">
        <f t="shared" si="11"/>
        <v/>
      </c>
      <c r="P57" s="63"/>
      <c r="Q57" s="63"/>
      <c r="R57" s="63"/>
      <c r="S57" s="63"/>
      <c r="T57" s="63"/>
      <c r="U57" s="63"/>
      <c r="V57" s="63"/>
      <c r="W57" s="63"/>
      <c r="X57" s="53" t="str">
        <f t="shared" si="12"/>
        <v/>
      </c>
      <c r="Y57" s="63"/>
      <c r="Z57" s="63"/>
      <c r="AA57" s="63"/>
      <c r="AB57" s="63"/>
      <c r="AC57" s="63"/>
      <c r="AD57" s="63"/>
      <c r="AE57" s="53" t="str">
        <f t="shared" si="13"/>
        <v/>
      </c>
      <c r="AF57" s="66" t="str">
        <f t="shared" si="14"/>
        <v/>
      </c>
      <c r="AG57" s="66" t="str">
        <f t="shared" si="15"/>
        <v/>
      </c>
      <c r="AH57" s="66" t="str">
        <f t="shared" si="16"/>
        <v/>
      </c>
      <c r="AI57" s="66" t="str">
        <f t="shared" si="17"/>
        <v/>
      </c>
      <c r="AJ57" s="66" t="str">
        <f t="shared" si="18"/>
        <v/>
      </c>
      <c r="AK57" s="66" t="str">
        <f t="shared" si="19"/>
        <v/>
      </c>
    </row>
    <row r="58" spans="1:37" ht="15" customHeight="1" x14ac:dyDescent="0.2">
      <c r="A58" s="63"/>
      <c r="B58" s="63"/>
      <c r="C58" s="63"/>
      <c r="D58" s="63"/>
      <c r="E58" s="63"/>
      <c r="F58" s="63"/>
      <c r="G58" s="63"/>
      <c r="H58" s="63"/>
      <c r="I58" s="63"/>
      <c r="J58" s="63"/>
      <c r="K58" s="63"/>
      <c r="L58" s="63"/>
      <c r="M58" s="63"/>
      <c r="N58" s="65" t="str">
        <f t="shared" si="10"/>
        <v/>
      </c>
      <c r="O58" s="66" t="str">
        <f t="shared" si="11"/>
        <v/>
      </c>
      <c r="P58" s="63"/>
      <c r="Q58" s="63"/>
      <c r="R58" s="63"/>
      <c r="S58" s="63"/>
      <c r="T58" s="63"/>
      <c r="U58" s="63"/>
      <c r="V58" s="63"/>
      <c r="W58" s="63"/>
      <c r="X58" s="53" t="str">
        <f t="shared" si="12"/>
        <v/>
      </c>
      <c r="Y58" s="63"/>
      <c r="Z58" s="63"/>
      <c r="AA58" s="63"/>
      <c r="AB58" s="63"/>
      <c r="AC58" s="63"/>
      <c r="AD58" s="63"/>
      <c r="AE58" s="53" t="str">
        <f t="shared" si="13"/>
        <v/>
      </c>
      <c r="AF58" s="66" t="str">
        <f t="shared" si="14"/>
        <v/>
      </c>
      <c r="AG58" s="66" t="str">
        <f t="shared" si="15"/>
        <v/>
      </c>
      <c r="AH58" s="66" t="str">
        <f t="shared" si="16"/>
        <v/>
      </c>
      <c r="AI58" s="66" t="str">
        <f t="shared" si="17"/>
        <v/>
      </c>
      <c r="AJ58" s="66" t="str">
        <f t="shared" si="18"/>
        <v/>
      </c>
      <c r="AK58" s="66" t="str">
        <f t="shared" si="19"/>
        <v/>
      </c>
    </row>
    <row r="59" spans="1:37" ht="15" customHeight="1" x14ac:dyDescent="0.2">
      <c r="A59" s="63"/>
      <c r="B59" s="63"/>
      <c r="C59" s="63"/>
      <c r="D59" s="63"/>
      <c r="E59" s="63"/>
      <c r="F59" s="63"/>
      <c r="G59" s="63"/>
      <c r="H59" s="63"/>
      <c r="I59" s="63"/>
      <c r="J59" s="63"/>
      <c r="K59" s="63"/>
      <c r="L59" s="63"/>
      <c r="M59" s="63"/>
      <c r="N59" s="65" t="str">
        <f t="shared" si="10"/>
        <v/>
      </c>
      <c r="O59" s="66" t="str">
        <f t="shared" si="11"/>
        <v/>
      </c>
      <c r="P59" s="63"/>
      <c r="Q59" s="63"/>
      <c r="R59" s="63"/>
      <c r="S59" s="63"/>
      <c r="T59" s="63"/>
      <c r="U59" s="63"/>
      <c r="V59" s="63"/>
      <c r="W59" s="63"/>
      <c r="X59" s="53" t="str">
        <f t="shared" si="12"/>
        <v/>
      </c>
      <c r="Y59" s="63"/>
      <c r="Z59" s="63"/>
      <c r="AA59" s="63"/>
      <c r="AB59" s="63"/>
      <c r="AC59" s="63"/>
      <c r="AD59" s="63"/>
      <c r="AE59" s="53" t="str">
        <f t="shared" si="13"/>
        <v/>
      </c>
      <c r="AF59" s="66" t="str">
        <f t="shared" si="14"/>
        <v/>
      </c>
      <c r="AG59" s="66" t="str">
        <f t="shared" si="15"/>
        <v/>
      </c>
      <c r="AH59" s="66" t="str">
        <f t="shared" si="16"/>
        <v/>
      </c>
      <c r="AI59" s="66" t="str">
        <f t="shared" si="17"/>
        <v/>
      </c>
      <c r="AJ59" s="66" t="str">
        <f t="shared" si="18"/>
        <v/>
      </c>
      <c r="AK59" s="66" t="str">
        <f t="shared" si="19"/>
        <v/>
      </c>
    </row>
    <row r="60" spans="1:37" ht="15" customHeight="1" x14ac:dyDescent="0.2">
      <c r="A60" s="63"/>
      <c r="B60" s="63"/>
      <c r="C60" s="63"/>
      <c r="D60" s="63"/>
      <c r="E60" s="63"/>
      <c r="F60" s="63"/>
      <c r="G60" s="63"/>
      <c r="H60" s="63"/>
      <c r="I60" s="63"/>
      <c r="J60" s="63"/>
      <c r="K60" s="63"/>
      <c r="L60" s="63"/>
      <c r="M60" s="63"/>
      <c r="N60" s="65" t="str">
        <f t="shared" si="10"/>
        <v/>
      </c>
      <c r="O60" s="66" t="str">
        <f t="shared" si="11"/>
        <v/>
      </c>
      <c r="P60" s="63"/>
      <c r="Q60" s="63"/>
      <c r="R60" s="63"/>
      <c r="S60" s="63"/>
      <c r="T60" s="63"/>
      <c r="U60" s="63"/>
      <c r="V60" s="63"/>
      <c r="W60" s="63"/>
      <c r="X60" s="53" t="str">
        <f t="shared" si="12"/>
        <v/>
      </c>
      <c r="Y60" s="63"/>
      <c r="Z60" s="63"/>
      <c r="AA60" s="63"/>
      <c r="AB60" s="63"/>
      <c r="AC60" s="63"/>
      <c r="AD60" s="63"/>
      <c r="AE60" s="53" t="str">
        <f t="shared" si="13"/>
        <v/>
      </c>
      <c r="AF60" s="66" t="str">
        <f t="shared" si="14"/>
        <v/>
      </c>
      <c r="AG60" s="66" t="str">
        <f t="shared" si="15"/>
        <v/>
      </c>
      <c r="AH60" s="66" t="str">
        <f t="shared" si="16"/>
        <v/>
      </c>
      <c r="AI60" s="66" t="str">
        <f t="shared" si="17"/>
        <v/>
      </c>
      <c r="AJ60" s="66" t="str">
        <f t="shared" si="18"/>
        <v/>
      </c>
      <c r="AK60" s="66" t="str">
        <f t="shared" si="19"/>
        <v/>
      </c>
    </row>
  </sheetData>
  <mergeCells count="5">
    <mergeCell ref="D1:O1"/>
    <mergeCell ref="P1:X1"/>
    <mergeCell ref="Y1:AE1"/>
    <mergeCell ref="AH1:AK1"/>
    <mergeCell ref="AL1:AM1"/>
  </mergeCells>
  <conditionalFormatting sqref="AG3:AG60">
    <cfRule type="cellIs" dxfId="60" priority="2" operator="equal">
      <formula>"STRONG BUY"</formula>
    </cfRule>
    <cfRule type="cellIs" dxfId="59" priority="3" operator="equal">
      <formula>"BUY"</formula>
    </cfRule>
    <cfRule type="cellIs" dxfId="58" priority="4" operator="equal">
      <formula>"WATCH LIST"</formula>
    </cfRule>
    <cfRule type="cellIs" dxfId="57" priority="5" operator="equal">
      <formula>"AVOID"</formula>
    </cfRule>
    <cfRule type="cellIs" dxfId="56" priority="6" operator="equal">
      <formula>"PASS"</formula>
    </cfRule>
  </conditionalFormatting>
  <conditionalFormatting sqref="AH3:AH60">
    <cfRule type="cellIs" dxfId="55" priority="7" operator="equal">
      <formula>"FAIL"</formula>
    </cfRule>
    <cfRule type="cellIs" dxfId="54" priority="8" operator="equal">
      <formula>"OK"</formula>
    </cfRule>
  </conditionalFormatting>
  <conditionalFormatting sqref="AI3:AI60">
    <cfRule type="cellIs" dxfId="53" priority="11" operator="equal">
      <formula>"REVIEW"</formula>
    </cfRule>
  </conditionalFormatting>
  <conditionalFormatting sqref="AJ3:AJ60">
    <cfRule type="cellIs" dxfId="52" priority="9" operator="equal">
      <formula>"AVOID"</formula>
    </cfRule>
    <cfRule type="cellIs" dxfId="51" priority="10" operator="equal">
      <formula>"OK"</formula>
    </cfRule>
  </conditionalFormatting>
  <conditionalFormatting sqref="AK3:AK60">
    <cfRule type="cellIs" dxfId="50" priority="12" operator="equal">
      <formula>"CAP AT BUY"</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
  <sheetViews>
    <sheetView showGridLines="0" zoomScaleNormal="100" workbookViewId="0">
      <pane xSplit="2" ySplit="2" topLeftCell="C3" activePane="bottomRight" state="frozen"/>
      <selection pane="topRight" activeCell="C1" sqref="C1"/>
      <selection pane="bottomLeft" activeCell="A3" sqref="A3"/>
      <selection pane="bottomRight" activeCell="H37" sqref="H37"/>
    </sheetView>
  </sheetViews>
  <sheetFormatPr baseColWidth="10" defaultColWidth="8.6640625" defaultRowHeight="15" x14ac:dyDescent="0.2"/>
  <cols>
    <col min="1" max="1" width="8" customWidth="1"/>
    <col min="2" max="2" width="16" customWidth="1"/>
    <col min="3" max="5" width="9" customWidth="1"/>
    <col min="6" max="7" width="11" customWidth="1"/>
    <col min="8" max="8" width="13" customWidth="1"/>
    <col min="9" max="9" width="10" customWidth="1"/>
    <col min="10" max="10" width="9" customWidth="1"/>
    <col min="11" max="11" width="10" customWidth="1"/>
    <col min="12" max="14" width="9" customWidth="1"/>
    <col min="15" max="15" width="10" customWidth="1"/>
    <col min="16" max="17" width="11" customWidth="1"/>
    <col min="18" max="18" width="28" customWidth="1"/>
  </cols>
  <sheetData>
    <row r="1" spans="1:18" ht="25.5" customHeight="1" x14ac:dyDescent="0.2">
      <c r="A1" s="2" t="s">
        <v>320</v>
      </c>
      <c r="B1" s="2"/>
      <c r="C1" s="2"/>
      <c r="D1" s="2"/>
      <c r="E1" s="2"/>
      <c r="F1" s="2"/>
      <c r="G1" s="2"/>
      <c r="H1" s="2"/>
      <c r="I1" s="2"/>
      <c r="J1" s="2"/>
      <c r="K1" s="2"/>
      <c r="L1" s="2"/>
      <c r="M1" s="2"/>
      <c r="N1" s="2"/>
      <c r="O1" s="2"/>
      <c r="P1" s="2"/>
      <c r="Q1" s="2"/>
      <c r="R1" s="2"/>
    </row>
    <row r="2" spans="1:18" ht="39.75" customHeight="1" x14ac:dyDescent="0.2">
      <c r="A2" s="22" t="s">
        <v>71</v>
      </c>
      <c r="B2" s="22" t="s">
        <v>182</v>
      </c>
      <c r="C2" s="22" t="s">
        <v>321</v>
      </c>
      <c r="D2" s="22" t="s">
        <v>322</v>
      </c>
      <c r="E2" s="22" t="s">
        <v>323</v>
      </c>
      <c r="F2" s="22" t="s">
        <v>324</v>
      </c>
      <c r="G2" s="22" t="s">
        <v>325</v>
      </c>
      <c r="H2" s="22" t="s">
        <v>326</v>
      </c>
      <c r="I2" s="22" t="s">
        <v>327</v>
      </c>
      <c r="J2" s="22" t="s">
        <v>328</v>
      </c>
      <c r="K2" s="22" t="s">
        <v>329</v>
      </c>
      <c r="L2" s="22" t="s">
        <v>330</v>
      </c>
      <c r="M2" s="22" t="s">
        <v>331</v>
      </c>
      <c r="N2" s="22" t="s">
        <v>332</v>
      </c>
      <c r="O2" s="22" t="s">
        <v>333</v>
      </c>
      <c r="P2" s="22" t="s">
        <v>334</v>
      </c>
      <c r="Q2" s="22" t="s">
        <v>335</v>
      </c>
      <c r="R2" s="22" t="s">
        <v>336</v>
      </c>
    </row>
    <row r="3" spans="1:18" ht="15" customHeight="1" x14ac:dyDescent="0.2">
      <c r="A3" s="48" t="str">
        <f>IF(Scoring!A3="","",Scoring!A3)</f>
        <v>MU</v>
      </c>
      <c r="B3" s="67" t="str">
        <f>IF(Scoring!B3="","",Scoring!B3)</f>
        <v>Micron Technology</v>
      </c>
      <c r="C3" s="48" t="str">
        <f>IF(Scoring!AG3="","",IF(OR(Scoring!AG3="STRONG BUY",Scoring!AG3="BUY"),"PASS","FAIL"))</f>
        <v>PASS</v>
      </c>
      <c r="D3" s="48" t="str">
        <f>IF(Scoring!AH3="","",IF(Scoring!AH3="OK","PASS","FAIL"))</f>
        <v>PASS</v>
      </c>
      <c r="E3" s="48" t="str">
        <f>IF(Scoring!AI3="","",IF(Scoring!AI3="OK","PASS","FAIL — mandatory review required"))</f>
        <v>PASS</v>
      </c>
      <c r="F3" s="26"/>
      <c r="G3" s="26"/>
      <c r="H3" s="48" t="str">
        <f t="shared" ref="H3:H45" si="0">IF(OR(F3="",G3=""),"",IF(AND(F3="Y",G3="Y"),"Standard initial size","50% of normal initial size + 90-day technical review"))</f>
        <v/>
      </c>
      <c r="I3" s="26"/>
      <c r="J3" s="26"/>
      <c r="K3" s="48" t="str">
        <f t="shared" ref="K3:K45" si="1">IF(I3="","",IF(I3="N","PASS",IF(J3="Y","PASS — risk documented in thesis","FAIL — undocumented binary risk")))</f>
        <v/>
      </c>
      <c r="L3" s="48" t="str">
        <f>IF('Implied-Return Calculator'!T4="","",'Implied-Return Calculator'!T4)</f>
        <v/>
      </c>
      <c r="M3" s="48" t="str">
        <f>IF('Implied-Return Calculator'!U4="","",'Implied-Return Calculator'!U4)</f>
        <v/>
      </c>
      <c r="N3" s="68"/>
      <c r="O3" s="69"/>
      <c r="P3" s="48" t="str">
        <f t="shared" ref="P3:P45" si="2">IF(OR(N3="",O3=""),"",IF(N3&lt;=50,"PASS — within ceiling",IF(AND(O3&gt;0.3,L3="PASS"),"PASS — growth+bear case exception met","FAIL — exceeds 50x, exception not met")))</f>
        <v/>
      </c>
      <c r="Q3" s="48" t="str">
        <f t="shared" ref="Q3:Q45" si="3">IF(OR(C3="",D3="",E3="",K3="",L3="",M3="",P3=""),"",IF(AND(C3="PASS",D3="PASS",LEFT(E3,4)="PASS",LEFT(K3,4)="PASS",L3="PASS",M3="OK",LEFT(P3,4)="PASS"),"YES","NO — see failing rule(s)"))</f>
        <v/>
      </c>
      <c r="R3" s="48" t="str">
        <f t="shared" ref="R3:R45" si="4">IF(Q3="","",IF(Q3="YES","Initiate: "&amp;H3,"DO NOT ENTER — resolve failing Entry Rule(s) above first"))</f>
        <v/>
      </c>
    </row>
    <row r="4" spans="1:18" ht="15" customHeight="1" x14ac:dyDescent="0.2">
      <c r="A4" s="48" t="str">
        <f>IF(Scoring!A4="","",Scoring!A4)</f>
        <v>AVGO</v>
      </c>
      <c r="B4" s="67" t="str">
        <f>IF(Scoring!B4="","",Scoring!B4)</f>
        <v>Broadcom Inc.</v>
      </c>
      <c r="C4" s="48" t="str">
        <f>IF(Scoring!AG4="","",IF(OR(Scoring!AG4="STRONG BUY",Scoring!AG4="BUY"),"PASS","FAIL"))</f>
        <v>PASS</v>
      </c>
      <c r="D4" s="48" t="str">
        <f>IF(Scoring!AH4="","",IF(Scoring!AH4="OK","PASS","FAIL"))</f>
        <v>PASS</v>
      </c>
      <c r="E4" s="48" t="str">
        <f>IF(Scoring!AI4="","",IF(Scoring!AI4="OK","PASS","FAIL — mandatory review required"))</f>
        <v>PASS</v>
      </c>
      <c r="F4" s="26"/>
      <c r="G4" s="26"/>
      <c r="H4" s="48" t="str">
        <f t="shared" si="0"/>
        <v/>
      </c>
      <c r="I4" s="26"/>
      <c r="J4" s="26"/>
      <c r="K4" s="48" t="str">
        <f t="shared" si="1"/>
        <v/>
      </c>
      <c r="L4" s="48" t="str">
        <f>IF('Implied-Return Calculator'!T5="","",'Implied-Return Calculator'!T5)</f>
        <v/>
      </c>
      <c r="M4" s="48" t="str">
        <f>IF('Implied-Return Calculator'!U5="","",'Implied-Return Calculator'!U5)</f>
        <v/>
      </c>
      <c r="N4" s="68"/>
      <c r="O4" s="69"/>
      <c r="P4" s="48" t="str">
        <f t="shared" si="2"/>
        <v/>
      </c>
      <c r="Q4" s="48" t="str">
        <f t="shared" si="3"/>
        <v/>
      </c>
      <c r="R4" s="48" t="str">
        <f t="shared" si="4"/>
        <v/>
      </c>
    </row>
    <row r="5" spans="1:18" ht="15" customHeight="1" x14ac:dyDescent="0.2">
      <c r="A5" s="48" t="str">
        <f>IF(Scoring!A5="","",Scoring!A5)</f>
        <v>PLTR</v>
      </c>
      <c r="B5" s="67" t="str">
        <f>IF(Scoring!B5="","",Scoring!B5)</f>
        <v>Palantir Technologies</v>
      </c>
      <c r="C5" s="48" t="str">
        <f>IF(Scoring!AG5="","",IF(OR(Scoring!AG5="STRONG BUY",Scoring!AG5="BUY"),"PASS","FAIL"))</f>
        <v>PASS</v>
      </c>
      <c r="D5" s="48" t="str">
        <f>IF(Scoring!AH5="","",IF(Scoring!AH5="OK","PASS","FAIL"))</f>
        <v>PASS</v>
      </c>
      <c r="E5" s="48" t="str">
        <f>IF(Scoring!AI5="","",IF(Scoring!AI5="OK","PASS","FAIL — mandatory review required"))</f>
        <v>PASS</v>
      </c>
      <c r="F5" s="26"/>
      <c r="G5" s="26"/>
      <c r="H5" s="48" t="str">
        <f t="shared" si="0"/>
        <v/>
      </c>
      <c r="I5" s="26"/>
      <c r="J5" s="26"/>
      <c r="K5" s="48" t="str">
        <f t="shared" si="1"/>
        <v/>
      </c>
      <c r="L5" s="48" t="str">
        <f>IF('Implied-Return Calculator'!T6="","",'Implied-Return Calculator'!T6)</f>
        <v/>
      </c>
      <c r="M5" s="48" t="str">
        <f>IF('Implied-Return Calculator'!U6="","",'Implied-Return Calculator'!U6)</f>
        <v/>
      </c>
      <c r="N5" s="68"/>
      <c r="O5" s="69"/>
      <c r="P5" s="48" t="str">
        <f t="shared" si="2"/>
        <v/>
      </c>
      <c r="Q5" s="48" t="str">
        <f t="shared" si="3"/>
        <v/>
      </c>
      <c r="R5" s="48" t="str">
        <f t="shared" si="4"/>
        <v/>
      </c>
    </row>
    <row r="6" spans="1:18" ht="15" customHeight="1" x14ac:dyDescent="0.2">
      <c r="A6" s="48" t="str">
        <f>IF(Scoring!A6="","",Scoring!A6)</f>
        <v>NVDA</v>
      </c>
      <c r="B6" s="67" t="str">
        <f>IF(Scoring!B6="","",Scoring!B6)</f>
        <v>NVIDIA Corporation</v>
      </c>
      <c r="C6" s="48" t="str">
        <f>IF(Scoring!AG6="","",IF(OR(Scoring!AG6="STRONG BUY",Scoring!AG6="BUY"),"PASS","FAIL"))</f>
        <v>PASS</v>
      </c>
      <c r="D6" s="48" t="str">
        <f>IF(Scoring!AH6="","",IF(Scoring!AH6="OK","PASS","FAIL"))</f>
        <v>PASS</v>
      </c>
      <c r="E6" s="48" t="str">
        <f>IF(Scoring!AI6="","",IF(Scoring!AI6="OK","PASS","FAIL — mandatory review required"))</f>
        <v>PASS</v>
      </c>
      <c r="F6" s="26"/>
      <c r="G6" s="26"/>
      <c r="H6" s="48" t="str">
        <f t="shared" si="0"/>
        <v/>
      </c>
      <c r="I6" s="26"/>
      <c r="J6" s="26"/>
      <c r="K6" s="48" t="str">
        <f t="shared" si="1"/>
        <v/>
      </c>
      <c r="L6" s="48" t="str">
        <f>IF('Implied-Return Calculator'!T7="","",'Implied-Return Calculator'!T7)</f>
        <v/>
      </c>
      <c r="M6" s="48" t="str">
        <f>IF('Implied-Return Calculator'!U7="","",'Implied-Return Calculator'!U7)</f>
        <v/>
      </c>
      <c r="N6" s="68"/>
      <c r="O6" s="69"/>
      <c r="P6" s="48" t="str">
        <f t="shared" si="2"/>
        <v/>
      </c>
      <c r="Q6" s="48" t="str">
        <f t="shared" si="3"/>
        <v/>
      </c>
      <c r="R6" s="48" t="str">
        <f t="shared" si="4"/>
        <v/>
      </c>
    </row>
    <row r="7" spans="1:18" ht="15" customHeight="1" x14ac:dyDescent="0.2">
      <c r="A7" s="48" t="str">
        <f>IF(Scoring!A7="","",Scoring!A7)</f>
        <v>VRTX</v>
      </c>
      <c r="B7" s="67" t="str">
        <f>IF(Scoring!B7="","",Scoring!B7)</f>
        <v>Vertex Pharmaceuticals</v>
      </c>
      <c r="C7" s="48" t="str">
        <f>IF(Scoring!AG7="","",IF(OR(Scoring!AG7="STRONG BUY",Scoring!AG7="BUY"),"PASS","FAIL"))</f>
        <v>PASS</v>
      </c>
      <c r="D7" s="48" t="str">
        <f>IF(Scoring!AH7="","",IF(Scoring!AH7="OK","PASS","FAIL"))</f>
        <v>PASS</v>
      </c>
      <c r="E7" s="48" t="str">
        <f>IF(Scoring!AI7="","",IF(Scoring!AI7="OK","PASS","FAIL — mandatory review required"))</f>
        <v>PASS</v>
      </c>
      <c r="F7" s="26"/>
      <c r="G7" s="26"/>
      <c r="H7" s="48" t="str">
        <f t="shared" si="0"/>
        <v/>
      </c>
      <c r="I7" s="26"/>
      <c r="J7" s="26"/>
      <c r="K7" s="48" t="str">
        <f t="shared" si="1"/>
        <v/>
      </c>
      <c r="L7" s="48" t="str">
        <f>IF('Implied-Return Calculator'!T8="","",'Implied-Return Calculator'!T8)</f>
        <v/>
      </c>
      <c r="M7" s="48" t="str">
        <f>IF('Implied-Return Calculator'!U8="","",'Implied-Return Calculator'!U8)</f>
        <v/>
      </c>
      <c r="N7" s="68"/>
      <c r="O7" s="69"/>
      <c r="P7" s="48" t="str">
        <f t="shared" si="2"/>
        <v/>
      </c>
      <c r="Q7" s="48" t="str">
        <f t="shared" si="3"/>
        <v/>
      </c>
      <c r="R7" s="48" t="str">
        <f t="shared" si="4"/>
        <v/>
      </c>
    </row>
    <row r="8" spans="1:18" ht="15" customHeight="1" x14ac:dyDescent="0.2">
      <c r="A8" s="48" t="str">
        <f>IF(Scoring!A8="","",Scoring!A8)</f>
        <v>PLD</v>
      </c>
      <c r="B8" s="67" t="str">
        <f>IF(Scoring!B8="","",Scoring!B8)</f>
        <v>Prologis Inc. (REIT-adapted)</v>
      </c>
      <c r="C8" s="48" t="str">
        <f>IF(Scoring!AG8="","",IF(OR(Scoring!AG8="STRONG BUY",Scoring!AG8="BUY"),"PASS","FAIL"))</f>
        <v>PASS</v>
      </c>
      <c r="D8" s="48" t="str">
        <f>IF(Scoring!AH8="","",IF(Scoring!AH8="OK","PASS","FAIL"))</f>
        <v>PASS</v>
      </c>
      <c r="E8" s="48" t="str">
        <f>IF(Scoring!AI8="","",IF(Scoring!AI8="OK","PASS","FAIL — mandatory review required"))</f>
        <v>PASS</v>
      </c>
      <c r="F8" s="26"/>
      <c r="G8" s="26"/>
      <c r="H8" s="48" t="str">
        <f t="shared" si="0"/>
        <v/>
      </c>
      <c r="I8" s="26"/>
      <c r="J8" s="26"/>
      <c r="K8" s="48" t="str">
        <f t="shared" si="1"/>
        <v/>
      </c>
      <c r="L8" s="48" t="str">
        <f>IF('Implied-Return Calculator'!T9="","",'Implied-Return Calculator'!T9)</f>
        <v/>
      </c>
      <c r="M8" s="48" t="str">
        <f>IF('Implied-Return Calculator'!U9="","",'Implied-Return Calculator'!U9)</f>
        <v/>
      </c>
      <c r="N8" s="68"/>
      <c r="O8" s="69"/>
      <c r="P8" s="48" t="str">
        <f t="shared" si="2"/>
        <v/>
      </c>
      <c r="Q8" s="48" t="str">
        <f t="shared" si="3"/>
        <v/>
      </c>
      <c r="R8" s="48" t="str">
        <f t="shared" si="4"/>
        <v/>
      </c>
    </row>
    <row r="9" spans="1:18" ht="15" customHeight="1" x14ac:dyDescent="0.2">
      <c r="A9" s="48" t="str">
        <f>IF(Scoring!A9="","",Scoring!A9)</f>
        <v>SFM</v>
      </c>
      <c r="B9" s="67" t="str">
        <f>IF(Scoring!B9="","",Scoring!B9)</f>
        <v>Sprouts Farmers Market</v>
      </c>
      <c r="C9" s="48" t="str">
        <f>IF(Scoring!AG9="","",IF(OR(Scoring!AG9="STRONG BUY",Scoring!AG9="BUY"),"PASS","FAIL"))</f>
        <v/>
      </c>
      <c r="D9" s="48" t="str">
        <f>IF(Scoring!AH9="","",IF(Scoring!AH9="OK","PASS","FAIL"))</f>
        <v>FAIL</v>
      </c>
      <c r="E9" s="70" t="str">
        <f>IF(Scoring!AI9="","",IF(Scoring!AI9="OK","PASS","FAIL — mandatory review required"))</f>
        <v>FAIL — mandatory review required</v>
      </c>
      <c r="F9" s="26"/>
      <c r="G9" s="26"/>
      <c r="H9" s="48" t="str">
        <f t="shared" si="0"/>
        <v/>
      </c>
      <c r="I9" s="26"/>
      <c r="J9" s="26"/>
      <c r="K9" s="48" t="str">
        <f t="shared" si="1"/>
        <v/>
      </c>
      <c r="L9" s="48" t="str">
        <f>IF('Implied-Return Calculator'!T10="","",'Implied-Return Calculator'!T10)</f>
        <v/>
      </c>
      <c r="M9" s="48" t="str">
        <f>IF('Implied-Return Calculator'!U10="","",'Implied-Return Calculator'!U10)</f>
        <v/>
      </c>
      <c r="N9" s="68"/>
      <c r="O9" s="69"/>
      <c r="P9" s="48" t="str">
        <f t="shared" si="2"/>
        <v/>
      </c>
      <c r="Q9" s="48" t="str">
        <f t="shared" si="3"/>
        <v/>
      </c>
      <c r="R9" s="48" t="str">
        <f t="shared" si="4"/>
        <v/>
      </c>
    </row>
    <row r="10" spans="1:18" ht="15" customHeight="1" x14ac:dyDescent="0.2">
      <c r="A10" s="48" t="str">
        <f>IF(Scoring!A10="","",Scoring!A10)</f>
        <v>ONON</v>
      </c>
      <c r="B10" s="67" t="str">
        <f>IF(Scoring!B10="","",Scoring!B10)</f>
        <v>On Holding AG</v>
      </c>
      <c r="C10" s="48" t="str">
        <f>IF(Scoring!AG10="","",IF(OR(Scoring!AG10="STRONG BUY",Scoring!AG10="BUY"),"PASS","FAIL"))</f>
        <v/>
      </c>
      <c r="D10" s="48" t="str">
        <f>IF(Scoring!AH10="","",IF(Scoring!AH10="OK","PASS","FAIL"))</f>
        <v>FAIL</v>
      </c>
      <c r="E10" s="48" t="str">
        <f>IF(Scoring!AI10="","",IF(Scoring!AI10="OK","PASS","FAIL — mandatory review required"))</f>
        <v>PASS</v>
      </c>
      <c r="F10" s="26"/>
      <c r="G10" s="26"/>
      <c r="H10" s="48" t="str">
        <f t="shared" si="0"/>
        <v/>
      </c>
      <c r="I10" s="26"/>
      <c r="J10" s="26"/>
      <c r="K10" s="48" t="str">
        <f t="shared" si="1"/>
        <v/>
      </c>
      <c r="L10" s="48" t="str">
        <f>IF('Implied-Return Calculator'!T11="","",'Implied-Return Calculator'!T11)</f>
        <v/>
      </c>
      <c r="M10" s="48" t="str">
        <f>IF('Implied-Return Calculator'!U11="","",'Implied-Return Calculator'!U11)</f>
        <v/>
      </c>
      <c r="N10" s="68"/>
      <c r="O10" s="69"/>
      <c r="P10" s="48" t="str">
        <f t="shared" si="2"/>
        <v/>
      </c>
      <c r="Q10" s="48" t="str">
        <f t="shared" si="3"/>
        <v/>
      </c>
      <c r="R10" s="48" t="str">
        <f t="shared" si="4"/>
        <v/>
      </c>
    </row>
    <row r="11" spans="1:18" ht="15" customHeight="1" x14ac:dyDescent="0.2">
      <c r="A11" s="48" t="str">
        <f>IF(Scoring!A11="","",Scoring!A11)</f>
        <v>TSLA</v>
      </c>
      <c r="B11" s="67" t="str">
        <f>IF(Scoring!B11="","",Scoring!B11)</f>
        <v>Tesla Inc.</v>
      </c>
      <c r="C11" s="48" t="str">
        <f>IF(Scoring!AG11="","",IF(OR(Scoring!AG11="STRONG BUY",Scoring!AG11="BUY"),"PASS","FAIL"))</f>
        <v/>
      </c>
      <c r="D11" s="48" t="str">
        <f>IF(Scoring!AH11="","",IF(Scoring!AH11="OK","PASS","FAIL"))</f>
        <v>FAIL</v>
      </c>
      <c r="E11" s="70" t="str">
        <f>IF(Scoring!AI11="","",IF(Scoring!AI11="OK","PASS","FAIL — mandatory review required"))</f>
        <v>FAIL — mandatory review required</v>
      </c>
      <c r="F11" s="26"/>
      <c r="G11" s="26"/>
      <c r="H11" s="48" t="str">
        <f t="shared" si="0"/>
        <v/>
      </c>
      <c r="I11" s="26"/>
      <c r="J11" s="26"/>
      <c r="K11" s="48" t="str">
        <f t="shared" si="1"/>
        <v/>
      </c>
      <c r="L11" s="48" t="str">
        <f>IF('Implied-Return Calculator'!T12="","",'Implied-Return Calculator'!T12)</f>
        <v/>
      </c>
      <c r="M11" s="48" t="str">
        <f>IF('Implied-Return Calculator'!U12="","",'Implied-Return Calculator'!U12)</f>
        <v/>
      </c>
      <c r="N11" s="68"/>
      <c r="O11" s="69"/>
      <c r="P11" s="48" t="str">
        <f t="shared" si="2"/>
        <v/>
      </c>
      <c r="Q11" s="48" t="str">
        <f t="shared" si="3"/>
        <v/>
      </c>
      <c r="R11" s="48" t="str">
        <f t="shared" si="4"/>
        <v/>
      </c>
    </row>
    <row r="12" spans="1:18" ht="15" customHeight="1" x14ac:dyDescent="0.2">
      <c r="A12" s="48" t="str">
        <f>IF(Scoring!A12="","",Scoring!A12)</f>
        <v>ADBE</v>
      </c>
      <c r="B12" s="67" t="str">
        <f>IF(Scoring!B12="","",Scoring!B12)</f>
        <v>Adobe Inc.</v>
      </c>
      <c r="C12" s="48" t="str">
        <f>IF(Scoring!AG12="","",IF(OR(Scoring!AG12="STRONG BUY",Scoring!AG12="BUY"),"PASS","FAIL"))</f>
        <v>PASS</v>
      </c>
      <c r="D12" s="48" t="str">
        <f>IF(Scoring!AH12="","",IF(Scoring!AH12="OK","PASS","FAIL"))</f>
        <v>PASS</v>
      </c>
      <c r="E12" s="48" t="str">
        <f>IF(Scoring!AI12="","",IF(Scoring!AI12="OK","PASS","FAIL — mandatory review required"))</f>
        <v>PASS</v>
      </c>
      <c r="F12" s="26"/>
      <c r="G12" s="26"/>
      <c r="H12" s="48" t="str">
        <f t="shared" si="0"/>
        <v/>
      </c>
      <c r="I12" s="26"/>
      <c r="J12" s="26"/>
      <c r="K12" s="48" t="str">
        <f t="shared" si="1"/>
        <v/>
      </c>
      <c r="L12" s="48" t="str">
        <f>IF('Implied-Return Calculator'!T13="","",'Implied-Return Calculator'!T13)</f>
        <v/>
      </c>
      <c r="M12" s="48" t="str">
        <f>IF('Implied-Return Calculator'!U13="","",'Implied-Return Calculator'!U13)</f>
        <v/>
      </c>
      <c r="N12" s="68"/>
      <c r="O12" s="69"/>
      <c r="P12" s="48" t="str">
        <f t="shared" si="2"/>
        <v/>
      </c>
      <c r="Q12" s="48" t="str">
        <f t="shared" si="3"/>
        <v/>
      </c>
      <c r="R12" s="48" t="str">
        <f t="shared" si="4"/>
        <v/>
      </c>
    </row>
    <row r="13" spans="1:18" ht="15" customHeight="1" x14ac:dyDescent="0.2">
      <c r="A13" s="48" t="str">
        <f>IF(Scoring!A13="","",Scoring!A13)</f>
        <v>ANET</v>
      </c>
      <c r="B13" s="67" t="str">
        <f>IF(Scoring!B13="","",Scoring!B13)</f>
        <v>Arista Networks</v>
      </c>
      <c r="C13" s="48" t="str">
        <f>IF(Scoring!AG13="","",IF(OR(Scoring!AG13="STRONG BUY",Scoring!AG13="BUY"),"PASS","FAIL"))</f>
        <v>PASS</v>
      </c>
      <c r="D13" s="48" t="str">
        <f>IF(Scoring!AH13="","",IF(Scoring!AH13="OK","PASS","FAIL"))</f>
        <v>PASS</v>
      </c>
      <c r="E13" s="48" t="str">
        <f>IF(Scoring!AI13="","",IF(Scoring!AI13="OK","PASS","FAIL — mandatory review required"))</f>
        <v>PASS</v>
      </c>
      <c r="F13" s="26"/>
      <c r="G13" s="26"/>
      <c r="H13" s="48" t="str">
        <f t="shared" si="0"/>
        <v/>
      </c>
      <c r="I13" s="26"/>
      <c r="J13" s="26"/>
      <c r="K13" s="48" t="str">
        <f t="shared" si="1"/>
        <v/>
      </c>
      <c r="L13" s="48" t="str">
        <f>IF('Implied-Return Calculator'!T14="","",'Implied-Return Calculator'!T14)</f>
        <v/>
      </c>
      <c r="M13" s="48" t="str">
        <f>IF('Implied-Return Calculator'!U14="","",'Implied-Return Calculator'!U14)</f>
        <v/>
      </c>
      <c r="N13" s="68"/>
      <c r="O13" s="69"/>
      <c r="P13" s="48" t="str">
        <f t="shared" si="2"/>
        <v/>
      </c>
      <c r="Q13" s="48" t="str">
        <f t="shared" si="3"/>
        <v/>
      </c>
      <c r="R13" s="48" t="str">
        <f t="shared" si="4"/>
        <v/>
      </c>
    </row>
    <row r="14" spans="1:18" ht="15" customHeight="1" x14ac:dyDescent="0.2">
      <c r="A14" s="48" t="str">
        <f>IF(Scoring!A14="","",Scoring!A14)</f>
        <v>ASML</v>
      </c>
      <c r="B14" s="67" t="str">
        <f>IF(Scoring!B14="","",Scoring!B14)</f>
        <v>ASML Holding</v>
      </c>
      <c r="C14" s="48" t="str">
        <f>IF(Scoring!AG14="","",IF(OR(Scoring!AG14="STRONG BUY",Scoring!AG14="BUY"),"PASS","FAIL"))</f>
        <v>PASS</v>
      </c>
      <c r="D14" s="48" t="str">
        <f>IF(Scoring!AH14="","",IF(Scoring!AH14="OK","PASS","FAIL"))</f>
        <v>PASS</v>
      </c>
      <c r="E14" s="48" t="str">
        <f>IF(Scoring!AI14="","",IF(Scoring!AI14="OK","PASS","FAIL — mandatory review required"))</f>
        <v>PASS</v>
      </c>
      <c r="F14" s="26"/>
      <c r="G14" s="26"/>
      <c r="H14" s="48" t="str">
        <f t="shared" si="0"/>
        <v/>
      </c>
      <c r="I14" s="26"/>
      <c r="J14" s="26"/>
      <c r="K14" s="48" t="str">
        <f t="shared" si="1"/>
        <v/>
      </c>
      <c r="L14" s="48" t="str">
        <f>IF('Implied-Return Calculator'!T15="","",'Implied-Return Calculator'!T15)</f>
        <v/>
      </c>
      <c r="M14" s="48" t="str">
        <f>IF('Implied-Return Calculator'!U15="","",'Implied-Return Calculator'!U15)</f>
        <v/>
      </c>
      <c r="N14" s="68"/>
      <c r="O14" s="69"/>
      <c r="P14" s="48" t="str">
        <f t="shared" si="2"/>
        <v/>
      </c>
      <c r="Q14" s="48" t="str">
        <f t="shared" si="3"/>
        <v/>
      </c>
      <c r="R14" s="48" t="str">
        <f t="shared" si="4"/>
        <v/>
      </c>
    </row>
    <row r="15" spans="1:18" ht="15" customHeight="1" x14ac:dyDescent="0.2">
      <c r="A15" s="48" t="str">
        <f>IF(Scoring!A15="","",Scoring!A15)</f>
        <v>CRWD</v>
      </c>
      <c r="B15" s="67" t="str">
        <f>IF(Scoring!B15="","",Scoring!B15)</f>
        <v>CrowdStrike Holdings</v>
      </c>
      <c r="C15" s="48" t="str">
        <f>IF(Scoring!AG15="","",IF(OR(Scoring!AG15="STRONG BUY",Scoring!AG15="BUY"),"PASS","FAIL"))</f>
        <v>PASS</v>
      </c>
      <c r="D15" s="48" t="str">
        <f>IF(Scoring!AH15="","",IF(Scoring!AH15="OK","PASS","FAIL"))</f>
        <v>PASS</v>
      </c>
      <c r="E15" s="48" t="str">
        <f>IF(Scoring!AI15="","",IF(Scoring!AI15="OK","PASS","FAIL — mandatory review required"))</f>
        <v>PASS</v>
      </c>
      <c r="F15" s="26"/>
      <c r="G15" s="26"/>
      <c r="H15" s="48" t="str">
        <f t="shared" si="0"/>
        <v/>
      </c>
      <c r="I15" s="26"/>
      <c r="J15" s="26"/>
      <c r="K15" s="48" t="str">
        <f t="shared" si="1"/>
        <v/>
      </c>
      <c r="L15" s="48" t="str">
        <f>IF('Implied-Return Calculator'!T16="","",'Implied-Return Calculator'!T16)</f>
        <v/>
      </c>
      <c r="M15" s="48" t="str">
        <f>IF('Implied-Return Calculator'!U16="","",'Implied-Return Calculator'!U16)</f>
        <v/>
      </c>
      <c r="N15" s="68"/>
      <c r="O15" s="69"/>
      <c r="P15" s="48" t="str">
        <f t="shared" si="2"/>
        <v/>
      </c>
      <c r="Q15" s="48" t="str">
        <f t="shared" si="3"/>
        <v/>
      </c>
      <c r="R15" s="48" t="str">
        <f t="shared" si="4"/>
        <v/>
      </c>
    </row>
    <row r="16" spans="1:18" ht="15" customHeight="1" x14ac:dyDescent="0.2">
      <c r="A16" s="48" t="str">
        <f>IF(Scoring!A16="","",Scoring!A16)</f>
        <v>KLAC</v>
      </c>
      <c r="B16" s="67" t="str">
        <f>IF(Scoring!B16="","",Scoring!B16)</f>
        <v>KLA Corporation</v>
      </c>
      <c r="C16" s="48" t="str">
        <f>IF(Scoring!AG16="","",IF(OR(Scoring!AG16="STRONG BUY",Scoring!AG16="BUY"),"PASS","FAIL"))</f>
        <v>PASS</v>
      </c>
      <c r="D16" s="48" t="str">
        <f>IF(Scoring!AH16="","",IF(Scoring!AH16="OK","PASS","FAIL"))</f>
        <v>PASS</v>
      </c>
      <c r="E16" s="48" t="str">
        <f>IF(Scoring!AI16="","",IF(Scoring!AI16="OK","PASS","FAIL — mandatory review required"))</f>
        <v>PASS</v>
      </c>
      <c r="F16" s="26"/>
      <c r="G16" s="26"/>
      <c r="H16" s="48" t="str">
        <f t="shared" si="0"/>
        <v/>
      </c>
      <c r="I16" s="26"/>
      <c r="J16" s="26"/>
      <c r="K16" s="48" t="str">
        <f t="shared" si="1"/>
        <v/>
      </c>
      <c r="L16" s="48" t="str">
        <f>IF('Implied-Return Calculator'!T17="","",'Implied-Return Calculator'!T17)</f>
        <v/>
      </c>
      <c r="M16" s="48" t="str">
        <f>IF('Implied-Return Calculator'!U17="","",'Implied-Return Calculator'!U17)</f>
        <v/>
      </c>
      <c r="N16" s="68"/>
      <c r="O16" s="69"/>
      <c r="P16" s="48" t="str">
        <f t="shared" si="2"/>
        <v/>
      </c>
      <c r="Q16" s="48" t="str">
        <f t="shared" si="3"/>
        <v/>
      </c>
      <c r="R16" s="48" t="str">
        <f t="shared" si="4"/>
        <v/>
      </c>
    </row>
    <row r="17" spans="1:18" ht="15" customHeight="1" x14ac:dyDescent="0.2">
      <c r="A17" s="48" t="str">
        <f>IF(Scoring!A17="","",Scoring!A17)</f>
        <v>TSM</v>
      </c>
      <c r="B17" s="67" t="str">
        <f>IF(Scoring!B17="","",Scoring!B17)</f>
        <v>Taiwan Semiconductor Mfg.</v>
      </c>
      <c r="C17" s="48" t="str">
        <f>IF(Scoring!AG17="","",IF(OR(Scoring!AG17="STRONG BUY",Scoring!AG17="BUY"),"PASS","FAIL"))</f>
        <v>PASS</v>
      </c>
      <c r="D17" s="48" t="str">
        <f>IF(Scoring!AH17="","",IF(Scoring!AH17="OK","PASS","FAIL"))</f>
        <v>PASS</v>
      </c>
      <c r="E17" s="48" t="str">
        <f>IF(Scoring!AI17="","",IF(Scoring!AI17="OK","PASS","FAIL — mandatory review required"))</f>
        <v>PASS</v>
      </c>
      <c r="F17" s="26"/>
      <c r="G17" s="26"/>
      <c r="H17" s="48" t="str">
        <f t="shared" si="0"/>
        <v/>
      </c>
      <c r="I17" s="26"/>
      <c r="J17" s="26"/>
      <c r="K17" s="48" t="str">
        <f t="shared" si="1"/>
        <v/>
      </c>
      <c r="L17" s="48" t="str">
        <f>IF('Implied-Return Calculator'!T18="","",'Implied-Return Calculator'!T18)</f>
        <v/>
      </c>
      <c r="M17" s="48" t="str">
        <f>IF('Implied-Return Calculator'!U18="","",'Implied-Return Calculator'!U18)</f>
        <v/>
      </c>
      <c r="N17" s="68"/>
      <c r="O17" s="69"/>
      <c r="P17" s="48" t="str">
        <f t="shared" si="2"/>
        <v/>
      </c>
      <c r="Q17" s="48" t="str">
        <f t="shared" si="3"/>
        <v/>
      </c>
      <c r="R17" s="48" t="str">
        <f t="shared" si="4"/>
        <v/>
      </c>
    </row>
    <row r="18" spans="1:18" ht="15" customHeight="1" x14ac:dyDescent="0.2">
      <c r="A18" s="48" t="str">
        <f>IF(Scoring!A18="","",Scoring!A18)</f>
        <v>VRT</v>
      </c>
      <c r="B18" s="67" t="str">
        <f>IF(Scoring!B18="","",Scoring!B18)</f>
        <v>Vertiv Holdings</v>
      </c>
      <c r="C18" s="48" t="str">
        <f>IF(Scoring!AG18="","",IF(OR(Scoring!AG18="STRONG BUY",Scoring!AG18="BUY"),"PASS","FAIL"))</f>
        <v>PASS</v>
      </c>
      <c r="D18" s="48" t="str">
        <f>IF(Scoring!AH18="","",IF(Scoring!AH18="OK","PASS","FAIL"))</f>
        <v>PASS</v>
      </c>
      <c r="E18" s="48" t="str">
        <f>IF(Scoring!AI18="","",IF(Scoring!AI18="OK","PASS","FAIL — mandatory review required"))</f>
        <v>PASS</v>
      </c>
      <c r="F18" s="26"/>
      <c r="G18" s="26"/>
      <c r="H18" s="48" t="str">
        <f t="shared" si="0"/>
        <v/>
      </c>
      <c r="I18" s="26"/>
      <c r="J18" s="26"/>
      <c r="K18" s="48" t="str">
        <f t="shared" si="1"/>
        <v/>
      </c>
      <c r="L18" s="48" t="str">
        <f>IF('Implied-Return Calculator'!T19="","",'Implied-Return Calculator'!T19)</f>
        <v/>
      </c>
      <c r="M18" s="48" t="str">
        <f>IF('Implied-Return Calculator'!U19="","",'Implied-Return Calculator'!U19)</f>
        <v/>
      </c>
      <c r="N18" s="68"/>
      <c r="O18" s="69"/>
      <c r="P18" s="48" t="str">
        <f t="shared" si="2"/>
        <v/>
      </c>
      <c r="Q18" s="48" t="str">
        <f t="shared" si="3"/>
        <v/>
      </c>
      <c r="R18" s="48" t="str">
        <f t="shared" si="4"/>
        <v/>
      </c>
    </row>
    <row r="19" spans="1:18" ht="15" customHeight="1" x14ac:dyDescent="0.2">
      <c r="A19" s="48" t="str">
        <f>IF(Scoring!A19="","",Scoring!A19)</f>
        <v>COST</v>
      </c>
      <c r="B19" s="67" t="str">
        <f>IF(Scoring!B19="","",Scoring!B19)</f>
        <v>Costco Wholesale Corp.</v>
      </c>
      <c r="C19" s="48" t="str">
        <f>IF(Scoring!AG19="","",IF(OR(Scoring!AG19="STRONG BUY",Scoring!AG19="BUY"),"PASS","FAIL"))</f>
        <v>PASS</v>
      </c>
      <c r="D19" s="48" t="str">
        <f>IF(Scoring!AH19="","",IF(Scoring!AH19="OK","PASS","FAIL"))</f>
        <v>PASS</v>
      </c>
      <c r="E19" s="48" t="str">
        <f>IF(Scoring!AI19="","",IF(Scoring!AI19="OK","PASS","FAIL — mandatory review required"))</f>
        <v>PASS</v>
      </c>
      <c r="F19" s="26"/>
      <c r="G19" s="26"/>
      <c r="H19" s="48" t="str">
        <f t="shared" si="0"/>
        <v/>
      </c>
      <c r="I19" s="26"/>
      <c r="J19" s="26"/>
      <c r="K19" s="48" t="str">
        <f t="shared" si="1"/>
        <v/>
      </c>
      <c r="L19" s="48" t="str">
        <f>IF('Implied-Return Calculator'!T20="","",'Implied-Return Calculator'!T20)</f>
        <v/>
      </c>
      <c r="M19" s="48" t="str">
        <f>IF('Implied-Return Calculator'!U20="","",'Implied-Return Calculator'!U20)</f>
        <v/>
      </c>
      <c r="N19" s="68"/>
      <c r="O19" s="69"/>
      <c r="P19" s="48" t="str">
        <f t="shared" si="2"/>
        <v/>
      </c>
      <c r="Q19" s="48" t="str">
        <f t="shared" si="3"/>
        <v/>
      </c>
      <c r="R19" s="48" t="str">
        <f t="shared" si="4"/>
        <v/>
      </c>
    </row>
    <row r="20" spans="1:18" ht="15" customHeight="1" x14ac:dyDescent="0.2">
      <c r="A20" s="48" t="str">
        <f>IF(Scoring!A20="","",Scoring!A20)</f>
        <v>V</v>
      </c>
      <c r="B20" s="67" t="str">
        <f>IF(Scoring!B20="","",Scoring!B20)</f>
        <v>Visa Inc.</v>
      </c>
      <c r="C20" s="48" t="str">
        <f>IF(Scoring!AG20="","",IF(OR(Scoring!AG20="STRONG BUY",Scoring!AG20="BUY"),"PASS","FAIL"))</f>
        <v>PASS</v>
      </c>
      <c r="D20" s="48" t="str">
        <f>IF(Scoring!AH20="","",IF(Scoring!AH20="OK","PASS","FAIL"))</f>
        <v>PASS</v>
      </c>
      <c r="E20" s="48" t="str">
        <f>IF(Scoring!AI20="","",IF(Scoring!AI20="OK","PASS","FAIL — mandatory review required"))</f>
        <v>PASS</v>
      </c>
      <c r="F20" s="26"/>
      <c r="G20" s="26"/>
      <c r="H20" s="48" t="str">
        <f t="shared" si="0"/>
        <v/>
      </c>
      <c r="I20" s="26"/>
      <c r="J20" s="26"/>
      <c r="K20" s="48" t="str">
        <f t="shared" si="1"/>
        <v/>
      </c>
      <c r="L20" s="48" t="str">
        <f>IF('Implied-Return Calculator'!T21="","",'Implied-Return Calculator'!T21)</f>
        <v/>
      </c>
      <c r="M20" s="48" t="str">
        <f>IF('Implied-Return Calculator'!U21="","",'Implied-Return Calculator'!U21)</f>
        <v/>
      </c>
      <c r="N20" s="68"/>
      <c r="O20" s="69"/>
      <c r="P20" s="48" t="str">
        <f t="shared" si="2"/>
        <v/>
      </c>
      <c r="Q20" s="48" t="str">
        <f t="shared" si="3"/>
        <v/>
      </c>
      <c r="R20" s="48" t="str">
        <f t="shared" si="4"/>
        <v/>
      </c>
    </row>
    <row r="21" spans="1:18" ht="15" customHeight="1" x14ac:dyDescent="0.2">
      <c r="A21" s="48" t="str">
        <f>IF(Scoring!A21="","",Scoring!A21)</f>
        <v>NEE</v>
      </c>
      <c r="B21" s="67" t="str">
        <f>IF(Scoring!B21="","",Scoring!B21)</f>
        <v>NextEra Energy Inc.</v>
      </c>
      <c r="C21" s="48" t="str">
        <f>IF(Scoring!AG21="","",IF(OR(Scoring!AG21="STRONG BUY",Scoring!AG21="BUY"),"PASS","FAIL"))</f>
        <v/>
      </c>
      <c r="D21" s="48" t="str">
        <f>IF(Scoring!AH21="","",IF(Scoring!AH21="OK","PASS","FAIL"))</f>
        <v>FAIL</v>
      </c>
      <c r="E21" s="70" t="str">
        <f>IF(Scoring!AI21="","",IF(Scoring!AI21="OK","PASS","FAIL — mandatory review required"))</f>
        <v>FAIL — mandatory review required</v>
      </c>
      <c r="F21" s="26"/>
      <c r="G21" s="26"/>
      <c r="H21" s="48" t="str">
        <f t="shared" si="0"/>
        <v/>
      </c>
      <c r="I21" s="26"/>
      <c r="J21" s="26"/>
      <c r="K21" s="48" t="str">
        <f t="shared" si="1"/>
        <v/>
      </c>
      <c r="L21" s="48" t="str">
        <f>IF('Implied-Return Calculator'!T22="","",'Implied-Return Calculator'!T22)</f>
        <v/>
      </c>
      <c r="M21" s="48" t="str">
        <f>IF('Implied-Return Calculator'!U22="","",'Implied-Return Calculator'!U22)</f>
        <v/>
      </c>
      <c r="N21" s="68"/>
      <c r="O21" s="69"/>
      <c r="P21" s="48" t="str">
        <f t="shared" si="2"/>
        <v/>
      </c>
      <c r="Q21" s="48" t="str">
        <f t="shared" si="3"/>
        <v/>
      </c>
      <c r="R21" s="48" t="str">
        <f t="shared" si="4"/>
        <v/>
      </c>
    </row>
    <row r="22" spans="1:18" ht="15" customHeight="1" x14ac:dyDescent="0.2">
      <c r="A22" s="48" t="str">
        <f>IF(Scoring!A22="","",Scoring!A22)</f>
        <v>CRK</v>
      </c>
      <c r="B22" s="67" t="str">
        <f>IF(Scoring!B22="","",Scoring!B22)</f>
        <v>Comstock Resources Inc.</v>
      </c>
      <c r="C22" s="48" t="str">
        <f>IF(Scoring!AG22="","",IF(OR(Scoring!AG22="STRONG BUY",Scoring!AG22="BUY"),"PASS","FAIL"))</f>
        <v/>
      </c>
      <c r="D22" s="48" t="str">
        <f>IF(Scoring!AH22="","",IF(Scoring!AH22="OK","PASS","FAIL"))</f>
        <v>FAIL</v>
      </c>
      <c r="E22" s="70" t="str">
        <f>IF(Scoring!AI22="","",IF(Scoring!AI22="OK","PASS","FAIL — mandatory review required"))</f>
        <v>FAIL — mandatory review required</v>
      </c>
      <c r="F22" s="26"/>
      <c r="G22" s="26"/>
      <c r="H22" s="48" t="str">
        <f t="shared" si="0"/>
        <v/>
      </c>
      <c r="I22" s="26"/>
      <c r="J22" s="26"/>
      <c r="K22" s="48" t="str">
        <f t="shared" si="1"/>
        <v/>
      </c>
      <c r="L22" s="48" t="str">
        <f>IF('Implied-Return Calculator'!T23="","",'Implied-Return Calculator'!T23)</f>
        <v/>
      </c>
      <c r="M22" s="48" t="str">
        <f>IF('Implied-Return Calculator'!U23="","",'Implied-Return Calculator'!U23)</f>
        <v/>
      </c>
      <c r="N22" s="68"/>
      <c r="O22" s="69"/>
      <c r="P22" s="48" t="str">
        <f t="shared" si="2"/>
        <v/>
      </c>
      <c r="Q22" s="48" t="str">
        <f t="shared" si="3"/>
        <v/>
      </c>
      <c r="R22" s="48" t="str">
        <f t="shared" si="4"/>
        <v/>
      </c>
    </row>
    <row r="23" spans="1:18" ht="15" customHeight="1" x14ac:dyDescent="0.2">
      <c r="A23" s="48" t="str">
        <f>IF(Scoring!A23="","",Scoring!A23)</f>
        <v>ET</v>
      </c>
      <c r="B23" s="67" t="str">
        <f>IF(Scoring!B23="","",Scoring!B23)</f>
        <v>Energy Transfer LP</v>
      </c>
      <c r="C23" s="48" t="str">
        <f>IF(Scoring!AG23="","",IF(OR(Scoring!AG23="STRONG BUY",Scoring!AG23="BUY"),"PASS","FAIL"))</f>
        <v/>
      </c>
      <c r="D23" s="48" t="str">
        <f>IF(Scoring!AH23="","",IF(Scoring!AH23="OK","PASS","FAIL"))</f>
        <v>PASS</v>
      </c>
      <c r="E23" s="48" t="str">
        <f>IF(Scoring!AI23="","",IF(Scoring!AI23="OK","PASS","FAIL — mandatory review required"))</f>
        <v>PASS</v>
      </c>
      <c r="F23" s="26"/>
      <c r="G23" s="26"/>
      <c r="H23" s="48" t="str">
        <f t="shared" si="0"/>
        <v/>
      </c>
      <c r="I23" s="26"/>
      <c r="J23" s="26"/>
      <c r="K23" s="48" t="str">
        <f t="shared" si="1"/>
        <v/>
      </c>
      <c r="L23" s="48" t="str">
        <f>IF('Implied-Return Calculator'!T24="","",'Implied-Return Calculator'!T24)</f>
        <v/>
      </c>
      <c r="M23" s="48" t="str">
        <f>IF('Implied-Return Calculator'!U24="","",'Implied-Return Calculator'!U24)</f>
        <v/>
      </c>
      <c r="N23" s="68"/>
      <c r="O23" s="69"/>
      <c r="P23" s="48" t="str">
        <f t="shared" si="2"/>
        <v/>
      </c>
      <c r="Q23" s="48" t="str">
        <f t="shared" si="3"/>
        <v/>
      </c>
      <c r="R23" s="48" t="str">
        <f t="shared" si="4"/>
        <v/>
      </c>
    </row>
    <row r="24" spans="1:18" ht="15" customHeight="1" x14ac:dyDescent="0.2">
      <c r="A24" s="48" t="str">
        <f>IF(Scoring!A24="","",Scoring!A24)</f>
        <v>LBRT</v>
      </c>
      <c r="B24" s="67" t="str">
        <f>IF(Scoring!B24="","",Scoring!B24)</f>
        <v>Liberty Energy Inc.</v>
      </c>
      <c r="C24" s="48" t="str">
        <f>IF(Scoring!AG24="","",IF(OR(Scoring!AG24="STRONG BUY",Scoring!AG24="BUY"),"PASS","FAIL"))</f>
        <v/>
      </c>
      <c r="D24" s="48" t="str">
        <f>IF(Scoring!AH24="","",IF(Scoring!AH24="OK","PASS","FAIL"))</f>
        <v>FAIL</v>
      </c>
      <c r="E24" s="70" t="str">
        <f>IF(Scoring!AI24="","",IF(Scoring!AI24="OK","PASS","FAIL — mandatory review required"))</f>
        <v>FAIL — mandatory review required</v>
      </c>
      <c r="F24" s="26"/>
      <c r="G24" s="26"/>
      <c r="H24" s="48" t="str">
        <f t="shared" si="0"/>
        <v/>
      </c>
      <c r="I24" s="26"/>
      <c r="J24" s="26"/>
      <c r="K24" s="48" t="str">
        <f t="shared" si="1"/>
        <v/>
      </c>
      <c r="L24" s="48" t="str">
        <f>IF('Implied-Return Calculator'!T25="","",'Implied-Return Calculator'!T25)</f>
        <v/>
      </c>
      <c r="M24" s="48" t="str">
        <f>IF('Implied-Return Calculator'!U25="","",'Implied-Return Calculator'!U25)</f>
        <v/>
      </c>
      <c r="N24" s="68"/>
      <c r="O24" s="69"/>
      <c r="P24" s="48" t="str">
        <f t="shared" si="2"/>
        <v/>
      </c>
      <c r="Q24" s="48" t="str">
        <f t="shared" si="3"/>
        <v/>
      </c>
      <c r="R24" s="48" t="str">
        <f t="shared" si="4"/>
        <v/>
      </c>
    </row>
    <row r="25" spans="1:18" ht="15" customHeight="1" x14ac:dyDescent="0.2">
      <c r="A25" s="48" t="str">
        <f>IF(Scoring!A25="","",Scoring!A25)</f>
        <v>NOV</v>
      </c>
      <c r="B25" s="67" t="str">
        <f>IF(Scoring!B25="","",Scoring!B25)</f>
        <v>NOV Inc.</v>
      </c>
      <c r="C25" s="48" t="str">
        <f>IF(Scoring!AG25="","",IF(OR(Scoring!AG25="STRONG BUY",Scoring!AG25="BUY"),"PASS","FAIL"))</f>
        <v/>
      </c>
      <c r="D25" s="48" t="str">
        <f>IF(Scoring!AH25="","",IF(Scoring!AH25="OK","PASS","FAIL"))</f>
        <v>FAIL</v>
      </c>
      <c r="E25" s="48" t="str">
        <f>IF(Scoring!AI25="","",IF(Scoring!AI25="OK","PASS","FAIL — mandatory review required"))</f>
        <v>PASS</v>
      </c>
      <c r="F25" s="26"/>
      <c r="G25" s="26"/>
      <c r="H25" s="48" t="str">
        <f t="shared" si="0"/>
        <v/>
      </c>
      <c r="I25" s="26"/>
      <c r="J25" s="26"/>
      <c r="K25" s="48" t="str">
        <f t="shared" si="1"/>
        <v/>
      </c>
      <c r="L25" s="48" t="str">
        <f>IF('Implied-Return Calculator'!T26="","",'Implied-Return Calculator'!T26)</f>
        <v/>
      </c>
      <c r="M25" s="48" t="str">
        <f>IF('Implied-Return Calculator'!U26="","",'Implied-Return Calculator'!U26)</f>
        <v/>
      </c>
      <c r="N25" s="68"/>
      <c r="O25" s="69"/>
      <c r="P25" s="48" t="str">
        <f t="shared" si="2"/>
        <v/>
      </c>
      <c r="Q25" s="48" t="str">
        <f t="shared" si="3"/>
        <v/>
      </c>
      <c r="R25" s="48" t="str">
        <f t="shared" si="4"/>
        <v/>
      </c>
    </row>
    <row r="26" spans="1:18" ht="15" customHeight="1" x14ac:dyDescent="0.2">
      <c r="A26" s="48" t="str">
        <f>IF(Scoring!A26="","",Scoring!A26)</f>
        <v>CE</v>
      </c>
      <c r="B26" s="67" t="str">
        <f>IF(Scoring!B26="","",Scoring!B26)</f>
        <v>Celanese Corp.</v>
      </c>
      <c r="C26" s="48" t="str">
        <f>IF(Scoring!AG26="","",IF(OR(Scoring!AG26="STRONG BUY",Scoring!AG26="BUY"),"PASS","FAIL"))</f>
        <v/>
      </c>
      <c r="D26" s="48" t="str">
        <f>IF(Scoring!AH26="","",IF(Scoring!AH26="OK","PASS","FAIL"))</f>
        <v>FAIL</v>
      </c>
      <c r="E26" s="70" t="str">
        <f>IF(Scoring!AI26="","",IF(Scoring!AI26="OK","PASS","FAIL — mandatory review required"))</f>
        <v>FAIL — mandatory review required</v>
      </c>
      <c r="F26" s="26"/>
      <c r="G26" s="26"/>
      <c r="H26" s="48" t="str">
        <f t="shared" si="0"/>
        <v/>
      </c>
      <c r="I26" s="26"/>
      <c r="J26" s="26"/>
      <c r="K26" s="48" t="str">
        <f t="shared" si="1"/>
        <v/>
      </c>
      <c r="L26" s="48" t="str">
        <f>IF('Implied-Return Calculator'!T27="","",'Implied-Return Calculator'!T27)</f>
        <v/>
      </c>
      <c r="M26" s="48" t="str">
        <f>IF('Implied-Return Calculator'!U27="","",'Implied-Return Calculator'!U27)</f>
        <v/>
      </c>
      <c r="N26" s="68"/>
      <c r="O26" s="69"/>
      <c r="P26" s="48" t="str">
        <f t="shared" si="2"/>
        <v/>
      </c>
      <c r="Q26" s="48" t="str">
        <f t="shared" si="3"/>
        <v/>
      </c>
      <c r="R26" s="48" t="str">
        <f t="shared" si="4"/>
        <v/>
      </c>
    </row>
    <row r="27" spans="1:18" ht="15" customHeight="1" x14ac:dyDescent="0.2">
      <c r="A27" s="48" t="str">
        <f>IF(Scoring!A27="","",Scoring!A27)</f>
        <v>CLF</v>
      </c>
      <c r="B27" s="67" t="str">
        <f>IF(Scoring!B27="","",Scoring!B27)</f>
        <v>Cleveland-Cliffs Inc.</v>
      </c>
      <c r="C27" s="48" t="str">
        <f>IF(Scoring!AG27="","",IF(OR(Scoring!AG27="STRONG BUY",Scoring!AG27="BUY"),"PASS","FAIL"))</f>
        <v/>
      </c>
      <c r="D27" s="48" t="str">
        <f>IF(Scoring!AH27="","",IF(Scoring!AH27="OK","PASS","FAIL"))</f>
        <v>FAIL</v>
      </c>
      <c r="E27" s="70" t="str">
        <f>IF(Scoring!AI27="","",IF(Scoring!AI27="OK","PASS","FAIL — mandatory review required"))</f>
        <v>FAIL — mandatory review required</v>
      </c>
      <c r="F27" s="26"/>
      <c r="G27" s="26"/>
      <c r="H27" s="48" t="str">
        <f t="shared" si="0"/>
        <v/>
      </c>
      <c r="I27" s="26"/>
      <c r="J27" s="26"/>
      <c r="K27" s="48" t="str">
        <f t="shared" si="1"/>
        <v/>
      </c>
      <c r="L27" s="48" t="str">
        <f>IF('Implied-Return Calculator'!T28="","",'Implied-Return Calculator'!T28)</f>
        <v/>
      </c>
      <c r="M27" s="48" t="str">
        <f>IF('Implied-Return Calculator'!U28="","",'Implied-Return Calculator'!U28)</f>
        <v/>
      </c>
      <c r="N27" s="68"/>
      <c r="O27" s="69"/>
      <c r="P27" s="48" t="str">
        <f t="shared" si="2"/>
        <v/>
      </c>
      <c r="Q27" s="48" t="str">
        <f t="shared" si="3"/>
        <v/>
      </c>
      <c r="R27" s="48" t="str">
        <f t="shared" si="4"/>
        <v/>
      </c>
    </row>
    <row r="28" spans="1:18" ht="15" customHeight="1" x14ac:dyDescent="0.2">
      <c r="A28" s="48" t="str">
        <f>IF(Scoring!A28="","",Scoring!A28)</f>
        <v>LIN</v>
      </c>
      <c r="B28" s="67" t="str">
        <f>IF(Scoring!B28="","",Scoring!B28)</f>
        <v>Linde plc</v>
      </c>
      <c r="C28" s="48" t="str">
        <f>IF(Scoring!AG28="","",IF(OR(Scoring!AG28="STRONG BUY",Scoring!AG28="BUY"),"PASS","FAIL"))</f>
        <v/>
      </c>
      <c r="D28" s="48" t="str">
        <f>IF(Scoring!AH28="","",IF(Scoring!AH28="OK","PASS","FAIL"))</f>
        <v>PASS</v>
      </c>
      <c r="E28" s="70" t="str">
        <f>IF(Scoring!AI28="","",IF(Scoring!AI28="OK","PASS","FAIL — mandatory review required"))</f>
        <v>PASS</v>
      </c>
      <c r="F28" s="26"/>
      <c r="G28" s="26"/>
      <c r="H28" s="48" t="str">
        <f t="shared" si="0"/>
        <v/>
      </c>
      <c r="I28" s="26"/>
      <c r="J28" s="26"/>
      <c r="K28" s="48" t="str">
        <f t="shared" si="1"/>
        <v/>
      </c>
      <c r="L28" s="48" t="str">
        <f>IF('Implied-Return Calculator'!T29="","",'Implied-Return Calculator'!T29)</f>
        <v/>
      </c>
      <c r="M28" s="48" t="str">
        <f>IF('Implied-Return Calculator'!U29="","",'Implied-Return Calculator'!U29)</f>
        <v/>
      </c>
      <c r="N28" s="68"/>
      <c r="O28" s="69"/>
      <c r="P28" s="48" t="str">
        <f t="shared" si="2"/>
        <v/>
      </c>
      <c r="Q28" s="48" t="str">
        <f t="shared" si="3"/>
        <v/>
      </c>
      <c r="R28" s="48" t="str">
        <f t="shared" si="4"/>
        <v/>
      </c>
    </row>
    <row r="29" spans="1:18" ht="15" customHeight="1" x14ac:dyDescent="0.2">
      <c r="A29" s="48" t="str">
        <f>IF(Scoring!A29="","",Scoring!A29)</f>
        <v>DEO</v>
      </c>
      <c r="B29" s="67" t="str">
        <f>IF(Scoring!B29="","",Scoring!B29)</f>
        <v>Diageo plc</v>
      </c>
      <c r="C29" s="48" t="str">
        <f>IF(Scoring!AG29="","",IF(OR(Scoring!AG29="STRONG BUY",Scoring!AG29="BUY"),"PASS","FAIL"))</f>
        <v/>
      </c>
      <c r="D29" s="48" t="str">
        <f>IF(Scoring!AH29="","",IF(Scoring!AH29="OK","PASS","FAIL"))</f>
        <v>FAIL</v>
      </c>
      <c r="E29" s="70" t="str">
        <f>IF(Scoring!AI29="","",IF(Scoring!AI29="OK","PASS","FAIL — mandatory review required"))</f>
        <v>PASS</v>
      </c>
      <c r="F29" s="26"/>
      <c r="G29" s="26"/>
      <c r="H29" s="48" t="str">
        <f t="shared" si="0"/>
        <v/>
      </c>
      <c r="I29" s="26"/>
      <c r="J29" s="26"/>
      <c r="K29" s="48" t="str">
        <f t="shared" si="1"/>
        <v/>
      </c>
      <c r="L29" s="48" t="str">
        <f>IF('Implied-Return Calculator'!T30="","",'Implied-Return Calculator'!T30)</f>
        <v/>
      </c>
      <c r="M29" s="48" t="str">
        <f>IF('Implied-Return Calculator'!U30="","",'Implied-Return Calculator'!U30)</f>
        <v/>
      </c>
      <c r="N29" s="68"/>
      <c r="O29" s="69"/>
      <c r="P29" s="48" t="str">
        <f t="shared" si="2"/>
        <v/>
      </c>
      <c r="Q29" s="48" t="str">
        <f t="shared" si="3"/>
        <v/>
      </c>
      <c r="R29" s="48" t="str">
        <f t="shared" si="4"/>
        <v/>
      </c>
    </row>
    <row r="30" spans="1:18" ht="15" customHeight="1" x14ac:dyDescent="0.2">
      <c r="A30" s="48" t="str">
        <f>IF(Scoring!A30="","",Scoring!A30)</f>
        <v>EL</v>
      </c>
      <c r="B30" s="67" t="str">
        <f>IF(Scoring!B30="","",Scoring!B30)</f>
        <v>Estee Lauder Companies</v>
      </c>
      <c r="C30" s="48" t="str">
        <f>IF(Scoring!AG30="","",IF(OR(Scoring!AG30="STRONG BUY",Scoring!AG30="BUY"),"PASS","FAIL"))</f>
        <v/>
      </c>
      <c r="D30" s="48" t="str">
        <f>IF(Scoring!AH30="","",IF(Scoring!AH30="OK","PASS","FAIL"))</f>
        <v>FAIL</v>
      </c>
      <c r="E30" s="70" t="str">
        <f>IF(Scoring!AI30="","",IF(Scoring!AI30="OK","PASS","FAIL — mandatory review required"))</f>
        <v>FAIL — mandatory review required</v>
      </c>
      <c r="F30" s="26"/>
      <c r="G30" s="26"/>
      <c r="H30" s="48" t="str">
        <f t="shared" si="0"/>
        <v/>
      </c>
      <c r="I30" s="26"/>
      <c r="J30" s="26"/>
      <c r="K30" s="48" t="str">
        <f t="shared" si="1"/>
        <v/>
      </c>
      <c r="L30" s="48" t="str">
        <f>IF('Implied-Return Calculator'!T31="","",'Implied-Return Calculator'!T31)</f>
        <v/>
      </c>
      <c r="M30" s="48" t="str">
        <f>IF('Implied-Return Calculator'!U31="","",'Implied-Return Calculator'!U31)</f>
        <v/>
      </c>
      <c r="N30" s="68"/>
      <c r="O30" s="69"/>
      <c r="P30" s="48" t="str">
        <f t="shared" si="2"/>
        <v/>
      </c>
      <c r="Q30" s="48" t="str">
        <f t="shared" si="3"/>
        <v/>
      </c>
      <c r="R30" s="48" t="str">
        <f t="shared" si="4"/>
        <v/>
      </c>
    </row>
    <row r="31" spans="1:18" ht="15" customHeight="1" x14ac:dyDescent="0.2">
      <c r="A31" s="48" t="str">
        <f>IF(Scoring!A31="","",Scoring!A31)</f>
        <v>HRL</v>
      </c>
      <c r="B31" s="67" t="str">
        <f>IF(Scoring!B31="","",Scoring!B31)</f>
        <v>Hormel Foods Corp.</v>
      </c>
      <c r="C31" s="48" t="str">
        <f>IF(Scoring!AG31="","",IF(OR(Scoring!AG31="STRONG BUY",Scoring!AG31="BUY"),"PASS","FAIL"))</f>
        <v/>
      </c>
      <c r="D31" s="48" t="str">
        <f>IF(Scoring!AH31="","",IF(Scoring!AH31="OK","PASS","FAIL"))</f>
        <v>FAIL</v>
      </c>
      <c r="E31" s="70" t="str">
        <f>IF(Scoring!AI31="","",IF(Scoring!AI31="OK","PASS","FAIL — mandatory review required"))</f>
        <v>FAIL — mandatory review required</v>
      </c>
      <c r="F31" s="26"/>
      <c r="G31" s="26"/>
      <c r="H31" s="48" t="str">
        <f t="shared" si="0"/>
        <v/>
      </c>
      <c r="I31" s="26"/>
      <c r="J31" s="26"/>
      <c r="K31" s="48" t="str">
        <f t="shared" si="1"/>
        <v/>
      </c>
      <c r="L31" s="48" t="str">
        <f>IF('Implied-Return Calculator'!T32="","",'Implied-Return Calculator'!T32)</f>
        <v/>
      </c>
      <c r="M31" s="48" t="str">
        <f>IF('Implied-Return Calculator'!U32="","",'Implied-Return Calculator'!U32)</f>
        <v/>
      </c>
      <c r="N31" s="68"/>
      <c r="O31" s="69"/>
      <c r="P31" s="48" t="str">
        <f t="shared" si="2"/>
        <v/>
      </c>
      <c r="Q31" s="48" t="str">
        <f t="shared" si="3"/>
        <v/>
      </c>
      <c r="R31" s="48" t="str">
        <f t="shared" si="4"/>
        <v/>
      </c>
    </row>
    <row r="32" spans="1:18" ht="15" customHeight="1" x14ac:dyDescent="0.2">
      <c r="A32" s="48" t="str">
        <f>IF(Scoring!A32="","",Scoring!A32)</f>
        <v>PG</v>
      </c>
      <c r="B32" s="67" t="str">
        <f>IF(Scoring!B32="","",Scoring!B32)</f>
        <v>Procter &amp; Gamble Co.</v>
      </c>
      <c r="C32" s="48" t="str">
        <f>IF(Scoring!AG32="","",IF(OR(Scoring!AG32="STRONG BUY",Scoring!AG32="BUY"),"PASS","FAIL"))</f>
        <v/>
      </c>
      <c r="D32" s="48" t="str">
        <f>IF(Scoring!AH32="","",IF(Scoring!AH32="OK","PASS","FAIL"))</f>
        <v>PASS</v>
      </c>
      <c r="E32" s="70" t="str">
        <f>IF(Scoring!AI32="","",IF(Scoring!AI32="OK","PASS","FAIL — mandatory review required"))</f>
        <v>PASS</v>
      </c>
      <c r="F32" s="26"/>
      <c r="G32" s="26"/>
      <c r="H32" s="48" t="str">
        <f t="shared" si="0"/>
        <v/>
      </c>
      <c r="I32" s="26"/>
      <c r="J32" s="26"/>
      <c r="K32" s="48" t="str">
        <f t="shared" si="1"/>
        <v/>
      </c>
      <c r="L32" s="48" t="str">
        <f>IF('Implied-Return Calculator'!T33="","",'Implied-Return Calculator'!T33)</f>
        <v/>
      </c>
      <c r="M32" s="48" t="str">
        <f>IF('Implied-Return Calculator'!U33="","",'Implied-Return Calculator'!U33)</f>
        <v/>
      </c>
      <c r="N32" s="68"/>
      <c r="O32" s="69"/>
      <c r="P32" s="48" t="str">
        <f t="shared" si="2"/>
        <v/>
      </c>
      <c r="Q32" s="48" t="str">
        <f t="shared" si="3"/>
        <v/>
      </c>
      <c r="R32" s="48" t="str">
        <f t="shared" si="4"/>
        <v/>
      </c>
    </row>
    <row r="33" spans="1:18" ht="15" customHeight="1" x14ac:dyDescent="0.2">
      <c r="A33" s="48" t="str">
        <f>IF(Scoring!A33="","",Scoring!A33)</f>
        <v>CMG</v>
      </c>
      <c r="B33" s="67" t="str">
        <f>IF(Scoring!B33="","",Scoring!B33)</f>
        <v>Chipotle Mexican Grill</v>
      </c>
      <c r="C33" s="48" t="str">
        <f>IF(Scoring!AG33="","",IF(OR(Scoring!AG33="STRONG BUY",Scoring!AG33="BUY"),"PASS","FAIL"))</f>
        <v/>
      </c>
      <c r="D33" s="48" t="str">
        <f>IF(Scoring!AH33="","",IF(Scoring!AH33="OK","PASS","FAIL"))</f>
        <v>PASS</v>
      </c>
      <c r="E33" s="70" t="str">
        <f>IF(Scoring!AI33="","",IF(Scoring!AI33="OK","PASS","FAIL — mandatory review required"))</f>
        <v>PASS</v>
      </c>
      <c r="F33" s="26"/>
      <c r="G33" s="26"/>
      <c r="H33" s="48" t="str">
        <f t="shared" si="0"/>
        <v/>
      </c>
      <c r="I33" s="26"/>
      <c r="J33" s="26"/>
      <c r="K33" s="48" t="str">
        <f t="shared" si="1"/>
        <v/>
      </c>
      <c r="L33" s="48" t="str">
        <f>IF('Implied-Return Calculator'!T34="","",'Implied-Return Calculator'!T34)</f>
        <v/>
      </c>
      <c r="M33" s="48" t="str">
        <f>IF('Implied-Return Calculator'!U34="","",'Implied-Return Calculator'!U34)</f>
        <v/>
      </c>
      <c r="N33" s="68"/>
      <c r="O33" s="69"/>
      <c r="P33" s="48" t="str">
        <f t="shared" si="2"/>
        <v/>
      </c>
      <c r="Q33" s="48" t="str">
        <f t="shared" si="3"/>
        <v/>
      </c>
      <c r="R33" s="48" t="str">
        <f t="shared" si="4"/>
        <v/>
      </c>
    </row>
    <row r="34" spans="1:18" ht="15" customHeight="1" x14ac:dyDescent="0.2">
      <c r="A34" s="48" t="str">
        <f>IF(Scoring!A34="","",Scoring!A34)</f>
        <v>DPZ</v>
      </c>
      <c r="B34" s="67" t="str">
        <f>IF(Scoring!B34="","",Scoring!B34)</f>
        <v>Domino's Pizza Inc.</v>
      </c>
      <c r="C34" s="48" t="str">
        <f>IF(Scoring!AG34="","",IF(OR(Scoring!AG34="STRONG BUY",Scoring!AG34="BUY"),"PASS","FAIL"))</f>
        <v/>
      </c>
      <c r="D34" s="48" t="str">
        <f>IF(Scoring!AH34="","",IF(Scoring!AH34="OK","PASS","FAIL"))</f>
        <v>PASS</v>
      </c>
      <c r="E34" s="70" t="str">
        <f>IF(Scoring!AI34="","",IF(Scoring!AI34="OK","PASS","FAIL — mandatory review required"))</f>
        <v>PASS</v>
      </c>
      <c r="F34" s="26"/>
      <c r="G34" s="26"/>
      <c r="H34" s="48" t="str">
        <f t="shared" si="0"/>
        <v/>
      </c>
      <c r="I34" s="26"/>
      <c r="J34" s="26"/>
      <c r="K34" s="48" t="str">
        <f t="shared" si="1"/>
        <v/>
      </c>
      <c r="L34" s="48" t="str">
        <f>IF('Implied-Return Calculator'!T35="","",'Implied-Return Calculator'!T35)</f>
        <v/>
      </c>
      <c r="M34" s="48" t="str">
        <f>IF('Implied-Return Calculator'!U35="","",'Implied-Return Calculator'!U35)</f>
        <v/>
      </c>
      <c r="N34" s="68"/>
      <c r="O34" s="69"/>
      <c r="P34" s="48" t="str">
        <f t="shared" si="2"/>
        <v/>
      </c>
      <c r="Q34" s="48" t="str">
        <f t="shared" si="3"/>
        <v/>
      </c>
      <c r="R34" s="48" t="str">
        <f t="shared" si="4"/>
        <v/>
      </c>
    </row>
    <row r="35" spans="1:18" ht="15" customHeight="1" x14ac:dyDescent="0.2">
      <c r="A35" s="48" t="str">
        <f>IF(Scoring!A35="","",Scoring!A35)</f>
        <v>PZZA</v>
      </c>
      <c r="B35" s="67" t="str">
        <f>IF(Scoring!B35="","",Scoring!B35)</f>
        <v>Papa John's Intl.</v>
      </c>
      <c r="C35" s="48" t="str">
        <f>IF(Scoring!AG35="","",IF(OR(Scoring!AG35="STRONG BUY",Scoring!AG35="BUY"),"PASS","FAIL"))</f>
        <v/>
      </c>
      <c r="D35" s="48" t="str">
        <f>IF(Scoring!AH35="","",IF(Scoring!AH35="OK","PASS","FAIL"))</f>
        <v>FAIL</v>
      </c>
      <c r="E35" s="70" t="str">
        <f>IF(Scoring!AI35="","",IF(Scoring!AI35="OK","PASS","FAIL — mandatory review required"))</f>
        <v>FAIL — mandatory review required</v>
      </c>
      <c r="F35" s="26"/>
      <c r="G35" s="26"/>
      <c r="H35" s="48" t="str">
        <f t="shared" si="0"/>
        <v/>
      </c>
      <c r="I35" s="26"/>
      <c r="J35" s="26"/>
      <c r="K35" s="48" t="str">
        <f t="shared" si="1"/>
        <v/>
      </c>
      <c r="L35" s="48" t="str">
        <f>IF('Implied-Return Calculator'!T36="","",'Implied-Return Calculator'!T36)</f>
        <v/>
      </c>
      <c r="M35" s="48" t="str">
        <f>IF('Implied-Return Calculator'!U36="","",'Implied-Return Calculator'!U36)</f>
        <v/>
      </c>
      <c r="N35" s="68"/>
      <c r="O35" s="69"/>
      <c r="P35" s="48" t="str">
        <f t="shared" si="2"/>
        <v/>
      </c>
      <c r="Q35" s="48" t="str">
        <f t="shared" si="3"/>
        <v/>
      </c>
      <c r="R35" s="48" t="str">
        <f t="shared" si="4"/>
        <v/>
      </c>
    </row>
    <row r="36" spans="1:18" ht="15" customHeight="1" x14ac:dyDescent="0.2">
      <c r="A36" s="48" t="str">
        <f>IF(Scoring!A36="","",Scoring!A36)</f>
        <v>YUM</v>
      </c>
      <c r="B36" s="67" t="str">
        <f>IF(Scoring!B36="","",Scoring!B36)</f>
        <v>Yum! Brands Inc.</v>
      </c>
      <c r="C36" s="48" t="str">
        <f>IF(Scoring!AG36="","",IF(OR(Scoring!AG36="STRONG BUY",Scoring!AG36="BUY"),"PASS","FAIL"))</f>
        <v/>
      </c>
      <c r="D36" s="48" t="str">
        <f>IF(Scoring!AH36="","",IF(Scoring!AH36="OK","PASS","FAIL"))</f>
        <v>PASS</v>
      </c>
      <c r="E36" s="70" t="str">
        <f>IF(Scoring!AI36="","",IF(Scoring!AI36="OK","PASS","FAIL — mandatory review required"))</f>
        <v>PASS</v>
      </c>
      <c r="F36" s="26"/>
      <c r="G36" s="26"/>
      <c r="H36" s="48" t="str">
        <f t="shared" si="0"/>
        <v/>
      </c>
      <c r="I36" s="26"/>
      <c r="J36" s="26"/>
      <c r="K36" s="48" t="str">
        <f t="shared" si="1"/>
        <v/>
      </c>
      <c r="L36" s="48" t="str">
        <f>IF('Implied-Return Calculator'!T37="","",'Implied-Return Calculator'!T37)</f>
        <v/>
      </c>
      <c r="M36" s="48" t="str">
        <f>IF('Implied-Return Calculator'!U37="","",'Implied-Return Calculator'!U37)</f>
        <v/>
      </c>
      <c r="N36" s="68"/>
      <c r="O36" s="69"/>
      <c r="P36" s="48" t="str">
        <f t="shared" si="2"/>
        <v/>
      </c>
      <c r="Q36" s="48" t="str">
        <f t="shared" si="3"/>
        <v/>
      </c>
      <c r="R36" s="48" t="str">
        <f t="shared" si="4"/>
        <v/>
      </c>
    </row>
    <row r="37" spans="1:18" ht="15" customHeight="1" x14ac:dyDescent="0.2">
      <c r="A37" s="48" t="str">
        <f>IF(Scoring!A37="","",Scoring!A37)</f>
        <v>NKE</v>
      </c>
      <c r="B37" s="67" t="str">
        <f>IF(Scoring!B37="","",Scoring!B37)</f>
        <v>Nike Inc.</v>
      </c>
      <c r="C37" s="48" t="str">
        <f>IF(Scoring!AG37="","",IF(OR(Scoring!AG37="STRONG BUY",Scoring!AG37="BUY"),"PASS","FAIL"))</f>
        <v/>
      </c>
      <c r="D37" s="48" t="str">
        <f>IF(Scoring!AH37="","",IF(Scoring!AH37="OK","PASS","FAIL"))</f>
        <v>FAIL</v>
      </c>
      <c r="E37" s="70" t="str">
        <f>IF(Scoring!AI37="","",IF(Scoring!AI37="OK","PASS","FAIL — mandatory review required"))</f>
        <v>FAIL — mandatory review required</v>
      </c>
      <c r="F37" s="26"/>
      <c r="G37" s="26"/>
      <c r="H37" s="48" t="str">
        <f t="shared" si="0"/>
        <v/>
      </c>
      <c r="I37" s="26"/>
      <c r="J37" s="26"/>
      <c r="K37" s="48" t="str">
        <f t="shared" si="1"/>
        <v/>
      </c>
      <c r="L37" s="48" t="str">
        <f>IF('Implied-Return Calculator'!T38="","",'Implied-Return Calculator'!T38)</f>
        <v/>
      </c>
      <c r="M37" s="48" t="str">
        <f>IF('Implied-Return Calculator'!U38="","",'Implied-Return Calculator'!U38)</f>
        <v/>
      </c>
      <c r="N37" s="68"/>
      <c r="O37" s="69"/>
      <c r="P37" s="48" t="str">
        <f t="shared" si="2"/>
        <v/>
      </c>
      <c r="Q37" s="48" t="str">
        <f t="shared" si="3"/>
        <v/>
      </c>
      <c r="R37" s="48" t="str">
        <f t="shared" si="4"/>
        <v/>
      </c>
    </row>
    <row r="38" spans="1:18" ht="15" customHeight="1" x14ac:dyDescent="0.2">
      <c r="A38" s="48" t="str">
        <f>IF(Scoring!A38="","",Scoring!A38)</f>
        <v>VFC</v>
      </c>
      <c r="B38" s="67" t="str">
        <f>IF(Scoring!B38="","",Scoring!B38)</f>
        <v>V.F. Corporation</v>
      </c>
      <c r="C38" s="48" t="str">
        <f>IF(Scoring!AG38="","",IF(OR(Scoring!AG38="STRONG BUY",Scoring!AG38="BUY"),"PASS","FAIL"))</f>
        <v/>
      </c>
      <c r="D38" s="48" t="str">
        <f>IF(Scoring!AH38="","",IF(Scoring!AH38="OK","PASS","FAIL"))</f>
        <v>FAIL</v>
      </c>
      <c r="E38" s="70" t="str">
        <f>IF(Scoring!AI38="","",IF(Scoring!AI38="OK","PASS","FAIL — mandatory review required"))</f>
        <v>PASS</v>
      </c>
      <c r="F38" s="26"/>
      <c r="G38" s="26"/>
      <c r="H38" s="48" t="str">
        <f t="shared" si="0"/>
        <v/>
      </c>
      <c r="I38" s="26"/>
      <c r="J38" s="26"/>
      <c r="K38" s="48" t="str">
        <f t="shared" si="1"/>
        <v/>
      </c>
      <c r="L38" s="48" t="str">
        <f>IF('Implied-Return Calculator'!T39="","",'Implied-Return Calculator'!T39)</f>
        <v/>
      </c>
      <c r="M38" s="48" t="str">
        <f>IF('Implied-Return Calculator'!U39="","",'Implied-Return Calculator'!U39)</f>
        <v/>
      </c>
      <c r="N38" s="68"/>
      <c r="O38" s="69"/>
      <c r="P38" s="48" t="str">
        <f t="shared" si="2"/>
        <v/>
      </c>
      <c r="Q38" s="48" t="str">
        <f t="shared" si="3"/>
        <v/>
      </c>
      <c r="R38" s="48" t="str">
        <f t="shared" si="4"/>
        <v/>
      </c>
    </row>
    <row r="39" spans="1:18" ht="15" customHeight="1" x14ac:dyDescent="0.2">
      <c r="A39" s="48" t="str">
        <f>IF(Scoring!A39="","",Scoring!A39)</f>
        <v>GOOS</v>
      </c>
      <c r="B39" s="67" t="str">
        <f>IF(Scoring!B39="","",Scoring!B39)</f>
        <v>Canada Goose Holdings</v>
      </c>
      <c r="C39" s="48" t="str">
        <f>IF(Scoring!AG39="","",IF(OR(Scoring!AG39="STRONG BUY",Scoring!AG39="BUY"),"PASS","FAIL"))</f>
        <v/>
      </c>
      <c r="D39" s="48" t="str">
        <f>IF(Scoring!AH39="","",IF(Scoring!AH39="OK","PASS","FAIL"))</f>
        <v>FAIL</v>
      </c>
      <c r="E39" s="70" t="str">
        <f>IF(Scoring!AI39="","",IF(Scoring!AI39="OK","PASS","FAIL — mandatory review required"))</f>
        <v>FAIL — mandatory review required</v>
      </c>
      <c r="F39" s="26"/>
      <c r="G39" s="26"/>
      <c r="H39" s="48" t="str">
        <f t="shared" si="0"/>
        <v/>
      </c>
      <c r="I39" s="26"/>
      <c r="J39" s="26"/>
      <c r="K39" s="48" t="str">
        <f t="shared" si="1"/>
        <v/>
      </c>
      <c r="L39" s="48" t="str">
        <f>IF('Implied-Return Calculator'!T40="","",'Implied-Return Calculator'!T40)</f>
        <v/>
      </c>
      <c r="M39" s="48" t="str">
        <f>IF('Implied-Return Calculator'!U40="","",'Implied-Return Calculator'!U40)</f>
        <v/>
      </c>
      <c r="N39" s="68"/>
      <c r="O39" s="69"/>
      <c r="P39" s="48" t="str">
        <f t="shared" si="2"/>
        <v/>
      </c>
      <c r="Q39" s="48" t="str">
        <f t="shared" si="3"/>
        <v/>
      </c>
      <c r="R39" s="48" t="str">
        <f t="shared" si="4"/>
        <v/>
      </c>
    </row>
    <row r="40" spans="1:18" ht="15" customHeight="1" x14ac:dyDescent="0.2">
      <c r="A40" s="48" t="str">
        <f>IF(Scoring!A40="","",Scoring!A40)</f>
        <v>AAP</v>
      </c>
      <c r="B40" s="67" t="str">
        <f>IF(Scoring!B40="","",Scoring!B40)</f>
        <v>Advance Auto Parts Inc.</v>
      </c>
      <c r="C40" s="48" t="str">
        <f>IF(Scoring!AG40="","",IF(OR(Scoring!AG40="STRONG BUY",Scoring!AG40="BUY"),"PASS","FAIL"))</f>
        <v/>
      </c>
      <c r="D40" s="48" t="str">
        <f>IF(Scoring!AH40="","",IF(Scoring!AH40="OK","PASS","FAIL"))</f>
        <v>FAIL</v>
      </c>
      <c r="E40" s="70" t="str">
        <f>IF(Scoring!AI40="","",IF(Scoring!AI40="OK","PASS","FAIL — mandatory review required"))</f>
        <v>FAIL — mandatory review required</v>
      </c>
      <c r="F40" s="26"/>
      <c r="G40" s="26"/>
      <c r="H40" s="48" t="str">
        <f t="shared" si="0"/>
        <v/>
      </c>
      <c r="I40" s="26"/>
      <c r="J40" s="26"/>
      <c r="K40" s="48" t="str">
        <f t="shared" si="1"/>
        <v/>
      </c>
      <c r="L40" s="48" t="str">
        <f>IF('Implied-Return Calculator'!T41="","",'Implied-Return Calculator'!T41)</f>
        <v/>
      </c>
      <c r="M40" s="48" t="str">
        <f>IF('Implied-Return Calculator'!U41="","",'Implied-Return Calculator'!U41)</f>
        <v/>
      </c>
      <c r="N40" s="68"/>
      <c r="O40" s="69"/>
      <c r="P40" s="48" t="str">
        <f t="shared" si="2"/>
        <v/>
      </c>
      <c r="Q40" s="48" t="str">
        <f t="shared" si="3"/>
        <v/>
      </c>
      <c r="R40" s="48" t="str">
        <f t="shared" si="4"/>
        <v/>
      </c>
    </row>
    <row r="41" spans="1:18" ht="15" customHeight="1" x14ac:dyDescent="0.2">
      <c r="A41" s="48" t="str">
        <f>IF(Scoring!A41="","",Scoring!A41)</f>
        <v>BABA</v>
      </c>
      <c r="B41" s="67" t="str">
        <f>IF(Scoring!B41="","",Scoring!B41)</f>
        <v>Alibaba Group Holding Ltd.</v>
      </c>
      <c r="C41" s="48" t="str">
        <f>IF(Scoring!AG41="","",IF(OR(Scoring!AG41="STRONG BUY",Scoring!AG41="BUY"),"PASS","FAIL"))</f>
        <v/>
      </c>
      <c r="D41" s="48" t="str">
        <f>IF(Scoring!AH41="","",IF(Scoring!AH41="OK","PASS","FAIL"))</f>
        <v>FAIL</v>
      </c>
      <c r="E41" s="70" t="str">
        <f>IF(Scoring!AI41="","",IF(Scoring!AI41="OK","PASS","FAIL — mandatory review required"))</f>
        <v>PASS</v>
      </c>
      <c r="F41" s="26"/>
      <c r="G41" s="26"/>
      <c r="H41" s="48" t="str">
        <f t="shared" si="0"/>
        <v/>
      </c>
      <c r="I41" s="26"/>
      <c r="J41" s="26"/>
      <c r="K41" s="48" t="str">
        <f t="shared" si="1"/>
        <v/>
      </c>
      <c r="L41" s="48" t="str">
        <f>IF('Implied-Return Calculator'!T42="","",'Implied-Return Calculator'!T42)</f>
        <v/>
      </c>
      <c r="M41" s="48" t="str">
        <f>IF('Implied-Return Calculator'!U42="","",'Implied-Return Calculator'!U42)</f>
        <v/>
      </c>
      <c r="N41" s="68"/>
      <c r="O41" s="69"/>
      <c r="P41" s="48" t="str">
        <f t="shared" si="2"/>
        <v/>
      </c>
      <c r="Q41" s="48" t="str">
        <f t="shared" si="3"/>
        <v/>
      </c>
      <c r="R41" s="48" t="str">
        <f t="shared" si="4"/>
        <v/>
      </c>
    </row>
    <row r="42" spans="1:18" ht="15" customHeight="1" x14ac:dyDescent="0.2">
      <c r="A42" s="48" t="str">
        <f>IF(Scoring!A42="","",Scoring!A42)</f>
        <v>ETSY</v>
      </c>
      <c r="B42" s="67" t="str">
        <f>IF(Scoring!B42="","",Scoring!B42)</f>
        <v>Etsy Inc.</v>
      </c>
      <c r="C42" s="48" t="str">
        <f>IF(Scoring!AG42="","",IF(OR(Scoring!AG42="STRONG BUY",Scoring!AG42="BUY"),"PASS","FAIL"))</f>
        <v/>
      </c>
      <c r="D42" s="48" t="str">
        <f>IF(Scoring!AH42="","",IF(Scoring!AH42="OK","PASS","FAIL"))</f>
        <v>PASS</v>
      </c>
      <c r="E42" s="70" t="str">
        <f>IF(Scoring!AI42="","",IF(Scoring!AI42="OK","PASS","FAIL — mandatory review required"))</f>
        <v>PASS</v>
      </c>
      <c r="F42" s="26"/>
      <c r="G42" s="26"/>
      <c r="H42" s="48" t="str">
        <f t="shared" si="0"/>
        <v/>
      </c>
      <c r="I42" s="26"/>
      <c r="J42" s="26"/>
      <c r="K42" s="48" t="str">
        <f t="shared" si="1"/>
        <v/>
      </c>
      <c r="L42" s="48" t="str">
        <f>IF('Implied-Return Calculator'!T43="","",'Implied-Return Calculator'!T43)</f>
        <v/>
      </c>
      <c r="M42" s="48" t="str">
        <f>IF('Implied-Return Calculator'!U43="","",'Implied-Return Calculator'!U43)</f>
        <v/>
      </c>
      <c r="N42" s="68"/>
      <c r="O42" s="69"/>
      <c r="P42" s="48" t="str">
        <f t="shared" si="2"/>
        <v/>
      </c>
      <c r="Q42" s="48" t="str">
        <f t="shared" si="3"/>
        <v/>
      </c>
      <c r="R42" s="48" t="str">
        <f t="shared" si="4"/>
        <v/>
      </c>
    </row>
    <row r="43" spans="1:18" ht="15" customHeight="1" x14ac:dyDescent="0.2">
      <c r="A43" s="48" t="str">
        <f>IF(Scoring!A43="","",Scoring!A43)</f>
        <v>GE</v>
      </c>
      <c r="B43" s="67" t="str">
        <f>IF(Scoring!B43="","",Scoring!B43)</f>
        <v>GE Aerospace</v>
      </c>
      <c r="C43" s="48" t="str">
        <f>IF(Scoring!AG43="","",IF(OR(Scoring!AG43="STRONG BUY",Scoring!AG43="BUY"),"PASS","FAIL"))</f>
        <v/>
      </c>
      <c r="D43" s="48" t="str">
        <f>IF(Scoring!AH43="","",IF(Scoring!AH43="OK","PASS","FAIL"))</f>
        <v>PASS</v>
      </c>
      <c r="E43" s="70" t="str">
        <f>IF(Scoring!AI43="","",IF(Scoring!AI43="OK","PASS","FAIL — mandatory review required"))</f>
        <v>PASS</v>
      </c>
      <c r="F43" s="26"/>
      <c r="G43" s="26"/>
      <c r="H43" s="48" t="str">
        <f t="shared" si="0"/>
        <v/>
      </c>
      <c r="I43" s="26"/>
      <c r="J43" s="26"/>
      <c r="K43" s="48" t="str">
        <f t="shared" si="1"/>
        <v/>
      </c>
      <c r="L43" s="48" t="str">
        <f>IF('Implied-Return Calculator'!T44="","",'Implied-Return Calculator'!T44)</f>
        <v/>
      </c>
      <c r="M43" s="48" t="str">
        <f>IF('Implied-Return Calculator'!U44="","",'Implied-Return Calculator'!U44)</f>
        <v/>
      </c>
      <c r="N43" s="68"/>
      <c r="O43" s="69"/>
      <c r="P43" s="48" t="str">
        <f t="shared" si="2"/>
        <v/>
      </c>
      <c r="Q43" s="48" t="str">
        <f t="shared" si="3"/>
        <v/>
      </c>
      <c r="R43" s="48" t="str">
        <f t="shared" si="4"/>
        <v/>
      </c>
    </row>
    <row r="44" spans="1:18" ht="15" customHeight="1" x14ac:dyDescent="0.2">
      <c r="A44" s="48" t="str">
        <f>IF(Scoring!A44="","",Scoring!A44)</f>
        <v>PH</v>
      </c>
      <c r="B44" s="67" t="str">
        <f>IF(Scoring!B44="","",Scoring!B44)</f>
        <v>Parker-Hannifin Corporation</v>
      </c>
      <c r="C44" s="48" t="str">
        <f>IF(Scoring!AG44="","",IF(OR(Scoring!AG44="STRONG BUY",Scoring!AG44="BUY"),"PASS","FAIL"))</f>
        <v/>
      </c>
      <c r="D44" s="48" t="str">
        <f>IF(Scoring!AH44="","",IF(Scoring!AH44="OK","PASS","FAIL"))</f>
        <v>PASS</v>
      </c>
      <c r="E44" s="70" t="str">
        <f>IF(Scoring!AI44="","",IF(Scoring!AI44="OK","PASS","FAIL — mandatory review required"))</f>
        <v>PASS</v>
      </c>
      <c r="F44" s="26"/>
      <c r="G44" s="26"/>
      <c r="H44" s="48" t="str">
        <f t="shared" si="0"/>
        <v/>
      </c>
      <c r="I44" s="26"/>
      <c r="J44" s="26"/>
      <c r="K44" s="48" t="str">
        <f t="shared" si="1"/>
        <v/>
      </c>
      <c r="L44" s="48" t="str">
        <f>IF('Implied-Return Calculator'!T45="","",'Implied-Return Calculator'!T45)</f>
        <v/>
      </c>
      <c r="M44" s="48" t="str">
        <f>IF('Implied-Return Calculator'!U45="","",'Implied-Return Calculator'!U45)</f>
        <v/>
      </c>
      <c r="N44" s="68"/>
      <c r="O44" s="69"/>
      <c r="P44" s="48" t="str">
        <f t="shared" si="2"/>
        <v/>
      </c>
      <c r="Q44" s="48" t="str">
        <f t="shared" si="3"/>
        <v/>
      </c>
      <c r="R44" s="48" t="str">
        <f t="shared" si="4"/>
        <v/>
      </c>
    </row>
    <row r="45" spans="1:18" ht="15" customHeight="1" x14ac:dyDescent="0.2">
      <c r="A45" s="48" t="str">
        <f>IF(Scoring!A45="","",Scoring!A45)</f>
        <v>ETN</v>
      </c>
      <c r="B45" s="67" t="str">
        <f>IF(Scoring!B45="","",Scoring!B45)</f>
        <v>Eaton Corporation plc</v>
      </c>
      <c r="C45" s="48" t="str">
        <f>IF(Scoring!AG45="","",IF(OR(Scoring!AG45="STRONG BUY",Scoring!AG45="BUY"),"PASS","FAIL"))</f>
        <v/>
      </c>
      <c r="D45" s="48" t="str">
        <f>IF(Scoring!AH45="","",IF(Scoring!AH45="OK","PASS","FAIL"))</f>
        <v>PASS</v>
      </c>
      <c r="E45" s="70" t="str">
        <f>IF(Scoring!AI45="","",IF(Scoring!AI45="OK","PASS","FAIL — mandatory review required"))</f>
        <v>PASS</v>
      </c>
      <c r="F45" s="26"/>
      <c r="G45" s="26"/>
      <c r="H45" s="48" t="str">
        <f t="shared" si="0"/>
        <v/>
      </c>
      <c r="I45" s="26"/>
      <c r="J45" s="26"/>
      <c r="K45" s="48" t="str">
        <f t="shared" si="1"/>
        <v/>
      </c>
      <c r="L45" s="48" t="str">
        <f>IF('Implied-Return Calculator'!T46="","",'Implied-Return Calculator'!T46)</f>
        <v/>
      </c>
      <c r="M45" s="48" t="str">
        <f>IF('Implied-Return Calculator'!U46="","",'Implied-Return Calculator'!U46)</f>
        <v/>
      </c>
      <c r="N45" s="68"/>
      <c r="O45" s="69"/>
      <c r="P45" s="48" t="str">
        <f t="shared" si="2"/>
        <v/>
      </c>
      <c r="Q45" s="48" t="str">
        <f t="shared" si="3"/>
        <v/>
      </c>
      <c r="R45" s="48" t="str">
        <f t="shared" si="4"/>
        <v/>
      </c>
    </row>
  </sheetData>
  <mergeCells count="1">
    <mergeCell ref="A1:R1"/>
  </mergeCells>
  <conditionalFormatting sqref="C3:C27">
    <cfRule type="cellIs" dxfId="49" priority="2" operator="equal">
      <formula>"PASS"</formula>
    </cfRule>
    <cfRule type="cellIs" dxfId="48" priority="3" operator="equal">
      <formula>"FAIL"</formula>
    </cfRule>
  </conditionalFormatting>
  <conditionalFormatting sqref="D3:D27">
    <cfRule type="cellIs" dxfId="47" priority="4" operator="equal">
      <formula>"PASS"</formula>
    </cfRule>
    <cfRule type="cellIs" dxfId="46" priority="5" operator="equal">
      <formula>"FAIL"</formula>
    </cfRule>
  </conditionalFormatting>
  <conditionalFormatting sqref="E3:E27">
    <cfRule type="expression" dxfId="45" priority="6">
      <formula>LEFT(E3,4)="PASS"</formula>
    </cfRule>
    <cfRule type="expression" dxfId="44" priority="7">
      <formula>LEFT(E3,4)="FAIL"</formula>
    </cfRule>
  </conditionalFormatting>
  <conditionalFormatting sqref="H3:H27">
    <cfRule type="cellIs" dxfId="43" priority="18" operator="equal">
      <formula>"Standard initial size"</formula>
    </cfRule>
    <cfRule type="expression" dxfId="42" priority="19">
      <formula>ISNUMBER(SEARCH("50%",H3))</formula>
    </cfRule>
  </conditionalFormatting>
  <conditionalFormatting sqref="K3:K27">
    <cfRule type="expression" dxfId="41" priority="8">
      <formula>LEFT(K3,4)="PASS"</formula>
    </cfRule>
    <cfRule type="expression" dxfId="40" priority="9">
      <formula>LEFT(K3,4)="FAIL"</formula>
    </cfRule>
  </conditionalFormatting>
  <conditionalFormatting sqref="L3:L27">
    <cfRule type="cellIs" dxfId="39" priority="12" operator="equal">
      <formula>"PASS"</formula>
    </cfRule>
    <cfRule type="cellIs" dxfId="38" priority="13" operator="equal">
      <formula>"FAIL"</formula>
    </cfRule>
  </conditionalFormatting>
  <conditionalFormatting sqref="M3:M27">
    <cfRule type="cellIs" dxfId="37" priority="14" operator="equal">
      <formula>"OK"</formula>
    </cfRule>
    <cfRule type="cellIs" dxfId="36" priority="15" operator="equal">
      <formula>"CHECK TAGS"</formula>
    </cfRule>
  </conditionalFormatting>
  <conditionalFormatting sqref="P3:P27">
    <cfRule type="expression" dxfId="35" priority="10">
      <formula>LEFT(P3,4)="PASS"</formula>
    </cfRule>
    <cfRule type="expression" dxfId="34" priority="11">
      <formula>LEFT(P3,4)="FAIL"</formula>
    </cfRule>
  </conditionalFormatting>
  <conditionalFormatting sqref="Q3:Q27">
    <cfRule type="cellIs" dxfId="33" priority="16" operator="equal">
      <formula>"YES"</formula>
    </cfRule>
    <cfRule type="expression" dxfId="32" priority="17">
      <formula>LEFT(Q3,2)="NO"</formula>
    </cfRule>
  </conditionalFormatting>
  <dataValidations count="1">
    <dataValidation type="list" allowBlank="1" sqref="F3:G27 I3:J27" xr:uid="{00000000-0002-0000-0700-000000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5"/>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0" customWidth="1"/>
    <col min="2" max="2" width="20" customWidth="1"/>
    <col min="3" max="3" width="11" customWidth="1"/>
    <col min="4" max="4" width="13" customWidth="1"/>
    <col min="5" max="5" width="15" customWidth="1"/>
    <col min="6" max="6" width="9" customWidth="1"/>
    <col min="7" max="8" width="11" customWidth="1"/>
    <col min="9" max="9" width="12" customWidth="1"/>
  </cols>
  <sheetData>
    <row r="1" spans="1:9" ht="15" customHeight="1" x14ac:dyDescent="0.2">
      <c r="A1" s="95" t="s">
        <v>337</v>
      </c>
      <c r="B1" s="95"/>
      <c r="C1" s="95"/>
      <c r="D1" s="95"/>
      <c r="E1" s="95"/>
      <c r="F1" s="95"/>
      <c r="G1" s="95"/>
      <c r="H1" s="95"/>
      <c r="I1" s="95"/>
    </row>
    <row r="2" spans="1:9" ht="25.5" customHeight="1" x14ac:dyDescent="0.2">
      <c r="A2" s="52" t="s">
        <v>71</v>
      </c>
      <c r="B2" s="52" t="s">
        <v>182</v>
      </c>
      <c r="C2" s="52" t="s">
        <v>75</v>
      </c>
      <c r="D2" s="52" t="s">
        <v>338</v>
      </c>
      <c r="E2" s="52" t="s">
        <v>339</v>
      </c>
      <c r="F2" s="52" t="s">
        <v>340</v>
      </c>
      <c r="G2" s="52" t="s">
        <v>341</v>
      </c>
      <c r="H2" s="52" t="s">
        <v>342</v>
      </c>
      <c r="I2" s="52" t="s">
        <v>343</v>
      </c>
    </row>
    <row r="3" spans="1:9" ht="15" customHeight="1" x14ac:dyDescent="0.2">
      <c r="A3" s="63"/>
      <c r="B3" s="63"/>
      <c r="C3" s="71"/>
      <c r="D3" s="72"/>
      <c r="E3" s="24"/>
      <c r="F3" s="73"/>
      <c r="G3" s="71"/>
      <c r="H3" s="71"/>
      <c r="I3" s="74"/>
    </row>
    <row r="4" spans="1:9" ht="15" customHeight="1" x14ac:dyDescent="0.2">
      <c r="A4" s="63"/>
      <c r="B4" s="63"/>
      <c r="C4" s="71"/>
      <c r="D4" s="72"/>
      <c r="E4" s="24"/>
      <c r="F4" s="73"/>
      <c r="G4" s="71"/>
      <c r="H4" s="71"/>
      <c r="I4" s="74"/>
    </row>
    <row r="5" spans="1:9" ht="15" customHeight="1" x14ac:dyDescent="0.2">
      <c r="A5" s="63"/>
      <c r="B5" s="63"/>
      <c r="C5" s="71"/>
      <c r="D5" s="72"/>
      <c r="E5" s="24"/>
      <c r="F5" s="73"/>
      <c r="G5" s="71"/>
      <c r="H5" s="71"/>
      <c r="I5" s="74"/>
    </row>
    <row r="6" spans="1:9" ht="15" customHeight="1" x14ac:dyDescent="0.2">
      <c r="A6" s="63"/>
      <c r="B6" s="63"/>
      <c r="C6" s="71"/>
      <c r="D6" s="72"/>
      <c r="E6" s="24"/>
      <c r="F6" s="73"/>
      <c r="G6" s="71"/>
      <c r="H6" s="71"/>
      <c r="I6" s="74"/>
    </row>
    <row r="7" spans="1:9" ht="15" customHeight="1" x14ac:dyDescent="0.2">
      <c r="A7" s="63"/>
      <c r="B7" s="63"/>
      <c r="C7" s="71"/>
      <c r="D7" s="72"/>
      <c r="E7" s="24"/>
      <c r="F7" s="73"/>
      <c r="G7" s="71"/>
      <c r="H7" s="71"/>
      <c r="I7" s="74"/>
    </row>
    <row r="8" spans="1:9" ht="15" customHeight="1" x14ac:dyDescent="0.2">
      <c r="A8" s="63"/>
      <c r="B8" s="63"/>
      <c r="C8" s="71"/>
      <c r="D8" s="72"/>
      <c r="E8" s="24"/>
      <c r="F8" s="73"/>
      <c r="G8" s="71"/>
      <c r="H8" s="71"/>
      <c r="I8" s="74"/>
    </row>
    <row r="9" spans="1:9" ht="15" customHeight="1" x14ac:dyDescent="0.2">
      <c r="A9" s="63"/>
      <c r="B9" s="63"/>
      <c r="C9" s="71"/>
      <c r="D9" s="72"/>
      <c r="E9" s="24"/>
      <c r="F9" s="73"/>
      <c r="G9" s="71"/>
      <c r="H9" s="71"/>
      <c r="I9" s="74"/>
    </row>
    <row r="10" spans="1:9" ht="15" customHeight="1" x14ac:dyDescent="0.2">
      <c r="A10" s="63"/>
      <c r="B10" s="63"/>
      <c r="C10" s="71"/>
      <c r="D10" s="72"/>
      <c r="E10" s="24"/>
      <c r="F10" s="73"/>
      <c r="G10" s="71"/>
      <c r="H10" s="71"/>
      <c r="I10" s="74"/>
    </row>
    <row r="11" spans="1:9" ht="15" customHeight="1" x14ac:dyDescent="0.2">
      <c r="A11" s="63"/>
      <c r="B11" s="63"/>
      <c r="C11" s="71"/>
      <c r="D11" s="72"/>
      <c r="E11" s="24"/>
      <c r="F11" s="73"/>
      <c r="G11" s="71"/>
      <c r="H11" s="71"/>
      <c r="I11" s="74"/>
    </row>
    <row r="12" spans="1:9" ht="15" customHeight="1" x14ac:dyDescent="0.2">
      <c r="A12" s="63"/>
      <c r="B12" s="63"/>
      <c r="C12" s="71"/>
      <c r="D12" s="72"/>
      <c r="E12" s="24"/>
      <c r="F12" s="73"/>
      <c r="G12" s="71"/>
      <c r="H12" s="71"/>
      <c r="I12" s="74"/>
    </row>
    <row r="13" spans="1:9" ht="15" customHeight="1" x14ac:dyDescent="0.2">
      <c r="A13" s="63"/>
      <c r="B13" s="63"/>
      <c r="C13" s="71"/>
      <c r="D13" s="72"/>
      <c r="E13" s="24"/>
      <c r="F13" s="73"/>
      <c r="G13" s="71"/>
      <c r="H13" s="71"/>
      <c r="I13" s="74"/>
    </row>
    <row r="14" spans="1:9" ht="15" customHeight="1" x14ac:dyDescent="0.2">
      <c r="A14" s="63"/>
      <c r="B14" s="63"/>
      <c r="C14" s="71"/>
      <c r="D14" s="72"/>
      <c r="E14" s="24"/>
      <c r="F14" s="73"/>
      <c r="G14" s="71"/>
      <c r="H14" s="71"/>
      <c r="I14" s="74"/>
    </row>
    <row r="15" spans="1:9" ht="15" customHeight="1" x14ac:dyDescent="0.2">
      <c r="A15" s="63"/>
      <c r="B15" s="63"/>
      <c r="C15" s="71"/>
      <c r="D15" s="72"/>
      <c r="E15" s="24"/>
      <c r="F15" s="73"/>
      <c r="G15" s="71"/>
      <c r="H15" s="71"/>
      <c r="I15" s="74"/>
    </row>
    <row r="16" spans="1:9" ht="15" customHeight="1" x14ac:dyDescent="0.2">
      <c r="A16" s="63"/>
      <c r="B16" s="63"/>
      <c r="C16" s="71"/>
      <c r="D16" s="72"/>
      <c r="E16" s="24"/>
      <c r="F16" s="73"/>
      <c r="G16" s="71"/>
      <c r="H16" s="71"/>
      <c r="I16" s="74"/>
    </row>
    <row r="17" spans="1:9" ht="15" customHeight="1" x14ac:dyDescent="0.2">
      <c r="A17" s="63"/>
      <c r="B17" s="63"/>
      <c r="C17" s="71"/>
      <c r="D17" s="72"/>
      <c r="E17" s="24"/>
      <c r="F17" s="73"/>
      <c r="G17" s="71"/>
      <c r="H17" s="71"/>
      <c r="I17" s="74"/>
    </row>
    <row r="18" spans="1:9" ht="15" customHeight="1" x14ac:dyDescent="0.2">
      <c r="A18" s="63"/>
      <c r="B18" s="63"/>
      <c r="C18" s="71"/>
      <c r="D18" s="72"/>
      <c r="E18" s="24"/>
      <c r="F18" s="73"/>
      <c r="G18" s="71"/>
      <c r="H18" s="71"/>
      <c r="I18" s="74"/>
    </row>
    <row r="19" spans="1:9" ht="15" customHeight="1" x14ac:dyDescent="0.2">
      <c r="A19" s="63"/>
      <c r="B19" s="63"/>
      <c r="C19" s="71"/>
      <c r="D19" s="72"/>
      <c r="E19" s="24"/>
      <c r="F19" s="73"/>
      <c r="G19" s="71"/>
      <c r="H19" s="71"/>
      <c r="I19" s="74"/>
    </row>
    <row r="20" spans="1:9" ht="15" customHeight="1" x14ac:dyDescent="0.2">
      <c r="A20" s="63"/>
      <c r="B20" s="63"/>
      <c r="C20" s="71"/>
      <c r="D20" s="72"/>
      <c r="E20" s="24"/>
      <c r="F20" s="73"/>
      <c r="G20" s="71"/>
      <c r="H20" s="71"/>
      <c r="I20" s="74"/>
    </row>
    <row r="21" spans="1:9" ht="15" customHeight="1" x14ac:dyDescent="0.2">
      <c r="A21" s="63"/>
      <c r="B21" s="63"/>
      <c r="C21" s="71"/>
      <c r="D21" s="72"/>
      <c r="E21" s="24"/>
      <c r="F21" s="73"/>
      <c r="G21" s="71"/>
      <c r="H21" s="71"/>
      <c r="I21" s="74"/>
    </row>
    <row r="22" spans="1:9" ht="15" customHeight="1" x14ac:dyDescent="0.2">
      <c r="A22" s="63"/>
      <c r="B22" s="63"/>
      <c r="C22" s="71"/>
      <c r="D22" s="72"/>
      <c r="E22" s="24"/>
      <c r="F22" s="73"/>
      <c r="G22" s="71"/>
      <c r="H22" s="71"/>
      <c r="I22" s="74"/>
    </row>
    <row r="23" spans="1:9" ht="15" customHeight="1" x14ac:dyDescent="0.2">
      <c r="A23" s="63"/>
      <c r="B23" s="63"/>
      <c r="C23" s="71"/>
      <c r="D23" s="72"/>
      <c r="E23" s="24"/>
      <c r="F23" s="73"/>
      <c r="G23" s="71"/>
      <c r="H23" s="71"/>
      <c r="I23" s="74"/>
    </row>
    <row r="24" spans="1:9" ht="15" customHeight="1" x14ac:dyDescent="0.2">
      <c r="A24" s="63"/>
      <c r="B24" s="63"/>
      <c r="C24" s="71"/>
      <c r="D24" s="72"/>
      <c r="E24" s="24"/>
      <c r="F24" s="73"/>
      <c r="G24" s="71"/>
      <c r="H24" s="71"/>
      <c r="I24" s="74"/>
    </row>
    <row r="25" spans="1:9" ht="15" customHeight="1" x14ac:dyDescent="0.2">
      <c r="A25" s="63"/>
      <c r="B25" s="63"/>
      <c r="C25" s="71"/>
      <c r="D25" s="72"/>
      <c r="E25" s="24"/>
      <c r="F25" s="73"/>
      <c r="G25" s="71"/>
      <c r="H25" s="71"/>
      <c r="I25" s="74"/>
    </row>
    <row r="26" spans="1:9" ht="15" customHeight="1" x14ac:dyDescent="0.2">
      <c r="A26" s="63"/>
      <c r="B26" s="63"/>
      <c r="C26" s="71"/>
      <c r="D26" s="72"/>
      <c r="E26" s="24"/>
      <c r="F26" s="73"/>
      <c r="G26" s="71"/>
      <c r="H26" s="71"/>
      <c r="I26" s="74"/>
    </row>
    <row r="27" spans="1:9" ht="15" customHeight="1" x14ac:dyDescent="0.2">
      <c r="A27" s="63"/>
      <c r="B27" s="63"/>
      <c r="C27" s="71"/>
      <c r="D27" s="72"/>
      <c r="E27" s="24"/>
      <c r="F27" s="73"/>
      <c r="G27" s="71"/>
      <c r="H27" s="71"/>
      <c r="I27" s="74"/>
    </row>
    <row r="30" spans="1:9" ht="15" customHeight="1" x14ac:dyDescent="0.2">
      <c r="A30" s="96" t="s">
        <v>344</v>
      </c>
      <c r="B30" s="96"/>
      <c r="C30" s="96"/>
      <c r="D30" s="96"/>
      <c r="E30" s="96"/>
      <c r="F30" s="96"/>
      <c r="G30" s="96"/>
      <c r="H30" s="96"/>
      <c r="I30" s="96"/>
    </row>
    <row r="31" spans="1:9" ht="15" customHeight="1" x14ac:dyDescent="0.2">
      <c r="A31" s="96" t="s">
        <v>345</v>
      </c>
      <c r="B31" s="96"/>
      <c r="C31" s="96"/>
      <c r="D31" s="96"/>
      <c r="E31" s="96"/>
      <c r="F31" s="96"/>
      <c r="G31" s="96"/>
      <c r="H31" s="96"/>
      <c r="I31" s="96"/>
    </row>
    <row r="32" spans="1:9" ht="15" customHeight="1" x14ac:dyDescent="0.2">
      <c r="A32" s="96" t="s">
        <v>346</v>
      </c>
      <c r="B32" s="96"/>
      <c r="C32" s="96"/>
      <c r="D32" s="96"/>
      <c r="E32" s="96"/>
      <c r="F32" s="96"/>
      <c r="G32" s="96"/>
      <c r="H32" s="96"/>
      <c r="I32" s="96"/>
    </row>
    <row r="33" spans="1:9" ht="15" customHeight="1" x14ac:dyDescent="0.2">
      <c r="A33" s="96" t="s">
        <v>347</v>
      </c>
      <c r="B33" s="96"/>
      <c r="C33" s="96"/>
      <c r="D33" s="96"/>
      <c r="E33" s="96"/>
      <c r="F33" s="96"/>
      <c r="G33" s="96"/>
      <c r="H33" s="96"/>
      <c r="I33" s="96"/>
    </row>
    <row r="34" spans="1:9" ht="15" customHeight="1" x14ac:dyDescent="0.2">
      <c r="A34" s="96" t="s">
        <v>348</v>
      </c>
      <c r="B34" s="96"/>
      <c r="C34" s="96"/>
      <c r="D34" s="96"/>
      <c r="E34" s="96"/>
      <c r="F34" s="96"/>
      <c r="G34" s="96"/>
      <c r="H34" s="96"/>
      <c r="I34" s="96"/>
    </row>
    <row r="35" spans="1:9" ht="15" customHeight="1" x14ac:dyDescent="0.2">
      <c r="A35" s="96" t="s">
        <v>349</v>
      </c>
      <c r="B35" s="96"/>
      <c r="C35" s="96"/>
      <c r="D35" s="96"/>
      <c r="E35" s="96"/>
      <c r="F35" s="96"/>
      <c r="G35" s="96"/>
      <c r="H35" s="96"/>
      <c r="I35" s="96"/>
    </row>
  </sheetData>
  <mergeCells count="7">
    <mergeCell ref="A34:I34"/>
    <mergeCell ref="A35:I35"/>
    <mergeCell ref="A1:I1"/>
    <mergeCell ref="A30:I30"/>
    <mergeCell ref="A31:I31"/>
    <mergeCell ref="A32:I32"/>
    <mergeCell ref="A33:I3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1"/>
  <sheetViews>
    <sheetView showGridLines="0" topLeftCell="A175" zoomScaleNormal="100" workbookViewId="0"/>
  </sheetViews>
  <sheetFormatPr baseColWidth="10" defaultColWidth="8.6640625" defaultRowHeight="15" x14ac:dyDescent="0.2"/>
  <cols>
    <col min="1" max="1" width="12" customWidth="1"/>
    <col min="2" max="21" width="11" customWidth="1"/>
    <col min="23" max="40" width="10" customWidth="1"/>
  </cols>
  <sheetData>
    <row r="1" spans="1:40" ht="15" customHeight="1" x14ac:dyDescent="0.2">
      <c r="A1" s="2" t="s">
        <v>350</v>
      </c>
      <c r="B1" s="2"/>
      <c r="C1" s="2"/>
      <c r="D1" s="2"/>
      <c r="E1" s="2"/>
      <c r="F1" s="2"/>
      <c r="G1" s="2"/>
      <c r="H1" s="2"/>
      <c r="I1" s="2"/>
      <c r="J1" s="2"/>
      <c r="K1" s="2"/>
      <c r="L1" s="2"/>
      <c r="M1" s="2"/>
      <c r="N1" s="2"/>
      <c r="O1" s="2"/>
      <c r="P1" s="2"/>
      <c r="Q1" s="2"/>
      <c r="R1" s="2"/>
      <c r="S1" s="2"/>
      <c r="T1" s="2"/>
      <c r="U1" s="2"/>
    </row>
    <row r="2" spans="1:40" ht="15" customHeight="1" x14ac:dyDescent="0.2">
      <c r="A2" s="52" t="s">
        <v>181</v>
      </c>
      <c r="B2" s="52" t="str">
        <f>'Price History'!B2</f>
        <v>ADBE</v>
      </c>
      <c r="C2" s="52" t="str">
        <f>'Price History'!C2</f>
        <v>ANET</v>
      </c>
      <c r="D2" s="52" t="str">
        <f>'Price History'!D2</f>
        <v>ASML</v>
      </c>
      <c r="E2" s="52" t="str">
        <f>'Price History'!E2</f>
        <v>AVGO</v>
      </c>
      <c r="F2" s="52" t="str">
        <f>'Price History'!F2</f>
        <v>CRWD</v>
      </c>
      <c r="G2" s="52" t="str">
        <f>'Price History'!G2</f>
        <v>KLAC</v>
      </c>
      <c r="H2" s="52" t="str">
        <f>'Price History'!H2</f>
        <v>MU</v>
      </c>
      <c r="I2" s="52" t="str">
        <f>'Price History'!I2</f>
        <v>NVDA</v>
      </c>
      <c r="J2" s="52" t="str">
        <f>'Price History'!J2</f>
        <v>PLD</v>
      </c>
      <c r="K2" s="52" t="str">
        <f>'Price History'!K2</f>
        <v>PLTR</v>
      </c>
      <c r="L2" s="52" t="str">
        <f>'Price History'!L2</f>
        <v>TSM</v>
      </c>
      <c r="M2" s="52" t="str">
        <f>'Price History'!M2</f>
        <v>VRT</v>
      </c>
      <c r="N2" s="52" t="str">
        <f>'Price History'!N2</f>
        <v>VRTX</v>
      </c>
      <c r="O2" s="52" t="str">
        <f>'Price History'!O2</f>
        <v>AVUV</v>
      </c>
      <c r="P2" s="52">
        <f>'Price History'!P2</f>
        <v>0</v>
      </c>
      <c r="Q2" s="52" t="str">
        <f>'Price History'!Q2</f>
        <v>HELO</v>
      </c>
      <c r="R2" s="52" t="str">
        <f>'Price History'!R2</f>
        <v>JEPQ</v>
      </c>
      <c r="S2" s="52" t="str">
        <f>'Price History'!S2</f>
        <v>SPMO</v>
      </c>
      <c r="T2" s="52" t="str">
        <f>'Price History'!T2</f>
        <v>VFLO</v>
      </c>
      <c r="U2" s="52">
        <f>'Price History'!U2</f>
        <v>0</v>
      </c>
      <c r="W2" s="75" t="s">
        <v>351</v>
      </c>
      <c r="X2" s="75" t="s">
        <v>352</v>
      </c>
      <c r="Y2" s="75" t="s">
        <v>353</v>
      </c>
      <c r="Z2" s="75" t="s">
        <v>354</v>
      </c>
      <c r="AA2" s="75" t="s">
        <v>355</v>
      </c>
      <c r="AB2" s="75" t="s">
        <v>356</v>
      </c>
      <c r="AC2" s="75" t="s">
        <v>357</v>
      </c>
      <c r="AD2" s="75" t="s">
        <v>358</v>
      </c>
      <c r="AE2" s="75" t="s">
        <v>359</v>
      </c>
      <c r="AF2" s="75" t="s">
        <v>360</v>
      </c>
      <c r="AG2" s="75" t="s">
        <v>361</v>
      </c>
      <c r="AH2" s="75" t="s">
        <v>362</v>
      </c>
      <c r="AI2" s="75" t="s">
        <v>363</v>
      </c>
      <c r="AJ2" s="75" t="s">
        <v>364</v>
      </c>
      <c r="AK2" s="75" t="s">
        <v>365</v>
      </c>
      <c r="AL2" s="75" t="s">
        <v>366</v>
      </c>
      <c r="AM2" s="75" t="s">
        <v>367</v>
      </c>
      <c r="AN2" s="75" t="s">
        <v>368</v>
      </c>
    </row>
    <row r="3" spans="1:40" ht="15" customHeight="1" x14ac:dyDescent="0.2">
      <c r="A3" s="55">
        <f>IF('Price History'!A4="","",'Price History'!A4)</f>
        <v>45156</v>
      </c>
      <c r="B3" s="76">
        <f>IFERROR(IF(OR(NOT(ISNUMBER('Price History'!B4)),NOT(ISNUMBER('Price History'!B3)),'Price History'!B3=0),"",'Price History'!B4/'Price History'!B3-1),"")</f>
        <v>-6.2936375258138E-4</v>
      </c>
      <c r="C3" s="76">
        <f>IFERROR(IF(OR(NOT(ISNUMBER('Price History'!C4)),NOT(ISNUMBER('Price History'!C3)),'Price History'!C3=0),"",'Price History'!C4/'Price History'!C3-1),"")</f>
        <v>3.2007315957933269E-2</v>
      </c>
      <c r="D3" s="76">
        <f>IFERROR(IF(OR(NOT(ISNUMBER('Price History'!D4)),NOT(ISNUMBER('Price History'!D3)),'Price History'!D3=0),"",'Price History'!D4/'Price History'!D3-1),"")</f>
        <v>-9.7464414155761236E-3</v>
      </c>
      <c r="E3" s="76">
        <f>IFERROR(IF(OR(NOT(ISNUMBER('Price History'!E4)),NOT(ISNUMBER('Price History'!E3)),'Price History'!E3=0),"",'Price History'!E4/'Price History'!E3-1),"")</f>
        <v>-4.8204386599181026E-3</v>
      </c>
      <c r="F3" s="76">
        <f>IFERROR(IF(OR(NOT(ISNUMBER('Price History'!F4)),NOT(ISNUMBER('Price History'!F3)),'Price History'!F3=0),"",'Price History'!F4/'Price History'!F3-1),"")</f>
        <v>-9.7139773340528812E-3</v>
      </c>
      <c r="G3" s="76">
        <f>IFERROR(IF(OR(NOT(ISNUMBER('Price History'!G4)),NOT(ISNUMBER('Price History'!G3)),'Price History'!G3=0),"",'Price History'!G4/'Price History'!G3-1),"")</f>
        <v>-2.0876826722338038E-3</v>
      </c>
      <c r="H3" s="76">
        <f>IFERROR(IF(OR(NOT(ISNUMBER('Price History'!H4)),NOT(ISNUMBER('Price History'!H3)),'Price History'!H3=0),"",'Price History'!H4/'Price History'!H3-1),"")</f>
        <v>-1.2117446015224465E-2</v>
      </c>
      <c r="I3" s="76">
        <f>IFERROR(IF(OR(NOT(ISNUMBER('Price History'!I4)),NOT(ISNUMBER('Price History'!I3)),'Price History'!I3=0),"",'Price History'!I4/'Price History'!I3-1),"")</f>
        <v>5.9975520195838294E-2</v>
      </c>
      <c r="J3" s="76">
        <f>IFERROR(IF(OR(NOT(ISNUMBER('Price History'!J4)),NOT(ISNUMBER('Price History'!J3)),'Price History'!J3=0),"",'Price History'!J4/'Price History'!J3-1),"")</f>
        <v>-1.651688122419237E-2</v>
      </c>
      <c r="K3" s="76">
        <f>IFERROR(IF(OR(NOT(ISNUMBER('Price History'!K4)),NOT(ISNUMBER('Price History'!K3)),'Price History'!K3=0),"",'Price History'!K4/'Price History'!K3-1),"")</f>
        <v>-6.5541855937702787E-2</v>
      </c>
      <c r="L3" s="76">
        <f>IFERROR(IF(OR(NOT(ISNUMBER('Price History'!L4)),NOT(ISNUMBER('Price History'!L3)),'Price History'!L3=0),"",'Price History'!L4/'Price History'!L3-1),"")</f>
        <v>-9.6749646700728942E-3</v>
      </c>
      <c r="M3" s="76">
        <f>IFERROR(IF(OR(NOT(ISNUMBER('Price History'!M4)),NOT(ISNUMBER('Price History'!M3)),'Price History'!M3=0),"",'Price History'!M4/'Price History'!M3-1),"")</f>
        <v>1.372724559832883E-2</v>
      </c>
      <c r="N3" s="76">
        <f>IFERROR(IF(OR(NOT(ISNUMBER('Price History'!N4)),NOT(ISNUMBER('Price History'!N3)),'Price History'!N3=0),"",'Price History'!N4/'Price History'!N3-1),"")</f>
        <v>-1.4405762304922076E-2</v>
      </c>
      <c r="O3" s="76">
        <f>IFERROR(IF(OR(NOT(ISNUMBER('Price History'!O4)),NOT(ISNUMBER('Price History'!O3)),'Price History'!O3=0),"",'Price History'!O4/'Price History'!O3-1),"")</f>
        <v>-3.0778515389257688E-2</v>
      </c>
      <c r="P3" s="76" t="str">
        <f>IFERROR(IF(OR(NOT(ISNUMBER('Price History'!P4)),NOT(ISNUMBER('Price History'!P3)),'Price History'!P3=0),"",'Price History'!P4/'Price History'!P3-1),"")</f>
        <v/>
      </c>
      <c r="Q3" s="76">
        <f>IFERROR(IF(OR(NOT(ISNUMBER('Price History'!Q4)),NOT(ISNUMBER('Price History'!Q3)),'Price History'!Q3=0),"",'Price History'!Q4/'Price History'!Q3-1),"")</f>
        <v>3.2102728731941976E-3</v>
      </c>
      <c r="R3" s="76">
        <f>IFERROR(IF(OR(NOT(ISNUMBER('Price History'!R4)),NOT(ISNUMBER('Price History'!R3)),'Price History'!R3=0),"",'Price History'!R4/'Price History'!R3-1),"")</f>
        <v>-1.8611459640317851E-2</v>
      </c>
      <c r="S3" s="76">
        <f>IFERROR(IF(OR(NOT(ISNUMBER('Price History'!S4)),NOT(ISNUMBER('Price History'!S3)),'Price History'!S3=0),"",'Price History'!S4/'Price History'!S3-1),"")</f>
        <v>-8.370345063204665E-3</v>
      </c>
      <c r="T3" s="76">
        <f>IFERROR(IF(OR(NOT(ISNUMBER('Price History'!T4)),NOT(ISNUMBER('Price History'!T3)),'Price History'!T3=0),"",'Price History'!T4/'Price History'!T3-1),"")</f>
        <v>-2.6755852842809347E-2</v>
      </c>
      <c r="U3" s="76" t="str">
        <f>IFERROR(IF(OR(NOT(ISNUMBER('Price History'!U4)),NOT(ISNUMBER('Price History'!U3)),'Price History'!U3=0),"",'Price History'!U4/'Price History'!U3-1),"")</f>
        <v/>
      </c>
      <c r="W3" s="77">
        <f>'Price History'!B3+('Price History'!B158-'Price History'!B3)*0</f>
        <v>508.45</v>
      </c>
      <c r="X3" s="77">
        <f>'Price History'!C3+('Price History'!C158-'Price History'!C3)*0</f>
        <v>43.74</v>
      </c>
      <c r="Y3" s="77">
        <f>'Price History'!D3+('Price History'!D158-'Price History'!D3)*0</f>
        <v>661.78</v>
      </c>
      <c r="Z3" s="77">
        <f>'Price History'!E3+('Price History'!E158-'Price History'!E3)*0</f>
        <v>82.98</v>
      </c>
      <c r="AA3" s="77">
        <f>'Price History'!F3+('Price History'!F158-'Price History'!F3)*0</f>
        <v>37.06</v>
      </c>
      <c r="AB3" s="77">
        <f>'Price History'!G3+('Price History'!G158-'Price History'!G3)*0</f>
        <v>47.9</v>
      </c>
      <c r="AC3" s="77">
        <f>'Price History'!H3+('Price History'!H158-'Price History'!H3)*0</f>
        <v>64.37</v>
      </c>
      <c r="AD3" s="77">
        <f>'Price History'!I3+('Price History'!I158-'Price History'!I3)*0</f>
        <v>40.85</v>
      </c>
      <c r="AE3" s="77">
        <f>'Price History'!J3+('Price History'!J158-'Price History'!J3)*0</f>
        <v>123.51</v>
      </c>
      <c r="AF3" s="77">
        <f>'Price History'!K3+('Price History'!K158-'Price History'!K3)*0</f>
        <v>15.41</v>
      </c>
      <c r="AG3" s="77">
        <f>'Price History'!L3+('Price History'!L158-'Price History'!L3)*0</f>
        <v>91.99</v>
      </c>
      <c r="AH3" s="77">
        <f>'Price History'!M3+('Price History'!M158-'Price History'!M3)*0</f>
        <v>33.51</v>
      </c>
      <c r="AI3" s="77">
        <f>'Price History'!N3+('Price History'!N158-'Price History'!N3)*0</f>
        <v>349.86</v>
      </c>
      <c r="AJ3" s="77">
        <f>'Price History'!O3+('Price History'!O158-'Price History'!O3)*0</f>
        <v>82.85</v>
      </c>
      <c r="AK3" s="77">
        <f>'Price History'!Q3+('Price History'!Q151-'Price History'!Q3)*0</f>
        <v>49.84</v>
      </c>
      <c r="AL3" s="77">
        <f>'Price History'!R3+('Price History'!R158-'Price History'!R3)*0</f>
        <v>47.82</v>
      </c>
      <c r="AM3" s="77">
        <f>'Price History'!S3+('Price History'!S158-'Price History'!S3)*0</f>
        <v>58.54</v>
      </c>
      <c r="AN3" s="77">
        <f>'Price History'!T3+('Price History'!T158-'Price History'!T3)*0</f>
        <v>26.91</v>
      </c>
    </row>
    <row r="4" spans="1:40" ht="15" customHeight="1" x14ac:dyDescent="0.2">
      <c r="A4" s="55">
        <f>IF('Price History'!A5="","",'Price History'!A5)</f>
        <v>45163</v>
      </c>
      <c r="B4" s="76">
        <f>IFERROR(IF(OR(NOT(ISNUMBER('Price History'!B5)),NOT(ISNUMBER('Price History'!B4)),'Price History'!B4=0),"",'Price History'!B5/'Price History'!B4-1),"")</f>
        <v>3.3318245330919094E-2</v>
      </c>
      <c r="C4" s="76">
        <f>IFERROR(IF(OR(NOT(ISNUMBER('Price History'!C5)),NOT(ISNUMBER('Price History'!C4)),'Price History'!C4=0),"",'Price History'!C5/'Price History'!C4-1),"")</f>
        <v>1.9937970757641921E-3</v>
      </c>
      <c r="D4" s="76">
        <f>IFERROR(IF(OR(NOT(ISNUMBER('Price History'!D5)),NOT(ISNUMBER('Price History'!D4)),'Price History'!D4=0),"",'Price History'!D5/'Price History'!D4-1),"")</f>
        <v>-6.5920986373277923E-3</v>
      </c>
      <c r="E4" s="76">
        <f>IFERROR(IF(OR(NOT(ISNUMBER('Price History'!E5)),NOT(ISNUMBER('Price History'!E4)),'Price History'!E4=0),"",'Price History'!E5/'Price History'!E4-1),"")</f>
        <v>3.1484620973601496E-2</v>
      </c>
      <c r="F4" s="76">
        <f>IFERROR(IF(OR(NOT(ISNUMBER('Price History'!F5)),NOT(ISNUMBER('Price History'!F4)),'Price History'!F4=0),"",'Price History'!F5/'Price History'!F4-1),"")</f>
        <v>1.9073569482288777E-2</v>
      </c>
      <c r="G4" s="76">
        <f>IFERROR(IF(OR(NOT(ISNUMBER('Price History'!G5)),NOT(ISNUMBER('Price History'!G4)),'Price History'!G4=0),"",'Price History'!G5/'Price History'!G4-1),"")</f>
        <v>7.7405857740586725E-3</v>
      </c>
      <c r="H4" s="76">
        <f>IFERROR(IF(OR(NOT(ISNUMBER('Price History'!H5)),NOT(ISNUMBER('Price History'!H4)),'Price History'!H4=0),"",'Price History'!H5/'Price History'!H4-1),"")</f>
        <v>2.0443465953765561E-3</v>
      </c>
      <c r="I4" s="76">
        <f>IFERROR(IF(OR(NOT(ISNUMBER('Price History'!I5)),NOT(ISNUMBER('Price History'!I4)),'Price History'!I4=0),"",'Price History'!I5/'Price History'!I4-1),"")</f>
        <v>6.2817551963048723E-2</v>
      </c>
      <c r="J4" s="76">
        <f>IFERROR(IF(OR(NOT(ISNUMBER('Price History'!J5)),NOT(ISNUMBER('Price History'!J4)),'Price History'!J4=0),"",'Price History'!J5/'Price History'!J4-1),"")</f>
        <v>9.7966576109327352E-3</v>
      </c>
      <c r="K4" s="76">
        <f>IFERROR(IF(OR(NOT(ISNUMBER('Price History'!K5)),NOT(ISNUMBER('Price History'!K4)),'Price History'!K4=0),"",'Price History'!K5/'Price History'!K4-1),"")</f>
        <v>9.0277777777776347E-3</v>
      </c>
      <c r="L4" s="76">
        <f>IFERROR(IF(OR(NOT(ISNUMBER('Price History'!L5)),NOT(ISNUMBER('Price History'!L4)),'Price History'!L4=0),"",'Price History'!L5/'Price History'!L4-1),"")</f>
        <v>2.1953896816685026E-2</v>
      </c>
      <c r="M4" s="76">
        <f>IFERROR(IF(OR(NOT(ISNUMBER('Price History'!M5)),NOT(ISNUMBER('Price History'!M4)),'Price History'!M4=0),"",'Price History'!M5/'Price History'!M4-1),"")</f>
        <v>0.10391521931115699</v>
      </c>
      <c r="N4" s="76">
        <f>IFERROR(IF(OR(NOT(ISNUMBER('Price History'!N5)),NOT(ISNUMBER('Price History'!N4)),'Price History'!N4=0),"",'Price History'!N5/'Price History'!N4-1),"")</f>
        <v>1.5196334319355076E-2</v>
      </c>
      <c r="O4" s="76">
        <f>IFERROR(IF(OR(NOT(ISNUMBER('Price History'!O5)),NOT(ISNUMBER('Price History'!O4)),'Price History'!O4=0),"",'Price History'!O5/'Price History'!O4-1),"")</f>
        <v>-1.6189290161892855E-2</v>
      </c>
      <c r="P4" s="76" t="str">
        <f>IFERROR(IF(OR(NOT(ISNUMBER('Price History'!P5)),NOT(ISNUMBER('Price History'!P4)),'Price History'!P4=0),"",'Price History'!P5/'Price History'!P4-1),"")</f>
        <v/>
      </c>
      <c r="Q4" s="76">
        <f>IFERROR(IF(OR(NOT(ISNUMBER('Price History'!Q5)),NOT(ISNUMBER('Price History'!Q4)),'Price History'!Q4=0),"",'Price History'!Q5/'Price History'!Q4-1),"")</f>
        <v>3.4000000000000696E-3</v>
      </c>
      <c r="R4" s="76">
        <f>IFERROR(IF(OR(NOT(ISNUMBER('Price History'!R5)),NOT(ISNUMBER('Price History'!R4)),'Price History'!R4=0),"",'Price History'!R5/'Price History'!R4-1),"")</f>
        <v>1.5981248668229364E-2</v>
      </c>
      <c r="S4" s="76">
        <f>IFERROR(IF(OR(NOT(ISNUMBER('Price History'!S5)),NOT(ISNUMBER('Price History'!S4)),'Price History'!S4=0),"",'Price History'!S5/'Price History'!S4-1),"")</f>
        <v>-2.7562446167096466E-3</v>
      </c>
      <c r="T4" s="76">
        <f>IFERROR(IF(OR(NOT(ISNUMBER('Price History'!T5)),NOT(ISNUMBER('Price History'!T4)),'Price History'!T4=0),"",'Price History'!T5/'Price History'!T4-1),"")</f>
        <v>-8.0183276059565545E-3</v>
      </c>
      <c r="U4" s="76" t="str">
        <f>IFERROR(IF(OR(NOT(ISNUMBER('Price History'!U5)),NOT(ISNUMBER('Price History'!U4)),'Price History'!U4=0),"",'Price History'!U5/'Price History'!U4-1),"")</f>
        <v/>
      </c>
      <c r="W4" s="77">
        <f>'Price History'!B3+('Price History'!B158-'Price History'!B3)*0.00649350649350649</f>
        <v>506.77441558441558</v>
      </c>
      <c r="X4" s="77">
        <f>'Price History'!C3+('Price History'!C158-'Price History'!C3)*0.00649350649350649</f>
        <v>44.627077922077923</v>
      </c>
      <c r="Y4" s="77">
        <f>'Price History'!D3+('Price History'!D158-'Price History'!D3)*0.00649350649350649</f>
        <v>668.06064935064933</v>
      </c>
      <c r="Z4" s="77">
        <f>'Price History'!E3+('Price History'!E158-'Price History'!E3)*0.00649350649350649</f>
        <v>84.968961038961041</v>
      </c>
      <c r="AA4" s="77">
        <f>'Price History'!F3+('Price History'!F158-'Price History'!F3)*0.00649350649350649</f>
        <v>38.058701298701301</v>
      </c>
      <c r="AB4" s="77">
        <f>'Price History'!G3+('Price History'!G158-'Price History'!G3)*0.00649350649350649</f>
        <v>48.776103896103891</v>
      </c>
      <c r="AC4" s="77">
        <f>'Price History'!H3+('Price History'!H158-'Price History'!H3)*0.00649350649350649</f>
        <v>69.296363636363637</v>
      </c>
      <c r="AD4" s="77">
        <f>'Price History'!I3+('Price History'!I158-'Price History'!I3)*0.00649350649350649</f>
        <v>41.888311688311688</v>
      </c>
      <c r="AE4" s="77">
        <f>'Price History'!J3+('Price History'!J158-'Price History'!J3)*0.00649350649350649</f>
        <v>123.64701298701299</v>
      </c>
      <c r="AF4" s="77">
        <f>'Price History'!K3+('Price History'!K158-'Price History'!K3)*0.00649350649350649</f>
        <v>16.109025974025975</v>
      </c>
      <c r="AG4" s="77">
        <f>'Price History'!L3+('Price History'!L158-'Price History'!L3)*0.00649350649350649</f>
        <v>94.01766233766233</v>
      </c>
      <c r="AH4" s="77">
        <f>'Price History'!M3+('Price History'!M158-'Price History'!M3)*0.00649350649350649</f>
        <v>34.861038961038957</v>
      </c>
      <c r="AI4" s="77">
        <f>'Price History'!N3+('Price History'!N158-'Price History'!N3)*0.00649350649350649</f>
        <v>350.68623376623378</v>
      </c>
      <c r="AJ4" s="77">
        <f>'Price History'!O3+('Price History'!O158-'Price History'!O3)*0.00649350649350649</f>
        <v>83.125519480519472</v>
      </c>
      <c r="AK4" s="77">
        <f>'Price History'!Q3+('Price History'!Q151-'Price History'!Q3)*0.00649350649350649</f>
        <v>49.960844155844157</v>
      </c>
      <c r="AL4" s="77">
        <f>'Price History'!R3+('Price History'!R158-'Price History'!R3)*0.00649350649350649</f>
        <v>47.887727272727275</v>
      </c>
      <c r="AM4" s="77">
        <f>'Price History'!S3+('Price History'!S158-'Price History'!S3)*0.00649350649350649</f>
        <v>59.093831168831166</v>
      </c>
      <c r="AN4" s="77">
        <f>'Price History'!T3+('Price History'!T158-'Price History'!T3)*0.00649350649350649</f>
        <v>27.058246753246753</v>
      </c>
    </row>
    <row r="5" spans="1:40" ht="15" customHeight="1" x14ac:dyDescent="0.2">
      <c r="A5" s="55">
        <f>IF('Price History'!A6="","",'Price History'!A6)</f>
        <v>45170</v>
      </c>
      <c r="B5" s="76">
        <f>IFERROR(IF(OR(NOT(ISNUMBER('Price History'!B6)),NOT(ISNUMBER('Price History'!B5)),'Price History'!B5=0),"",'Price History'!B6/'Price History'!B5-1),"")</f>
        <v>7.2658362853769365E-2</v>
      </c>
      <c r="C5" s="76">
        <f>IFERROR(IF(OR(NOT(ISNUMBER('Price History'!C6)),NOT(ISNUMBER('Price History'!C5)),'Price History'!C5=0),"",'Price History'!C6/'Price History'!C5-1),"")</f>
        <v>9.0868892328100914E-2</v>
      </c>
      <c r="D5" s="76">
        <f>IFERROR(IF(OR(NOT(ISNUMBER('Price History'!D6)),NOT(ISNUMBER('Price History'!D5)),'Price History'!D5=0),"",'Price History'!D6/'Price History'!D5-1),"")</f>
        <v>1.7680219965899191E-2</v>
      </c>
      <c r="E5" s="76">
        <f>IFERROR(IF(OR(NOT(ISNUMBER('Price History'!E6)),NOT(ISNUMBER('Price History'!E5)),'Price History'!E5=0),"",'Price History'!E6/'Price History'!E5-1),"")</f>
        <v>2.4301479220474098E-2</v>
      </c>
      <c r="F5" s="76">
        <f>IFERROR(IF(OR(NOT(ISNUMBER('Price History'!F6)),NOT(ISNUMBER('Price History'!F5)),'Price History'!F5=0),"",'Price History'!F6/'Price History'!F5-1),"")</f>
        <v>7.780748663101611E-2</v>
      </c>
      <c r="G5" s="76">
        <f>IFERROR(IF(OR(NOT(ISNUMBER('Price History'!G6)),NOT(ISNUMBER('Price History'!G5)),'Price History'!G5=0),"",'Price History'!G6/'Price History'!G5-1),"")</f>
        <v>5.2522316794685553E-2</v>
      </c>
      <c r="H5" s="76">
        <f>IFERROR(IF(OR(NOT(ISNUMBER('Price History'!H6)),NOT(ISNUMBER('Price History'!H5)),'Price History'!H5=0),"",'Price History'!H6/'Price History'!H5-1),"")</f>
        <v>0.10467671060891393</v>
      </c>
      <c r="I5" s="76">
        <f>IFERROR(IF(OR(NOT(ISNUMBER('Price History'!I6)),NOT(ISNUMBER('Price History'!I5)),'Price History'!I5=0),"",'Price History'!I6/'Price History'!I5-1),"")</f>
        <v>5.4106910039113387E-2</v>
      </c>
      <c r="J5" s="76">
        <f>IFERROR(IF(OR(NOT(ISNUMBER('Price History'!J6)),NOT(ISNUMBER('Price History'!J5)),'Price History'!J5=0),"",'Price History'!J6/'Price History'!J5-1),"")</f>
        <v>1.5734550790803992E-2</v>
      </c>
      <c r="K5" s="76">
        <f>IFERROR(IF(OR(NOT(ISNUMBER('Price History'!K6)),NOT(ISNUMBER('Price History'!K5)),'Price History'!K5=0),"",'Price History'!K6/'Price History'!K5-1),"")</f>
        <v>4.4735030970405987E-2</v>
      </c>
      <c r="L5" s="76">
        <f>IFERROR(IF(OR(NOT(ISNUMBER('Price History'!L6)),NOT(ISNUMBER('Price History'!L5)),'Price History'!L5=0),"",'Price History'!L6/'Price History'!L5-1),"")</f>
        <v>9.6670247046182212E-4</v>
      </c>
      <c r="M5" s="76">
        <f>IFERROR(IF(OR(NOT(ISNUMBER('Price History'!M6)),NOT(ISNUMBER('Price History'!M5)),'Price History'!M5=0),"",'Price History'!M6/'Price History'!M5-1),"")</f>
        <v>6.3199999999999923E-2</v>
      </c>
      <c r="N5" s="76">
        <f>IFERROR(IF(OR(NOT(ISNUMBER('Price History'!N6)),NOT(ISNUMBER('Price History'!N5)),'Price History'!N5=0),"",'Price History'!N6/'Price History'!N5-1),"")</f>
        <v>2.9709192709821419E-3</v>
      </c>
      <c r="O5" s="76">
        <f>IFERROR(IF(OR(NOT(ISNUMBER('Price History'!O6)),NOT(ISNUMBER('Price History'!O5)),'Price History'!O5=0),"",'Price History'!O6/'Price History'!O5-1),"")</f>
        <v>4.6708860759493653E-2</v>
      </c>
      <c r="P5" s="76" t="str">
        <f>IFERROR(IF(OR(NOT(ISNUMBER('Price History'!P6)),NOT(ISNUMBER('Price History'!P5)),'Price History'!P5=0),"",'Price History'!P6/'Price History'!P5-1),"")</f>
        <v/>
      </c>
      <c r="Q5" s="76">
        <f>IFERROR(IF(OR(NOT(ISNUMBER('Price History'!Q6)),NOT(ISNUMBER('Price History'!Q5)),'Price History'!Q5=0),"",'Price History'!Q6/'Price History'!Q5-1),"")</f>
        <v>-1.116204903328688E-2</v>
      </c>
      <c r="R5" s="76">
        <f>IFERROR(IF(OR(NOT(ISNUMBER('Price History'!R6)),NOT(ISNUMBER('Price History'!R5)),'Price History'!R5=0),"",'Price History'!R6/'Price History'!R5-1),"")</f>
        <v>1.8246644295301984E-2</v>
      </c>
      <c r="S5" s="76">
        <f>IFERROR(IF(OR(NOT(ISNUMBER('Price History'!S6)),NOT(ISNUMBER('Price History'!S5)),'Price History'!S5=0),"",'Price History'!S6/'Price History'!S5-1),"")</f>
        <v>1.6064950768699182E-2</v>
      </c>
      <c r="T5" s="76">
        <f>IFERROR(IF(OR(NOT(ISNUMBER('Price History'!T6)),NOT(ISNUMBER('Price History'!T5)),'Price History'!T5=0),"",'Price History'!T6/'Price History'!T5-1),"")</f>
        <v>2.6173979984603468E-2</v>
      </c>
      <c r="U5" s="76" t="str">
        <f>IFERROR(IF(OR(NOT(ISNUMBER('Price History'!U6)),NOT(ISNUMBER('Price History'!U5)),'Price History'!U5=0),"",'Price History'!U6/'Price History'!U5-1),"")</f>
        <v/>
      </c>
      <c r="W5" s="77">
        <f>'Price History'!B3+('Price History'!B158-'Price History'!B3)*0.012987012987013</f>
        <v>505.09883116883117</v>
      </c>
      <c r="X5" s="77">
        <f>'Price History'!C3+('Price History'!C158-'Price History'!C3)*0.012987012987013</f>
        <v>45.514155844155844</v>
      </c>
      <c r="Y5" s="77">
        <f>'Price History'!D3+('Price History'!D158-'Price History'!D3)*0.012987012987013</f>
        <v>674.34129870129868</v>
      </c>
      <c r="Z5" s="77">
        <f>'Price History'!E3+('Price History'!E158-'Price History'!E3)*0.012987012987013</f>
        <v>86.957922077922092</v>
      </c>
      <c r="AA5" s="77">
        <f>'Price History'!F3+('Price History'!F158-'Price History'!F3)*0.012987012987013</f>
        <v>39.0574025974026</v>
      </c>
      <c r="AB5" s="77">
        <f>'Price History'!G3+('Price History'!G158-'Price History'!G3)*0.012987012987013</f>
        <v>49.65220779220779</v>
      </c>
      <c r="AC5" s="77">
        <f>'Price History'!H3+('Price History'!H158-'Price History'!H3)*0.012987012987013</f>
        <v>74.222727272727283</v>
      </c>
      <c r="AD5" s="77">
        <f>'Price History'!I3+('Price History'!I158-'Price History'!I3)*0.012987012987013</f>
        <v>42.926623376623382</v>
      </c>
      <c r="AE5" s="77">
        <f>'Price History'!J3+('Price History'!J158-'Price History'!J3)*0.012987012987013</f>
        <v>123.78402597402598</v>
      </c>
      <c r="AF5" s="77">
        <f>'Price History'!K3+('Price History'!K158-'Price History'!K3)*0.012987012987013</f>
        <v>16.808051948051951</v>
      </c>
      <c r="AG5" s="77">
        <f>'Price History'!L3+('Price History'!L158-'Price History'!L3)*0.012987012987013</f>
        <v>96.045324675324679</v>
      </c>
      <c r="AH5" s="77">
        <f>'Price History'!M3+('Price History'!M158-'Price History'!M3)*0.012987012987013</f>
        <v>36.212077922077924</v>
      </c>
      <c r="AI5" s="77">
        <f>'Price History'!N3+('Price History'!N158-'Price History'!N3)*0.012987012987013</f>
        <v>351.51246753246755</v>
      </c>
      <c r="AJ5" s="77">
        <f>'Price History'!O3+('Price History'!O158-'Price History'!O3)*0.012987012987013</f>
        <v>83.40103896103895</v>
      </c>
      <c r="AK5" s="77">
        <f>'Price History'!Q3+('Price History'!Q151-'Price History'!Q3)*0.012987012987013</f>
        <v>50.081688311688318</v>
      </c>
      <c r="AL5" s="77">
        <f>'Price History'!R3+('Price History'!R158-'Price History'!R3)*0.012987012987013</f>
        <v>47.955454545454543</v>
      </c>
      <c r="AM5" s="77">
        <f>'Price History'!S3+('Price History'!S158-'Price History'!S3)*0.012987012987013</f>
        <v>59.647662337662339</v>
      </c>
      <c r="AN5" s="77">
        <f>'Price History'!T3+('Price History'!T158-'Price History'!T3)*0.012987012987013</f>
        <v>27.206493506493509</v>
      </c>
    </row>
    <row r="6" spans="1:40" ht="15" customHeight="1" x14ac:dyDescent="0.2">
      <c r="A6" s="55">
        <f>IF('Price History'!A7="","",'Price History'!A7)</f>
        <v>45177</v>
      </c>
      <c r="B6" s="76">
        <f>IFERROR(IF(OR(NOT(ISNUMBER('Price History'!B7)),NOT(ISNUMBER('Price History'!B6)),'Price History'!B6=0),"",'Price History'!B7/'Price History'!B6-1),"")</f>
        <v>-5.0602794694697417E-3</v>
      </c>
      <c r="C6" s="76">
        <f>IFERROR(IF(OR(NOT(ISNUMBER('Price History'!C7)),NOT(ISNUMBER('Price History'!C6)),'Price History'!C6=0),"",'Price History'!C7/'Price History'!C6-1),"")</f>
        <v>-4.4588569112283816E-3</v>
      </c>
      <c r="D6" s="76">
        <f>IFERROR(IF(OR(NOT(ISNUMBER('Price History'!D7)),NOT(ISNUMBER('Price History'!D6)),'Price History'!D6=0),"",'Price History'!D7/'Price History'!D6-1),"")</f>
        <v>-5.2315401799190919E-2</v>
      </c>
      <c r="E6" s="76">
        <f>IFERROR(IF(OR(NOT(ISNUMBER('Price History'!E7)),NOT(ISNUMBER('Price History'!E6)),'Price History'!E6=0),"",'Price History'!E7/'Price History'!E6-1),"")</f>
        <v>-1.7077363896848108E-2</v>
      </c>
      <c r="F6" s="76">
        <f>IFERROR(IF(OR(NOT(ISNUMBER('Price History'!F7)),NOT(ISNUMBER('Price History'!F6)),'Price History'!F6=0),"",'Price History'!F7/'Price History'!F6-1),"")</f>
        <v>4.242123542545273E-2</v>
      </c>
      <c r="G6" s="76">
        <f>IFERROR(IF(OR(NOT(ISNUMBER('Price History'!G7)),NOT(ISNUMBER('Price History'!G6)),'Price History'!G6=0),"",'Price History'!G7/'Price History'!G6-1),"")</f>
        <v>-1.834319526627215E-2</v>
      </c>
      <c r="H6" s="76">
        <f>IFERROR(IF(OR(NOT(ISNUMBER('Price History'!H7)),NOT(ISNUMBER('Price History'!H6)),'Price History'!H6=0),"",'Price History'!H7/'Price History'!H6-1),"")</f>
        <v>-2.9833783207841025E-3</v>
      </c>
      <c r="I6" s="76">
        <f>IFERROR(IF(OR(NOT(ISNUMBER('Price History'!I7)),NOT(ISNUMBER('Price History'!I6)),'Price History'!I6=0),"",'Price History'!I7/'Price History'!I6-1),"")</f>
        <v>-6.0606060606060552E-2</v>
      </c>
      <c r="J6" s="76">
        <f>IFERROR(IF(OR(NOT(ISNUMBER('Price History'!J7)),NOT(ISNUMBER('Price History'!J6)),'Price History'!J6=0),"",'Price History'!J7/'Price History'!J6-1),"")</f>
        <v>-1.6935548599406047E-2</v>
      </c>
      <c r="K6" s="76">
        <f>IFERROR(IF(OR(NOT(ISNUMBER('Price History'!K7)),NOT(ISNUMBER('Price History'!K6)),'Price History'!K6=0),"",'Price History'!K7/'Price History'!K6-1),"")</f>
        <v>-3.2938076416336726E-3</v>
      </c>
      <c r="L6" s="76">
        <f>IFERROR(IF(OR(NOT(ISNUMBER('Price History'!L7)),NOT(ISNUMBER('Price History'!L6)),'Price History'!L6=0),"",'Price History'!L7/'Price History'!L6-1),"")</f>
        <v>-3.8094216117609103E-2</v>
      </c>
      <c r="M6" s="76">
        <f>IFERROR(IF(OR(NOT(ISNUMBER('Price History'!M7)),NOT(ISNUMBER('Price History'!M6)),'Price History'!M6=0),"",'Price History'!M7/'Price History'!M6-1),"")</f>
        <v>-1.6804614998745748E-2</v>
      </c>
      <c r="N6" s="76">
        <f>IFERROR(IF(OR(NOT(ISNUMBER('Price History'!N7)),NOT(ISNUMBER('Price History'!N6)),'Price History'!N6=0),"",'Price History'!N7/'Price History'!N6-1),"")</f>
        <v>-2.2927940757618948E-2</v>
      </c>
      <c r="O6" s="76">
        <f>IFERROR(IF(OR(NOT(ISNUMBER('Price History'!O7)),NOT(ISNUMBER('Price History'!O6)),'Price History'!O6=0),"",'Price History'!O7/'Price History'!O6-1),"")</f>
        <v>-3.8456887168944132E-2</v>
      </c>
      <c r="P6" s="76" t="str">
        <f>IFERROR(IF(OR(NOT(ISNUMBER('Price History'!P7)),NOT(ISNUMBER('Price History'!P6)),'Price History'!P6=0),"",'Price History'!P7/'Price History'!P6-1),"")</f>
        <v/>
      </c>
      <c r="Q6" s="76">
        <f>IFERROR(IF(OR(NOT(ISNUMBER('Price History'!Q7)),NOT(ISNUMBER('Price History'!Q6)),'Price History'!Q6=0),"",'Price History'!Q7/'Price History'!Q6-1),"")</f>
        <v>-1.7335214674460753E-2</v>
      </c>
      <c r="R6" s="76">
        <f>IFERROR(IF(OR(NOT(ISNUMBER('Price History'!R7)),NOT(ISNUMBER('Price History'!R6)),'Price History'!R6=0),"",'Price History'!R7/'Price History'!R6-1),"")</f>
        <v>-6.5911431513903107E-3</v>
      </c>
      <c r="S6" s="76">
        <f>IFERROR(IF(OR(NOT(ISNUMBER('Price History'!S7)),NOT(ISNUMBER('Price History'!S6)),'Price History'!S6=0),"",'Price History'!S7/'Price History'!S6-1),"")</f>
        <v>5.9503570214212154E-3</v>
      </c>
      <c r="T6" s="76">
        <f>IFERROR(IF(OR(NOT(ISNUMBER('Price History'!T7)),NOT(ISNUMBER('Price History'!T6)),'Price History'!T6=0),"",'Price History'!T7/'Price History'!T6-1),"")</f>
        <v>-7.1267816954239116E-3</v>
      </c>
      <c r="U6" s="76" t="str">
        <f>IFERROR(IF(OR(NOT(ISNUMBER('Price History'!U7)),NOT(ISNUMBER('Price History'!U6)),'Price History'!U6=0),"",'Price History'!U7/'Price History'!U6-1),"")</f>
        <v/>
      </c>
      <c r="W6" s="77">
        <f>'Price History'!B3+('Price History'!B158-'Price History'!B3)*0.0194805194805195</f>
        <v>503.42324675324676</v>
      </c>
      <c r="X6" s="77">
        <f>'Price History'!C3+('Price History'!C158-'Price History'!C3)*0.0194805194805195</f>
        <v>46.401233766233773</v>
      </c>
      <c r="Y6" s="77">
        <f>'Price History'!D3+('Price History'!D158-'Price History'!D3)*0.0194805194805195</f>
        <v>680.62194805194804</v>
      </c>
      <c r="Z6" s="77">
        <f>'Price History'!E3+('Price History'!E158-'Price History'!E3)*0.0194805194805195</f>
        <v>88.946883116883129</v>
      </c>
      <c r="AA6" s="77">
        <f>'Price History'!F3+('Price History'!F158-'Price History'!F3)*0.0194805194805195</f>
        <v>40.056103896103899</v>
      </c>
      <c r="AB6" s="77">
        <f>'Price History'!G3+('Price History'!G158-'Price History'!G3)*0.0194805194805195</f>
        <v>50.528311688311689</v>
      </c>
      <c r="AC6" s="77">
        <f>'Price History'!H3+('Price History'!H158-'Price History'!H3)*0.0194805194805195</f>
        <v>79.14909090909093</v>
      </c>
      <c r="AD6" s="77">
        <f>'Price History'!I3+('Price History'!I158-'Price History'!I3)*0.0194805194805195</f>
        <v>43.964935064935069</v>
      </c>
      <c r="AE6" s="77">
        <f>'Price History'!J3+('Price History'!J158-'Price History'!J3)*0.0194805194805195</f>
        <v>123.92103896103896</v>
      </c>
      <c r="AF6" s="77">
        <f>'Price History'!K3+('Price History'!K158-'Price History'!K3)*0.0194805194805195</f>
        <v>17.507077922077926</v>
      </c>
      <c r="AG6" s="77">
        <f>'Price History'!L3+('Price History'!L158-'Price History'!L3)*0.0194805194805195</f>
        <v>98.072987012987014</v>
      </c>
      <c r="AH6" s="77">
        <f>'Price History'!M3+('Price History'!M158-'Price History'!M3)*0.0194805194805195</f>
        <v>37.563116883116884</v>
      </c>
      <c r="AI6" s="77">
        <f>'Price History'!N3+('Price History'!N158-'Price History'!N3)*0.0194805194805195</f>
        <v>352.33870129870132</v>
      </c>
      <c r="AJ6" s="77">
        <f>'Price History'!O3+('Price History'!O158-'Price History'!O3)*0.0194805194805195</f>
        <v>83.676558441558441</v>
      </c>
      <c r="AK6" s="77">
        <f>'Price History'!Q3+('Price History'!Q151-'Price History'!Q3)*0.0194805194805195</f>
        <v>50.202532467532471</v>
      </c>
      <c r="AL6" s="77">
        <f>'Price History'!R3+('Price History'!R158-'Price History'!R3)*0.0194805194805195</f>
        <v>48.023181818181818</v>
      </c>
      <c r="AM6" s="77">
        <f>'Price History'!S3+('Price History'!S158-'Price History'!S3)*0.0194805194805195</f>
        <v>60.201493506493506</v>
      </c>
      <c r="AN6" s="77">
        <f>'Price History'!T3+('Price History'!T158-'Price History'!T3)*0.0194805194805195</f>
        <v>27.354740259740261</v>
      </c>
    </row>
    <row r="7" spans="1:40" ht="15" customHeight="1" x14ac:dyDescent="0.2">
      <c r="A7" s="55">
        <f>IF('Price History'!A8="","",'Price History'!A8)</f>
        <v>45184</v>
      </c>
      <c r="B7" s="76">
        <f>IFERROR(IF(OR(NOT(ISNUMBER('Price History'!B8)),NOT(ISNUMBER('Price History'!B7)),'Price History'!B7=0),"",'Price History'!B8/'Price History'!B7-1),"")</f>
        <v>-5.6160325505032471E-2</v>
      </c>
      <c r="C7" s="76">
        <f>IFERROR(IF(OR(NOT(ISNUMBER('Price History'!C8)),NOT(ISNUMBER('Price History'!C7)),'Price History'!C7=0),"",'Price History'!C8/'Price History'!C7-1),"")</f>
        <v>-5.985342019543971E-2</v>
      </c>
      <c r="D7" s="76">
        <f>IFERROR(IF(OR(NOT(ISNUMBER('Price History'!D8)),NOT(ISNUMBER('Price History'!D7)),'Price History'!D7=0),"",'Price History'!D8/'Price History'!D7-1),"")</f>
        <v>-4.9692606632051772E-2</v>
      </c>
      <c r="E7" s="76">
        <f>IFERROR(IF(OR(NOT(ISNUMBER('Price History'!E8)),NOT(ISNUMBER('Price History'!E7)),'Price History'!E7=0),"",'Price History'!E8/'Price History'!E7-1),"")</f>
        <v>-6.8796641791045721E-3</v>
      </c>
      <c r="F7" s="76">
        <f>IFERROR(IF(OR(NOT(ISNUMBER('Price History'!F8)),NOT(ISNUMBER('Price History'!F7)),'Price History'!F7=0),"",'Price History'!F8/'Price History'!F7-1),"")</f>
        <v>-1.5706806282722585E-2</v>
      </c>
      <c r="G7" s="76">
        <f>IFERROR(IF(OR(NOT(ISNUMBER('Price History'!G8)),NOT(ISNUMBER('Price History'!G7)),'Price History'!G7=0),"",'Price History'!G8/'Price History'!G7-1),"")</f>
        <v>-8.7402049427365958E-2</v>
      </c>
      <c r="H7" s="76">
        <f>IFERROR(IF(OR(NOT(ISNUMBER('Price History'!H8)),NOT(ISNUMBER('Price History'!H7)),'Price History'!H7=0),"",'Price History'!H8/'Price History'!H7-1),"")</f>
        <v>-4.274722143060905E-3</v>
      </c>
      <c r="I7" s="76">
        <f>IFERROR(IF(OR(NOT(ISNUMBER('Price History'!I8)),NOT(ISNUMBER('Price History'!I7)),'Price History'!I7=0),"",'Price History'!I8/'Price History'!I7-1),"")</f>
        <v>-3.6646916831248655E-2</v>
      </c>
      <c r="J7" s="76">
        <f>IFERROR(IF(OR(NOT(ISNUMBER('Price History'!J8)),NOT(ISNUMBER('Price History'!J7)),'Price History'!J7=0),"",'Price History'!J8/'Price History'!J7-1),"")</f>
        <v>5.7152188112346014E-3</v>
      </c>
      <c r="K7" s="76">
        <f>IFERROR(IF(OR(NOT(ISNUMBER('Price History'!K8)),NOT(ISNUMBER('Price History'!K7)),'Price History'!K7=0),"",'Price History'!K8/'Price History'!K7-1),"")</f>
        <v>1.3218770654329193E-2</v>
      </c>
      <c r="L7" s="76">
        <f>IFERROR(IF(OR(NOT(ISNUMBER('Price History'!L8)),NOT(ISNUMBER('Price History'!L7)),'Price History'!L7=0),"",'Price History'!L8/'Price History'!L7-1),"")</f>
        <v>-4.3507362784471759E-3</v>
      </c>
      <c r="M7" s="76">
        <f>IFERROR(IF(OR(NOT(ISNUMBER('Price History'!M8)),NOT(ISNUMBER('Price History'!M7)),'Price History'!M7=0),"",'Price History'!M8/'Price History'!M7-1),"")</f>
        <v>-2.6275510204081698E-2</v>
      </c>
      <c r="N7" s="76">
        <f>IFERROR(IF(OR(NOT(ISNUMBER('Price History'!N8)),NOT(ISNUMBER('Price History'!N7)),'Price History'!N7=0),"",'Price History'!N8/'Price History'!N7-1),"")</f>
        <v>1.7052907739396383E-2</v>
      </c>
      <c r="O7" s="76">
        <f>IFERROR(IF(OR(NOT(ISNUMBER('Price History'!O8)),NOT(ISNUMBER('Price History'!O7)),'Price History'!O7=0),"",'Price History'!O8/'Price History'!O7-1),"")</f>
        <v>-1.8865551502956768E-3</v>
      </c>
      <c r="P7" s="76" t="str">
        <f>IFERROR(IF(OR(NOT(ISNUMBER('Price History'!P8)),NOT(ISNUMBER('Price History'!P7)),'Price History'!P7=0),"",'Price History'!P8/'Price History'!P7-1),"")</f>
        <v/>
      </c>
      <c r="Q7" s="76">
        <f>IFERROR(IF(OR(NOT(ISNUMBER('Price History'!Q8)),NOT(ISNUMBER('Price History'!Q7)),'Price History'!Q7=0),"",'Price History'!Q8/'Price History'!Q7-1),"")</f>
        <v>4.0205128205128116E-2</v>
      </c>
      <c r="R7" s="76">
        <f>IFERROR(IF(OR(NOT(ISNUMBER('Price History'!R8)),NOT(ISNUMBER('Price History'!R7)),'Price History'!R7=0),"",'Price History'!R8/'Price History'!R7-1),"")</f>
        <v>-4.1467965996255796E-4</v>
      </c>
      <c r="S7" s="76">
        <f>IFERROR(IF(OR(NOT(ISNUMBER('Price History'!S8)),NOT(ISNUMBER('Price History'!S7)),'Price History'!S7=0),"",'Price History'!S8/'Price History'!S7-1),"")</f>
        <v>0</v>
      </c>
      <c r="T7" s="76">
        <f>IFERROR(IF(OR(NOT(ISNUMBER('Price History'!T8)),NOT(ISNUMBER('Price History'!T7)),'Price History'!T7=0),"",'Price History'!T8/'Price History'!T7-1),"")</f>
        <v>-6.4223649414431039E-3</v>
      </c>
      <c r="U7" s="76" t="str">
        <f>IFERROR(IF(OR(NOT(ISNUMBER('Price History'!U8)),NOT(ISNUMBER('Price History'!U7)),'Price History'!U7=0),"",'Price History'!U8/'Price History'!U7-1),"")</f>
        <v/>
      </c>
      <c r="W7" s="77">
        <f>'Price History'!B3+('Price History'!B158-'Price History'!B3)*0.025974025974026</f>
        <v>501.74766233766235</v>
      </c>
      <c r="X7" s="77">
        <f>'Price History'!C3+('Price History'!C158-'Price History'!C3)*0.025974025974026</f>
        <v>47.288311688311694</v>
      </c>
      <c r="Y7" s="77">
        <f>'Price History'!D3+('Price History'!D158-'Price History'!D3)*0.025974025974026</f>
        <v>686.90259740259739</v>
      </c>
      <c r="Z7" s="77">
        <f>'Price History'!E3+('Price History'!E158-'Price History'!E3)*0.025974025974026</f>
        <v>90.935844155844165</v>
      </c>
      <c r="AA7" s="77">
        <f>'Price History'!F3+('Price History'!F158-'Price History'!F3)*0.025974025974026</f>
        <v>41.054805194805198</v>
      </c>
      <c r="AB7" s="77">
        <f>'Price History'!G3+('Price History'!G158-'Price History'!G3)*0.025974025974026</f>
        <v>51.404415584415588</v>
      </c>
      <c r="AC7" s="77">
        <f>'Price History'!H3+('Price History'!H158-'Price History'!H3)*0.025974025974026</f>
        <v>84.075454545454562</v>
      </c>
      <c r="AD7" s="77">
        <f>'Price History'!I3+('Price History'!I158-'Price History'!I3)*0.025974025974026</f>
        <v>45.003246753246756</v>
      </c>
      <c r="AE7" s="77">
        <f>'Price History'!J3+('Price History'!J158-'Price History'!J3)*0.025974025974026</f>
        <v>124.05805194805195</v>
      </c>
      <c r="AF7" s="77">
        <f>'Price History'!K3+('Price History'!K158-'Price History'!K3)*0.025974025974026</f>
        <v>18.206103896103897</v>
      </c>
      <c r="AG7" s="77">
        <f>'Price History'!L3+('Price History'!L158-'Price History'!L3)*0.025974025974026</f>
        <v>100.10064935064935</v>
      </c>
      <c r="AH7" s="77">
        <f>'Price History'!M3+('Price History'!M158-'Price History'!M3)*0.025974025974026</f>
        <v>38.91415584415585</v>
      </c>
      <c r="AI7" s="77">
        <f>'Price History'!N3+('Price History'!N158-'Price History'!N3)*0.025974025974026</f>
        <v>353.16493506493509</v>
      </c>
      <c r="AJ7" s="77">
        <f>'Price History'!O3+('Price History'!O158-'Price History'!O3)*0.025974025974026</f>
        <v>83.952077922077919</v>
      </c>
      <c r="AK7" s="77">
        <f>'Price History'!Q3+('Price History'!Q151-'Price History'!Q3)*0.025974025974026</f>
        <v>50.323376623376625</v>
      </c>
      <c r="AL7" s="77">
        <f>'Price History'!R3+('Price History'!R158-'Price History'!R3)*0.025974025974026</f>
        <v>48.090909090909093</v>
      </c>
      <c r="AM7" s="77">
        <f>'Price History'!S3+('Price History'!S158-'Price History'!S3)*0.025974025974026</f>
        <v>60.75532467532468</v>
      </c>
      <c r="AN7" s="77">
        <f>'Price History'!T3+('Price History'!T158-'Price History'!T3)*0.025974025974026</f>
        <v>27.502987012987013</v>
      </c>
    </row>
    <row r="8" spans="1:40" ht="15" customHeight="1" x14ac:dyDescent="0.2">
      <c r="A8" s="55">
        <f>IF('Price History'!A9="","",'Price History'!A9)</f>
        <v>45191</v>
      </c>
      <c r="B8" s="76">
        <f>IFERROR(IF(OR(NOT(ISNUMBER('Price History'!B9)),NOT(ISNUMBER('Price History'!B8)),'Price History'!B8=0),"",'Price History'!B9/'Price History'!B8-1),"")</f>
        <v>-3.02331297623325E-2</v>
      </c>
      <c r="C8" s="76">
        <f>IFERROR(IF(OR(NOT(ISNUMBER('Price History'!C9)),NOT(ISNUMBER('Price History'!C8)),'Price History'!C8=0),"",'Price History'!C9/'Price History'!C8-1),"")</f>
        <v>-2.3603291468167975E-2</v>
      </c>
      <c r="D8" s="76">
        <f>IFERROR(IF(OR(NOT(ISNUMBER('Price History'!D9)),NOT(ISNUMBER('Price History'!D8)),'Price History'!D8=0),"",'Price History'!D9/'Price History'!D8-1),"")</f>
        <v>-1.6022525391345077E-2</v>
      </c>
      <c r="E8" s="76">
        <f>IFERROR(IF(OR(NOT(ISNUMBER('Price History'!E9)),NOT(ISNUMBER('Price History'!E8)),'Price History'!E8=0),"",'Price History'!E9/'Price History'!E8-1),"")</f>
        <v>-2.6535164964189284E-2</v>
      </c>
      <c r="F8" s="76">
        <f>IFERROR(IF(OR(NOT(ISNUMBER('Price History'!F9)),NOT(ISNUMBER('Price History'!F8)),'Price History'!F8=0),"",'Price History'!F9/'Price History'!F8-1),"")</f>
        <v>-1.7408123791102459E-2</v>
      </c>
      <c r="G8" s="76">
        <f>IFERROR(IF(OR(NOT(ISNUMBER('Price History'!G9)),NOT(ISNUMBER('Price History'!G8)),'Price History'!G8=0),"",'Price History'!G9/'Price History'!G8-1),"")</f>
        <v>-5.2840158520476299E-3</v>
      </c>
      <c r="H8" s="76">
        <f>IFERROR(IF(OR(NOT(ISNUMBER('Price History'!H9)),NOT(ISNUMBER('Price History'!H8)),'Price History'!H8=0),"",'Price History'!H9/'Price History'!H8-1),"")</f>
        <v>-1.4310246136233551E-2</v>
      </c>
      <c r="I8" s="76">
        <f>IFERROR(IF(OR(NOT(ISNUMBER('Price History'!I9)),NOT(ISNUMBER('Price History'!I8)),'Price History'!I8=0),"",'Price History'!I9/'Price History'!I8-1),"")</f>
        <v>-5.2164009111617338E-2</v>
      </c>
      <c r="J8" s="76">
        <f>IFERROR(IF(OR(NOT(ISNUMBER('Price History'!J9)),NOT(ISNUMBER('Price History'!J8)),'Price History'!J8=0),"",'Price History'!J9/'Price History'!J8-1),"")</f>
        <v>-7.3956811170644676E-2</v>
      </c>
      <c r="K8" s="76">
        <f>IFERROR(IF(OR(NOT(ISNUMBER('Price History'!K9)),NOT(ISNUMBER('Price History'!K8)),'Price History'!K8=0),"",'Price History'!K9/'Price History'!K8-1),"")</f>
        <v>-7.8277886497064575E-2</v>
      </c>
      <c r="L8" s="76">
        <f>IFERROR(IF(OR(NOT(ISNUMBER('Price History'!L9)),NOT(ISNUMBER('Price History'!L8)),'Price History'!L8=0),"",'Price History'!L9/'Price History'!L8-1),"")</f>
        <v>-4.0448179271708629E-2</v>
      </c>
      <c r="M8" s="76">
        <f>IFERROR(IF(OR(NOT(ISNUMBER('Price History'!M9)),NOT(ISNUMBER('Price History'!M8)),'Price History'!M8=0),"",'Price History'!M9/'Price History'!M8-1),"")</f>
        <v>-4.5061566675399511E-2</v>
      </c>
      <c r="N8" s="76">
        <f>IFERROR(IF(OR(NOT(ISNUMBER('Price History'!N9)),NOT(ISNUMBER('Price History'!N8)),'Price History'!N8=0),"",'Price History'!N9/'Price History'!N8-1),"")</f>
        <v>1.8056749785038129E-3</v>
      </c>
      <c r="O8" s="76">
        <f>IFERROR(IF(OR(NOT(ISNUMBER('Price History'!O9)),NOT(ISNUMBER('Price History'!O8)),'Price History'!O8=0),"",'Price History'!O9/'Price History'!O8-1),"")</f>
        <v>-3.3644153225806495E-2</v>
      </c>
      <c r="P8" s="76" t="str">
        <f>IFERROR(IF(OR(NOT(ISNUMBER('Price History'!P9)),NOT(ISNUMBER('Price History'!P8)),'Price History'!P8=0),"",'Price History'!P9/'Price History'!P8-1),"")</f>
        <v/>
      </c>
      <c r="Q8" s="76">
        <f>IFERROR(IF(OR(NOT(ISNUMBER('Price History'!Q9)),NOT(ISNUMBER('Price History'!Q8)),'Price History'!Q8=0),"",'Price History'!Q9/'Price History'!Q8-1),"")</f>
        <v>1.0057187931374445E-2</v>
      </c>
      <c r="R8" s="76">
        <f>IFERROR(IF(OR(NOT(ISNUMBER('Price History'!R9)),NOT(ISNUMBER('Price History'!R8)),'Price History'!R8=0),"",'Price History'!R9/'Price History'!R8-1),"")</f>
        <v>-2.6965359883841633E-2</v>
      </c>
      <c r="S8" s="76">
        <f>IFERROR(IF(OR(NOT(ISNUMBER('Price History'!S9)),NOT(ISNUMBER('Price History'!S8)),'Price History'!S8=0),"",'Price History'!S9/'Price History'!S8-1),"")</f>
        <v>-2.8899780294067923E-2</v>
      </c>
      <c r="T8" s="76">
        <f>IFERROR(IF(OR(NOT(ISNUMBER('Price History'!T9)),NOT(ISNUMBER('Price History'!T8)),'Price History'!T8=0),"",'Price History'!T9/'Price History'!T8-1),"")</f>
        <v>-1.4828897338403091E-2</v>
      </c>
      <c r="U8" s="76" t="str">
        <f>IFERROR(IF(OR(NOT(ISNUMBER('Price History'!U9)),NOT(ISNUMBER('Price History'!U8)),'Price History'!U8=0),"",'Price History'!U9/'Price History'!U8-1),"")</f>
        <v/>
      </c>
      <c r="W8" s="77">
        <f>'Price History'!B3+('Price History'!B158-'Price History'!B3)*0.0324675324675325</f>
        <v>500.07207792207788</v>
      </c>
      <c r="X8" s="77">
        <f>'Price History'!C3+('Price History'!C158-'Price History'!C3)*0.0324675324675325</f>
        <v>48.175389610389615</v>
      </c>
      <c r="Y8" s="77">
        <f>'Price History'!D3+('Price History'!D158-'Price History'!D3)*0.0324675324675325</f>
        <v>693.18324675324675</v>
      </c>
      <c r="Z8" s="77">
        <f>'Price History'!E3+('Price History'!E158-'Price History'!E3)*0.0324675324675325</f>
        <v>92.924805194805202</v>
      </c>
      <c r="AA8" s="77">
        <f>'Price History'!F3+('Price History'!F158-'Price History'!F3)*0.0324675324675325</f>
        <v>42.053506493506504</v>
      </c>
      <c r="AB8" s="77">
        <f>'Price History'!G3+('Price History'!G158-'Price History'!G3)*0.0324675324675325</f>
        <v>52.28051948051948</v>
      </c>
      <c r="AC8" s="77">
        <f>'Price History'!H3+('Price History'!H158-'Price History'!H3)*0.0324675324675325</f>
        <v>89.001818181818209</v>
      </c>
      <c r="AD8" s="77">
        <f>'Price History'!I3+('Price History'!I158-'Price History'!I3)*0.0324675324675325</f>
        <v>46.04155844155845</v>
      </c>
      <c r="AE8" s="77">
        <f>'Price History'!J3+('Price History'!J158-'Price History'!J3)*0.0324675324675325</f>
        <v>124.19506493506493</v>
      </c>
      <c r="AF8" s="77">
        <f>'Price History'!K3+('Price History'!K158-'Price History'!K3)*0.0324675324675325</f>
        <v>18.905129870129873</v>
      </c>
      <c r="AG8" s="77">
        <f>'Price History'!L3+('Price History'!L158-'Price History'!L3)*0.0324675324675325</f>
        <v>102.1283116883117</v>
      </c>
      <c r="AH8" s="77">
        <f>'Price History'!M3+('Price History'!M158-'Price History'!M3)*0.0324675324675325</f>
        <v>40.26519480519481</v>
      </c>
      <c r="AI8" s="77">
        <f>'Price History'!N3+('Price History'!N158-'Price History'!N3)*0.0324675324675325</f>
        <v>353.99116883116886</v>
      </c>
      <c r="AJ8" s="77">
        <f>'Price History'!O3+('Price History'!O158-'Price History'!O3)*0.0324675324675325</f>
        <v>84.227597402597397</v>
      </c>
      <c r="AK8" s="77">
        <f>'Price History'!Q3+('Price History'!Q151-'Price History'!Q3)*0.0324675324675325</f>
        <v>50.444220779220785</v>
      </c>
      <c r="AL8" s="77">
        <f>'Price History'!R3+('Price History'!R158-'Price History'!R3)*0.0324675324675325</f>
        <v>48.158636363636361</v>
      </c>
      <c r="AM8" s="77">
        <f>'Price History'!S3+('Price History'!S158-'Price History'!S3)*0.0324675324675325</f>
        <v>61.309155844155846</v>
      </c>
      <c r="AN8" s="77">
        <f>'Price History'!T3+('Price History'!T158-'Price History'!T3)*0.0324675324675325</f>
        <v>27.651233766233766</v>
      </c>
    </row>
    <row r="9" spans="1:40" ht="15" customHeight="1" x14ac:dyDescent="0.2">
      <c r="A9" s="55">
        <f>IF('Price History'!A10="","",'Price History'!A10)</f>
        <v>45198</v>
      </c>
      <c r="B9" s="76">
        <f>IFERROR(IF(OR(NOT(ISNUMBER('Price History'!B10)),NOT(ISNUMBER('Price History'!B9)),'Price History'!B9=0),"",'Price History'!B10/'Price History'!B9-1),"")</f>
        <v>-5.849093390524418E-3</v>
      </c>
      <c r="C9" s="76">
        <f>IFERROR(IF(OR(NOT(ISNUMBER('Price History'!C10)),NOT(ISNUMBER('Price History'!C9)),'Price History'!C9=0),"",'Price History'!C10/'Price History'!C9-1),"")</f>
        <v>1.9738301175426853E-2</v>
      </c>
      <c r="D9" s="76">
        <f>IFERROR(IF(OR(NOT(ISNUMBER('Price History'!D10)),NOT(ISNUMBER('Price History'!D9)),'Price History'!D9=0),"",'Price History'!D10/'Price History'!D9-1),"")</f>
        <v>2.6571282575369448E-3</v>
      </c>
      <c r="E9" s="76">
        <f>IFERROR(IF(OR(NOT(ISNUMBER('Price History'!E10)),NOT(ISNUMBER('Price History'!E9)),'Price History'!E9=0),"",'Price History'!E10/'Price History'!E9-1),"")</f>
        <v>1.8091906886985587E-3</v>
      </c>
      <c r="F9" s="76">
        <f>IFERROR(IF(OR(NOT(ISNUMBER('Price History'!F10)),NOT(ISNUMBER('Price History'!F9)),'Price History'!F9=0),"",'Price History'!F10/'Price History'!F9-1),"")</f>
        <v>2.9773622047244208E-2</v>
      </c>
      <c r="G9" s="76">
        <f>IFERROR(IF(OR(NOT(ISNUMBER('Price History'!G10)),NOT(ISNUMBER('Price History'!G9)),'Price History'!G9=0),"",'Price History'!G10/'Price History'!G9-1),"")</f>
        <v>1.5272244355909681E-2</v>
      </c>
      <c r="H9" s="76">
        <f>IFERROR(IF(OR(NOT(ISNUMBER('Price History'!H10)),NOT(ISNUMBER('Price History'!H9)),'Price History'!H9=0),"",'Price History'!H10/'Price History'!H9-1),"")</f>
        <v>-1.2340301974448242E-2</v>
      </c>
      <c r="I9" s="76">
        <f>IFERROR(IF(OR(NOT(ISNUMBER('Price History'!I10)),NOT(ISNUMBER('Price History'!I9)),'Price History'!I9=0),"",'Price History'!I10/'Price History'!I9-1),"")</f>
        <v>4.5421773612112526E-2</v>
      </c>
      <c r="J9" s="76">
        <f>IFERROR(IF(OR(NOT(ISNUMBER('Price History'!J10)),NOT(ISNUMBER('Price History'!J9)),'Price History'!J9=0),"",'Price History'!J10/'Price History'!J9-1),"")</f>
        <v>-1.6305777154378864E-2</v>
      </c>
      <c r="K9" s="76">
        <f>IFERROR(IF(OR(NOT(ISNUMBER('Price History'!K10)),NOT(ISNUMBER('Price History'!K9)),'Price History'!K9=0),"",'Price History'!K10/'Price History'!K9-1),"")</f>
        <v>0.13234253361641901</v>
      </c>
      <c r="L9" s="76">
        <f>IFERROR(IF(OR(NOT(ISNUMBER('Price History'!L10)),NOT(ISNUMBER('Price History'!L9)),'Price History'!L9=0),"",'Price History'!L10/'Price History'!L9-1),"")</f>
        <v>1.4712751050910855E-2</v>
      </c>
      <c r="M9" s="76">
        <f>IFERROR(IF(OR(NOT(ISNUMBER('Price History'!M10)),NOT(ISNUMBER('Price History'!M9)),'Price History'!M9=0),"",'Price History'!M10/'Price History'!M9-1),"")</f>
        <v>2.0576131687242816E-2</v>
      </c>
      <c r="N9" s="76">
        <f>IFERROR(IF(OR(NOT(ISNUMBER('Price History'!N10)),NOT(ISNUMBER('Price History'!N9)),'Price History'!N9=0),"",'Price History'!N10/'Price History'!N9-1),"")</f>
        <v>-5.1211627042027086E-3</v>
      </c>
      <c r="O9" s="76">
        <f>IFERROR(IF(OR(NOT(ISNUMBER('Price History'!O10)),NOT(ISNUMBER('Price History'!O9)),'Price History'!O9=0),"",'Price History'!O10/'Price History'!O9-1),"")</f>
        <v>1.6429782240187762E-2</v>
      </c>
      <c r="P9" s="76" t="str">
        <f>IFERROR(IF(OR(NOT(ISNUMBER('Price History'!P10)),NOT(ISNUMBER('Price History'!P9)),'Price History'!P9=0),"",'Price History'!P10/'Price History'!P9-1),"")</f>
        <v/>
      </c>
      <c r="Q9" s="76">
        <f>IFERROR(IF(OR(NOT(ISNUMBER('Price History'!Q10)),NOT(ISNUMBER('Price History'!Q9)),'Price History'!Q9=0),"",'Price History'!Q10/'Price History'!Q9-1),"")</f>
        <v>1.3080827801640105E-2</v>
      </c>
      <c r="R9" s="76">
        <f>IFERROR(IF(OR(NOT(ISNUMBER('Price History'!R10)),NOT(ISNUMBER('Price History'!R9)),'Price History'!R9=0),"",'Price History'!R10/'Price History'!R9-1),"")</f>
        <v>4.2634832658294819E-4</v>
      </c>
      <c r="S9" s="76">
        <f>IFERROR(IF(OR(NOT(ISNUMBER('Price History'!S10)),NOT(ISNUMBER('Price History'!S9)),'Price History'!S9=0),"",'Price History'!S10/'Price History'!S9-1),"")</f>
        <v>-3.1326139923425478E-3</v>
      </c>
      <c r="T9" s="76">
        <f>IFERROR(IF(OR(NOT(ISNUMBER('Price History'!T10)),NOT(ISNUMBER('Price History'!T9)),'Price History'!T9=0),"",'Price History'!T10/'Price History'!T9-1),"")</f>
        <v>2.7016595908915253E-3</v>
      </c>
      <c r="U9" s="76" t="str">
        <f>IFERROR(IF(OR(NOT(ISNUMBER('Price History'!U10)),NOT(ISNUMBER('Price History'!U9)),'Price History'!U9=0),"",'Price History'!U10/'Price History'!U9-1),"")</f>
        <v/>
      </c>
      <c r="W9" s="77">
        <f>'Price History'!B3+('Price History'!B158-'Price History'!B3)*0.038961038961039</f>
        <v>498.39649350649347</v>
      </c>
      <c r="X9" s="77">
        <f>'Price History'!C3+('Price History'!C158-'Price History'!C3)*0.038961038961039</f>
        <v>49.062467532467537</v>
      </c>
      <c r="Y9" s="77">
        <f>'Price History'!D3+('Price History'!D158-'Price History'!D3)*0.038961038961039</f>
        <v>699.4638961038961</v>
      </c>
      <c r="Z9" s="77">
        <f>'Price History'!E3+('Price History'!E158-'Price History'!E3)*0.038961038961039</f>
        <v>94.913766233766253</v>
      </c>
      <c r="AA9" s="77">
        <f>'Price History'!F3+('Price History'!F158-'Price History'!F3)*0.038961038961039</f>
        <v>43.052207792207803</v>
      </c>
      <c r="AB9" s="77">
        <f>'Price History'!G3+('Price History'!G158-'Price History'!G3)*0.038961038961039</f>
        <v>53.156623376623379</v>
      </c>
      <c r="AC9" s="77">
        <f>'Price History'!H3+('Price History'!H158-'Price History'!H3)*0.038961038961039</f>
        <v>93.928181818181855</v>
      </c>
      <c r="AD9" s="77">
        <f>'Price History'!I3+('Price History'!I158-'Price History'!I3)*0.038961038961039</f>
        <v>47.079870129870137</v>
      </c>
      <c r="AE9" s="77">
        <f>'Price History'!J3+('Price History'!J158-'Price History'!J3)*0.038961038961039</f>
        <v>124.33207792207793</v>
      </c>
      <c r="AF9" s="77">
        <f>'Price History'!K3+('Price History'!K158-'Price History'!K3)*0.038961038961039</f>
        <v>19.604155844155848</v>
      </c>
      <c r="AG9" s="77">
        <f>'Price History'!L3+('Price History'!L158-'Price History'!L3)*0.038961038961039</f>
        <v>104.15597402597403</v>
      </c>
      <c r="AH9" s="77">
        <f>'Price History'!M3+('Price History'!M158-'Price History'!M3)*0.038961038961039</f>
        <v>41.616233766233776</v>
      </c>
      <c r="AI9" s="77">
        <f>'Price History'!N3+('Price History'!N158-'Price History'!N3)*0.038961038961039</f>
        <v>354.81740259740263</v>
      </c>
      <c r="AJ9" s="77">
        <f>'Price History'!O3+('Price History'!O158-'Price History'!O3)*0.038961038961039</f>
        <v>84.503116883116874</v>
      </c>
      <c r="AK9" s="77">
        <f>'Price History'!Q3+('Price History'!Q151-'Price History'!Q3)*0.038961038961039</f>
        <v>50.565064935064939</v>
      </c>
      <c r="AL9" s="77">
        <f>'Price History'!R3+('Price History'!R158-'Price History'!R3)*0.038961038961039</f>
        <v>48.226363636363637</v>
      </c>
      <c r="AM9" s="77">
        <f>'Price History'!S3+('Price History'!S158-'Price History'!S3)*0.038961038961039</f>
        <v>61.86298701298702</v>
      </c>
      <c r="AN9" s="77">
        <f>'Price History'!T3+('Price History'!T158-'Price History'!T3)*0.038961038961039</f>
        <v>27.799480519480522</v>
      </c>
    </row>
    <row r="10" spans="1:40" ht="15" customHeight="1" x14ac:dyDescent="0.2">
      <c r="A10" s="55">
        <f>IF('Price History'!A11="","",'Price History'!A11)</f>
        <v>45205</v>
      </c>
      <c r="B10" s="76">
        <f>IFERROR(IF(OR(NOT(ISNUMBER('Price History'!B11)),NOT(ISNUMBER('Price History'!B10)),'Price History'!B10=0),"",'Price History'!B11/'Price History'!B10-1),"")</f>
        <v>3.2908413414394877E-2</v>
      </c>
      <c r="C10" s="76">
        <f>IFERROR(IF(OR(NOT(ISNUMBER('Price History'!C11)),NOT(ISNUMBER('Price History'!C10)),'Price History'!C10=0),"",'Price History'!C11/'Price History'!C10-1),"")</f>
        <v>5.5023923444976086E-2</v>
      </c>
      <c r="D10" s="76">
        <f>IFERROR(IF(OR(NOT(ISNUMBER('Price History'!D11)),NOT(ISNUMBER('Price History'!D10)),'Price History'!D10=0),"",'Price History'!D11/'Price History'!D10-1),"")</f>
        <v>1.4779329324227986E-2</v>
      </c>
      <c r="E10" s="76">
        <f>IFERROR(IF(OR(NOT(ISNUMBER('Price History'!E11)),NOT(ISNUMBER('Price History'!E10)),'Price History'!E10=0),"",'Price History'!E11/'Price History'!E10-1),"")</f>
        <v>1.769804960269683E-2</v>
      </c>
      <c r="F10" s="76">
        <f>IFERROR(IF(OR(NOT(ISNUMBER('Price History'!F11)),NOT(ISNUMBER('Price History'!F10)),'Price History'!F10=0),"",'Price History'!F11/'Price History'!F10-1),"")</f>
        <v>5.5436081242532964E-2</v>
      </c>
      <c r="G10" s="76">
        <f>IFERROR(IF(OR(NOT(ISNUMBER('Price History'!G11)),NOT(ISNUMBER('Price History'!G10)),'Price History'!G10=0),"",'Price History'!G11/'Price History'!G10-1),"")</f>
        <v>2.0492696751689632E-2</v>
      </c>
      <c r="H10" s="76">
        <f>IFERROR(IF(OR(NOT(ISNUMBER('Price History'!H11)),NOT(ISNUMBER('Price History'!H10)),'Price History'!H10=0),"",'Price History'!H11/'Price History'!H10-1),"")</f>
        <v>2.8369836836689588E-2</v>
      </c>
      <c r="I10" s="76">
        <f>IFERROR(IF(OR(NOT(ISNUMBER('Price History'!I11)),NOT(ISNUMBER('Price History'!I10)),'Price History'!I10=0),"",'Price History'!I11/'Price History'!I10-1),"")</f>
        <v>5.1954022988505599E-2</v>
      </c>
      <c r="J10" s="76">
        <f>IFERROR(IF(OR(NOT(ISNUMBER('Price History'!J11)),NOT(ISNUMBER('Price History'!J10)),'Price History'!J10=0),"",'Price History'!J11/'Price History'!J10-1),"")</f>
        <v>-2.9409143570091723E-2</v>
      </c>
      <c r="K10" s="76">
        <f>IFERROR(IF(OR(NOT(ISNUMBER('Price History'!K11)),NOT(ISNUMBER('Price History'!K10)),'Price History'!K10=0),"",'Price History'!K11/'Price History'!K10-1),"")</f>
        <v>3.8124999999999964E-2</v>
      </c>
      <c r="L10" s="76">
        <f>IFERROR(IF(OR(NOT(ISNUMBER('Price History'!L11)),NOT(ISNUMBER('Price History'!L10)),'Price History'!L10=0),"",'Price History'!L11/'Price History'!L10-1),"")</f>
        <v>2.7502876869965442E-2</v>
      </c>
      <c r="M10" s="76">
        <f>IFERROR(IF(OR(NOT(ISNUMBER('Price History'!M11)),NOT(ISNUMBER('Price History'!M10)),'Price History'!M10=0),"",'Price History'!M11/'Price History'!M10-1),"")</f>
        <v>6.9086021505376349E-2</v>
      </c>
      <c r="N10" s="76">
        <f>IFERROR(IF(OR(NOT(ISNUMBER('Price History'!N11)),NOT(ISNUMBER('Price History'!N10)),'Price History'!N10=0),"",'Price History'!N11/'Price History'!N10-1),"")</f>
        <v>3.7039167193880562E-2</v>
      </c>
      <c r="O10" s="76">
        <f>IFERROR(IF(OR(NOT(ISNUMBER('Price History'!O11)),NOT(ISNUMBER('Price History'!O10)),'Price History'!O10=0),"",'Price History'!O11/'Price History'!O10-1),"")</f>
        <v>-3.0147530468249029E-2</v>
      </c>
      <c r="P10" s="76" t="str">
        <f>IFERROR(IF(OR(NOT(ISNUMBER('Price History'!P11)),NOT(ISNUMBER('Price History'!P10)),'Price History'!P10=0),"",'Price History'!P11/'Price History'!P10-1),"")</f>
        <v/>
      </c>
      <c r="Q10" s="76">
        <f>IFERROR(IF(OR(NOT(ISNUMBER('Price History'!Q11)),NOT(ISNUMBER('Price History'!Q10)),'Price History'!Q10=0),"",'Price History'!Q11/'Price History'!Q10-1),"")</f>
        <v>4.4324532665251937E-3</v>
      </c>
      <c r="R10" s="76">
        <f>IFERROR(IF(OR(NOT(ISNUMBER('Price History'!R11)),NOT(ISNUMBER('Price History'!R10)),'Price History'!R10=0),"",'Price History'!R11/'Price History'!R10-1),"")</f>
        <v>4.2616663115278008E-3</v>
      </c>
      <c r="S10" s="76">
        <f>IFERROR(IF(OR(NOT(ISNUMBER('Price History'!S11)),NOT(ISNUMBER('Price History'!S10)),'Price History'!S10=0),"",'Price History'!S11/'Price History'!S10-1),"")</f>
        <v>1.1173184357541999E-2</v>
      </c>
      <c r="T10" s="76">
        <f>IFERROR(IF(OR(NOT(ISNUMBER('Price History'!T11)),NOT(ISNUMBER('Price History'!T10)),'Price History'!T10=0),"",'Price History'!T11/'Price History'!T10-1),"")</f>
        <v>-1.8475750577367167E-2</v>
      </c>
      <c r="U10" s="76" t="str">
        <f>IFERROR(IF(OR(NOT(ISNUMBER('Price History'!U11)),NOT(ISNUMBER('Price History'!U10)),'Price History'!U10=0),"",'Price History'!U11/'Price History'!U10-1),"")</f>
        <v/>
      </c>
      <c r="W10" s="77">
        <f>'Price History'!B3+('Price History'!B158-'Price History'!B3)*0.0454545454545455</f>
        <v>496.72090909090906</v>
      </c>
      <c r="X10" s="77">
        <f>'Price History'!C3+('Price History'!C158-'Price History'!C3)*0.0454545454545455</f>
        <v>49.949545454545458</v>
      </c>
      <c r="Y10" s="77">
        <f>'Price History'!D3+('Price History'!D158-'Price History'!D3)*0.0454545454545455</f>
        <v>705.74454545454546</v>
      </c>
      <c r="Z10" s="77">
        <f>'Price History'!E3+('Price History'!E158-'Price History'!E3)*0.0454545454545455</f>
        <v>96.90272727272729</v>
      </c>
      <c r="AA10" s="77">
        <f>'Price History'!F3+('Price History'!F158-'Price History'!F3)*0.0454545454545455</f>
        <v>44.050909090909101</v>
      </c>
      <c r="AB10" s="77">
        <f>'Price History'!G3+('Price History'!G158-'Price History'!G3)*0.0454545454545455</f>
        <v>54.032727272727278</v>
      </c>
      <c r="AC10" s="77">
        <f>'Price History'!H3+('Price History'!H158-'Price History'!H3)*0.0454545454545455</f>
        <v>98.854545454545487</v>
      </c>
      <c r="AD10" s="77">
        <f>'Price History'!I3+('Price History'!I158-'Price History'!I3)*0.0454545454545455</f>
        <v>48.118181818181824</v>
      </c>
      <c r="AE10" s="77">
        <f>'Price History'!J3+('Price History'!J158-'Price History'!J3)*0.0454545454545455</f>
        <v>124.46909090909091</v>
      </c>
      <c r="AF10" s="77">
        <f>'Price History'!K3+('Price History'!K158-'Price History'!K3)*0.0454545454545455</f>
        <v>20.303181818181823</v>
      </c>
      <c r="AG10" s="77">
        <f>'Price History'!L3+('Price History'!L158-'Price History'!L3)*0.0454545454545455</f>
        <v>106.18363636363637</v>
      </c>
      <c r="AH10" s="77">
        <f>'Price History'!M3+('Price History'!M158-'Price History'!M3)*0.0454545454545455</f>
        <v>42.967272727272736</v>
      </c>
      <c r="AI10" s="77">
        <f>'Price History'!N3+('Price History'!N158-'Price History'!N3)*0.0454545454545455</f>
        <v>355.6436363636364</v>
      </c>
      <c r="AJ10" s="77">
        <f>'Price History'!O3+('Price History'!O158-'Price History'!O3)*0.0454545454545455</f>
        <v>84.778636363636366</v>
      </c>
      <c r="AK10" s="77">
        <f>'Price History'!Q3+('Price History'!Q151-'Price History'!Q3)*0.0454545454545455</f>
        <v>50.685909090909092</v>
      </c>
      <c r="AL10" s="77">
        <f>'Price History'!R3+('Price History'!R158-'Price History'!R3)*0.0454545454545455</f>
        <v>48.294090909090912</v>
      </c>
      <c r="AM10" s="77">
        <f>'Price History'!S3+('Price History'!S158-'Price History'!S3)*0.0454545454545455</f>
        <v>62.416818181818186</v>
      </c>
      <c r="AN10" s="77">
        <f>'Price History'!T3+('Price History'!T158-'Price History'!T3)*0.0454545454545455</f>
        <v>27.947727272727274</v>
      </c>
    </row>
    <row r="11" spans="1:40" ht="15" customHeight="1" x14ac:dyDescent="0.2">
      <c r="A11" s="55">
        <f>IF('Price History'!A12="","",'Price History'!A12)</f>
        <v>45212</v>
      </c>
      <c r="B11" s="76">
        <f>IFERROR(IF(OR(NOT(ISNUMBER('Price History'!B12)),NOT(ISNUMBER('Price History'!B11)),'Price History'!B11=0),"",'Price History'!B12/'Price History'!B11-1),"")</f>
        <v>4.1922989291410362E-2</v>
      </c>
      <c r="C11" s="76">
        <f>IFERROR(IF(OR(NOT(ISNUMBER('Price History'!C12)),NOT(ISNUMBER('Price History'!C11)),'Price History'!C11=0),"",'Price History'!C12/'Price History'!C11-1),"")</f>
        <v>-2.1645021645021578E-2</v>
      </c>
      <c r="D11" s="76">
        <f>IFERROR(IF(OR(NOT(ISNUMBER('Price History'!D12)),NOT(ISNUMBER('Price History'!D11)),'Price History'!D11=0),"",'Price History'!D12/'Price History'!D11-1),"")</f>
        <v>4.0009374581491119E-3</v>
      </c>
      <c r="E11" s="76">
        <f>IFERROR(IF(OR(NOT(ISNUMBER('Price History'!E12)),NOT(ISNUMBER('Price History'!E11)),'Price History'!E11=0),"",'Price History'!E12/'Price History'!E11-1),"")</f>
        <v>4.4836152845143751E-2</v>
      </c>
      <c r="F11" s="76">
        <f>IFERROR(IF(OR(NOT(ISNUMBER('Price History'!F12)),NOT(ISNUMBER('Price History'!F11)),'Price History'!F11=0),"",'Price History'!F12/'Price History'!F11-1),"")</f>
        <v>5.1165949739642169E-2</v>
      </c>
      <c r="G11" s="76">
        <f>IFERROR(IF(OR(NOT(ISNUMBER('Price History'!G12)),NOT(ISNUMBER('Price History'!G11)),'Price History'!G11=0),"",'Price History'!G12/'Price History'!G11-1),"")</f>
        <v>3.99487289040803E-2</v>
      </c>
      <c r="H11" s="76">
        <f>IFERROR(IF(OR(NOT(ISNUMBER('Price History'!H12)),NOT(ISNUMBER('Price History'!H11)),'Price History'!H11=0),"",'Price History'!H12/'Price History'!H11-1),"")</f>
        <v>-1.0720411663807883E-2</v>
      </c>
      <c r="I11" s="76">
        <f>IFERROR(IF(OR(NOT(ISNUMBER('Price History'!I12)),NOT(ISNUMBER('Price History'!I11)),'Price History'!I11=0),"",'Price History'!I12/'Price History'!I11-1),"")</f>
        <v>-6.5559440559439519E-3</v>
      </c>
      <c r="J11" s="76">
        <f>IFERROR(IF(OR(NOT(ISNUMBER('Price History'!J12)),NOT(ISNUMBER('Price History'!J11)),'Price History'!J11=0),"",'Price History'!J12/'Price History'!J11-1),"")</f>
        <v>6.7946010467359041E-3</v>
      </c>
      <c r="K11" s="76">
        <f>IFERROR(IF(OR(NOT(ISNUMBER('Price History'!K12)),NOT(ISNUMBER('Price History'!K11)),'Price History'!K11=0),"",'Price History'!K12/'Price History'!K11-1),"")</f>
        <v>4.5153521974714117E-2</v>
      </c>
      <c r="L11" s="76">
        <f>IFERROR(IF(OR(NOT(ISNUMBER('Price History'!L12)),NOT(ISNUMBER('Price History'!L11)),'Price History'!L11=0),"",'Price History'!L12/'Price History'!L11-1),"")</f>
        <v>1.3103371038190037E-2</v>
      </c>
      <c r="M11" s="76">
        <f>IFERROR(IF(OR(NOT(ISNUMBER('Price History'!M12)),NOT(ISNUMBER('Price History'!M11)),'Price History'!M11=0),"",'Price History'!M12/'Price History'!M11-1),"")</f>
        <v>-1.6846869499622885E-2</v>
      </c>
      <c r="N11" s="76">
        <f>IFERROR(IF(OR(NOT(ISNUMBER('Price History'!N12)),NOT(ISNUMBER('Price History'!N11)),'Price History'!N11=0),"",'Price History'!N12/'Price History'!N11-1),"")</f>
        <v>2.8783761299983279E-2</v>
      </c>
      <c r="O11" s="76">
        <f>IFERROR(IF(OR(NOT(ISNUMBER('Price History'!O12)),NOT(ISNUMBER('Price History'!O11)),'Price History'!O11=0),"",'Price History'!O12/'Price History'!O11-1),"")</f>
        <v>2.6455026455027841E-3</v>
      </c>
      <c r="P11" s="76" t="str">
        <f>IFERROR(IF(OR(NOT(ISNUMBER('Price History'!P12)),NOT(ISNUMBER('Price History'!P11)),'Price History'!P11=0),"",'Price History'!P12/'Price History'!P11-1),"")</f>
        <v/>
      </c>
      <c r="Q11" s="76">
        <f>IFERROR(IF(OR(NOT(ISNUMBER('Price History'!Q12)),NOT(ISNUMBER('Price History'!Q11)),'Price History'!Q11=0),"",'Price History'!Q12/'Price History'!Q11-1),"")</f>
        <v>9.593246354566709E-4</v>
      </c>
      <c r="R11" s="76">
        <f>IFERROR(IF(OR(NOT(ISNUMBER('Price History'!R12)),NOT(ISNUMBER('Price History'!R11)),'Price History'!R11=0),"",'Price History'!R12/'Price History'!R11-1),"")</f>
        <v>2.7583280288563383E-3</v>
      </c>
      <c r="S11" s="76">
        <f>IFERROR(IF(OR(NOT(ISNUMBER('Price History'!S12)),NOT(ISNUMBER('Price History'!S11)),'Price History'!S11=0),"",'Price History'!S12/'Price History'!S11-1),"")</f>
        <v>5.6975138121546642E-3</v>
      </c>
      <c r="T11" s="76">
        <f>IFERROR(IF(OR(NOT(ISNUMBER('Price History'!T12)),NOT(ISNUMBER('Price History'!T11)),'Price History'!T11=0),"",'Price History'!T12/'Price History'!T11-1),"")</f>
        <v>1.2941176470588234E-2</v>
      </c>
      <c r="U11" s="76" t="str">
        <f>IFERROR(IF(OR(NOT(ISNUMBER('Price History'!U12)),NOT(ISNUMBER('Price History'!U11)),'Price History'!U11=0),"",'Price History'!U12/'Price History'!U11-1),"")</f>
        <v/>
      </c>
      <c r="W11" s="77">
        <f>'Price History'!B3+('Price History'!B158-'Price History'!B3)*0.051948051948052</f>
        <v>495.04532467532465</v>
      </c>
      <c r="X11" s="77">
        <f>'Price History'!C3+('Price History'!C158-'Price History'!C3)*0.051948051948052</f>
        <v>50.836623376623386</v>
      </c>
      <c r="Y11" s="77">
        <f>'Price History'!D3+('Price History'!D158-'Price History'!D3)*0.051948051948052</f>
        <v>712.02519480519481</v>
      </c>
      <c r="Z11" s="77">
        <f>'Price History'!E3+('Price History'!E158-'Price History'!E3)*0.051948051948052</f>
        <v>98.891688311688327</v>
      </c>
      <c r="AA11" s="77">
        <f>'Price History'!F3+('Price History'!F158-'Price History'!F3)*0.051948051948052</f>
        <v>45.0496103896104</v>
      </c>
      <c r="AB11" s="77">
        <f>'Price History'!G3+('Price History'!G158-'Price History'!G3)*0.051948051948052</f>
        <v>54.908831168831171</v>
      </c>
      <c r="AC11" s="77">
        <f>'Price History'!H3+('Price History'!H158-'Price History'!H3)*0.051948051948052</f>
        <v>103.78090909090913</v>
      </c>
      <c r="AD11" s="77">
        <f>'Price History'!I3+('Price History'!I158-'Price History'!I3)*0.051948051948052</f>
        <v>49.156493506493518</v>
      </c>
      <c r="AE11" s="77">
        <f>'Price History'!J3+('Price History'!J158-'Price History'!J3)*0.051948051948052</f>
        <v>124.6061038961039</v>
      </c>
      <c r="AF11" s="77">
        <f>'Price History'!K3+('Price History'!K158-'Price History'!K3)*0.051948051948052</f>
        <v>21.002207792207798</v>
      </c>
      <c r="AG11" s="77">
        <f>'Price History'!L3+('Price History'!L158-'Price History'!L3)*0.051948051948052</f>
        <v>108.21129870129872</v>
      </c>
      <c r="AH11" s="77">
        <f>'Price History'!M3+('Price History'!M158-'Price History'!M3)*0.051948051948052</f>
        <v>44.318311688311695</v>
      </c>
      <c r="AI11" s="77">
        <f>'Price History'!N3+('Price History'!N158-'Price History'!N3)*0.051948051948052</f>
        <v>356.46987012987017</v>
      </c>
      <c r="AJ11" s="77">
        <f>'Price History'!O3+('Price History'!O158-'Price History'!O3)*0.051948051948052</f>
        <v>85.054155844155844</v>
      </c>
      <c r="AK11" s="77">
        <f>'Price History'!Q3+('Price History'!Q151-'Price History'!Q3)*0.051948051948052</f>
        <v>50.806753246753253</v>
      </c>
      <c r="AL11" s="77">
        <f>'Price History'!R3+('Price History'!R158-'Price History'!R3)*0.051948051948052</f>
        <v>48.36181818181818</v>
      </c>
      <c r="AM11" s="77">
        <f>'Price History'!S3+('Price History'!S158-'Price History'!S3)*0.051948051948052</f>
        <v>62.970649350649353</v>
      </c>
      <c r="AN11" s="77">
        <f>'Price History'!T3+('Price History'!T158-'Price History'!T3)*0.051948051948052</f>
        <v>28.095974025974026</v>
      </c>
    </row>
    <row r="12" spans="1:40" ht="15" customHeight="1" x14ac:dyDescent="0.2">
      <c r="A12" s="55">
        <f>IF('Price History'!A13="","",'Price History'!A13)</f>
        <v>45219</v>
      </c>
      <c r="B12" s="76">
        <f>IFERROR(IF(OR(NOT(ISNUMBER('Price History'!B13)),NOT(ISNUMBER('Price History'!B12)),'Price History'!B12=0),"",'Price History'!B13/'Price History'!B12-1),"")</f>
        <v>-1.4213863984255282E-2</v>
      </c>
      <c r="C12" s="76">
        <f>IFERROR(IF(OR(NOT(ISNUMBER('Price History'!C13)),NOT(ISNUMBER('Price History'!C12)),'Price History'!C12=0),"",'Price History'!C13/'Price History'!C12-1),"")</f>
        <v>-1.9595448798988668E-2</v>
      </c>
      <c r="D12" s="76">
        <f>IFERROR(IF(OR(NOT(ISNUMBER('Price History'!D13)),NOT(ISNUMBER('Price History'!D12)),'Price History'!D12=0),"",'Price History'!D13/'Price History'!D12-1),"")</f>
        <v>-3.2763651521467207E-2</v>
      </c>
      <c r="E12" s="76">
        <f>IFERROR(IF(OR(NOT(ISNUMBER('Price History'!E13)),NOT(ISNUMBER('Price History'!E12)),'Price History'!E12=0),"",'Price History'!E13/'Price History'!E12-1),"")</f>
        <v>-3.3514492753623171E-2</v>
      </c>
      <c r="F12" s="76">
        <f>IFERROR(IF(OR(NOT(ISNUMBER('Price History'!F13)),NOT(ISNUMBER('Price History'!F12)),'Price History'!F12=0),"",'Price History'!F13/'Price History'!F12-1),"")</f>
        <v>-3.7475769976308415E-2</v>
      </c>
      <c r="G12" s="76">
        <f>IFERROR(IF(OR(NOT(ISNUMBER('Price History'!G13)),NOT(ISNUMBER('Price History'!G12)),'Price History'!G12=0),"",'Price History'!G13/'Price History'!G12-1),"")</f>
        <v>-5.0123253903040177E-2</v>
      </c>
      <c r="H12" s="76">
        <f>IFERROR(IF(OR(NOT(ISNUMBER('Price History'!H13)),NOT(ISNUMBER('Price History'!H12)),'Price History'!H12=0),"",'Price History'!H13/'Price History'!H12-1),"")</f>
        <v>-2.8753070365554079E-2</v>
      </c>
      <c r="I12" s="76">
        <f>IFERROR(IF(OR(NOT(ISNUMBER('Price History'!I13)),NOT(ISNUMBER('Price History'!I12)),'Price History'!I12=0),"",'Price History'!I13/'Price History'!I12-1),"")</f>
        <v>-8.9529256489221276E-2</v>
      </c>
      <c r="J12" s="76">
        <f>IFERROR(IF(OR(NOT(ISNUMBER('Price History'!J13)),NOT(ISNUMBER('Price History'!J12)),'Price History'!J12=0),"",'Price History'!J13/'Price History'!J12-1),"")</f>
        <v>-6.5845873233014163E-2</v>
      </c>
      <c r="K12" s="76">
        <f>IFERROR(IF(OR(NOT(ISNUMBER('Price History'!K13)),NOT(ISNUMBER('Price History'!K12)),'Price History'!K12=0),"",'Price History'!K13/'Price History'!K12-1),"")</f>
        <v>-7.2004608294930827E-2</v>
      </c>
      <c r="L12" s="76">
        <f>IFERROR(IF(OR(NOT(ISNUMBER('Price History'!L13)),NOT(ISNUMBER('Price History'!L12)),'Price History'!L12=0),"",'Price History'!L13/'Price History'!L12-1),"")</f>
        <v>9.3964183064338958E-3</v>
      </c>
      <c r="M12" s="76">
        <f>IFERROR(IF(OR(NOT(ISNUMBER('Price History'!M13)),NOT(ISNUMBER('Price History'!M12)),'Price History'!M12=0),"",'Price History'!M13/'Price History'!M12-1),"")</f>
        <v>-6.0358056265984672E-2</v>
      </c>
      <c r="N12" s="76">
        <f>IFERROR(IF(OR(NOT(ISNUMBER('Price History'!N13)),NOT(ISNUMBER('Price History'!N12)),'Price History'!N12=0),"",'Price History'!N13/'Price History'!N12-1),"")</f>
        <v>-2.4636118598382661E-2</v>
      </c>
      <c r="O12" s="76">
        <f>IFERROR(IF(OR(NOT(ISNUMBER('Price History'!O13)),NOT(ISNUMBER('Price History'!O12)),'Price History'!O12=0),"",'Price History'!O13/'Price History'!O12-1),"")</f>
        <v>-1.6754617414247996E-2</v>
      </c>
      <c r="P12" s="76" t="str">
        <f>IFERROR(IF(OR(NOT(ISNUMBER('Price History'!P13)),NOT(ISNUMBER('Price History'!P12)),'Price History'!P12=0),"",'Price History'!P13/'Price History'!P12-1),"")</f>
        <v/>
      </c>
      <c r="Q12" s="76">
        <f>IFERROR(IF(OR(NOT(ISNUMBER('Price History'!Q13)),NOT(ISNUMBER('Price History'!Q12)),'Price History'!Q12=0),"",'Price History'!Q13/'Price History'!Q12-1),"")</f>
        <v>3.6419398121525504E-3</v>
      </c>
      <c r="R12" s="76">
        <f>IFERROR(IF(OR(NOT(ISNUMBER('Price History'!R13)),NOT(ISNUMBER('Price History'!R12)),'Price History'!R12=0),"",'Price History'!R13/'Price History'!R12-1),"")</f>
        <v>-1.9889970376639865E-2</v>
      </c>
      <c r="S12" s="76">
        <f>IFERROR(IF(OR(NOT(ISNUMBER('Price History'!S13)),NOT(ISNUMBER('Price History'!S12)),'Price History'!S12=0),"",'Price History'!S13/'Price History'!S12-1),"")</f>
        <v>-2.9012875536480687E-2</v>
      </c>
      <c r="T12" s="76">
        <f>IFERROR(IF(OR(NOT(ISNUMBER('Price History'!T13)),NOT(ISNUMBER('Price History'!T12)),'Price History'!T12=0),"",'Price History'!T13/'Price History'!T12-1),"")</f>
        <v>-1.2775842044134622E-2</v>
      </c>
      <c r="U12" s="76" t="str">
        <f>IFERROR(IF(OR(NOT(ISNUMBER('Price History'!U13)),NOT(ISNUMBER('Price History'!U12)),'Price History'!U12=0),"",'Price History'!U13/'Price History'!U12-1),"")</f>
        <v/>
      </c>
      <c r="W12" s="77">
        <f>'Price History'!B3+('Price History'!B158-'Price History'!B3)*0.0584415584415584</f>
        <v>493.36974025974024</v>
      </c>
      <c r="X12" s="77">
        <f>'Price History'!C3+('Price History'!C158-'Price History'!C3)*0.0584415584415584</f>
        <v>51.723701298701293</v>
      </c>
      <c r="Y12" s="77">
        <f>'Price History'!D3+('Price History'!D158-'Price History'!D3)*0.0584415584415584</f>
        <v>718.30584415584406</v>
      </c>
      <c r="Z12" s="77">
        <f>'Price History'!E3+('Price History'!E158-'Price History'!E3)*0.0584415584415584</f>
        <v>100.88064935064934</v>
      </c>
      <c r="AA12" s="77">
        <f>'Price History'!F3+('Price History'!F158-'Price History'!F3)*0.0584415584415584</f>
        <v>46.048311688311685</v>
      </c>
      <c r="AB12" s="77">
        <f>'Price History'!G3+('Price History'!G158-'Price History'!G3)*0.0584415584415584</f>
        <v>55.784935064935055</v>
      </c>
      <c r="AC12" s="77">
        <f>'Price History'!H3+('Price History'!H158-'Price History'!H3)*0.0584415584415584</f>
        <v>108.7072727272727</v>
      </c>
      <c r="AD12" s="77">
        <f>'Price History'!I3+('Price History'!I158-'Price History'!I3)*0.0584415584415584</f>
        <v>50.194805194805191</v>
      </c>
      <c r="AE12" s="77">
        <f>'Price History'!J3+('Price History'!J158-'Price History'!J3)*0.0584415584415584</f>
        <v>124.74311688311688</v>
      </c>
      <c r="AF12" s="77">
        <f>'Price History'!K3+('Price History'!K158-'Price History'!K3)*0.0584415584415584</f>
        <v>21.701233766233763</v>
      </c>
      <c r="AG12" s="77">
        <f>'Price History'!L3+('Price History'!L158-'Price History'!L3)*0.0584415584415584</f>
        <v>110.23896103896102</v>
      </c>
      <c r="AH12" s="77">
        <f>'Price History'!M3+('Price History'!M158-'Price History'!M3)*0.0584415584415584</f>
        <v>45.66935064935064</v>
      </c>
      <c r="AI12" s="77">
        <f>'Price History'!N3+('Price History'!N158-'Price History'!N3)*0.0584415584415584</f>
        <v>357.29610389610389</v>
      </c>
      <c r="AJ12" s="77">
        <f>'Price History'!O3+('Price History'!O158-'Price History'!O3)*0.0584415584415584</f>
        <v>85.329675324675321</v>
      </c>
      <c r="AK12" s="77">
        <f>'Price History'!Q3+('Price History'!Q151-'Price History'!Q3)*0.0584415584415584</f>
        <v>50.927597402597407</v>
      </c>
      <c r="AL12" s="77">
        <f>'Price History'!R3+('Price History'!R158-'Price History'!R3)*0.0584415584415584</f>
        <v>48.429545454545455</v>
      </c>
      <c r="AM12" s="77">
        <f>'Price History'!S3+('Price History'!S158-'Price History'!S3)*0.0584415584415584</f>
        <v>63.52448051948052</v>
      </c>
      <c r="AN12" s="77">
        <f>'Price History'!T3+('Price History'!T158-'Price History'!T3)*0.0584415584415584</f>
        <v>28.244220779220779</v>
      </c>
    </row>
    <row r="13" spans="1:40" ht="15" customHeight="1" x14ac:dyDescent="0.2">
      <c r="A13" s="55">
        <f>IF('Price History'!A14="","",'Price History'!A14)</f>
        <v>45226</v>
      </c>
      <c r="B13" s="76">
        <f>IFERROR(IF(OR(NOT(ISNUMBER('Price History'!B14)),NOT(ISNUMBER('Price History'!B13)),'Price History'!B13=0),"",'Price History'!B14/'Price History'!B13-1),"")</f>
        <v>-6.0706891452233069E-2</v>
      </c>
      <c r="C13" s="76">
        <f>IFERROR(IF(OR(NOT(ISNUMBER('Price History'!C14)),NOT(ISNUMBER('Price History'!C13)),'Price History'!C13=0),"",'Price History'!C14/'Price History'!C13-1),"")</f>
        <v>-5.3298946915968259E-2</v>
      </c>
      <c r="D13" s="76">
        <f>IFERROR(IF(OR(NOT(ISNUMBER('Price History'!D14)),NOT(ISNUMBER('Price History'!D13)),'Price History'!D13=0),"",'Price History'!D14/'Price History'!D13-1),"")</f>
        <v>1.7066023099465477E-2</v>
      </c>
      <c r="E13" s="76">
        <f>IFERROR(IF(OR(NOT(ISNUMBER('Price History'!E14)),NOT(ISNUMBER('Price History'!E13)),'Price History'!E13=0),"",'Price History'!E14/'Price History'!E13-1),"")</f>
        <v>-1.7806935332708496E-2</v>
      </c>
      <c r="F13" s="76">
        <f>IFERROR(IF(OR(NOT(ISNUMBER('Price History'!F14)),NOT(ISNUMBER('Price History'!F13)),'Price History'!F13=0),"",'Price History'!F14/'Price History'!F13-1),"")</f>
        <v>-3.3117028417990579E-2</v>
      </c>
      <c r="G13" s="76">
        <f>IFERROR(IF(OR(NOT(ISNUMBER('Price History'!G14)),NOT(ISNUMBER('Price History'!G13)),'Price History'!G13=0),"",'Price History'!G14/'Price History'!G13-1),"")</f>
        <v>-9.7318339100346263E-3</v>
      </c>
      <c r="H13" s="76">
        <f>IFERROR(IF(OR(NOT(ISNUMBER('Price History'!H14)),NOT(ISNUMBER('Price History'!H13)),'Price History'!H13=0),"",'Price History'!H14/'Price History'!H13-1),"")</f>
        <v>-2.3356144004760382E-2</v>
      </c>
      <c r="I13" s="76">
        <f>IFERROR(IF(OR(NOT(ISNUMBER('Price History'!I14)),NOT(ISNUMBER('Price History'!I13)),'Price History'!I13=0),"",'Price History'!I14/'Price History'!I13-1),"")</f>
        <v>-2.1502778448900695E-2</v>
      </c>
      <c r="J13" s="76">
        <f>IFERROR(IF(OR(NOT(ISNUMBER('Price History'!J14)),NOT(ISNUMBER('Price History'!J13)),'Price History'!J13=0),"",'Price History'!J14/'Price History'!J13-1),"")</f>
        <v>-4.9887728204627724E-2</v>
      </c>
      <c r="K13" s="76">
        <f>IFERROR(IF(OR(NOT(ISNUMBER('Price History'!K14)),NOT(ISNUMBER('Price History'!K13)),'Price History'!K13=0),"",'Price History'!K14/'Price History'!K13-1),"")</f>
        <v>-6.4556176288019795E-2</v>
      </c>
      <c r="L13" s="76">
        <f>IFERROR(IF(OR(NOT(ISNUMBER('Price History'!L14)),NOT(ISNUMBER('Price History'!L13)),'Price History'!L13=0),"",'Price History'!L14/'Price History'!L13-1),"")</f>
        <v>-5.8263059905815484E-2</v>
      </c>
      <c r="M13" s="76">
        <f>IFERROR(IF(OR(NOT(ISNUMBER('Price History'!M14)),NOT(ISNUMBER('Price History'!M13)),'Price History'!M13=0),"",'Price History'!M14/'Price History'!M13-1),"")</f>
        <v>-8.7098530212302849E-3</v>
      </c>
      <c r="N13" s="76">
        <f>IFERROR(IF(OR(NOT(ISNUMBER('Price History'!N14)),NOT(ISNUMBER('Price History'!N13)),'Price History'!N13=0),"",'Price History'!N14/'Price History'!N13-1),"")</f>
        <v>-1.8183827999779023E-2</v>
      </c>
      <c r="O13" s="76">
        <f>IFERROR(IF(OR(NOT(ISNUMBER('Price History'!O14)),NOT(ISNUMBER('Price History'!O13)),'Price History'!O13=0),"",'Price History'!O14/'Price History'!O13-1),"")</f>
        <v>-1.5430028176573241E-2</v>
      </c>
      <c r="P13" s="76" t="str">
        <f>IFERROR(IF(OR(NOT(ISNUMBER('Price History'!P14)),NOT(ISNUMBER('Price History'!P13)),'Price History'!P13=0),"",'Price History'!P14/'Price History'!P13-1),"")</f>
        <v/>
      </c>
      <c r="Q13" s="76">
        <f>IFERROR(IF(OR(NOT(ISNUMBER('Price History'!Q14)),NOT(ISNUMBER('Price History'!Q13)),'Price History'!Q13=0),"",'Price History'!Q14/'Price History'!Q13-1),"")</f>
        <v>8.9763177998471999E-3</v>
      </c>
      <c r="R13" s="76">
        <f>IFERROR(IF(OR(NOT(ISNUMBER('Price History'!R14)),NOT(ISNUMBER('Price History'!R13)),'Price History'!R13=0),"",'Price History'!R14/'Price History'!R13-1),"")</f>
        <v>-2.0725388601036343E-2</v>
      </c>
      <c r="S13" s="76">
        <f>IFERROR(IF(OR(NOT(ISNUMBER('Price History'!S14)),NOT(ISNUMBER('Price History'!S13)),'Price History'!S13=0),"",'Price History'!S14/'Price History'!S13-1),"")</f>
        <v>-2.0155586987270158E-2</v>
      </c>
      <c r="T13" s="76">
        <f>IFERROR(IF(OR(NOT(ISNUMBER('Price History'!T14)),NOT(ISNUMBER('Price History'!T13)),'Price History'!T13=0),"",'Price History'!T14/'Price History'!T13-1),"")</f>
        <v>-3.2941176470588251E-2</v>
      </c>
      <c r="U13" s="76" t="str">
        <f>IFERROR(IF(OR(NOT(ISNUMBER('Price History'!U14)),NOT(ISNUMBER('Price History'!U13)),'Price History'!U13=0),"",'Price History'!U14/'Price History'!U13-1),"")</f>
        <v/>
      </c>
      <c r="W13" s="77">
        <f>'Price History'!B3+('Price History'!B158-'Price History'!B3)*0.0649350649350649</f>
        <v>491.69415584415583</v>
      </c>
      <c r="X13" s="77">
        <f>'Price History'!C3+('Price History'!C158-'Price History'!C3)*0.0649350649350649</f>
        <v>52.610779220779222</v>
      </c>
      <c r="Y13" s="77">
        <f>'Price History'!D3+('Price History'!D158-'Price History'!D3)*0.0649350649350649</f>
        <v>724.58649350649341</v>
      </c>
      <c r="Z13" s="77">
        <f>'Price History'!E3+('Price History'!E158-'Price History'!E3)*0.0649350649350649</f>
        <v>102.86961038961039</v>
      </c>
      <c r="AA13" s="77">
        <f>'Price History'!F3+('Price History'!F158-'Price History'!F3)*0.0649350649350649</f>
        <v>47.047012987012984</v>
      </c>
      <c r="AB13" s="77">
        <f>'Price History'!G3+('Price History'!G158-'Price History'!G3)*0.0649350649350649</f>
        <v>56.661038961038955</v>
      </c>
      <c r="AC13" s="77">
        <f>'Price History'!H3+('Price History'!H158-'Price History'!H3)*0.0649350649350649</f>
        <v>113.63363636363634</v>
      </c>
      <c r="AD13" s="77">
        <f>'Price History'!I3+('Price History'!I158-'Price History'!I3)*0.0649350649350649</f>
        <v>51.233116883116878</v>
      </c>
      <c r="AE13" s="77">
        <f>'Price History'!J3+('Price History'!J158-'Price History'!J3)*0.0649350649350649</f>
        <v>124.88012987012988</v>
      </c>
      <c r="AF13" s="77">
        <f>'Price History'!K3+('Price History'!K158-'Price History'!K3)*0.0649350649350649</f>
        <v>22.400259740259738</v>
      </c>
      <c r="AG13" s="77">
        <f>'Price History'!L3+('Price History'!L158-'Price History'!L3)*0.0649350649350649</f>
        <v>112.26662337662336</v>
      </c>
      <c r="AH13" s="77">
        <f>'Price History'!M3+('Price History'!M158-'Price History'!M3)*0.0649350649350649</f>
        <v>47.0203896103896</v>
      </c>
      <c r="AI13" s="77">
        <f>'Price History'!N3+('Price History'!N158-'Price History'!N3)*0.0649350649350649</f>
        <v>358.12233766233766</v>
      </c>
      <c r="AJ13" s="77">
        <f>'Price History'!O3+('Price History'!O158-'Price History'!O3)*0.0649350649350649</f>
        <v>85.605194805194799</v>
      </c>
      <c r="AK13" s="77">
        <f>'Price History'!Q3+('Price History'!Q151-'Price History'!Q3)*0.0649350649350649</f>
        <v>51.04844155844156</v>
      </c>
      <c r="AL13" s="77">
        <f>'Price History'!R3+('Price History'!R158-'Price History'!R3)*0.0649350649350649</f>
        <v>48.49727272727273</v>
      </c>
      <c r="AM13" s="77">
        <f>'Price History'!S3+('Price History'!S158-'Price History'!S3)*0.0649350649350649</f>
        <v>64.078311688311686</v>
      </c>
      <c r="AN13" s="77">
        <f>'Price History'!T3+('Price History'!T158-'Price History'!T3)*0.0649350649350649</f>
        <v>28.392467532467531</v>
      </c>
    </row>
    <row r="14" spans="1:40" ht="15" customHeight="1" x14ac:dyDescent="0.2">
      <c r="A14" s="55">
        <f>IF('Price History'!A15="","",'Price History'!A15)</f>
        <v>45233</v>
      </c>
      <c r="B14" s="76">
        <f>IFERROR(IF(OR(NOT(ISNUMBER('Price History'!B15)),NOT(ISNUMBER('Price History'!B14)),'Price History'!B14=0),"",'Price History'!B15/'Price History'!B14-1),"")</f>
        <v>0.10930488860899001</v>
      </c>
      <c r="C14" s="76">
        <f>IFERROR(IF(OR(NOT(ISNUMBER('Price History'!C15)),NOT(ISNUMBER('Price History'!C14)),'Price History'!C14=0),"",'Price History'!C15/'Price History'!C14-1),"")</f>
        <v>0.20590238365493763</v>
      </c>
      <c r="D14" s="76">
        <f>IFERROR(IF(OR(NOT(ISNUMBER('Price History'!D15)),NOT(ISNUMBER('Price History'!D14)),'Price History'!D14=0),"",'Price History'!D15/'Price History'!D14-1),"")</f>
        <v>8.8830508474576186E-2</v>
      </c>
      <c r="E14" s="76">
        <f>IFERROR(IF(OR(NOT(ISNUMBER('Price History'!E15)),NOT(ISNUMBER('Price History'!E14)),'Price History'!E14=0),"",'Price History'!E15/'Price History'!E14-1),"")</f>
        <v>5.2838740458015288E-2</v>
      </c>
      <c r="F14" s="76">
        <f>IFERROR(IF(OR(NOT(ISNUMBER('Price History'!F15)),NOT(ISNUMBER('Price History'!F14)),'Price History'!F14=0),"",'Price History'!F15/'Price History'!F14-1),"")</f>
        <v>8.9099745429298771E-2</v>
      </c>
      <c r="G14" s="76">
        <f>IFERROR(IF(OR(NOT(ISNUMBER('Price History'!G15)),NOT(ISNUMBER('Price History'!G14)),'Price History'!G14=0),"",'Price History'!G15/'Price History'!G14-1),"")</f>
        <v>9.1067918759554445E-2</v>
      </c>
      <c r="H14" s="76">
        <f>IFERROR(IF(OR(NOT(ISNUMBER('Price History'!H15)),NOT(ISNUMBER('Price History'!H14)),'Price History'!H14=0),"",'Price History'!H15/'Price History'!H14-1),"")</f>
        <v>0.10555978674790545</v>
      </c>
      <c r="I14" s="76">
        <f>IFERROR(IF(OR(NOT(ISNUMBER('Price History'!I15)),NOT(ISNUMBER('Price History'!I14)),'Price History'!I14=0),"",'Price History'!I15/'Price History'!I14-1),"")</f>
        <v>0.11135802469135792</v>
      </c>
      <c r="J14" s="76">
        <f>IFERROR(IF(OR(NOT(ISNUMBER('Price History'!J15)),NOT(ISNUMBER('Price History'!J14)),'Price History'!J14=0),"",'Price History'!J15/'Price History'!J14-1),"")</f>
        <v>9.4841759145088522E-2</v>
      </c>
      <c r="K14" s="76">
        <f>IFERROR(IF(OR(NOT(ISNUMBER('Price History'!K15)),NOT(ISNUMBER('Price History'!K14)),'Price History'!K14=0),"",'Price History'!K15/'Price History'!K14-1),"")</f>
        <v>0.25348374253483752</v>
      </c>
      <c r="L14" s="76">
        <f>IFERROR(IF(OR(NOT(ISNUMBER('Price History'!L15)),NOT(ISNUMBER('Price History'!L14)),'Price History'!L14=0),"",'Price History'!L15/'Price History'!L14-1),"")</f>
        <v>6.744970345389012E-2</v>
      </c>
      <c r="M14" s="76">
        <f>IFERROR(IF(OR(NOT(ISNUMBER('Price History'!M15)),NOT(ISNUMBER('Price History'!M14)),'Price History'!M14=0),"",'Price History'!M15/'Price History'!M14-1),"")</f>
        <v>0.11037891268533762</v>
      </c>
      <c r="N14" s="76">
        <f>IFERROR(IF(OR(NOT(ISNUMBER('Price History'!N15)),NOT(ISNUMBER('Price History'!N14)),'Price History'!N14=0),"",'Price History'!N15/'Price History'!N14-1),"")</f>
        <v>5.8883134429182693E-2</v>
      </c>
      <c r="O14" s="76">
        <f>IFERROR(IF(OR(NOT(ISNUMBER('Price History'!O15)),NOT(ISNUMBER('Price History'!O14)),'Price History'!O14=0),"",'Price History'!O15/'Price History'!O14-1),"")</f>
        <v>7.1545380212592047E-2</v>
      </c>
      <c r="P14" s="76" t="str">
        <f>IFERROR(IF(OR(NOT(ISNUMBER('Price History'!P15)),NOT(ISNUMBER('Price History'!P14)),'Price History'!P14=0),"",'Price History'!P15/'Price History'!P14-1),"")</f>
        <v/>
      </c>
      <c r="Q14" s="76">
        <f>IFERROR(IF(OR(NOT(ISNUMBER('Price History'!Q15)),NOT(ISNUMBER('Price History'!Q14)),'Price History'!Q14=0),"",'Price History'!Q15/'Price History'!Q14-1),"")</f>
        <v>-7.5714556123418486E-4</v>
      </c>
      <c r="R14" s="76">
        <f>IFERROR(IF(OR(NOT(ISNUMBER('Price History'!R15)),NOT(ISNUMBER('Price History'!R14)),'Price History'!R14=0),"",'Price History'!R15/'Price History'!R14-1),"")</f>
        <v>4.7619047619047672E-2</v>
      </c>
      <c r="S14" s="76">
        <f>IFERROR(IF(OR(NOT(ISNUMBER('Price History'!S15)),NOT(ISNUMBER('Price History'!S14)),'Price History'!S14=0),"",'Price History'!S15/'Price History'!S14-1),"")</f>
        <v>5.8282208588956941E-2</v>
      </c>
      <c r="T14" s="76">
        <f>IFERROR(IF(OR(NOT(ISNUMBER('Price History'!T15)),NOT(ISNUMBER('Price History'!T14)),'Price History'!T14=0),"",'Price History'!T15/'Price History'!T14-1),"")</f>
        <v>5.8799675587996703E-2</v>
      </c>
      <c r="U14" s="76" t="str">
        <f>IFERROR(IF(OR(NOT(ISNUMBER('Price History'!U15)),NOT(ISNUMBER('Price History'!U14)),'Price History'!U14=0),"",'Price History'!U15/'Price History'!U14-1),"")</f>
        <v/>
      </c>
      <c r="W14" s="77">
        <f>'Price History'!B3+('Price History'!B158-'Price History'!B3)*0.0714285714285714</f>
        <v>490.01857142857142</v>
      </c>
      <c r="X14" s="77">
        <f>'Price History'!C3+('Price History'!C158-'Price History'!C3)*0.0714285714285714</f>
        <v>53.497857142857143</v>
      </c>
      <c r="Y14" s="77">
        <f>'Price History'!D3+('Price History'!D158-'Price History'!D3)*0.0714285714285714</f>
        <v>730.86714285714277</v>
      </c>
      <c r="Z14" s="77">
        <f>'Price History'!E3+('Price History'!E158-'Price History'!E3)*0.0714285714285714</f>
        <v>104.85857142857142</v>
      </c>
      <c r="AA14" s="77">
        <f>'Price History'!F3+('Price History'!F158-'Price History'!F3)*0.0714285714285714</f>
        <v>48.045714285714283</v>
      </c>
      <c r="AB14" s="77">
        <f>'Price History'!G3+('Price History'!G158-'Price History'!G3)*0.0714285714285714</f>
        <v>57.537142857142854</v>
      </c>
      <c r="AC14" s="77">
        <f>'Price History'!H3+('Price History'!H158-'Price History'!H3)*0.0714285714285714</f>
        <v>118.55999999999997</v>
      </c>
      <c r="AD14" s="77">
        <f>'Price History'!I3+('Price History'!I158-'Price History'!I3)*0.0714285714285714</f>
        <v>52.271428571428572</v>
      </c>
      <c r="AE14" s="77">
        <f>'Price History'!J3+('Price History'!J158-'Price History'!J3)*0.0714285714285714</f>
        <v>125.01714285714286</v>
      </c>
      <c r="AF14" s="77">
        <f>'Price History'!K3+('Price History'!K158-'Price History'!K3)*0.0714285714285714</f>
        <v>23.099285714285713</v>
      </c>
      <c r="AG14" s="77">
        <f>'Price History'!L3+('Price History'!L158-'Price History'!L3)*0.0714285714285714</f>
        <v>114.29428571428571</v>
      </c>
      <c r="AH14" s="77">
        <f>'Price History'!M3+('Price History'!M158-'Price History'!M3)*0.0714285714285714</f>
        <v>48.371428571428567</v>
      </c>
      <c r="AI14" s="77">
        <f>'Price History'!N3+('Price History'!N158-'Price History'!N3)*0.0714285714285714</f>
        <v>358.94857142857143</v>
      </c>
      <c r="AJ14" s="77">
        <f>'Price History'!O3+('Price History'!O158-'Price History'!O3)*0.0714285714285714</f>
        <v>85.880714285714276</v>
      </c>
      <c r="AK14" s="77">
        <f>'Price History'!Q3+('Price History'!Q151-'Price History'!Q3)*0.0714285714285714</f>
        <v>51.169285714285721</v>
      </c>
      <c r="AL14" s="77">
        <f>'Price History'!R3+('Price History'!R158-'Price History'!R3)*0.0714285714285714</f>
        <v>48.564999999999998</v>
      </c>
      <c r="AM14" s="77">
        <f>'Price History'!S3+('Price History'!S158-'Price History'!S3)*0.0714285714285714</f>
        <v>64.632142857142853</v>
      </c>
      <c r="AN14" s="77">
        <f>'Price History'!T3+('Price History'!T158-'Price History'!T3)*0.0714285714285714</f>
        <v>28.540714285714284</v>
      </c>
    </row>
    <row r="15" spans="1:40" ht="15" customHeight="1" x14ac:dyDescent="0.2">
      <c r="A15" s="55">
        <f>IF('Price History'!A16="","",'Price History'!A16)</f>
        <v>45240</v>
      </c>
      <c r="B15" s="76">
        <f>IFERROR(IF(OR(NOT(ISNUMBER('Price History'!B16)),NOT(ISNUMBER('Price History'!B15)),'Price History'!B15=0),"",'Price History'!B16/'Price History'!B15-1),"")</f>
        <v>5.953943866870115E-2</v>
      </c>
      <c r="C15" s="76">
        <f>IFERROR(IF(OR(NOT(ISNUMBER('Price History'!C16)),NOT(ISNUMBER('Price History'!C15)),'Price History'!C15=0),"",'Price History'!C16/'Price History'!C15-1),"")</f>
        <v>-2.654367469879515E-2</v>
      </c>
      <c r="D15" s="76">
        <f>IFERROR(IF(OR(NOT(ISNUMBER('Price History'!D16)),NOT(ISNUMBER('Price History'!D15)),'Price History'!D15=0),"",'Price History'!D16/'Price History'!D15-1),"")</f>
        <v>2.9373764418362036E-2</v>
      </c>
      <c r="E15" s="76">
        <f>IFERROR(IF(OR(NOT(ISNUMBER('Price History'!E16)),NOT(ISNUMBER('Price History'!E15)),'Price History'!E15=0),"",'Price History'!E16/'Price History'!E15-1),"")</f>
        <v>8.4740002265775605E-2</v>
      </c>
      <c r="F15" s="76">
        <f>IFERROR(IF(OR(NOT(ISNUMBER('Price History'!F16)),NOT(ISNUMBER('Price History'!F15)),'Price History'!F15=0),"",'Price History'!F16/'Price History'!F15-1),"")</f>
        <v>4.2923926901827336E-2</v>
      </c>
      <c r="G15" s="76">
        <f>IFERROR(IF(OR(NOT(ISNUMBER('Price History'!G16)),NOT(ISNUMBER('Price History'!G15)),'Price History'!G15=0),"",'Price History'!G16/'Price History'!G15-1),"")</f>
        <v>6.9455564451561314E-2</v>
      </c>
      <c r="H15" s="76">
        <f>IFERROR(IF(OR(NOT(ISNUMBER('Price History'!H16)),NOT(ISNUMBER('Price History'!H15)),'Price History'!H15=0),"",'Price History'!H16/'Price History'!H15-1),"")</f>
        <v>3.8302562689446207E-2</v>
      </c>
      <c r="I15" s="76">
        <f>IFERROR(IF(OR(NOT(ISNUMBER('Price History'!I16)),NOT(ISNUMBER('Price History'!I15)),'Price History'!I15=0),"",'Price History'!I16/'Price History'!I15-1),"")</f>
        <v>7.3983559209064742E-2</v>
      </c>
      <c r="J15" s="76">
        <f>IFERROR(IF(OR(NOT(ISNUMBER('Price History'!J16)),NOT(ISNUMBER('Price History'!J15)),'Price History'!J15=0),"",'Price History'!J16/'Price History'!J15-1),"")</f>
        <v>-1.8770530267480101E-2</v>
      </c>
      <c r="K15" s="76">
        <f>IFERROR(IF(OR(NOT(ISNUMBER('Price History'!K16)),NOT(ISNUMBER('Price History'!K15)),'Price History'!K15=0),"",'Price History'!K16/'Price History'!K15-1),"")</f>
        <v>4.1291688724192754E-2</v>
      </c>
      <c r="L15" s="76">
        <f>IFERROR(IF(OR(NOT(ISNUMBER('Price History'!L16)),NOT(ISNUMBER('Price History'!L15)),'Price History'!L15=0),"",'Price History'!L16/'Price History'!L15-1),"")</f>
        <v>6.155354613792352E-2</v>
      </c>
      <c r="M15" s="76">
        <f>IFERROR(IF(OR(NOT(ISNUMBER('Price History'!M16)),NOT(ISNUMBER('Price History'!M15)),'Price History'!M15=0),"",'Price History'!M16/'Price History'!M15-1),"")</f>
        <v>3.4371909000989076E-2</v>
      </c>
      <c r="N15" s="76">
        <f>IFERROR(IF(OR(NOT(ISNUMBER('Price History'!N16)),NOT(ISNUMBER('Price History'!N15)),'Price History'!N15=0),"",'Price History'!N16/'Price History'!N15-1),"")</f>
        <v>-6.7783094098884389E-3</v>
      </c>
      <c r="O15" s="76">
        <f>IFERROR(IF(OR(NOT(ISNUMBER('Price History'!O16)),NOT(ISNUMBER('Price History'!O15)),'Price History'!O15=0),"",'Price History'!O16/'Price History'!O15-1),"")</f>
        <v>-3.4083683072618554E-2</v>
      </c>
      <c r="P15" s="76" t="str">
        <f>IFERROR(IF(OR(NOT(ISNUMBER('Price History'!P16)),NOT(ISNUMBER('Price History'!P15)),'Price History'!P15=0),"",'Price History'!P16/'Price History'!P15-1),"")</f>
        <v/>
      </c>
      <c r="Q15" s="76">
        <f>IFERROR(IF(OR(NOT(ISNUMBER('Price History'!Q16)),NOT(ISNUMBER('Price History'!Q15)),'Price History'!Q15=0),"",'Price History'!Q16/'Price History'!Q15-1),"")</f>
        <v>1.7048683462776992E-3</v>
      </c>
      <c r="R15" s="76">
        <f>IFERROR(IF(OR(NOT(ISNUMBER('Price History'!R16)),NOT(ISNUMBER('Price History'!R15)),'Price History'!R15=0),"",'Price History'!R16/'Price History'!R15-1),"")</f>
        <v>2.0833333333333259E-2</v>
      </c>
      <c r="S15" s="76">
        <f>IFERROR(IF(OR(NOT(ISNUMBER('Price History'!S16)),NOT(ISNUMBER('Price History'!S15)),'Price History'!S15=0),"",'Price History'!S16/'Price History'!S15-1),"")</f>
        <v>2.9497016197783443E-2</v>
      </c>
      <c r="T15" s="76">
        <f>IFERROR(IF(OR(NOT(ISNUMBER('Price History'!T16)),NOT(ISNUMBER('Price History'!T15)),'Price History'!T15=0),"",'Price History'!T16/'Price History'!T15-1),"")</f>
        <v>-6.8939103791650913E-3</v>
      </c>
      <c r="U15" s="76" t="str">
        <f>IFERROR(IF(OR(NOT(ISNUMBER('Price History'!U16)),NOT(ISNUMBER('Price History'!U15)),'Price History'!U15=0),"",'Price History'!U16/'Price History'!U15-1),"")</f>
        <v/>
      </c>
      <c r="W15" s="77">
        <f>'Price History'!B3+('Price History'!B158-'Price History'!B3)*0.0779220779220779</f>
        <v>488.34298701298701</v>
      </c>
      <c r="X15" s="77">
        <f>'Price History'!C3+('Price History'!C158-'Price History'!C3)*0.0779220779220779</f>
        <v>54.384935064935064</v>
      </c>
      <c r="Y15" s="77">
        <f>'Price History'!D3+('Price History'!D158-'Price History'!D3)*0.0779220779220779</f>
        <v>737.14779220779212</v>
      </c>
      <c r="Z15" s="77">
        <f>'Price History'!E3+('Price History'!E158-'Price History'!E3)*0.0779220779220779</f>
        <v>106.84753246753246</v>
      </c>
      <c r="AA15" s="77">
        <f>'Price History'!F3+('Price History'!F158-'Price History'!F3)*0.0779220779220779</f>
        <v>49.044415584415589</v>
      </c>
      <c r="AB15" s="77">
        <f>'Price History'!G3+('Price History'!G158-'Price History'!G3)*0.0779220779220779</f>
        <v>58.413246753246753</v>
      </c>
      <c r="AC15" s="77">
        <f>'Price History'!H3+('Price History'!H158-'Price History'!H3)*0.0779220779220779</f>
        <v>123.48636363636362</v>
      </c>
      <c r="AD15" s="77">
        <f>'Price History'!I3+('Price History'!I158-'Price History'!I3)*0.0779220779220779</f>
        <v>53.309740259740259</v>
      </c>
      <c r="AE15" s="77">
        <f>'Price History'!J3+('Price History'!J158-'Price History'!J3)*0.0779220779220779</f>
        <v>125.15415584415585</v>
      </c>
      <c r="AF15" s="77">
        <f>'Price History'!K3+('Price History'!K158-'Price History'!K3)*0.0779220779220779</f>
        <v>23.798311688311685</v>
      </c>
      <c r="AG15" s="77">
        <f>'Price History'!L3+('Price History'!L158-'Price History'!L3)*0.0779220779220779</f>
        <v>116.32194805194804</v>
      </c>
      <c r="AH15" s="77">
        <f>'Price History'!M3+('Price History'!M158-'Price History'!M3)*0.0779220779220779</f>
        <v>49.722467532467526</v>
      </c>
      <c r="AI15" s="77">
        <f>'Price History'!N3+('Price History'!N158-'Price History'!N3)*0.0779220779220779</f>
        <v>359.7748051948052</v>
      </c>
      <c r="AJ15" s="77">
        <f>'Price History'!O3+('Price History'!O158-'Price History'!O3)*0.0779220779220779</f>
        <v>86.156233766233754</v>
      </c>
      <c r="AK15" s="77">
        <f>'Price History'!Q3+('Price History'!Q151-'Price History'!Q3)*0.0779220779220779</f>
        <v>51.290129870129874</v>
      </c>
      <c r="AL15" s="77">
        <f>'Price History'!R3+('Price History'!R158-'Price History'!R3)*0.0779220779220779</f>
        <v>48.632727272727273</v>
      </c>
      <c r="AM15" s="77">
        <f>'Price History'!S3+('Price History'!S158-'Price History'!S3)*0.0779220779220779</f>
        <v>65.185974025974019</v>
      </c>
      <c r="AN15" s="77">
        <f>'Price History'!T3+('Price History'!T158-'Price History'!T3)*0.0779220779220779</f>
        <v>28.68896103896104</v>
      </c>
    </row>
    <row r="16" spans="1:40" ht="15" customHeight="1" x14ac:dyDescent="0.2">
      <c r="A16" s="55">
        <f>IF('Price History'!A17="","",'Price History'!A17)</f>
        <v>45247</v>
      </c>
      <c r="B16" s="76">
        <f>IFERROR(IF(OR(NOT(ISNUMBER('Price History'!B17)),NOT(ISNUMBER('Price History'!B16)),'Price History'!B16=0),"",'Price History'!B17/'Price History'!B16-1),"")</f>
        <v>9.1088711027760283E-3</v>
      </c>
      <c r="C16" s="76">
        <f>IFERROR(IF(OR(NOT(ISNUMBER('Price History'!C17)),NOT(ISNUMBER('Price History'!C16)),'Price History'!C16=0),"",'Price History'!C17/'Price History'!C16-1),"")</f>
        <v>3.7710307484045469E-2</v>
      </c>
      <c r="D16" s="76">
        <f>IFERROR(IF(OR(NOT(ISNUMBER('Price History'!D17)),NOT(ISNUMBER('Price History'!D16)),'Price History'!D16=0),"",'Price History'!D17/'Price History'!D16-1),"")</f>
        <v>3.7518146624727855E-2</v>
      </c>
      <c r="E16" s="76">
        <f>IFERROR(IF(OR(NOT(ISNUMBER('Price History'!E17)),NOT(ISNUMBER('Price History'!E16)),'Price History'!E16=0),"",'Price History'!E17/'Price History'!E16-1),"")</f>
        <v>2.1096605744125307E-2</v>
      </c>
      <c r="F16" s="76">
        <f>IFERROR(IF(OR(NOT(ISNUMBER('Price History'!F17)),NOT(ISNUMBER('Price History'!F16)),'Price History'!F16=0),"",'Price History'!F17/'Price History'!F16-1),"")</f>
        <v>5.4808475957620395E-2</v>
      </c>
      <c r="G16" s="76">
        <f>IFERROR(IF(OR(NOT(ISNUMBER('Price History'!G17)),NOT(ISNUMBER('Price History'!G16)),'Price History'!G16=0),"",'Price History'!G17/'Price History'!G16-1),"")</f>
        <v>1.9090398652442442E-2</v>
      </c>
      <c r="H16" s="76">
        <f>IFERROR(IF(OR(NOT(ISNUMBER('Price History'!H17)),NOT(ISNUMBER('Price History'!H16)),'Price History'!H16=0),"",'Price History'!H17/'Price History'!H16-1),"")</f>
        <v>2.9193205944798351E-2</v>
      </c>
      <c r="I16" s="76">
        <f>IFERROR(IF(OR(NOT(ISNUMBER('Price History'!I17)),NOT(ISNUMBER('Price History'!I16)),'Price History'!I16=0),"",'Price History'!I17/'Price History'!I16-1),"")</f>
        <v>1.9859329747620835E-2</v>
      </c>
      <c r="J16" s="76">
        <f>IFERROR(IF(OR(NOT(ISNUMBER('Price History'!J17)),NOT(ISNUMBER('Price History'!J16)),'Price History'!J16=0),"",'Price History'!J17/'Price History'!J16-1),"")</f>
        <v>5.2797704447632654E-2</v>
      </c>
      <c r="K16" s="76">
        <f>IFERROR(IF(OR(NOT(ISNUMBER('Price History'!K17)),NOT(ISNUMBER('Price History'!K16)),'Price History'!K16=0),"",'Price History'!K17/'Price History'!K16-1),"")</f>
        <v>4.1687849517030751E-2</v>
      </c>
      <c r="L16" s="76">
        <f>IFERROR(IF(OR(NOT(ISNUMBER('Price History'!L17)),NOT(ISNUMBER('Price History'!L16)),'Price History'!L16=0),"",'Price History'!L17/'Price History'!L16-1),"")</f>
        <v>2.1962233169129819E-2</v>
      </c>
      <c r="M16" s="76">
        <f>IFERROR(IF(OR(NOT(ISNUMBER('Price History'!M17)),NOT(ISNUMBER('Price History'!M16)),'Price History'!M16=0),"",'Price History'!M17/'Price History'!M16-1),"")</f>
        <v>3.4903179536218021E-2</v>
      </c>
      <c r="N16" s="76">
        <f>IFERROR(IF(OR(NOT(ISNUMBER('Price History'!N17)),NOT(ISNUMBER('Price History'!N16)),'Price History'!N16=0),"",'Price History'!N17/'Price History'!N16-1),"")</f>
        <v>-6.1956376287970016E-2</v>
      </c>
      <c r="O16" s="76">
        <f>IFERROR(IF(OR(NOT(ISNUMBER('Price History'!O17)),NOT(ISNUMBER('Price History'!O16)),'Price History'!O16=0),"",'Price History'!O17/'Price History'!O16-1),"")</f>
        <v>5.5431204739960327E-2</v>
      </c>
      <c r="P16" s="76" t="str">
        <f>IFERROR(IF(OR(NOT(ISNUMBER('Price History'!P17)),NOT(ISNUMBER('Price History'!P16)),'Price History'!P16=0),"",'Price History'!P17/'Price History'!P16-1),"")</f>
        <v/>
      </c>
      <c r="Q16" s="76">
        <f>IFERROR(IF(OR(NOT(ISNUMBER('Price History'!Q17)),NOT(ISNUMBER('Price History'!Q16)),'Price History'!Q16=0),"",'Price History'!Q17/'Price History'!Q16-1),"")</f>
        <v>-4.3494704992436128E-3</v>
      </c>
      <c r="R16" s="76">
        <f>IFERROR(IF(OR(NOT(ISNUMBER('Price History'!R17)),NOT(ISNUMBER('Price History'!R16)),'Price History'!R16=0),"",'Price History'!R17/'Price History'!R16-1),"")</f>
        <v>9.482580911152283E-3</v>
      </c>
      <c r="S16" s="76">
        <f>IFERROR(IF(OR(NOT(ISNUMBER('Price History'!S17)),NOT(ISNUMBER('Price History'!S16)),'Price History'!S16=0),"",'Price History'!S17/'Price History'!S16-1),"")</f>
        <v>2.1695925803246086E-2</v>
      </c>
      <c r="T16" s="76">
        <f>IFERROR(IF(OR(NOT(ISNUMBER('Price History'!T17)),NOT(ISNUMBER('Price History'!T16)),'Price History'!T16=0),"",'Price History'!T17/'Price History'!T16-1),"")</f>
        <v>2.5453143077516449E-2</v>
      </c>
      <c r="U16" s="76" t="str">
        <f>IFERROR(IF(OR(NOT(ISNUMBER('Price History'!U17)),NOT(ISNUMBER('Price History'!U16)),'Price History'!U16=0),"",'Price History'!U17/'Price History'!U16-1),"")</f>
        <v/>
      </c>
      <c r="W16" s="77">
        <f>'Price History'!B3+('Price History'!B158-'Price History'!B3)*0.0844155844155844</f>
        <v>486.6674025974026</v>
      </c>
      <c r="X16" s="77">
        <f>'Price History'!C3+('Price History'!C158-'Price History'!C3)*0.0844155844155844</f>
        <v>55.272012987012985</v>
      </c>
      <c r="Y16" s="77">
        <f>'Price History'!D3+('Price History'!D158-'Price History'!D3)*0.0844155844155844</f>
        <v>743.42844155844148</v>
      </c>
      <c r="Z16" s="77">
        <f>'Price History'!E3+('Price History'!E158-'Price History'!E3)*0.0844155844155844</f>
        <v>108.8364935064935</v>
      </c>
      <c r="AA16" s="77">
        <f>'Price History'!F3+('Price History'!F158-'Price History'!F3)*0.0844155844155844</f>
        <v>50.04311688311688</v>
      </c>
      <c r="AB16" s="77">
        <f>'Price History'!G3+('Price History'!G158-'Price History'!G3)*0.0844155844155844</f>
        <v>59.289350649350645</v>
      </c>
      <c r="AC16" s="77">
        <f>'Price History'!H3+('Price History'!H158-'Price History'!H3)*0.0844155844155844</f>
        <v>128.41272727272727</v>
      </c>
      <c r="AD16" s="77">
        <f>'Price History'!I3+('Price History'!I158-'Price History'!I3)*0.0844155844155844</f>
        <v>54.348051948051946</v>
      </c>
      <c r="AE16" s="77">
        <f>'Price History'!J3+('Price History'!J158-'Price History'!J3)*0.0844155844155844</f>
        <v>125.29116883116883</v>
      </c>
      <c r="AF16" s="77">
        <f>'Price History'!K3+('Price History'!K158-'Price History'!K3)*0.0844155844155844</f>
        <v>24.497337662337664</v>
      </c>
      <c r="AG16" s="77">
        <f>'Price History'!L3+('Price History'!L158-'Price History'!L3)*0.0844155844155844</f>
        <v>118.34961038961038</v>
      </c>
      <c r="AH16" s="77">
        <f>'Price History'!M3+('Price History'!M158-'Price History'!M3)*0.0844155844155844</f>
        <v>51.073506493506486</v>
      </c>
      <c r="AI16" s="77">
        <f>'Price History'!N3+('Price History'!N158-'Price History'!N3)*0.0844155844155844</f>
        <v>360.60103896103897</v>
      </c>
      <c r="AJ16" s="77">
        <f>'Price History'!O3+('Price History'!O158-'Price History'!O3)*0.0844155844155844</f>
        <v>86.431753246753246</v>
      </c>
      <c r="AK16" s="77">
        <f>'Price History'!Q3+('Price History'!Q151-'Price History'!Q3)*0.0844155844155844</f>
        <v>51.410974025974028</v>
      </c>
      <c r="AL16" s="77">
        <f>'Price History'!R3+('Price History'!R158-'Price History'!R3)*0.0844155844155844</f>
        <v>48.700454545454548</v>
      </c>
      <c r="AM16" s="77">
        <f>'Price History'!S3+('Price History'!S158-'Price History'!S3)*0.0844155844155844</f>
        <v>65.7398051948052</v>
      </c>
      <c r="AN16" s="77">
        <f>'Price History'!T3+('Price History'!T158-'Price History'!T3)*0.0844155844155844</f>
        <v>28.837207792207792</v>
      </c>
    </row>
    <row r="17" spans="1:40" ht="15" customHeight="1" x14ac:dyDescent="0.2">
      <c r="A17" s="55">
        <f>IF('Price History'!A18="","",'Price History'!A18)</f>
        <v>45254</v>
      </c>
      <c r="B17" s="76">
        <f>IFERROR(IF(OR(NOT(ISNUMBER('Price History'!B18)),NOT(ISNUMBER('Price History'!B17)),'Price History'!B17=0),"",'Price History'!B18/'Price History'!B17-1),"")</f>
        <v>2.7826635250389975E-2</v>
      </c>
      <c r="C17" s="76">
        <f>IFERROR(IF(OR(NOT(ISNUMBER('Price History'!C18)),NOT(ISNUMBER('Price History'!C17)),'Price History'!C17=0),"",'Price History'!C18/'Price History'!C17-1),"")</f>
        <v>1.7517704062616657E-2</v>
      </c>
      <c r="D17" s="76">
        <f>IFERROR(IF(OR(NOT(ISNUMBER('Price History'!D18)),NOT(ISNUMBER('Price History'!D17)),'Price History'!D17=0),"",'Price History'!D18/'Price History'!D17-1),"")</f>
        <v>7.4188517541429189E-3</v>
      </c>
      <c r="E17" s="76">
        <f>IFERROR(IF(OR(NOT(ISNUMBER('Price History'!E18)),NOT(ISNUMBER('Price History'!E17)),'Price History'!E17=0),"",'Price History'!E18/'Price History'!E17-1),"")</f>
        <v>1.227370359005775E-3</v>
      </c>
      <c r="F17" s="76">
        <f>IFERROR(IF(OR(NOT(ISNUMBER('Price History'!F18)),NOT(ISNUMBER('Price History'!F17)),'Price History'!F17=0),"",'Price History'!F18/'Price History'!F17-1),"")</f>
        <v>1.7384585667374886E-2</v>
      </c>
      <c r="G17" s="76">
        <f>IFERROR(IF(OR(NOT(ISNUMBER('Price History'!G18)),NOT(ISNUMBER('Price History'!G17)),'Price History'!G17=0),"",'Price History'!G18/'Price History'!G17-1),"")</f>
        <v>2.0385674931129527E-2</v>
      </c>
      <c r="H17" s="76">
        <f>IFERROR(IF(OR(NOT(ISNUMBER('Price History'!H18)),NOT(ISNUMBER('Price History'!H17)),'Price History'!H17=0),"",'Price History'!H18/'Price History'!H17-1),"")</f>
        <v>-8.8963383187209422E-3</v>
      </c>
      <c r="I17" s="76">
        <f>IFERROR(IF(OR(NOT(ISNUMBER('Price History'!I18)),NOT(ISNUMBER('Price History'!I17)),'Price History'!I17=0),"",'Price History'!I18/'Price History'!I17-1),"")</f>
        <v>-3.0831643002028342E-2</v>
      </c>
      <c r="J17" s="76">
        <f>IFERROR(IF(OR(NOT(ISNUMBER('Price History'!J18)),NOT(ISNUMBER('Price History'!J17)),'Price History'!J17=0),"",'Price History'!J18/'Price History'!J17-1),"")</f>
        <v>1.7534296356863877E-2</v>
      </c>
      <c r="K17" s="76">
        <f>IFERROR(IF(OR(NOT(ISNUMBER('Price History'!K18)),NOT(ISNUMBER('Price History'!K17)),'Price History'!K17=0),"",'Price History'!K18/'Price History'!K17-1),"")</f>
        <v>-6.2957540263543166E-2</v>
      </c>
      <c r="L17" s="76">
        <f>IFERROR(IF(OR(NOT(ISNUMBER('Price History'!L18)),NOT(ISNUMBER('Price History'!L17)),'Price History'!L17=0),"",'Price History'!L18/'Price History'!L17-1),"")</f>
        <v>-1.7573810002008416E-2</v>
      </c>
      <c r="M17" s="76">
        <f>IFERROR(IF(OR(NOT(ISNUMBER('Price History'!M18)),NOT(ISNUMBER('Price History'!M17)),'Price History'!M17=0),"",'Price History'!M18/'Price History'!M17-1),"")</f>
        <v>-1.4091014091014098E-2</v>
      </c>
      <c r="N17" s="76">
        <f>IFERROR(IF(OR(NOT(ISNUMBER('Price History'!N18)),NOT(ISNUMBER('Price History'!N17)),'Price History'!N17=0),"",'Price History'!N18/'Price History'!N17-1),"")</f>
        <v>7.2467902995720923E-3</v>
      </c>
      <c r="O17" s="76">
        <f>IFERROR(IF(OR(NOT(ISNUMBER('Price History'!O18)),NOT(ISNUMBER('Price History'!O17)),'Price History'!O17=0),"",'Price History'!O18/'Price History'!O17-1),"")</f>
        <v>1.2475049900206869E-4</v>
      </c>
      <c r="P17" s="76" t="str">
        <f>IFERROR(IF(OR(NOT(ISNUMBER('Price History'!P18)),NOT(ISNUMBER('Price History'!P17)),'Price History'!P17=0),"",'Price History'!P18/'Price History'!P17-1),"")</f>
        <v/>
      </c>
      <c r="Q17" s="76">
        <f>IFERROR(IF(OR(NOT(ISNUMBER('Price History'!Q18)),NOT(ISNUMBER('Price History'!Q17)),'Price History'!Q17=0),"",'Price History'!Q18/'Price History'!Q17-1),"")</f>
        <v>9.8765432098766315E-3</v>
      </c>
      <c r="R17" s="76">
        <f>IFERROR(IF(OR(NOT(ISNUMBER('Price History'!R18)),NOT(ISNUMBER('Price History'!R17)),'Price History'!R17=0),"",'Price History'!R18/'Price History'!R17-1),"")</f>
        <v>5.3093730855624521E-3</v>
      </c>
      <c r="S17" s="76">
        <f>IFERROR(IF(OR(NOT(ISNUMBER('Price History'!S18)),NOT(ISNUMBER('Price History'!S17)),'Price History'!S17=0),"",'Price History'!S18/'Price History'!S17-1),"")</f>
        <v>5.5114281082833116E-3</v>
      </c>
      <c r="T17" s="76">
        <f>IFERROR(IF(OR(NOT(ISNUMBER('Price History'!T18)),NOT(ISNUMBER('Price History'!T17)),'Price History'!T17=0),"",'Price History'!T18/'Price History'!T17-1),"")</f>
        <v>7.1455434373826066E-3</v>
      </c>
      <c r="U17" s="76" t="str">
        <f>IFERROR(IF(OR(NOT(ISNUMBER('Price History'!U18)),NOT(ISNUMBER('Price History'!U17)),'Price History'!U17=0),"",'Price History'!U18/'Price History'!U17-1),"")</f>
        <v/>
      </c>
      <c r="W17" s="77">
        <f>'Price History'!B3+('Price History'!B158-'Price History'!B3)*0.0909090909090909</f>
        <v>484.99181818181819</v>
      </c>
      <c r="X17" s="77">
        <f>'Price History'!C3+('Price History'!C158-'Price History'!C3)*0.0909090909090909</f>
        <v>56.159090909090907</v>
      </c>
      <c r="Y17" s="77">
        <f>'Price History'!D3+('Price History'!D158-'Price History'!D3)*0.0909090909090909</f>
        <v>749.70909090909083</v>
      </c>
      <c r="Z17" s="77">
        <f>'Price History'!E3+('Price History'!E158-'Price History'!E3)*0.0909090909090909</f>
        <v>110.82545454545453</v>
      </c>
      <c r="AA17" s="77">
        <f>'Price History'!F3+('Price History'!F158-'Price History'!F3)*0.0909090909090909</f>
        <v>51.041818181818186</v>
      </c>
      <c r="AB17" s="77">
        <f>'Price History'!G3+('Price History'!G158-'Price History'!G3)*0.0909090909090909</f>
        <v>60.165454545454537</v>
      </c>
      <c r="AC17" s="77">
        <f>'Price History'!H3+('Price History'!H158-'Price History'!H3)*0.0909090909090909</f>
        <v>133.33909090909088</v>
      </c>
      <c r="AD17" s="77">
        <f>'Price History'!I3+('Price History'!I158-'Price History'!I3)*0.0909090909090909</f>
        <v>55.38636363636364</v>
      </c>
      <c r="AE17" s="77">
        <f>'Price History'!J3+('Price History'!J158-'Price History'!J3)*0.0909090909090909</f>
        <v>125.42818181818183</v>
      </c>
      <c r="AF17" s="77">
        <f>'Price History'!K3+('Price History'!K158-'Price History'!K3)*0.0909090909090909</f>
        <v>25.196363636363635</v>
      </c>
      <c r="AG17" s="77">
        <f>'Price History'!L3+('Price History'!L158-'Price History'!L3)*0.0909090909090909</f>
        <v>120.37727272727273</v>
      </c>
      <c r="AH17" s="77">
        <f>'Price History'!M3+('Price History'!M158-'Price History'!M3)*0.0909090909090909</f>
        <v>52.424545454545452</v>
      </c>
      <c r="AI17" s="77">
        <f>'Price History'!N3+('Price History'!N158-'Price History'!N3)*0.0909090909090909</f>
        <v>361.42727272727274</v>
      </c>
      <c r="AJ17" s="77">
        <f>'Price History'!O3+('Price History'!O158-'Price History'!O3)*0.0909090909090909</f>
        <v>86.707272727272724</v>
      </c>
      <c r="AK17" s="77">
        <f>'Price History'!Q3+('Price History'!Q151-'Price History'!Q3)*0.0909090909090909</f>
        <v>51.531818181818188</v>
      </c>
      <c r="AL17" s="77">
        <f>'Price History'!R3+('Price History'!R158-'Price History'!R3)*0.0909090909090909</f>
        <v>48.768181818181816</v>
      </c>
      <c r="AM17" s="77">
        <f>'Price History'!S3+('Price History'!S158-'Price History'!S3)*0.0909090909090909</f>
        <v>66.293636363636367</v>
      </c>
      <c r="AN17" s="77">
        <f>'Price History'!T3+('Price History'!T158-'Price History'!T3)*0.0909090909090909</f>
        <v>28.985454545454544</v>
      </c>
    </row>
    <row r="18" spans="1:40" ht="15" customHeight="1" x14ac:dyDescent="0.2">
      <c r="A18" s="55">
        <f>IF('Price History'!A19="","",'Price History'!A19)</f>
        <v>45261</v>
      </c>
      <c r="B18" s="76">
        <f>IFERROR(IF(OR(NOT(ISNUMBER('Price History'!B19)),NOT(ISNUMBER('Price History'!B18)),'Price History'!B18=0),"",'Price History'!B19/'Price History'!B18-1),"")</f>
        <v>-1.1236136448024681E-2</v>
      </c>
      <c r="C18" s="76">
        <f>IFERROR(IF(OR(NOT(ISNUMBER('Price History'!C19)),NOT(ISNUMBER('Price History'!C18)),'Price History'!C18=0),"",'Price History'!C19/'Price History'!C18-1),"")</f>
        <v>-8.058608058608141E-3</v>
      </c>
      <c r="D18" s="76">
        <f>IFERROR(IF(OR(NOT(ISNUMBER('Price History'!D19)),NOT(ISNUMBER('Price History'!D18)),'Price History'!D18=0),"",'Price History'!D19/'Price History'!D18-1),"")</f>
        <v>1.4757371451721291E-3</v>
      </c>
      <c r="E18" s="76">
        <f>IFERROR(IF(OR(NOT(ISNUMBER('Price History'!E19)),NOT(ISNUMBER('Price History'!E18)),'Price History'!E18=0),"",'Price History'!E19/'Price History'!E18-1),"")</f>
        <v>-4.995403003371135E-2</v>
      </c>
      <c r="F18" s="76">
        <f>IFERROR(IF(OR(NOT(ISNUMBER('Price History'!F19)),NOT(ISNUMBER('Price History'!F18)),'Price History'!F18=0),"",'Price History'!F19/'Price History'!F18-1),"")</f>
        <v>0.11562559331687861</v>
      </c>
      <c r="G18" s="76">
        <f>IFERROR(IF(OR(NOT(ISNUMBER('Price History'!G19)),NOT(ISNUMBER('Price History'!G18)),'Price History'!G18=0),"",'Price History'!G19/'Price History'!G18-1),"")</f>
        <v>-1.1879049676025932E-2</v>
      </c>
      <c r="H18" s="76">
        <f>IFERROR(IF(OR(NOT(ISNUMBER('Price History'!H19)),NOT(ISNUMBER('Price History'!H18)),'Price History'!H18=0),"",'Price History'!H19/'Price History'!H18-1),"")</f>
        <v>-1.2228437621959132E-2</v>
      </c>
      <c r="I18" s="76">
        <f>IFERROR(IF(OR(NOT(ISNUMBER('Price History'!I19)),NOT(ISNUMBER('Price History'!I18)),'Price History'!I18=0),"",'Price History'!I19/'Price History'!I18-1),"")</f>
        <v>-2.1138551695269903E-2</v>
      </c>
      <c r="J18" s="76">
        <f>IFERROR(IF(OR(NOT(ISNUMBER('Price History'!J19)),NOT(ISNUMBER('Price History'!J18)),'Price History'!J18=0),"",'Price History'!J19/'Price History'!J18-1),"")</f>
        <v>5.5892857142857189E-2</v>
      </c>
      <c r="K18" s="76">
        <f>IFERROR(IF(OR(NOT(ISNUMBER('Price History'!K19)),NOT(ISNUMBER('Price History'!K18)),'Price History'!K18=0),"",'Price History'!K19/'Price History'!K18-1),"")</f>
        <v>5.5729166666666607E-2</v>
      </c>
      <c r="L18" s="76">
        <f>IFERROR(IF(OR(NOT(ISNUMBER('Price History'!L19)),NOT(ISNUMBER('Price History'!L18)),'Price History'!L18=0),"",'Price History'!L19/'Price History'!L18-1),"")</f>
        <v>7.3597056117755688E-3</v>
      </c>
      <c r="M18" s="76">
        <f>IFERROR(IF(OR(NOT(ISNUMBER('Price History'!M19)),NOT(ISNUMBER('Price History'!M18)),'Price History'!M18=0),"",'Price History'!M19/'Price History'!M18-1),"")</f>
        <v>5.7638238050609303E-2</v>
      </c>
      <c r="N18" s="76">
        <f>IFERROR(IF(OR(NOT(ISNUMBER('Price History'!N19)),NOT(ISNUMBER('Price History'!N18)),'Price History'!N18=0),"",'Price History'!N19/'Price History'!N18-1),"")</f>
        <v>-5.3251756174937936E-3</v>
      </c>
      <c r="O18" s="76">
        <f>IFERROR(IF(OR(NOT(ISNUMBER('Price History'!O19)),NOT(ISNUMBER('Price History'!O18)),'Price History'!O18=0),"",'Price History'!O19/'Price History'!O18-1),"")</f>
        <v>3.3553698390919262E-2</v>
      </c>
      <c r="P18" s="76" t="str">
        <f>IFERROR(IF(OR(NOT(ISNUMBER('Price History'!P19)),NOT(ISNUMBER('Price History'!P18)),'Price History'!P18=0),"",'Price History'!P19/'Price History'!P18-1),"")</f>
        <v/>
      </c>
      <c r="Q18" s="76">
        <f>IFERROR(IF(OR(NOT(ISNUMBER('Price History'!Q19)),NOT(ISNUMBER('Price History'!Q18)),'Price History'!Q18=0),"",'Price History'!Q19/'Price History'!Q18-1),"")</f>
        <v>5.8303554636072175E-3</v>
      </c>
      <c r="R18" s="76">
        <f>IFERROR(IF(OR(NOT(ISNUMBER('Price History'!R19)),NOT(ISNUMBER('Price History'!R18)),'Price History'!R18=0),"",'Price History'!R19/'Price History'!R18-1),"")</f>
        <v>-6.7032297379646666E-3</v>
      </c>
      <c r="S18" s="76">
        <f>IFERROR(IF(OR(NOT(ISNUMBER('Price History'!S19)),NOT(ISNUMBER('Price History'!S18)),'Price History'!S18=0),"",'Price History'!S19/'Price History'!S18-1),"")</f>
        <v>-2.256972432693849E-3</v>
      </c>
      <c r="T18" s="76">
        <f>IFERROR(IF(OR(NOT(ISNUMBER('Price History'!T19)),NOT(ISNUMBER('Price History'!T18)),'Price History'!T18=0),"",'Price History'!T19/'Price History'!T18-1),"")</f>
        <v>1.344286781179993E-2</v>
      </c>
      <c r="U18" s="76" t="str">
        <f>IFERROR(IF(OR(NOT(ISNUMBER('Price History'!U19)),NOT(ISNUMBER('Price History'!U18)),'Price History'!U18=0),"",'Price History'!U19/'Price History'!U18-1),"")</f>
        <v/>
      </c>
      <c r="W18" s="77">
        <f>'Price History'!B3+('Price History'!B158-'Price History'!B3)*0.0974025974025974</f>
        <v>483.31623376623378</v>
      </c>
      <c r="X18" s="77">
        <f>'Price History'!C3+('Price History'!C158-'Price History'!C3)*0.0974025974025974</f>
        <v>57.046168831168828</v>
      </c>
      <c r="Y18" s="77">
        <f>'Price History'!D3+('Price History'!D158-'Price History'!D3)*0.0974025974025974</f>
        <v>755.98974025974019</v>
      </c>
      <c r="Z18" s="77">
        <f>'Price History'!E3+('Price History'!E158-'Price History'!E3)*0.0974025974025974</f>
        <v>112.81441558441558</v>
      </c>
      <c r="AA18" s="77">
        <f>'Price History'!F3+('Price History'!F158-'Price History'!F3)*0.0974025974025974</f>
        <v>52.040519480519478</v>
      </c>
      <c r="AB18" s="77">
        <f>'Price History'!G3+('Price History'!G158-'Price History'!G3)*0.0974025974025974</f>
        <v>61.041558441558436</v>
      </c>
      <c r="AC18" s="77">
        <f>'Price History'!H3+('Price History'!H158-'Price History'!H3)*0.0974025974025974</f>
        <v>138.26545454545453</v>
      </c>
      <c r="AD18" s="77">
        <f>'Price History'!I3+('Price History'!I158-'Price History'!I3)*0.0974025974025974</f>
        <v>56.424675324675327</v>
      </c>
      <c r="AE18" s="77">
        <f>'Price History'!J3+('Price History'!J158-'Price History'!J3)*0.0974025974025974</f>
        <v>125.56519480519481</v>
      </c>
      <c r="AF18" s="77">
        <f>'Price History'!K3+('Price History'!K158-'Price History'!K3)*0.0974025974025974</f>
        <v>25.895389610389611</v>
      </c>
      <c r="AG18" s="77">
        <f>'Price History'!L3+('Price History'!L158-'Price History'!L3)*0.0974025974025974</f>
        <v>122.40493506493506</v>
      </c>
      <c r="AH18" s="77">
        <f>'Price History'!M3+('Price History'!M158-'Price History'!M3)*0.0974025974025974</f>
        <v>53.775584415584412</v>
      </c>
      <c r="AI18" s="77">
        <f>'Price History'!N3+('Price History'!N158-'Price History'!N3)*0.0974025974025974</f>
        <v>362.25350649350651</v>
      </c>
      <c r="AJ18" s="77">
        <f>'Price History'!O3+('Price History'!O158-'Price History'!O3)*0.0974025974025974</f>
        <v>86.982792207792201</v>
      </c>
      <c r="AK18" s="77">
        <f>'Price History'!Q3+('Price History'!Q151-'Price History'!Q3)*0.0974025974025974</f>
        <v>51.652662337662342</v>
      </c>
      <c r="AL18" s="77">
        <f>'Price History'!R3+('Price History'!R158-'Price History'!R3)*0.0974025974025974</f>
        <v>48.835909090909091</v>
      </c>
      <c r="AM18" s="77">
        <f>'Price History'!S3+('Price History'!S158-'Price History'!S3)*0.0974025974025974</f>
        <v>66.847467532467533</v>
      </c>
      <c r="AN18" s="77">
        <f>'Price History'!T3+('Price History'!T158-'Price History'!T3)*0.0974025974025974</f>
        <v>29.133701298701297</v>
      </c>
    </row>
    <row r="19" spans="1:40" ht="15" customHeight="1" x14ac:dyDescent="0.2">
      <c r="A19" s="55">
        <f>IF('Price History'!A20="","",'Price History'!A20)</f>
        <v>45268</v>
      </c>
      <c r="B19" s="76">
        <f>IFERROR(IF(OR(NOT(ISNUMBER('Price History'!B20)),NOT(ISNUMBER('Price History'!B19)),'Price History'!B19=0),"",'Price History'!B20/'Price History'!B19-1),"")</f>
        <v>-4.0165232582820565E-3</v>
      </c>
      <c r="C19" s="76">
        <f>IFERROR(IF(OR(NOT(ISNUMBER('Price History'!C20)),NOT(ISNUMBER('Price History'!C19)),'Price History'!C19=0),"",'Price History'!C20/'Price History'!C19-1),"")</f>
        <v>3.4158050221565706E-2</v>
      </c>
      <c r="D19" s="76">
        <f>IFERROR(IF(OR(NOT(ISNUMBER('Price History'!D20)),NOT(ISNUMBER('Price History'!D19)),'Price History'!D19=0),"",'Price History'!D20/'Price History'!D19-1),"")</f>
        <v>6.1109505923142571E-3</v>
      </c>
      <c r="E19" s="76">
        <f>IFERROR(IF(OR(NOT(ISNUMBER('Price History'!E20)),NOT(ISNUMBER('Price History'!E19)),'Price History'!E19=0),"",'Price History'!E20/'Price History'!E19-1),"")</f>
        <v>1.5376344086021509E-2</v>
      </c>
      <c r="F19" s="76">
        <f>IFERROR(IF(OR(NOT(ISNUMBER('Price History'!F20)),NOT(ISNUMBER('Price History'!F19)),'Price History'!F19=0),"",'Price History'!F20/'Price History'!F19-1),"")</f>
        <v>3.1994554118447871E-2</v>
      </c>
      <c r="G19" s="76">
        <f>IFERROR(IF(OR(NOT(ISNUMBER('Price History'!G20)),NOT(ISNUMBER('Price History'!G19)),'Price History'!G19=0),"",'Price History'!G20/'Price History'!G19-1),"")</f>
        <v>-2.6593806921675789E-2</v>
      </c>
      <c r="H19" s="76">
        <f>IFERROR(IF(OR(NOT(ISNUMBER('Price History'!H20)),NOT(ISNUMBER('Price History'!H19)),'Price History'!H19=0),"",'Price History'!H20/'Price History'!H19-1),"")</f>
        <v>-1.2774924272356269E-2</v>
      </c>
      <c r="I19" s="76">
        <f>IFERROR(IF(OR(NOT(ISNUMBER('Price History'!I20)),NOT(ISNUMBER('Price History'!I19)),'Price History'!I19=0),"",'Price History'!I20/'Price History'!I19-1),"")</f>
        <v>1.5822108189009976E-2</v>
      </c>
      <c r="J19" s="76">
        <f>IFERROR(IF(OR(NOT(ISNUMBER('Price History'!J20)),NOT(ISNUMBER('Price History'!J19)),'Price History'!J19=0),"",'Price History'!J20/'Price History'!J19-1),"")</f>
        <v>1.3444951801116156E-2</v>
      </c>
      <c r="K19" s="76">
        <f>IFERROR(IF(OR(NOT(ISNUMBER('Price History'!K20)),NOT(ISNUMBER('Price History'!K19)),'Price History'!K19=0),"",'Price History'!K20/'Price History'!K19-1),"")</f>
        <v>-0.12333497779970404</v>
      </c>
      <c r="L19" s="76">
        <f>IFERROR(IF(OR(NOT(ISNUMBER('Price History'!L20)),NOT(ISNUMBER('Price History'!L19)),'Price History'!L19=0),"",'Price History'!L20/'Price History'!L19-1),"")</f>
        <v>1.8264840182648401E-2</v>
      </c>
      <c r="M19" s="76">
        <f>IFERROR(IF(OR(NOT(ISNUMBER('Price History'!M20)),NOT(ISNUMBER('Price History'!M19)),'Price History'!M19=0),"",'Price History'!M20/'Price History'!M19-1),"")</f>
        <v>4.4306601683650859E-2</v>
      </c>
      <c r="N19" s="76">
        <f>IFERROR(IF(OR(NOT(ISNUMBER('Price History'!N20)),NOT(ISNUMBER('Price History'!N19)),'Price History'!N19=0),"",'Price History'!N20/'Price History'!N19-1),"")</f>
        <v>-2.8761817974713999E-3</v>
      </c>
      <c r="O19" s="76">
        <f>IFERROR(IF(OR(NOT(ISNUMBER('Price History'!O20)),NOT(ISNUMBER('Price History'!O19)),'Price History'!O19=0),"",'Price History'!O20/'Price History'!O19-1),"")</f>
        <v>8.3272990586531481E-3</v>
      </c>
      <c r="P19" s="76" t="str">
        <f>IFERROR(IF(OR(NOT(ISNUMBER('Price History'!P20)),NOT(ISNUMBER('Price History'!P19)),'Price History'!P19=0),"",'Price History'!P20/'Price History'!P19-1),"")</f>
        <v/>
      </c>
      <c r="Q19" s="76">
        <f>IFERROR(IF(OR(NOT(ISNUMBER('Price History'!Q20)),NOT(ISNUMBER('Price History'!Q19)),'Price History'!Q19=0),"",'Price History'!Q20/'Price History'!Q19-1),"")</f>
        <v>6.3575168287210992E-3</v>
      </c>
      <c r="R19" s="76">
        <f>IFERROR(IF(OR(NOT(ISNUMBER('Price History'!R20)),NOT(ISNUMBER('Price History'!R19)),'Price History'!R19=0),"",'Price History'!R20/'Price History'!R19-1),"")</f>
        <v>7.3619631901840066E-3</v>
      </c>
      <c r="S19" s="76">
        <f>IFERROR(IF(OR(NOT(ISNUMBER('Price History'!S20)),NOT(ISNUMBER('Price History'!S19)),'Price History'!S19=0),"",'Price History'!S20/'Price History'!S19-1),"")</f>
        <v>3.7162708030376024E-3</v>
      </c>
      <c r="T19" s="76">
        <f>IFERROR(IF(OR(NOT(ISNUMBER('Price History'!T20)),NOT(ISNUMBER('Price History'!T19)),'Price History'!T19=0),"",'Price History'!T20/'Price History'!T19-1),"")</f>
        <v>8.8430361090641174E-3</v>
      </c>
      <c r="U19" s="76" t="str">
        <f>IFERROR(IF(OR(NOT(ISNUMBER('Price History'!U20)),NOT(ISNUMBER('Price History'!U19)),'Price History'!U19=0),"",'Price History'!U20/'Price History'!U19-1),"")</f>
        <v/>
      </c>
      <c r="W19" s="77">
        <f>'Price History'!B3+('Price History'!B158-'Price History'!B3)*0.103896103896104</f>
        <v>481.64064935064931</v>
      </c>
      <c r="X19" s="77">
        <f>'Price History'!C3+('Price History'!C158-'Price History'!C3)*0.103896103896104</f>
        <v>57.93324675324677</v>
      </c>
      <c r="Y19" s="77">
        <f>'Price History'!D3+('Price History'!D158-'Price History'!D3)*0.103896103896104</f>
        <v>762.27038961038966</v>
      </c>
      <c r="Z19" s="77">
        <f>'Price History'!E3+('Price History'!E158-'Price History'!E3)*0.103896103896104</f>
        <v>114.80337662337665</v>
      </c>
      <c r="AA19" s="77">
        <f>'Price History'!F3+('Price History'!F158-'Price History'!F3)*0.103896103896104</f>
        <v>53.039220779220798</v>
      </c>
      <c r="AB19" s="77">
        <f>'Price History'!G3+('Price History'!G158-'Price History'!G3)*0.103896103896104</f>
        <v>61.91766233766235</v>
      </c>
      <c r="AC19" s="77">
        <f>'Price History'!H3+('Price History'!H158-'Price History'!H3)*0.103896103896104</f>
        <v>143.19181818181826</v>
      </c>
      <c r="AD19" s="77">
        <f>'Price History'!I3+('Price History'!I158-'Price History'!I3)*0.103896103896104</f>
        <v>57.462987012987028</v>
      </c>
      <c r="AE19" s="77">
        <f>'Price History'!J3+('Price History'!J158-'Price History'!J3)*0.103896103896104</f>
        <v>125.7022077922078</v>
      </c>
      <c r="AF19" s="77">
        <f>'Price History'!K3+('Price History'!K158-'Price History'!K3)*0.103896103896104</f>
        <v>26.594415584415596</v>
      </c>
      <c r="AG19" s="77">
        <f>'Price History'!L3+('Price History'!L158-'Price History'!L3)*0.103896103896104</f>
        <v>124.43259740259742</v>
      </c>
      <c r="AH19" s="77">
        <f>'Price History'!M3+('Price History'!M158-'Price History'!M3)*0.103896103896104</f>
        <v>55.1266233766234</v>
      </c>
      <c r="AI19" s="77">
        <f>'Price History'!N3+('Price History'!N158-'Price History'!N3)*0.103896103896104</f>
        <v>363.07974025974028</v>
      </c>
      <c r="AJ19" s="77">
        <f>'Price History'!O3+('Price History'!O158-'Price History'!O3)*0.103896103896104</f>
        <v>87.258311688311693</v>
      </c>
      <c r="AK19" s="77">
        <f>'Price History'!Q3+('Price History'!Q151-'Price History'!Q3)*0.103896103896104</f>
        <v>51.773506493506495</v>
      </c>
      <c r="AL19" s="77">
        <f>'Price History'!R3+('Price History'!R158-'Price History'!R3)*0.103896103896104</f>
        <v>48.903636363636366</v>
      </c>
      <c r="AM19" s="77">
        <f>'Price History'!S3+('Price History'!S158-'Price History'!S3)*0.103896103896104</f>
        <v>67.401298701298714</v>
      </c>
      <c r="AN19" s="77">
        <f>'Price History'!T3+('Price History'!T158-'Price History'!T3)*0.103896103896104</f>
        <v>29.281948051948056</v>
      </c>
    </row>
    <row r="20" spans="1:40" ht="15" customHeight="1" x14ac:dyDescent="0.2">
      <c r="A20" s="55">
        <f>IF('Price History'!A21="","",'Price History'!A21)</f>
        <v>45275</v>
      </c>
      <c r="B20" s="76">
        <f>IFERROR(IF(OR(NOT(ISNUMBER('Price History'!B21)),NOT(ISNUMBER('Price History'!B20)),'Price History'!B20=0),"",'Price History'!B21/'Price History'!B20-1),"")</f>
        <v>-4.1523909444107554E-2</v>
      </c>
      <c r="C20" s="76">
        <f>IFERROR(IF(OR(NOT(ISNUMBER('Price History'!C21)),NOT(ISNUMBER('Price History'!C20)),'Price History'!C20=0),"",'Price History'!C21/'Price History'!C20-1),"")</f>
        <v>5.1597928941260474E-2</v>
      </c>
      <c r="D20" s="76">
        <f>IFERROR(IF(OR(NOT(ISNUMBER('Price History'!D21)),NOT(ISNUMBER('Price History'!D20)),'Price History'!D20=0),"",'Price History'!D21/'Price History'!D20-1),"")</f>
        <v>8.1171115546429862E-2</v>
      </c>
      <c r="E20" s="76">
        <f>IFERROR(IF(OR(NOT(ISNUMBER('Price History'!E21)),NOT(ISNUMBER('Price History'!E20)),'Price History'!E20=0),"",'Price History'!E21/'Price History'!E20-1),"")</f>
        <v>0.19633591019803021</v>
      </c>
      <c r="F20" s="76">
        <f>IFERROR(IF(OR(NOT(ISNUMBER('Price History'!F21)),NOT(ISNUMBER('Price History'!F20)),'Price History'!F20=0),"",'Price History'!F21/'Price History'!F20-1),"")</f>
        <v>7.2229551451187257E-2</v>
      </c>
      <c r="G20" s="76">
        <f>IFERROR(IF(OR(NOT(ISNUMBER('Price History'!G21)),NOT(ISNUMBER('Price History'!G20)),'Price History'!G20=0),"",'Price History'!G21/'Price History'!G20-1),"")</f>
        <v>9.4872754491017952E-2</v>
      </c>
      <c r="H20" s="76">
        <f>IFERROR(IF(OR(NOT(ISNUMBER('Price History'!H21)),NOT(ISNUMBER('Price History'!H20)),'Price History'!H20=0),"",'Price History'!H21/'Price History'!H20-1),"")</f>
        <v>8.6045891141942388E-2</v>
      </c>
      <c r="I20" s="76">
        <f>IFERROR(IF(OR(NOT(ISNUMBER('Price History'!I21)),NOT(ISNUMBER('Price History'!I20)),'Price History'!I20=0),"",'Price History'!I21/'Price History'!I20-1),"")</f>
        <v>2.9046516522837296E-2</v>
      </c>
      <c r="J20" s="76">
        <f>IFERROR(IF(OR(NOT(ISNUMBER('Price History'!J21)),NOT(ISNUMBER('Price History'!J20)),'Price History'!J20=0),"",'Price History'!J21/'Price History'!J20-1),"")</f>
        <v>0.12023362536503956</v>
      </c>
      <c r="K20" s="76">
        <f>IFERROR(IF(OR(NOT(ISNUMBER('Price History'!K21)),NOT(ISNUMBER('Price History'!K20)),'Price History'!K20=0),"",'Price History'!K21/'Price History'!K20-1),"")</f>
        <v>2.4198086662915008E-2</v>
      </c>
      <c r="L20" s="76">
        <f>IFERROR(IF(OR(NOT(ISNUMBER('Price History'!L21)),NOT(ISNUMBER('Price History'!L20)),'Price History'!L20=0),"",'Price History'!L21/'Price History'!L20-1),"")</f>
        <v>2.1823617339312484E-2</v>
      </c>
      <c r="M20" s="76">
        <f>IFERROR(IF(OR(NOT(ISNUMBER('Price History'!M21)),NOT(ISNUMBER('Price History'!M20)),'Price History'!M20=0),"",'Price History'!M21/'Price History'!M20-1),"")</f>
        <v>1.2515910055154844E-2</v>
      </c>
      <c r="N20" s="76">
        <f>IFERROR(IF(OR(NOT(ISNUMBER('Price History'!N21)),NOT(ISNUMBER('Price History'!N20)),'Price History'!N20=0),"",'Price History'!N21/'Price History'!N20-1),"")</f>
        <v>0.17286877052691718</v>
      </c>
      <c r="O20" s="76">
        <f>IFERROR(IF(OR(NOT(ISNUMBER('Price History'!O21)),NOT(ISNUMBER('Price History'!O20)),'Price History'!O20=0),"",'Price History'!O21/'Price History'!O20-1),"")</f>
        <v>5.4817474566128066E-2</v>
      </c>
      <c r="P20" s="76" t="str">
        <f>IFERROR(IF(OR(NOT(ISNUMBER('Price History'!P21)),NOT(ISNUMBER('Price History'!P20)),'Price History'!P20=0),"",'Price History'!P21/'Price History'!P20-1),"")</f>
        <v/>
      </c>
      <c r="Q20" s="76">
        <f>IFERROR(IF(OR(NOT(ISNUMBER('Price History'!Q21)),NOT(ISNUMBER('Price History'!Q20)),'Price History'!Q20=0),"",'Price History'!Q21/'Price History'!Q20-1),"")</f>
        <v>1.4121144555927057E-2</v>
      </c>
      <c r="R20" s="76">
        <f>IFERROR(IF(OR(NOT(ISNUMBER('Price History'!R21)),NOT(ISNUMBER('Price History'!R20)),'Price History'!R20=0),"",'Price History'!R21/'Price History'!R20-1),"")</f>
        <v>1.5022330491270885E-2</v>
      </c>
      <c r="S20" s="76">
        <f>IFERROR(IF(OR(NOT(ISNUMBER('Price History'!S21)),NOT(ISNUMBER('Price History'!S20)),'Price History'!S20=0),"",'Price History'!S21/'Price History'!S20-1),"")</f>
        <v>3.4127495170637401E-2</v>
      </c>
      <c r="T20" s="76">
        <f>IFERROR(IF(OR(NOT(ISNUMBER('Price History'!T21)),NOT(ISNUMBER('Price History'!T20)),'Price History'!T20=0),"",'Price History'!T21/'Price History'!T20-1),"")</f>
        <v>2.7757487216946819E-2</v>
      </c>
      <c r="U20" s="76" t="str">
        <f>IFERROR(IF(OR(NOT(ISNUMBER('Price History'!U21)),NOT(ISNUMBER('Price History'!U20)),'Price History'!U20=0),"",'Price History'!U21/'Price History'!U20-1),"")</f>
        <v/>
      </c>
      <c r="W20" s="77">
        <f>'Price History'!B3+('Price History'!B158-'Price History'!B3)*0.11038961038961</f>
        <v>479.96506493506502</v>
      </c>
      <c r="X20" s="77">
        <f>'Price History'!C3+('Price History'!C158-'Price History'!C3)*0.11038961038961</f>
        <v>58.820324675324621</v>
      </c>
      <c r="Y20" s="77">
        <f>'Price History'!D3+('Price History'!D158-'Price History'!D3)*0.11038961038961</f>
        <v>768.55103896103856</v>
      </c>
      <c r="Z20" s="77">
        <f>'Price History'!E3+('Price History'!E158-'Price History'!E3)*0.11038961038961</f>
        <v>116.79233766233753</v>
      </c>
      <c r="AA20" s="77">
        <f>'Price History'!F3+('Price History'!F158-'Price History'!F3)*0.11038961038961</f>
        <v>54.037922077922019</v>
      </c>
      <c r="AB20" s="77">
        <f>'Price History'!G3+('Price History'!G158-'Price History'!G3)*0.11038961038961</f>
        <v>62.793766233766178</v>
      </c>
      <c r="AC20" s="77">
        <f>'Price History'!H3+('Price History'!H158-'Price History'!H3)*0.11038961038961</f>
        <v>148.11818181818154</v>
      </c>
      <c r="AD20" s="77">
        <f>'Price History'!I3+('Price History'!I158-'Price History'!I3)*0.11038961038961</f>
        <v>58.501298701298637</v>
      </c>
      <c r="AE20" s="77">
        <f>'Price History'!J3+('Price History'!J158-'Price History'!J3)*0.11038961038961</f>
        <v>125.83922077922078</v>
      </c>
      <c r="AF20" s="77">
        <f>'Price History'!K3+('Price History'!K158-'Price History'!K3)*0.11038961038961</f>
        <v>27.293441558441515</v>
      </c>
      <c r="AG20" s="77">
        <f>'Price History'!L3+('Price History'!L158-'Price History'!L3)*0.11038961038961</f>
        <v>126.4602597402596</v>
      </c>
      <c r="AH20" s="77">
        <f>'Price History'!M3+('Price History'!M158-'Price History'!M3)*0.11038961038961</f>
        <v>56.477662337662252</v>
      </c>
      <c r="AI20" s="77">
        <f>'Price History'!N3+('Price History'!N158-'Price History'!N3)*0.11038961038961</f>
        <v>363.90597402597399</v>
      </c>
      <c r="AJ20" s="77">
        <f>'Price History'!O3+('Price History'!O158-'Price History'!O3)*0.11038961038961</f>
        <v>87.533831168831142</v>
      </c>
      <c r="AK20" s="77">
        <f>'Price History'!Q3+('Price History'!Q151-'Price History'!Q3)*0.11038961038961</f>
        <v>51.894350649350642</v>
      </c>
      <c r="AL20" s="77">
        <f>'Price History'!R3+('Price History'!R158-'Price History'!R3)*0.11038961038961</f>
        <v>48.971363636363634</v>
      </c>
      <c r="AM20" s="77">
        <f>'Price History'!S3+('Price History'!S158-'Price History'!S3)*0.11038961038961</f>
        <v>67.955129870129838</v>
      </c>
      <c r="AN20" s="77">
        <f>'Price History'!T3+('Price History'!T158-'Price History'!T3)*0.11038961038961</f>
        <v>29.430194805194795</v>
      </c>
    </row>
    <row r="21" spans="1:40" ht="15" customHeight="1" x14ac:dyDescent="0.2">
      <c r="A21" s="55">
        <f>IF('Price History'!A22="","",'Price History'!A22)</f>
        <v>45282</v>
      </c>
      <c r="B21" s="76">
        <f>IFERROR(IF(OR(NOT(ISNUMBER('Price History'!B22)),NOT(ISNUMBER('Price History'!B21)),'Price History'!B21=0),"",'Price History'!B22/'Price History'!B21-1),"")</f>
        <v>2.4064445508654497E-2</v>
      </c>
      <c r="C21" s="76">
        <f>IFERROR(IF(OR(NOT(ISNUMBER('Price History'!C22)),NOT(ISNUMBER('Price History'!C21)),'Price History'!C21=0),"",'Price History'!C22/'Price History'!C21-1),"")</f>
        <v>1.1375212224108644E-2</v>
      </c>
      <c r="D21" s="76">
        <f>IFERROR(IF(OR(NOT(ISNUMBER('Price History'!D22)),NOT(ISNUMBER('Price History'!D21)),'Price History'!D21=0),"",'Price History'!D22/'Price History'!D21-1),"")</f>
        <v>-5.7107947301326956E-4</v>
      </c>
      <c r="E21" s="76">
        <f>IFERROR(IF(OR(NOT(ISNUMBER('Price History'!E22)),NOT(ISNUMBER('Price History'!E21)),'Price History'!E21=0),"",'Price History'!E22/'Price History'!E21-1),"")</f>
        <v>-6.8159688412852137E-3</v>
      </c>
      <c r="F21" s="76">
        <f>IFERROR(IF(OR(NOT(ISNUMBER('Price History'!F22)),NOT(ISNUMBER('Price History'!F21)),'Price History'!F21=0),"",'Price History'!F22/'Price History'!F21-1),"")</f>
        <v>-1.7071670255306093E-2</v>
      </c>
      <c r="G21" s="76">
        <f>IFERROR(IF(OR(NOT(ISNUMBER('Price History'!G22)),NOT(ISNUMBER('Price History'!G21)),'Price History'!G21=0),"",'Price History'!G22/'Price History'!G21-1),"")</f>
        <v>-4.1018629294137243E-3</v>
      </c>
      <c r="H21" s="76">
        <f>IFERROR(IF(OR(NOT(ISNUMBER('Price History'!H22)),NOT(ISNUMBER('Price History'!H21)),'Price History'!H21=0),"",'Price History'!H22/'Price History'!H21-1),"")</f>
        <v>6.240019653605211E-2</v>
      </c>
      <c r="I21" s="76">
        <f>IFERROR(IF(OR(NOT(ISNUMBER('Price History'!I22)),NOT(ISNUMBER('Price History'!I21)),'Price History'!I21=0),"",'Price History'!I22/'Price History'!I21-1),"")</f>
        <v>-1.227244835344643E-3</v>
      </c>
      <c r="J21" s="76">
        <f>IFERROR(IF(OR(NOT(ISNUMBER('Price History'!J22)),NOT(ISNUMBER('Price History'!J21)),'Price History'!J21=0),"",'Price History'!J22/'Price History'!J21-1),"")</f>
        <v>-1.3853716669149252E-2</v>
      </c>
      <c r="K21" s="76">
        <f>IFERROR(IF(OR(NOT(ISNUMBER('Price History'!K22)),NOT(ISNUMBER('Price History'!K21)),'Price History'!K21=0),"",'Price History'!K22/'Price History'!K21-1),"")</f>
        <v>-4.3406593406593363E-2</v>
      </c>
      <c r="L21" s="76">
        <f>IFERROR(IF(OR(NOT(ISNUMBER('Price History'!L22)),NOT(ISNUMBER('Price History'!L21)),'Price History'!L21=0),"",'Price History'!L22/'Price History'!L21-1),"")</f>
        <v>5.9488979910278239E-3</v>
      </c>
      <c r="M21" s="76">
        <f>IFERROR(IF(OR(NOT(ISNUMBER('Price History'!M22)),NOT(ISNUMBER('Price History'!M21)),'Price History'!M21=0),"",'Price History'!M22/'Price History'!M21-1),"")</f>
        <v>2.1998742928975634E-2</v>
      </c>
      <c r="N21" s="76">
        <f>IFERROR(IF(OR(NOT(ISNUMBER('Price History'!N22)),NOT(ISNUMBER('Price History'!N21)),'Price History'!N21=0),"",'Price History'!N22/'Price History'!N21-1),"")</f>
        <v>-1.3221973312554813E-2</v>
      </c>
      <c r="O21" s="76">
        <f>IFERROR(IF(OR(NOT(ISNUMBER('Price History'!O22)),NOT(ISNUMBER('Price History'!O21)),'Price History'!O21=0),"",'Price History'!O22/'Price History'!O21-1),"")</f>
        <v>2.2693747872461145E-2</v>
      </c>
      <c r="P21" s="76" t="str">
        <f>IFERROR(IF(OR(NOT(ISNUMBER('Price History'!P22)),NOT(ISNUMBER('Price History'!P21)),'Price History'!P21=0),"",'Price History'!P22/'Price History'!P21-1),"")</f>
        <v/>
      </c>
      <c r="Q21" s="76">
        <f>IFERROR(IF(OR(NOT(ISNUMBER('Price History'!Q22)),NOT(ISNUMBER('Price History'!Q21)),'Price History'!Q21=0),"",'Price History'!Q22/'Price History'!Q21-1),"")</f>
        <v>4.3972150971052226E-3</v>
      </c>
      <c r="R21" s="76">
        <f>IFERROR(IF(OR(NOT(ISNUMBER('Price History'!R22)),NOT(ISNUMBER('Price History'!R21)),'Price History'!R21=0),"",'Price History'!R22/'Price History'!R21-1),"")</f>
        <v>3.1999999999998696E-3</v>
      </c>
      <c r="S21" s="76">
        <f>IFERROR(IF(OR(NOT(ISNUMBER('Price History'!S22)),NOT(ISNUMBER('Price History'!S21)),'Price History'!S21=0),"",'Price History'!S22/'Price History'!S21-1),"")</f>
        <v>1.2453300124533273E-2</v>
      </c>
      <c r="T21" s="76">
        <f>IFERROR(IF(OR(NOT(ISNUMBER('Price History'!T22)),NOT(ISNUMBER('Price History'!T21)),'Price History'!T21=0),"",'Price History'!T22/'Price History'!T21-1),"")</f>
        <v>9.5948827292111627E-3</v>
      </c>
      <c r="U21" s="76" t="str">
        <f>IFERROR(IF(OR(NOT(ISNUMBER('Price History'!U22)),NOT(ISNUMBER('Price History'!U21)),'Price History'!U21=0),"",'Price History'!U22/'Price History'!U21-1),"")</f>
        <v/>
      </c>
      <c r="W21" s="77">
        <f>'Price History'!B3+('Price History'!B158-'Price History'!B3)*0.116883116883117</f>
        <v>478.28948051948049</v>
      </c>
      <c r="X21" s="77">
        <f>'Price History'!C3+('Price History'!C158-'Price History'!C3)*0.116883116883117</f>
        <v>59.707402597402613</v>
      </c>
      <c r="Y21" s="77">
        <f>'Price History'!D3+('Price History'!D158-'Price History'!D3)*0.116883116883117</f>
        <v>774.83168831168837</v>
      </c>
      <c r="Z21" s="77">
        <f>'Price History'!E3+('Price History'!E158-'Price History'!E3)*0.116883116883117</f>
        <v>118.78129870129874</v>
      </c>
      <c r="AA21" s="77">
        <f>'Price History'!F3+('Price History'!F158-'Price History'!F3)*0.116883116883117</f>
        <v>55.036623376623396</v>
      </c>
      <c r="AB21" s="77">
        <f>'Price History'!G3+('Price History'!G158-'Price History'!G3)*0.116883116883117</f>
        <v>63.669870129870141</v>
      </c>
      <c r="AC21" s="77">
        <f>'Price History'!H3+('Price History'!H158-'Price History'!H3)*0.116883116883117</f>
        <v>153.04454545454553</v>
      </c>
      <c r="AD21" s="77">
        <f>'Price History'!I3+('Price History'!I158-'Price History'!I3)*0.116883116883117</f>
        <v>59.539610389610417</v>
      </c>
      <c r="AE21" s="77">
        <f>'Price History'!J3+('Price History'!J158-'Price History'!J3)*0.116883116883117</f>
        <v>125.97623376623378</v>
      </c>
      <c r="AF21" s="77">
        <f>'Price History'!K3+('Price History'!K158-'Price History'!K3)*0.116883116883117</f>
        <v>27.992467532467547</v>
      </c>
      <c r="AG21" s="77">
        <f>'Price History'!L3+('Price History'!L158-'Price History'!L3)*0.116883116883117</f>
        <v>128.48792207792212</v>
      </c>
      <c r="AH21" s="77">
        <f>'Price History'!M3+('Price History'!M158-'Price History'!M3)*0.116883116883117</f>
        <v>57.828701298701318</v>
      </c>
      <c r="AI21" s="77">
        <f>'Price History'!N3+('Price History'!N158-'Price History'!N3)*0.116883116883117</f>
        <v>364.73220779220782</v>
      </c>
      <c r="AJ21" s="77">
        <f>'Price History'!O3+('Price History'!O158-'Price History'!O3)*0.116883116883117</f>
        <v>87.809350649350648</v>
      </c>
      <c r="AK21" s="77">
        <f>'Price History'!Q3+('Price History'!Q151-'Price History'!Q3)*0.116883116883117</f>
        <v>52.01519480519481</v>
      </c>
      <c r="AL21" s="77">
        <f>'Price History'!R3+('Price History'!R158-'Price History'!R3)*0.116883116883117</f>
        <v>49.039090909090909</v>
      </c>
      <c r="AM21" s="77">
        <f>'Price History'!S3+('Price History'!S158-'Price History'!S3)*0.116883116883117</f>
        <v>68.508961038961047</v>
      </c>
      <c r="AN21" s="77">
        <f>'Price History'!T3+('Price History'!T158-'Price History'!T3)*0.116883116883117</f>
        <v>29.578441558441561</v>
      </c>
    </row>
    <row r="22" spans="1:40" ht="15" customHeight="1" x14ac:dyDescent="0.2">
      <c r="A22" s="55">
        <f>IF('Price History'!A23="","",'Price History'!A23)</f>
        <v>45289</v>
      </c>
      <c r="B22" s="76">
        <f>IFERROR(IF(OR(NOT(ISNUMBER('Price History'!B23)),NOT(ISNUMBER('Price History'!B22)),'Price History'!B22=0),"",'Price History'!B23/'Price History'!B22-1),"")</f>
        <v>-3.5908141962421869E-3</v>
      </c>
      <c r="C22" s="76">
        <f>IFERROR(IF(OR(NOT(ISNUMBER('Price History'!C23)),NOT(ISNUMBER('Price History'!C22)),'Price History'!C22=0),"",'Price History'!C23/'Price History'!C22-1),"")</f>
        <v>-1.158301158301156E-2</v>
      </c>
      <c r="D22" s="76">
        <f>IFERROR(IF(OR(NOT(ISNUMBER('Price History'!D23)),NOT(ISNUMBER('Price History'!D22)),'Price History'!D22=0),"",'Price History'!D23/'Price History'!D22-1),"")</f>
        <v>5.8336544722470407E-3</v>
      </c>
      <c r="E22" s="76">
        <f>IFERROR(IF(OR(NOT(ISNUMBER('Price History'!E23)),NOT(ISNUMBER('Price History'!E22)),'Price History'!E22=0),"",'Price History'!E23/'Price History'!E22-1),"")</f>
        <v>-5.080213903743358E-3</v>
      </c>
      <c r="F22" s="76">
        <f>IFERROR(IF(OR(NOT(ISNUMBER('Price History'!F23)),NOT(ISNUMBER('Price History'!F22)),'Price History'!F22=0),"",'Price History'!F23/'Price History'!F22-1),"")</f>
        <v>-1.2517602879048573E-3</v>
      </c>
      <c r="G22" s="76">
        <f>IFERROR(IF(OR(NOT(ISNUMBER('Price History'!G23)),NOT(ISNUMBER('Price History'!G22)),'Price History'!G22=0),"",'Price History'!G23/'Price History'!G22-1),"")</f>
        <v>-2.402608546421825E-3</v>
      </c>
      <c r="H22" s="76">
        <f>IFERROR(IF(OR(NOT(ISNUMBER('Price History'!H23)),NOT(ISNUMBER('Price History'!H22)),'Price History'!H22=0),"",'Price History'!H23/'Price History'!H22-1),"")</f>
        <v>-1.3296334836397139E-2</v>
      </c>
      <c r="I22" s="76">
        <f>IFERROR(IF(OR(NOT(ISNUMBER('Price History'!I23)),NOT(ISNUMBER('Price History'!I22)),'Price History'!I22=0),"",'Price History'!I23/'Price History'!I22-1),"")</f>
        <v>1.4130657382756651E-2</v>
      </c>
      <c r="J22" s="76">
        <f>IFERROR(IF(OR(NOT(ISNUMBER('Price History'!J23)),NOT(ISNUMBER('Price History'!J22)),'Price History'!J22=0),"",'Price History'!J23/'Price History'!J22-1),"")</f>
        <v>6.7975830815709681E-3</v>
      </c>
      <c r="K22" s="76">
        <f>IFERROR(IF(OR(NOT(ISNUMBER('Price History'!K23)),NOT(ISNUMBER('Price History'!K22)),'Price History'!K22=0),"",'Price History'!K23/'Price History'!K22-1),"")</f>
        <v>-1.378518093049963E-2</v>
      </c>
      <c r="L22" s="76">
        <f>IFERROR(IF(OR(NOT(ISNUMBER('Price History'!L23)),NOT(ISNUMBER('Price History'!L22)),'Price History'!L22=0),"",'Price History'!L23/'Price History'!L22-1),"")</f>
        <v>8.2404265632574081E-3</v>
      </c>
      <c r="M22" s="76">
        <f>IFERROR(IF(OR(NOT(ISNUMBER('Price History'!M23)),NOT(ISNUMBER('Price History'!M22)),'Price History'!M22=0),"",'Price History'!M23/'Price History'!M22-1),"")</f>
        <v>-1.5375153751537529E-2</v>
      </c>
      <c r="N22" s="76">
        <f>IFERROR(IF(OR(NOT(ISNUMBER('Price History'!N23)),NOT(ISNUMBER('Price History'!N22)),'Price History'!N22=0),"",'Price History'!N23/'Price History'!N22-1),"")</f>
        <v>4.0468846391117363E-3</v>
      </c>
      <c r="O22" s="76">
        <f>IFERROR(IF(OR(NOT(ISNUMBER('Price History'!O23)),NOT(ISNUMBER('Price History'!O22)),'Price History'!O22=0),"",'Price History'!O23/'Price History'!O22-1),"")</f>
        <v>-3.6613780095418047E-3</v>
      </c>
      <c r="P22" s="76" t="str">
        <f>IFERROR(IF(OR(NOT(ISNUMBER('Price History'!P23)),NOT(ISNUMBER('Price History'!P22)),'Price History'!P22=0),"",'Price History'!P23/'Price History'!P22-1),"")</f>
        <v/>
      </c>
      <c r="Q22" s="76">
        <f>IFERROR(IF(OR(NOT(ISNUMBER('Price History'!Q23)),NOT(ISNUMBER('Price History'!Q22)),'Price History'!Q22=0),"",'Price History'!Q23/'Price History'!Q22-1),"")</f>
        <v>-5.4724553082815541E-3</v>
      </c>
      <c r="R22" s="76">
        <f>IFERROR(IF(OR(NOT(ISNUMBER('Price History'!R23)),NOT(ISNUMBER('Price History'!R22)),'Price History'!R22=0),"",'Price History'!R23/'Price History'!R22-1),"")</f>
        <v>-4.5853269537479147E-3</v>
      </c>
      <c r="S22" s="76">
        <f>IFERROR(IF(OR(NOT(ISNUMBER('Price History'!S23)),NOT(ISNUMBER('Price History'!S22)),'Price History'!S22=0),"",'Price History'!S23/'Price History'!S22-1),"")</f>
        <v>7.0725707257071058E-3</v>
      </c>
      <c r="T22" s="76">
        <f>IFERROR(IF(OR(NOT(ISNUMBER('Price History'!T23)),NOT(ISNUMBER('Price History'!T22)),'Price History'!T22=0),"",'Price History'!T23/'Price History'!T22-1),"")</f>
        <v>-2.4639211545230966E-3</v>
      </c>
      <c r="U22" s="76" t="str">
        <f>IFERROR(IF(OR(NOT(ISNUMBER('Price History'!U23)),NOT(ISNUMBER('Price History'!U22)),'Price History'!U22=0),"",'Price History'!U23/'Price History'!U22-1),"")</f>
        <v/>
      </c>
      <c r="W22" s="77">
        <f>'Price History'!B3+('Price History'!B158-'Price History'!B3)*0.123376623376623</f>
        <v>476.6138961038962</v>
      </c>
      <c r="X22" s="77">
        <f>'Price History'!C3+('Price History'!C158-'Price History'!C3)*0.123376623376623</f>
        <v>60.59448051948047</v>
      </c>
      <c r="Y22" s="77">
        <f>'Price History'!D3+('Price History'!D158-'Price History'!D3)*0.123376623376623</f>
        <v>781.11233766233727</v>
      </c>
      <c r="Z22" s="77">
        <f>'Price History'!E3+('Price History'!E158-'Price History'!E3)*0.123376623376623</f>
        <v>120.77025974025963</v>
      </c>
      <c r="AA22" s="77">
        <f>'Price History'!F3+('Price History'!F158-'Price History'!F3)*0.123376623376623</f>
        <v>56.035324675324617</v>
      </c>
      <c r="AB22" s="77">
        <f>'Price History'!G3+('Price History'!G158-'Price History'!G3)*0.123376623376623</f>
        <v>64.545974025973976</v>
      </c>
      <c r="AC22" s="77">
        <f>'Price History'!H3+('Price History'!H158-'Price History'!H3)*0.123376623376623</f>
        <v>157.9709090909088</v>
      </c>
      <c r="AD22" s="77">
        <f>'Price History'!I3+('Price History'!I158-'Price History'!I3)*0.123376623376623</f>
        <v>60.577922077922025</v>
      </c>
      <c r="AE22" s="77">
        <f>'Price History'!J3+('Price History'!J158-'Price History'!J3)*0.123376623376623</f>
        <v>126.11324675324676</v>
      </c>
      <c r="AF22" s="77">
        <f>'Price History'!K3+('Price History'!K158-'Price History'!K3)*0.123376623376623</f>
        <v>28.691493506493465</v>
      </c>
      <c r="AG22" s="77">
        <f>'Price History'!L3+('Price History'!L158-'Price History'!L3)*0.123376623376623</f>
        <v>130.5155844155843</v>
      </c>
      <c r="AH22" s="77">
        <f>'Price History'!M3+('Price History'!M158-'Price History'!M3)*0.123376623376623</f>
        <v>59.179740259740178</v>
      </c>
      <c r="AI22" s="77">
        <f>'Price History'!N3+('Price History'!N158-'Price History'!N3)*0.123376623376623</f>
        <v>365.55844155844153</v>
      </c>
      <c r="AJ22" s="77">
        <f>'Price History'!O3+('Price History'!O158-'Price History'!O3)*0.123376623376623</f>
        <v>88.084870129870112</v>
      </c>
      <c r="AK22" s="77">
        <f>'Price History'!Q3+('Price History'!Q151-'Price History'!Q3)*0.123376623376623</f>
        <v>52.136038961038956</v>
      </c>
      <c r="AL22" s="77">
        <f>'Price History'!R3+('Price History'!R158-'Price History'!R3)*0.123376623376623</f>
        <v>49.106818181818177</v>
      </c>
      <c r="AM22" s="77">
        <f>'Price History'!S3+('Price History'!S158-'Price History'!S3)*0.123376623376623</f>
        <v>69.062792207792171</v>
      </c>
      <c r="AN22" s="77">
        <f>'Price History'!T3+('Price History'!T158-'Price History'!T3)*0.123376623376623</f>
        <v>29.726688311688303</v>
      </c>
    </row>
    <row r="23" spans="1:40" ht="15" customHeight="1" x14ac:dyDescent="0.2">
      <c r="A23" s="55">
        <f>IF('Price History'!A24="","",'Price History'!A24)</f>
        <v>45296</v>
      </c>
      <c r="B23" s="76">
        <f>IFERROR(IF(OR(NOT(ISNUMBER('Price History'!B24)),NOT(ISNUMBER('Price History'!B23)),'Price History'!B23=0),"",'Price History'!B24/'Price History'!B23-1),"")</f>
        <v>-5.3637277908146208E-2</v>
      </c>
      <c r="C23" s="76">
        <f>IFERROR(IF(OR(NOT(ISNUMBER('Price History'!C24)),NOT(ISNUMBER('Price History'!C23)),'Price History'!C23=0),"",'Price History'!C24/'Price History'!C23-1),"")</f>
        <v>-1.9531250000000111E-2</v>
      </c>
      <c r="D23" s="76">
        <f>IFERROR(IF(OR(NOT(ISNUMBER('Price History'!D24)),NOT(ISNUMBER('Price History'!D23)),'Price History'!D23=0),"",'Price History'!D24/'Price History'!D23-1),"")</f>
        <v>-7.0786873117370308E-2</v>
      </c>
      <c r="E23" s="76">
        <f>IFERROR(IF(OR(NOT(ISNUMBER('Price History'!E24)),NOT(ISNUMBER('Price History'!E23)),'Price History'!E23=0),"",'Price History'!E24/'Price History'!E23-1),"")</f>
        <v>-6.0019707963808955E-2</v>
      </c>
      <c r="F23" s="76">
        <f>IFERROR(IF(OR(NOT(ISNUMBER('Price History'!F24)),NOT(ISNUMBER('Price History'!F23)),'Price History'!F23=0),"",'Price History'!F24/'Price History'!F23-1),"")</f>
        <v>-3.0706564311452356E-2</v>
      </c>
      <c r="G23" s="76">
        <f>IFERROR(IF(OR(NOT(ISNUMBER('Price History'!G24)),NOT(ISNUMBER('Price History'!G23)),'Price History'!G23=0),"",'Price History'!G24/'Price History'!G23-1),"")</f>
        <v>-6.36504386719422E-2</v>
      </c>
      <c r="H23" s="76">
        <f>IFERROR(IF(OR(NOT(ISNUMBER('Price History'!H24)),NOT(ISNUMBER('Price History'!H23)),'Price History'!H23=0),"",'Price History'!H24/'Price History'!H23-1),"")</f>
        <v>-2.2146707288493106E-2</v>
      </c>
      <c r="I23" s="76">
        <f>IFERROR(IF(OR(NOT(ISNUMBER('Price History'!I24)),NOT(ISNUMBER('Price History'!I23)),'Price History'!I23=0),"",'Price History'!I24/'Price History'!I23-1),"")</f>
        <v>-8.4814216478190652E-3</v>
      </c>
      <c r="J23" s="76">
        <f>IFERROR(IF(OR(NOT(ISNUMBER('Price History'!J24)),NOT(ISNUMBER('Price History'!J23)),'Price History'!J23=0),"",'Price History'!J24/'Price History'!J23-1),"")</f>
        <v>-2.0555138784696281E-2</v>
      </c>
      <c r="K23" s="76">
        <f>IFERROR(IF(OR(NOT(ISNUMBER('Price History'!K24)),NOT(ISNUMBER('Price History'!K23)),'Price History'!K23=0),"",'Price History'!K24/'Price History'!K23-1),"")</f>
        <v>-6.9306930693069368E-2</v>
      </c>
      <c r="L23" s="76">
        <f>IFERROR(IF(OR(NOT(ISNUMBER('Price History'!L24)),NOT(ISNUMBER('Price History'!L23)),'Price History'!L23=0),"",'Price History'!L24/'Price History'!L23-1),"")</f>
        <v>-4.2211538461538467E-2</v>
      </c>
      <c r="M23" s="76">
        <f>IFERROR(IF(OR(NOT(ISNUMBER('Price History'!M24)),NOT(ISNUMBER('Price History'!M23)),'Price History'!M23=0),"",'Price History'!M24/'Price History'!M23-1),"")</f>
        <v>-3.5810951488652876E-2</v>
      </c>
      <c r="N23" s="76">
        <f>IFERROR(IF(OR(NOT(ISNUMBER('Price History'!N24)),NOT(ISNUMBER('Price History'!N23)),'Price History'!N23=0),"",'Price History'!N24/'Price History'!N23-1),"")</f>
        <v>2.3618176902848509E-2</v>
      </c>
      <c r="O23" s="76">
        <f>IFERROR(IF(OR(NOT(ISNUMBER('Price History'!O24)),NOT(ISNUMBER('Price History'!O23)),'Price History'!O23=0),"",'Price History'!O24/'Price History'!O23-1),"")</f>
        <v>-2.5946547884187043E-2</v>
      </c>
      <c r="P23" s="76" t="str">
        <f>IFERROR(IF(OR(NOT(ISNUMBER('Price History'!P24)),NOT(ISNUMBER('Price History'!P23)),'Price History'!P23=0),"",'Price History'!P24/'Price History'!P23-1),"")</f>
        <v/>
      </c>
      <c r="Q23" s="76">
        <f>IFERROR(IF(OR(NOT(ISNUMBER('Price History'!Q24)),NOT(ISNUMBER('Price History'!Q23)),'Price History'!Q23=0),"",'Price History'!Q24/'Price History'!Q23-1),"")</f>
        <v>7.5201760821717034E-3</v>
      </c>
      <c r="R23" s="76">
        <f>IFERROR(IF(OR(NOT(ISNUMBER('Price History'!R24)),NOT(ISNUMBER('Price History'!R23)),'Price History'!R23=0),"",'Price History'!R24/'Price History'!R23-1),"")</f>
        <v>-1.562187061886644E-2</v>
      </c>
      <c r="S23" s="76">
        <f>IFERROR(IF(OR(NOT(ISNUMBER('Price History'!S24)),NOT(ISNUMBER('Price History'!S23)),'Price History'!S23=0),"",'Price History'!S24/'Price History'!S23-1),"")</f>
        <v>-1.0381679389313114E-2</v>
      </c>
      <c r="T23" s="76">
        <f>IFERROR(IF(OR(NOT(ISNUMBER('Price History'!T24)),NOT(ISNUMBER('Price History'!T23)),'Price History'!T23=0),"",'Price History'!T24/'Price History'!T23-1),"")</f>
        <v>1.0585744530700048E-3</v>
      </c>
      <c r="U23" s="76" t="str">
        <f>IFERROR(IF(OR(NOT(ISNUMBER('Price History'!U24)),NOT(ISNUMBER('Price History'!U23)),'Price History'!U23=0),"",'Price History'!U24/'Price History'!U23-1),"")</f>
        <v/>
      </c>
      <c r="W23" s="77">
        <f>'Price History'!B3+('Price History'!B158-'Price History'!B3)*0.12987012987013</f>
        <v>474.93831168831167</v>
      </c>
      <c r="X23" s="77">
        <f>'Price History'!C3+('Price History'!C158-'Price History'!C3)*0.12987012987013</f>
        <v>61.481558441558462</v>
      </c>
      <c r="Y23" s="77">
        <f>'Price History'!D3+('Price History'!D158-'Price History'!D3)*0.12987012987013</f>
        <v>787.39298701298708</v>
      </c>
      <c r="Z23" s="77">
        <f>'Price History'!E3+('Price History'!E158-'Price History'!E3)*0.12987012987013</f>
        <v>122.75922077922081</v>
      </c>
      <c r="AA23" s="77">
        <f>'Price History'!F3+('Price History'!F158-'Price History'!F3)*0.12987012987013</f>
        <v>57.034025974025994</v>
      </c>
      <c r="AB23" s="77">
        <f>'Price History'!G3+('Price History'!G158-'Price History'!G3)*0.12987012987013</f>
        <v>65.422077922077932</v>
      </c>
      <c r="AC23" s="77">
        <f>'Price History'!H3+('Price History'!H158-'Price History'!H3)*0.12987012987013</f>
        <v>162.89727272727282</v>
      </c>
      <c r="AD23" s="77">
        <f>'Price History'!I3+('Price History'!I158-'Price History'!I3)*0.12987012987013</f>
        <v>61.61623376623379</v>
      </c>
      <c r="AE23" s="77">
        <f>'Price History'!J3+('Price History'!J158-'Price History'!J3)*0.12987012987013</f>
        <v>126.25025974025975</v>
      </c>
      <c r="AF23" s="77">
        <f>'Price History'!K3+('Price History'!K158-'Price History'!K3)*0.12987012987013</f>
        <v>29.390519480519494</v>
      </c>
      <c r="AG23" s="77">
        <f>'Price History'!L3+('Price History'!L158-'Price History'!L3)*0.12987012987013</f>
        <v>132.54324675324679</v>
      </c>
      <c r="AH23" s="77">
        <f>'Price History'!M3+('Price History'!M158-'Price History'!M3)*0.12987012987013</f>
        <v>60.530779220779245</v>
      </c>
      <c r="AI23" s="77">
        <f>'Price History'!N3+('Price History'!N158-'Price History'!N3)*0.12987012987013</f>
        <v>366.38467532467536</v>
      </c>
      <c r="AJ23" s="77">
        <f>'Price History'!O3+('Price History'!O158-'Price History'!O3)*0.12987012987013</f>
        <v>88.360389610389618</v>
      </c>
      <c r="AK23" s="77">
        <f>'Price History'!Q3+('Price History'!Q151-'Price History'!Q3)*0.12987012987013</f>
        <v>52.256883116883124</v>
      </c>
      <c r="AL23" s="77">
        <f>'Price History'!R3+('Price History'!R158-'Price History'!R3)*0.12987012987013</f>
        <v>49.174545454545459</v>
      </c>
      <c r="AM23" s="77">
        <f>'Price History'!S3+('Price History'!S158-'Price History'!S3)*0.12987012987013</f>
        <v>69.616623376623394</v>
      </c>
      <c r="AN23" s="77">
        <f>'Price History'!T3+('Price History'!T158-'Price History'!T3)*0.12987012987013</f>
        <v>29.87493506493507</v>
      </c>
    </row>
    <row r="24" spans="1:40" ht="15" customHeight="1" x14ac:dyDescent="0.2">
      <c r="A24" s="55">
        <f>IF('Price History'!A25="","",'Price History'!A25)</f>
        <v>45303</v>
      </c>
      <c r="B24" s="76">
        <f>IFERROR(IF(OR(NOT(ISNUMBER('Price History'!B25)),NOT(ISNUMBER('Price History'!B24)),'Price History'!B24=0),"",'Price History'!B25/'Price History'!B24-1),"")</f>
        <v>5.6571023733616554E-2</v>
      </c>
      <c r="C24" s="76">
        <f>IFERROR(IF(OR(NOT(ISNUMBER('Price History'!C25)),NOT(ISNUMBER('Price History'!C24)),'Price History'!C24=0),"",'Price History'!C25/'Price History'!C24-1),"")</f>
        <v>9.1460245972631249E-2</v>
      </c>
      <c r="D24" s="76">
        <f>IFERROR(IF(OR(NOT(ISNUMBER('Price History'!D25)),NOT(ISNUMBER('Price History'!D24)),'Price History'!D24=0),"",'Price History'!D25/'Price History'!D24-1),"")</f>
        <v>1.4047260215543034E-2</v>
      </c>
      <c r="E24" s="76">
        <f>IFERROR(IF(OR(NOT(ISNUMBER('Price History'!E25)),NOT(ISNUMBER('Price History'!E24)),'Price History'!E24=0),"",'Price History'!E25/'Price History'!E24-1),"")</f>
        <v>5.5656151720194336E-2</v>
      </c>
      <c r="F24" s="76">
        <f>IFERROR(IF(OR(NOT(ISNUMBER('Price History'!F25)),NOT(ISNUMBER('Price History'!F24)),'Price History'!F24=0),"",'Price History'!F25/'Price History'!F24-1),"")</f>
        <v>0.14498141263940534</v>
      </c>
      <c r="G24" s="76">
        <f>IFERROR(IF(OR(NOT(ISNUMBER('Price History'!G25)),NOT(ISNUMBER('Price History'!G24)),'Price History'!G24=0),"",'Price History'!G25/'Price History'!G24-1),"")</f>
        <v>2.9946720558515549E-2</v>
      </c>
      <c r="H24" s="76">
        <f>IFERROR(IF(OR(NOT(ISNUMBER('Price History'!H25)),NOT(ISNUMBER('Price History'!H24)),'Price History'!H24=0),"",'Price History'!H25/'Price History'!H24-1),"")</f>
        <v>-1.2702216896345098E-2</v>
      </c>
      <c r="I24" s="76">
        <f>IFERROR(IF(OR(NOT(ISNUMBER('Price History'!I25)),NOT(ISNUMBER('Price History'!I24)),'Price History'!I24=0),"",'Price History'!I25/'Price History'!I24-1),"")</f>
        <v>0.11425661914460283</v>
      </c>
      <c r="J24" s="76">
        <f>IFERROR(IF(OR(NOT(ISNUMBER('Price History'!J25)),NOT(ISNUMBER('Price History'!J24)),'Price History'!J24=0),"",'Price History'!J25/'Price History'!J24-1),"")</f>
        <v>7.5827205882352811E-3</v>
      </c>
      <c r="K24" s="76">
        <f>IFERROR(IF(OR(NOT(ISNUMBER('Price History'!K25)),NOT(ISNUMBER('Price History'!K24)),'Price History'!K24=0),"",'Price History'!K25/'Price History'!K24-1),"")</f>
        <v>4.8811013767209088E-2</v>
      </c>
      <c r="L24" s="76">
        <f>IFERROR(IF(OR(NOT(ISNUMBER('Price History'!L25)),NOT(ISNUMBER('Price History'!L24)),'Price History'!L24=0),"",'Price History'!L25/'Price History'!L24-1),"")</f>
        <v>1.6363818893685433E-2</v>
      </c>
      <c r="M24" s="76">
        <f>IFERROR(IF(OR(NOT(ISNUMBER('Price History'!M25)),NOT(ISNUMBER('Price History'!M24)),'Price History'!M24=0),"",'Price History'!M25/'Price History'!M24-1),"")</f>
        <v>6.9315482617145374E-2</v>
      </c>
      <c r="N24" s="76">
        <f>IFERROR(IF(OR(NOT(ISNUMBER('Price History'!N25)),NOT(ISNUMBER('Price History'!N24)),'Price History'!N24=0),"",'Price History'!N25/'Price History'!N24-1),"")</f>
        <v>4.057623049219683E-2</v>
      </c>
      <c r="O24" s="76">
        <f>IFERROR(IF(OR(NOT(ISNUMBER('Price History'!O25)),NOT(ISNUMBER('Price History'!O24)),'Price History'!O24=0),"",'Price History'!O25/'Price History'!O24-1),"")</f>
        <v>-1.1318166228421078E-2</v>
      </c>
      <c r="P24" s="76" t="str">
        <f>IFERROR(IF(OR(NOT(ISNUMBER('Price History'!P25)),NOT(ISNUMBER('Price History'!P24)),'Price History'!P24=0),"",'Price History'!P25/'Price History'!P24-1),"")</f>
        <v/>
      </c>
      <c r="Q24" s="76">
        <f>IFERROR(IF(OR(NOT(ISNUMBER('Price History'!Q25)),NOT(ISNUMBER('Price History'!Q24)),'Price History'!Q24=0),"",'Price History'!Q25/'Price History'!Q24-1),"")</f>
        <v>6.1896959766976067E-3</v>
      </c>
      <c r="R24" s="76">
        <f>IFERROR(IF(OR(NOT(ISNUMBER('Price History'!R25)),NOT(ISNUMBER('Price History'!R24)),'Price History'!R24=0),"",'Price History'!R25/'Price History'!R24-1),"")</f>
        <v>2.7263479145473113E-2</v>
      </c>
      <c r="S24" s="76">
        <f>IFERROR(IF(OR(NOT(ISNUMBER('Price History'!S25)),NOT(ISNUMBER('Price History'!S24)),'Price History'!S24=0),"",'Price History'!S25/'Price History'!S24-1),"")</f>
        <v>3.116322122801618E-2</v>
      </c>
      <c r="T24" s="76">
        <f>IFERROR(IF(OR(NOT(ISNUMBER('Price History'!T25)),NOT(ISNUMBER('Price History'!T24)),'Price History'!T24=0),"",'Price History'!T25/'Price History'!T24-1),"")</f>
        <v>-2.8198801550934904E-3</v>
      </c>
      <c r="U24" s="76" t="str">
        <f>IFERROR(IF(OR(NOT(ISNUMBER('Price History'!U25)),NOT(ISNUMBER('Price History'!U24)),'Price History'!U24=0),"",'Price History'!U25/'Price History'!U24-1),"")</f>
        <v/>
      </c>
      <c r="W24" s="77">
        <f>'Price History'!B3+('Price History'!B158-'Price History'!B3)*0.136363636363636</f>
        <v>473.26272727272737</v>
      </c>
      <c r="X24" s="77">
        <f>'Price History'!C3+('Price History'!C158-'Price History'!C3)*0.136363636363636</f>
        <v>62.368636363636313</v>
      </c>
      <c r="Y24" s="77">
        <f>'Price History'!D3+('Price History'!D158-'Price History'!D3)*0.136363636363636</f>
        <v>793.67363636363598</v>
      </c>
      <c r="Z24" s="77">
        <f>'Price History'!E3+('Price History'!E158-'Price History'!E3)*0.136363636363636</f>
        <v>124.74818181818171</v>
      </c>
      <c r="AA24" s="77">
        <f>'Price History'!F3+('Price History'!F158-'Price History'!F3)*0.136363636363636</f>
        <v>58.032727272727215</v>
      </c>
      <c r="AB24" s="77">
        <f>'Price History'!G3+('Price History'!G158-'Price History'!G3)*0.136363636363636</f>
        <v>66.29818181818176</v>
      </c>
      <c r="AC24" s="77">
        <f>'Price History'!H3+('Price History'!H158-'Price History'!H3)*0.136363636363636</f>
        <v>167.82363636363607</v>
      </c>
      <c r="AD24" s="77">
        <f>'Price History'!I3+('Price History'!I158-'Price History'!I3)*0.136363636363636</f>
        <v>62.654545454545399</v>
      </c>
      <c r="AE24" s="77">
        <f>'Price History'!J3+('Price History'!J158-'Price History'!J3)*0.136363636363636</f>
        <v>126.38727272727273</v>
      </c>
      <c r="AF24" s="77">
        <f>'Price History'!K3+('Price History'!K158-'Price History'!K3)*0.136363636363636</f>
        <v>30.089545454545416</v>
      </c>
      <c r="AG24" s="77">
        <f>'Price History'!L3+('Price History'!L158-'Price History'!L3)*0.136363636363636</f>
        <v>134.57090909090897</v>
      </c>
      <c r="AH24" s="77">
        <f>'Price History'!M3+('Price History'!M158-'Price History'!M3)*0.136363636363636</f>
        <v>61.881818181818105</v>
      </c>
      <c r="AI24" s="77">
        <f>'Price History'!N3+('Price History'!N158-'Price History'!N3)*0.136363636363636</f>
        <v>367.21090909090907</v>
      </c>
      <c r="AJ24" s="77">
        <f>'Price History'!O3+('Price History'!O158-'Price History'!O3)*0.136363636363636</f>
        <v>88.635909090909067</v>
      </c>
      <c r="AK24" s="77">
        <f>'Price History'!Q3+('Price History'!Q151-'Price History'!Q3)*0.136363636363636</f>
        <v>52.37772727272727</v>
      </c>
      <c r="AL24" s="77">
        <f>'Price History'!R3+('Price History'!R158-'Price History'!R3)*0.136363636363636</f>
        <v>49.24227272727272</v>
      </c>
      <c r="AM24" s="77">
        <f>'Price History'!S3+('Price History'!S158-'Price History'!S3)*0.136363636363636</f>
        <v>70.170454545454518</v>
      </c>
      <c r="AN24" s="77">
        <f>'Price History'!T3+('Price History'!T158-'Price History'!T3)*0.136363636363636</f>
        <v>30.023181818181811</v>
      </c>
    </row>
    <row r="25" spans="1:40" ht="15" customHeight="1" x14ac:dyDescent="0.2">
      <c r="A25" s="55">
        <f>IF('Price History'!A26="","",'Price History'!A26)</f>
        <v>45310</v>
      </c>
      <c r="B25" s="76">
        <f>IFERROR(IF(OR(NOT(ISNUMBER('Price History'!B26)),NOT(ISNUMBER('Price History'!B25)),'Price History'!B25=0),"",'Price History'!B26/'Price History'!B25-1),"")</f>
        <v>2.5161766185000101E-2</v>
      </c>
      <c r="C25" s="76">
        <f>IFERROR(IF(OR(NOT(ISNUMBER('Price History'!C26)),NOT(ISNUMBER('Price History'!C25)),'Price History'!C25=0),"",'Price History'!C26/'Price History'!C25-1),"")</f>
        <v>4.5548325662593259E-2</v>
      </c>
      <c r="D25" s="76">
        <f>IFERROR(IF(OR(NOT(ISNUMBER('Price History'!D26)),NOT(ISNUMBER('Price History'!D25)),'Price History'!D25=0),"",'Price History'!D26/'Price History'!D25-1),"")</f>
        <v>6.2547320602338807E-2</v>
      </c>
      <c r="E25" s="76">
        <f>IFERROR(IF(OR(NOT(ISNUMBER('Price History'!E26)),NOT(ISNUMBER('Price History'!E25)),'Price History'!E25=0),"",'Price History'!E26/'Price History'!E25-1),"")</f>
        <v>9.3436851132978394E-2</v>
      </c>
      <c r="F25" s="76">
        <f>IFERROR(IF(OR(NOT(ISNUMBER('Price History'!F26)),NOT(ISNUMBER('Price History'!F25)),'Price History'!F25=0),"",'Price History'!F26/'Price History'!F25-1),"")</f>
        <v>2.5409373235460109E-2</v>
      </c>
      <c r="G25" s="76">
        <f>IFERROR(IF(OR(NOT(ISNUMBER('Price History'!G26)),NOT(ISNUMBER('Price History'!G25)),'Price History'!G25=0),"",'Price History'!G26/'Price History'!G25-1),"")</f>
        <v>9.3471280770602849E-2</v>
      </c>
      <c r="H25" s="76">
        <f>IFERROR(IF(OR(NOT(ISNUMBER('Price History'!H26)),NOT(ISNUMBER('Price History'!H25)),'Price History'!H25=0),"",'Price History'!H26/'Price History'!H25-1),"")</f>
        <v>6.2143464012623051E-2</v>
      </c>
      <c r="I25" s="76">
        <f>IFERROR(IF(OR(NOT(ISNUMBER('Price History'!I26)),NOT(ISNUMBER('Price History'!I25)),'Price History'!I25=0),"",'Price History'!I26/'Price History'!I25-1),"")</f>
        <v>8.7369767866934733E-2</v>
      </c>
      <c r="J25" s="76">
        <f>IFERROR(IF(OR(NOT(ISNUMBER('Price History'!J26)),NOT(ISNUMBER('Price History'!J25)),'Price History'!J25=0),"",'Price History'!J26/'Price History'!J25-1),"")</f>
        <v>-2.3641201064234285E-2</v>
      </c>
      <c r="K25" s="76">
        <f>IFERROR(IF(OR(NOT(ISNUMBER('Price History'!K26)),NOT(ISNUMBER('Price History'!K25)),'Price History'!K25=0),"",'Price History'!K26/'Price History'!K25-1),"")</f>
        <v>1.1933174224343368E-3</v>
      </c>
      <c r="L25" s="76">
        <f>IFERROR(IF(OR(NOT(ISNUMBER('Price History'!L26)),NOT(ISNUMBER('Price History'!L25)),'Price History'!L25=0),"",'Price History'!L26/'Price History'!L25-1),"")</f>
        <v>0.12801264322402228</v>
      </c>
      <c r="M25" s="76">
        <f>IFERROR(IF(OR(NOT(ISNUMBER('Price History'!M26)),NOT(ISNUMBER('Price History'!M25)),'Price History'!M25=0),"",'Price History'!M26/'Price History'!M25-1),"")</f>
        <v>8.3804523424878763E-2</v>
      </c>
      <c r="N25" s="76">
        <f>IFERROR(IF(OR(NOT(ISNUMBER('Price History'!N26)),NOT(ISNUMBER('Price History'!N25)),'Price History'!N25=0),"",'Price History'!N26/'Price History'!N25-1),"")</f>
        <v>3.737886479003194E-3</v>
      </c>
      <c r="O25" s="76">
        <f>IFERROR(IF(OR(NOT(ISNUMBER('Price History'!O26)),NOT(ISNUMBER('Price History'!O25)),'Price History'!O25=0),"",'Price History'!O26/'Price History'!O25-1),"")</f>
        <v>3.0064754856613529E-3</v>
      </c>
      <c r="P25" s="76" t="str">
        <f>IFERROR(IF(OR(NOT(ISNUMBER('Price History'!P26)),NOT(ISNUMBER('Price History'!P25)),'Price History'!P25=0),"",'Price History'!P26/'Price History'!P25-1),"")</f>
        <v/>
      </c>
      <c r="Q25" s="76">
        <f>IFERROR(IF(OR(NOT(ISNUMBER('Price History'!Q26)),NOT(ISNUMBER('Price History'!Q25)),'Price History'!Q25=0),"",'Price History'!Q26/'Price History'!Q25-1),"")</f>
        <v>7.2371992039088617E-4</v>
      </c>
      <c r="R25" s="76">
        <f>IFERROR(IF(OR(NOT(ISNUMBER('Price History'!R26)),NOT(ISNUMBER('Price History'!R25)),'Price History'!R25=0),"",'Price History'!R26/'Price History'!R25-1),"")</f>
        <v>1.7825311942958999E-2</v>
      </c>
      <c r="S25" s="76">
        <f>IFERROR(IF(OR(NOT(ISNUMBER('Price History'!S26)),NOT(ISNUMBER('Price History'!S25)),'Price History'!S25=0),"",'Price History'!S26/'Price History'!S25-1),"")</f>
        <v>2.1095152603231471E-2</v>
      </c>
      <c r="T25" s="76">
        <f>IFERROR(IF(OR(NOT(ISNUMBER('Price History'!T26)),NOT(ISNUMBER('Price History'!T25)),'Price History'!T25=0),"",'Price History'!T26/'Price History'!T25-1),"")</f>
        <v>-9.5440084835630712E-3</v>
      </c>
      <c r="U25" s="76" t="str">
        <f>IFERROR(IF(OR(NOT(ISNUMBER('Price History'!U26)),NOT(ISNUMBER('Price History'!U25)),'Price History'!U25=0),"",'Price History'!U26/'Price History'!U25-1),"")</f>
        <v/>
      </c>
      <c r="W25" s="77">
        <f>'Price History'!B3+('Price History'!B158-'Price History'!B3)*0.142857142857143</f>
        <v>471.58714285714279</v>
      </c>
      <c r="X25" s="77">
        <f>'Price History'!C3+('Price History'!C158-'Price History'!C3)*0.142857142857143</f>
        <v>63.255714285714305</v>
      </c>
      <c r="Y25" s="77">
        <f>'Price History'!D3+('Price History'!D158-'Price History'!D3)*0.142857142857143</f>
        <v>799.95428571428579</v>
      </c>
      <c r="Z25" s="77">
        <f>'Price History'!E3+('Price History'!E158-'Price History'!E3)*0.142857142857143</f>
        <v>126.73714285714289</v>
      </c>
      <c r="AA25" s="77">
        <f>'Price History'!F3+('Price History'!F158-'Price History'!F3)*0.142857142857143</f>
        <v>59.031428571428592</v>
      </c>
      <c r="AB25" s="77">
        <f>'Price History'!G3+('Price History'!G158-'Price History'!G3)*0.142857142857143</f>
        <v>67.17428571428573</v>
      </c>
      <c r="AC25" s="77">
        <f>'Price History'!H3+('Price History'!H158-'Price History'!H3)*0.142857142857143</f>
        <v>172.75000000000011</v>
      </c>
      <c r="AD25" s="77">
        <f>'Price History'!I3+('Price History'!I158-'Price History'!I3)*0.142857142857143</f>
        <v>63.692857142857164</v>
      </c>
      <c r="AE25" s="77">
        <f>'Price History'!J3+('Price History'!J158-'Price History'!J3)*0.142857142857143</f>
        <v>126.52428571428572</v>
      </c>
      <c r="AF25" s="77">
        <f>'Price History'!K3+('Price History'!K158-'Price History'!K3)*0.142857142857143</f>
        <v>30.788571428571444</v>
      </c>
      <c r="AG25" s="77">
        <f>'Price History'!L3+('Price History'!L158-'Price History'!L3)*0.142857142857143</f>
        <v>136.59857142857146</v>
      </c>
      <c r="AH25" s="77">
        <f>'Price History'!M3+('Price History'!M158-'Price History'!M3)*0.142857142857143</f>
        <v>63.232857142857171</v>
      </c>
      <c r="AI25" s="77">
        <f>'Price History'!N3+('Price History'!N158-'Price History'!N3)*0.142857142857143</f>
        <v>368.0371428571429</v>
      </c>
      <c r="AJ25" s="77">
        <f>'Price History'!O3+('Price History'!O158-'Price History'!O3)*0.142857142857143</f>
        <v>88.911428571428573</v>
      </c>
      <c r="AK25" s="77">
        <f>'Price History'!Q3+('Price History'!Q151-'Price History'!Q3)*0.142857142857143</f>
        <v>52.498571428571438</v>
      </c>
      <c r="AL25" s="77">
        <f>'Price History'!R3+('Price History'!R158-'Price History'!R3)*0.142857142857143</f>
        <v>49.31</v>
      </c>
      <c r="AM25" s="77">
        <f>'Price History'!S3+('Price History'!S158-'Price History'!S3)*0.142857142857143</f>
        <v>70.724285714285728</v>
      </c>
      <c r="AN25" s="77">
        <f>'Price History'!T3+('Price History'!T158-'Price History'!T3)*0.142857142857143</f>
        <v>30.171428571428574</v>
      </c>
    </row>
    <row r="26" spans="1:40" ht="15" customHeight="1" x14ac:dyDescent="0.2">
      <c r="A26" s="55">
        <f>IF('Price History'!A27="","",'Price History'!A27)</f>
        <v>45317</v>
      </c>
      <c r="B26" s="76">
        <f>IFERROR(IF(OR(NOT(ISNUMBER('Price History'!B27)),NOT(ISNUMBER('Price History'!B26)),'Price History'!B26=0),"",'Price History'!B27/'Price History'!B26-1),"")</f>
        <v>3.891750470116806E-3</v>
      </c>
      <c r="C26" s="76">
        <f>IFERROR(IF(OR(NOT(ISNUMBER('Price History'!C27)),NOT(ISNUMBER('Price History'!C26)),'Price History'!C26=0),"",'Price History'!C27/'Price History'!C26-1),"")</f>
        <v>3.3394049787491831E-3</v>
      </c>
      <c r="D26" s="76">
        <f>IFERROR(IF(OR(NOT(ISNUMBER('Price History'!D27)),NOT(ISNUMBER('Price History'!D26)),'Price History'!D26=0),"",'Price History'!D27/'Price History'!D26-1),"")</f>
        <v>0.14504572265547666</v>
      </c>
      <c r="E26" s="76">
        <f>IFERROR(IF(OR(NOT(ISNUMBER('Price History'!E27)),NOT(ISNUMBER('Price History'!E26)),'Price History'!E26=0),"",'Price History'!E27/'Price History'!E26-1),"")</f>
        <v>-5.201453104359377E-3</v>
      </c>
      <c r="F26" s="76">
        <f>IFERROR(IF(OR(NOT(ISNUMBER('Price History'!F27)),NOT(ISNUMBER('Price History'!F26)),'Price History'!F26=0),"",'Price History'!F27/'Price History'!F26-1),"")</f>
        <v>-8.2599118942738858E-4</v>
      </c>
      <c r="G26" s="76">
        <f>IFERROR(IF(OR(NOT(ISNUMBER('Price History'!G27)),NOT(ISNUMBER('Price History'!G26)),'Price History'!G26=0),"",'Price History'!G27/'Price History'!G26-1),"")</f>
        <v>-2.2185970636215302E-2</v>
      </c>
      <c r="H26" s="76">
        <f>IFERROR(IF(OR(NOT(ISNUMBER('Price History'!H27)),NOT(ISNUMBER('Price History'!H26)),'Price History'!H26=0),"",'Price History'!H27/'Price History'!H26-1),"")</f>
        <v>6.1707233459031841E-3</v>
      </c>
      <c r="I26" s="76">
        <f>IFERROR(IF(OR(NOT(ISNUMBER('Price History'!I27)),NOT(ISNUMBER('Price History'!I26)),'Price History'!I26=0),"",'Price History'!I27/'Price History'!I26-1),"")</f>
        <v>2.588670364767176E-2</v>
      </c>
      <c r="J26" s="76">
        <f>IFERROR(IF(OR(NOT(ISNUMBER('Price History'!J27)),NOT(ISNUMBER('Price History'!J26)),'Price History'!J26=0),"",'Price History'!J27/'Price History'!J26-1),"")</f>
        <v>-1.2223606353160998E-2</v>
      </c>
      <c r="K26" s="76">
        <f>IFERROR(IF(OR(NOT(ISNUMBER('Price History'!K27)),NOT(ISNUMBER('Price History'!K26)),'Price History'!K26=0),"",'Price History'!K27/'Price History'!K26-1),"")</f>
        <v>-2.5625744934445804E-2</v>
      </c>
      <c r="L26" s="76">
        <f>IFERROR(IF(OR(NOT(ISNUMBER('Price History'!L27)),NOT(ISNUMBER('Price History'!L26)),'Price History'!L26=0),"",'Price History'!L27/'Price History'!L26-1),"")</f>
        <v>2.6795096322241641E-2</v>
      </c>
      <c r="M26" s="76">
        <f>IFERROR(IF(OR(NOT(ISNUMBER('Price History'!M27)),NOT(ISNUMBER('Price History'!M26)),'Price History'!M26=0),"",'Price History'!M27/'Price History'!M26-1),"")</f>
        <v>-3.9128004471772337E-3</v>
      </c>
      <c r="N26" s="76">
        <f>IFERROR(IF(OR(NOT(ISNUMBER('Price History'!N27)),NOT(ISNUMBER('Price History'!N26)),'Price History'!N26=0),"",'Price History'!N27/'Price History'!N26-1),"")</f>
        <v>-1.1148912693669133E-2</v>
      </c>
      <c r="O26" s="76">
        <f>IFERROR(IF(OR(NOT(ISNUMBER('Price History'!O27)),NOT(ISNUMBER('Price History'!O26)),'Price History'!O26=0),"",'Price History'!O27/'Price History'!O26-1),"")</f>
        <v>2.3518561217431566E-2</v>
      </c>
      <c r="P26" s="76" t="str">
        <f>IFERROR(IF(OR(NOT(ISNUMBER('Price History'!P27)),NOT(ISNUMBER('Price History'!P26)),'Price History'!P26=0),"",'Price History'!P27/'Price History'!P26-1),"")</f>
        <v/>
      </c>
      <c r="Q26" s="76">
        <f>IFERROR(IF(OR(NOT(ISNUMBER('Price History'!Q27)),NOT(ISNUMBER('Price History'!Q26)),'Price History'!Q26=0),"",'Price History'!Q27/'Price History'!Q26-1),"")</f>
        <v>1.8079913216406673E-4</v>
      </c>
      <c r="R26" s="76">
        <f>IFERROR(IF(OR(NOT(ISNUMBER('Price History'!R27)),NOT(ISNUMBER('Price History'!R26)),'Price History'!R26=0),"",'Price History'!R27/'Price History'!R26-1),"")</f>
        <v>7.7836154893948795E-3</v>
      </c>
      <c r="S26" s="76">
        <f>IFERROR(IF(OR(NOT(ISNUMBER('Price History'!S27)),NOT(ISNUMBER('Price History'!S26)),'Price History'!S26=0),"",'Price History'!S27/'Price History'!S26-1),"")</f>
        <v>1.611721611721606E-2</v>
      </c>
      <c r="T26" s="76">
        <f>IFERROR(IF(OR(NOT(ISNUMBER('Price History'!T27)),NOT(ISNUMBER('Price History'!T26)),'Price History'!T26=0),"",'Price History'!T27/'Price History'!T26-1),"")</f>
        <v>8.2084225553176182E-3</v>
      </c>
      <c r="U26" s="76" t="str">
        <f>IFERROR(IF(OR(NOT(ISNUMBER('Price History'!U27)),NOT(ISNUMBER('Price History'!U26)),'Price History'!U26=0),"",'Price History'!U27/'Price History'!U26-1),"")</f>
        <v/>
      </c>
      <c r="W26" s="77">
        <f>'Price History'!B3+('Price History'!B158-'Price History'!B3)*0.149350649350649</f>
        <v>469.91155844155855</v>
      </c>
      <c r="X26" s="77">
        <f>'Price History'!C3+('Price History'!C158-'Price History'!C3)*0.149350649350649</f>
        <v>64.142792207792155</v>
      </c>
      <c r="Y26" s="77">
        <f>'Price History'!D3+('Price History'!D158-'Price History'!D3)*0.149350649350649</f>
        <v>806.23493506493469</v>
      </c>
      <c r="Z26" s="77">
        <f>'Price History'!E3+('Price History'!E158-'Price History'!E3)*0.149350649350649</f>
        <v>128.72610389610378</v>
      </c>
      <c r="AA26" s="77">
        <f>'Price History'!F3+('Price History'!F158-'Price History'!F3)*0.149350649350649</f>
        <v>60.030129870129826</v>
      </c>
      <c r="AB26" s="77">
        <f>'Price History'!G3+('Price History'!G158-'Price History'!G3)*0.149350649350649</f>
        <v>68.050389610389558</v>
      </c>
      <c r="AC26" s="77">
        <f>'Price History'!H3+('Price History'!H158-'Price History'!H3)*0.149350649350649</f>
        <v>177.67636363636336</v>
      </c>
      <c r="AD26" s="77">
        <f>'Price History'!I3+('Price History'!I158-'Price History'!I3)*0.149350649350649</f>
        <v>64.731168831168787</v>
      </c>
      <c r="AE26" s="77">
        <f>'Price History'!J3+('Price History'!J158-'Price History'!J3)*0.149350649350649</f>
        <v>126.6612987012987</v>
      </c>
      <c r="AF26" s="77">
        <f>'Price History'!K3+('Price History'!K158-'Price History'!K3)*0.149350649350649</f>
        <v>31.487597402597366</v>
      </c>
      <c r="AG26" s="77">
        <f>'Price History'!L3+('Price History'!L158-'Price History'!L3)*0.149350649350649</f>
        <v>138.62623376623367</v>
      </c>
      <c r="AH26" s="77">
        <f>'Price History'!M3+('Price History'!M158-'Price History'!M3)*0.149350649350649</f>
        <v>64.583896103896024</v>
      </c>
      <c r="AI26" s="77">
        <f>'Price History'!N3+('Price History'!N158-'Price History'!N3)*0.149350649350649</f>
        <v>368.86337662337661</v>
      </c>
      <c r="AJ26" s="77">
        <f>'Price History'!O3+('Price History'!O158-'Price History'!O3)*0.149350649350649</f>
        <v>89.186948051948036</v>
      </c>
      <c r="AK26" s="77">
        <f>'Price History'!Q3+('Price History'!Q151-'Price History'!Q3)*0.149350649350649</f>
        <v>52.619415584415584</v>
      </c>
      <c r="AL26" s="77">
        <f>'Price History'!R3+('Price History'!R158-'Price History'!R3)*0.149350649350649</f>
        <v>49.37772727272727</v>
      </c>
      <c r="AM26" s="77">
        <f>'Price History'!S3+('Price History'!S158-'Price History'!S3)*0.149350649350649</f>
        <v>71.278116883116851</v>
      </c>
      <c r="AN26" s="77">
        <f>'Price History'!T3+('Price History'!T158-'Price History'!T3)*0.149350649350649</f>
        <v>30.319675324675316</v>
      </c>
    </row>
    <row r="27" spans="1:40" ht="15" customHeight="1" x14ac:dyDescent="0.2">
      <c r="A27" s="55">
        <f>IF('Price History'!A28="","",'Price History'!A28)</f>
        <v>45324</v>
      </c>
      <c r="B27" s="76">
        <f>IFERROR(IF(OR(NOT(ISNUMBER('Price History'!B28)),NOT(ISNUMBER('Price History'!B27)),'Price History'!B27=0),"",'Price History'!B28/'Price History'!B27-1),"")</f>
        <v>3.3928949554509646E-2</v>
      </c>
      <c r="C27" s="76">
        <f>IFERROR(IF(OR(NOT(ISNUMBER('Price History'!C28)),NOT(ISNUMBER('Price History'!C27)),'Price History'!C27=0),"",'Price History'!C28/'Price History'!C27-1),"")</f>
        <v>3.2980332829046999E-2</v>
      </c>
      <c r="D27" s="76">
        <f>IFERROR(IF(OR(NOT(ISNUMBER('Price History'!D28)),NOT(ISNUMBER('Price History'!D27)),'Price History'!D27=0),"",'Price History'!D28/'Price History'!D27-1),"")</f>
        <v>2.6401613367905474E-2</v>
      </c>
      <c r="E27" s="76">
        <f>IFERROR(IF(OR(NOT(ISNUMBER('Price History'!E28)),NOT(ISNUMBER('Price History'!E27)),'Price History'!E27=0),"",'Price History'!E28/'Price History'!E27-1),"")</f>
        <v>1.6100921238277222E-2</v>
      </c>
      <c r="F27" s="76">
        <f>IFERROR(IF(OR(NOT(ISNUMBER('Price History'!F28)),NOT(ISNUMBER('Price History'!F27)),'Price History'!F27=0),"",'Price History'!F28/'Price History'!F27-1),"")</f>
        <v>4.5604849820887416E-2</v>
      </c>
      <c r="G27" s="76">
        <f>IFERROR(IF(OR(NOT(ISNUMBER('Price History'!G28)),NOT(ISNUMBER('Price History'!G27)),'Price History'!G27=0),"",'Price History'!G28/'Price History'!G27-1),"")</f>
        <v>8.1748415081748238E-3</v>
      </c>
      <c r="H27" s="76">
        <f>IFERROR(IF(OR(NOT(ISNUMBER('Price History'!H28)),NOT(ISNUMBER('Price History'!H27)),'Price History'!H27=0),"",'Price History'!H28/'Price History'!H27-1),"")</f>
        <v>-1.7830777967064115E-2</v>
      </c>
      <c r="I27" s="76">
        <f>IFERROR(IF(OR(NOT(ISNUMBER('Price History'!I28)),NOT(ISNUMBER('Price History'!I27)),'Price History'!I27=0),"",'Price History'!I28/'Price History'!I27-1),"")</f>
        <v>8.4057021137145638E-2</v>
      </c>
      <c r="J27" s="76">
        <f>IFERROR(IF(OR(NOT(ISNUMBER('Price History'!J28)),NOT(ISNUMBER('Price History'!J27)),'Price History'!J27=0),"",'Price History'!J28/'Price History'!J27-1),"")</f>
        <v>1.875935997477729E-2</v>
      </c>
      <c r="K27" s="76">
        <f>IFERROR(IF(OR(NOT(ISNUMBER('Price History'!K28)),NOT(ISNUMBER('Price History'!K27)),'Price History'!K27=0),"",'Price History'!K28/'Price History'!K27-1),"")</f>
        <v>4.0978593272171127E-2</v>
      </c>
      <c r="L27" s="76">
        <f>IFERROR(IF(OR(NOT(ISNUMBER('Price History'!L28)),NOT(ISNUMBER('Price History'!L27)),'Price History'!L27=0),"",'Price History'!L28/'Price History'!L27-1),"")</f>
        <v>-1.2877366535903212E-2</v>
      </c>
      <c r="M27" s="76">
        <f>IFERROR(IF(OR(NOT(ISNUMBER('Price History'!M28)),NOT(ISNUMBER('Price History'!M27)),'Price History'!M27=0),"",'Price History'!M28/'Price History'!M27-1),"")</f>
        <v>0.14983164983164987</v>
      </c>
      <c r="N27" s="76">
        <f>IFERROR(IF(OR(NOT(ISNUMBER('Price History'!N28)),NOT(ISNUMBER('Price History'!N27)),'Price History'!N27=0),"",'Price History'!N28/'Price History'!N27-1),"")</f>
        <v>-1.2762396261942976E-2</v>
      </c>
      <c r="O27" s="76">
        <f>IFERROR(IF(OR(NOT(ISNUMBER('Price History'!O28)),NOT(ISNUMBER('Price History'!O27)),'Price History'!O27=0),"",'Price History'!O28/'Price History'!O27-1),"")</f>
        <v>-1.8697904933543508E-2</v>
      </c>
      <c r="P27" s="76" t="str">
        <f>IFERROR(IF(OR(NOT(ISNUMBER('Price History'!P28)),NOT(ISNUMBER('Price History'!P27)),'Price History'!P27=0),"",'Price History'!P28/'Price History'!P27-1),"")</f>
        <v/>
      </c>
      <c r="Q27" s="76">
        <f>IFERROR(IF(OR(NOT(ISNUMBER('Price History'!Q28)),NOT(ISNUMBER('Price History'!Q27)),'Price History'!Q27=0),"",'Price History'!Q28/'Price History'!Q27-1),"")</f>
        <v>1.1026753434562497E-2</v>
      </c>
      <c r="R27" s="76">
        <f>IFERROR(IF(OR(NOT(ISNUMBER('Price History'!R28)),NOT(ISNUMBER('Price History'!R27)),'Price History'!R27=0),"",'Price History'!R28/'Price History'!R27-1),"")</f>
        <v>2.8963120293492572E-3</v>
      </c>
      <c r="S27" s="76">
        <f>IFERROR(IF(OR(NOT(ISNUMBER('Price History'!S28)),NOT(ISNUMBER('Price History'!S27)),'Price History'!S27=0),"",'Price History'!S28/'Price History'!S27-1),"")</f>
        <v>4.5710165825522786E-2</v>
      </c>
      <c r="T27" s="76">
        <f>IFERROR(IF(OR(NOT(ISNUMBER('Price History'!T28)),NOT(ISNUMBER('Price History'!T27)),'Price History'!T27=0),"",'Price History'!T28/'Price History'!T27-1),"")</f>
        <v>9.5575221238937136E-3</v>
      </c>
      <c r="U27" s="76" t="str">
        <f>IFERROR(IF(OR(NOT(ISNUMBER('Price History'!U28)),NOT(ISNUMBER('Price History'!U27)),'Price History'!U27=0),"",'Price History'!U28/'Price History'!U27-1),"")</f>
        <v/>
      </c>
      <c r="W27" s="77">
        <f>'Price History'!B3+('Price History'!B158-'Price History'!B3)*0.155844155844156</f>
        <v>468.23597402597397</v>
      </c>
      <c r="X27" s="77">
        <f>'Price History'!C3+('Price History'!C158-'Price History'!C3)*0.155844155844156</f>
        <v>65.029870129870147</v>
      </c>
      <c r="Y27" s="77">
        <f>'Price History'!D3+('Price History'!D158-'Price History'!D3)*0.155844155844156</f>
        <v>812.5155844155845</v>
      </c>
      <c r="Z27" s="77">
        <f>'Price History'!E3+('Price History'!E158-'Price History'!E3)*0.155844155844156</f>
        <v>130.71506493506499</v>
      </c>
      <c r="AA27" s="77">
        <f>'Price History'!F3+('Price History'!F158-'Price History'!F3)*0.155844155844156</f>
        <v>61.028831168831196</v>
      </c>
      <c r="AB27" s="77">
        <f>'Price History'!G3+('Price History'!G158-'Price History'!G3)*0.155844155844156</f>
        <v>68.926493506493529</v>
      </c>
      <c r="AC27" s="77">
        <f>'Price History'!H3+('Price History'!H158-'Price History'!H3)*0.155844155844156</f>
        <v>182.60272727272741</v>
      </c>
      <c r="AD27" s="77">
        <f>'Price History'!I3+('Price History'!I158-'Price History'!I3)*0.155844155844156</f>
        <v>65.769480519480553</v>
      </c>
      <c r="AE27" s="77">
        <f>'Price History'!J3+('Price History'!J158-'Price History'!J3)*0.155844155844156</f>
        <v>126.7983116883117</v>
      </c>
      <c r="AF27" s="77">
        <f>'Price History'!K3+('Price History'!K158-'Price History'!K3)*0.155844155844156</f>
        <v>32.186623376623395</v>
      </c>
      <c r="AG27" s="77">
        <f>'Price History'!L3+('Price History'!L158-'Price History'!L3)*0.155844155844156</f>
        <v>140.65389610389616</v>
      </c>
      <c r="AH27" s="77">
        <f>'Price History'!M3+('Price History'!M158-'Price History'!M3)*0.155844155844156</f>
        <v>65.934935064935104</v>
      </c>
      <c r="AI27" s="77">
        <f>'Price History'!N3+('Price History'!N158-'Price History'!N3)*0.155844155844156</f>
        <v>369.68961038961044</v>
      </c>
      <c r="AJ27" s="77">
        <f>'Price History'!O3+('Price History'!O158-'Price History'!O3)*0.155844155844156</f>
        <v>89.462467532467542</v>
      </c>
      <c r="AK27" s="77">
        <f>'Price History'!Q3+('Price History'!Q151-'Price History'!Q3)*0.155844155844156</f>
        <v>52.740259740259745</v>
      </c>
      <c r="AL27" s="77">
        <f>'Price History'!R3+('Price History'!R158-'Price History'!R3)*0.155844155844156</f>
        <v>49.445454545454545</v>
      </c>
      <c r="AM27" s="77">
        <f>'Price History'!S3+('Price History'!S158-'Price History'!S3)*0.155844155844156</f>
        <v>71.831948051948075</v>
      </c>
      <c r="AN27" s="77">
        <f>'Price History'!T3+('Price History'!T158-'Price History'!T3)*0.155844155844156</f>
        <v>30.467922077922083</v>
      </c>
    </row>
    <row r="28" spans="1:40" ht="15" customHeight="1" x14ac:dyDescent="0.2">
      <c r="A28" s="55">
        <f>IF('Price History'!A29="","",'Price History'!A29)</f>
        <v>45331</v>
      </c>
      <c r="B28" s="76">
        <f>IFERROR(IF(OR(NOT(ISNUMBER('Price History'!B29)),NOT(ISNUMBER('Price History'!B28)),'Price History'!B28=0),"",'Price History'!B29/'Price History'!B28-1),"")</f>
        <v>-1.1894259247589578E-2</v>
      </c>
      <c r="C28" s="76">
        <f>IFERROR(IF(OR(NOT(ISNUMBER('Price History'!C29)),NOT(ISNUMBER('Price History'!C28)),'Price History'!C28=0),"",'Price History'!C29/'Price History'!C28-1),"")</f>
        <v>3.4124194493263094E-2</v>
      </c>
      <c r="D28" s="76">
        <f>IFERROR(IF(OR(NOT(ISNUMBER('Price History'!D29)),NOT(ISNUMBER('Price History'!D28)),'Price History'!D28=0),"",'Price History'!D29/'Price History'!D28-1),"")</f>
        <v>6.6175645027283236E-2</v>
      </c>
      <c r="E28" s="76">
        <f>IFERROR(IF(OR(NOT(ISNUMBER('Price History'!E29)),NOT(ISNUMBER('Price History'!E28)),'Price History'!E28=0),"",'Price History'!E29/'Price History'!E28-1),"")</f>
        <v>4.827248223474645E-2</v>
      </c>
      <c r="F28" s="76">
        <f>IFERROR(IF(OR(NOT(ISNUMBER('Price History'!F29)),NOT(ISNUMBER('Price History'!F28)),'Price History'!F28=0),"",'Price History'!F29/'Price History'!F28-1),"")</f>
        <v>8.499143497166961E-2</v>
      </c>
      <c r="G28" s="76">
        <f>IFERROR(IF(OR(NOT(ISNUMBER('Price History'!G29)),NOT(ISNUMBER('Price History'!G28)),'Price History'!G28=0),"",'Price History'!G29/'Price History'!G28-1),"")</f>
        <v>7.5293728280655392E-2</v>
      </c>
      <c r="H28" s="76">
        <f>IFERROR(IF(OR(NOT(ISNUMBER('Price History'!H29)),NOT(ISNUMBER('Price History'!H28)),'Price History'!H28=0),"",'Price History'!H29/'Price History'!H28-1),"")</f>
        <v>-1.0638297872340496E-2</v>
      </c>
      <c r="I28" s="76">
        <f>IFERROR(IF(OR(NOT(ISNUMBER('Price History'!I29)),NOT(ISNUMBER('Price History'!I28)),'Price History'!I28=0),"",'Price History'!I29/'Price History'!I28-1),"")</f>
        <v>9.0235792019347061E-2</v>
      </c>
      <c r="J28" s="76">
        <f>IFERROR(IF(OR(NOT(ISNUMBER('Price History'!J29)),NOT(ISNUMBER('Price History'!J28)),'Price History'!J28=0),"",'Price History'!J29/'Price History'!J28-1),"")</f>
        <v>2.499032882011587E-2</v>
      </c>
      <c r="K28" s="76">
        <f>IFERROR(IF(OR(NOT(ISNUMBER('Price History'!K29)),NOT(ISNUMBER('Price History'!K28)),'Price History'!K28=0),"",'Price History'!K29/'Price History'!K28-1),"")</f>
        <v>0.43243243243243246</v>
      </c>
      <c r="L28" s="76">
        <f>IFERROR(IF(OR(NOT(ISNUMBER('Price History'!L29)),NOT(ISNUMBER('Price History'!L28)),'Price History'!L28=0),"",'Price History'!L29/'Price History'!L28-1),"")</f>
        <v>0.14997840172786181</v>
      </c>
      <c r="M28" s="76">
        <f>IFERROR(IF(OR(NOT(ISNUMBER('Price History'!M29)),NOT(ISNUMBER('Price History'!M28)),'Price History'!M28=0),"",'Price History'!M29/'Price History'!M28-1),"")</f>
        <v>3.3349601431592824E-2</v>
      </c>
      <c r="N28" s="76">
        <f>IFERROR(IF(OR(NOT(ISNUMBER('Price History'!N29)),NOT(ISNUMBER('Price History'!N28)),'Price History'!N28=0),"",'Price History'!N29/'Price History'!N28-1),"")</f>
        <v>-4.1678440237354897E-3</v>
      </c>
      <c r="O28" s="76">
        <f>IFERROR(IF(OR(NOT(ISNUMBER('Price History'!O29)),NOT(ISNUMBER('Price History'!O28)),'Price History'!O28=0),"",'Price History'!O29/'Price History'!O28-1),"")</f>
        <v>9.0679522497703058E-3</v>
      </c>
      <c r="P28" s="76" t="str">
        <f>IFERROR(IF(OR(NOT(ISNUMBER('Price History'!P29)),NOT(ISNUMBER('Price History'!P28)),'Price History'!P28=0),"",'Price History'!P29/'Price History'!P28-1),"")</f>
        <v/>
      </c>
      <c r="Q28" s="76">
        <f>IFERROR(IF(OR(NOT(ISNUMBER('Price History'!Q29)),NOT(ISNUMBER('Price History'!Q28)),'Price History'!Q28=0),"",'Price History'!Q29/'Price History'!Q28-1),"")</f>
        <v>7.1517968889689421E-4</v>
      </c>
      <c r="R28" s="76">
        <f>IFERROR(IF(OR(NOT(ISNUMBER('Price History'!R29)),NOT(ISNUMBER('Price History'!R28)),'Price History'!R28=0),"",'Price History'!R29/'Price History'!R28-1),"")</f>
        <v>1.0589141316904138E-2</v>
      </c>
      <c r="S28" s="76">
        <f>IFERROR(IF(OR(NOT(ISNUMBER('Price History'!S29)),NOT(ISNUMBER('Price History'!S28)),'Price History'!S28=0),"",'Price History'!S29/'Price History'!S28-1),"")</f>
        <v>2.385548814120253E-2</v>
      </c>
      <c r="T28" s="76">
        <f>IFERROR(IF(OR(NOT(ISNUMBER('Price History'!T29)),NOT(ISNUMBER('Price History'!T28)),'Price History'!T28=0),"",'Price History'!T29/'Price History'!T28-1),"")</f>
        <v>3.8569424964935983E-3</v>
      </c>
      <c r="U28" s="76" t="str">
        <f>IFERROR(IF(OR(NOT(ISNUMBER('Price History'!U29)),NOT(ISNUMBER('Price History'!U28)),'Price History'!U28=0),"",'Price History'!U29/'Price History'!U28-1),"")</f>
        <v/>
      </c>
      <c r="W28" s="77">
        <f>'Price History'!B3+('Price History'!B158-'Price History'!B3)*0.162337662337662</f>
        <v>466.56038961038968</v>
      </c>
      <c r="X28" s="77">
        <f>'Price History'!C3+('Price History'!C158-'Price History'!C3)*0.162337662337662</f>
        <v>65.916948051947998</v>
      </c>
      <c r="Y28" s="77">
        <f>'Price History'!D3+('Price History'!D158-'Price History'!D3)*0.162337662337662</f>
        <v>818.7962337662334</v>
      </c>
      <c r="Z28" s="77">
        <f>'Price History'!E3+('Price History'!E158-'Price History'!E3)*0.162337662337662</f>
        <v>132.70402597402585</v>
      </c>
      <c r="AA28" s="77">
        <f>'Price History'!F3+('Price History'!F158-'Price History'!F3)*0.162337662337662</f>
        <v>62.027532467532424</v>
      </c>
      <c r="AB28" s="77">
        <f>'Price History'!G3+('Price History'!G158-'Price History'!G3)*0.162337662337662</f>
        <v>69.802597402597357</v>
      </c>
      <c r="AC28" s="77">
        <f>'Price History'!H3+('Price History'!H158-'Price History'!H3)*0.162337662337662</f>
        <v>187.52909090909066</v>
      </c>
      <c r="AD28" s="77">
        <f>'Price History'!I3+('Price History'!I158-'Price History'!I3)*0.162337662337662</f>
        <v>66.807792207792161</v>
      </c>
      <c r="AE28" s="77">
        <f>'Price History'!J3+('Price History'!J158-'Price History'!J3)*0.162337662337662</f>
        <v>126.93532467532468</v>
      </c>
      <c r="AF28" s="77">
        <f>'Price History'!K3+('Price History'!K158-'Price History'!K3)*0.162337662337662</f>
        <v>32.885649350649317</v>
      </c>
      <c r="AG28" s="77">
        <f>'Price History'!L3+('Price History'!L158-'Price History'!L3)*0.162337662337662</f>
        <v>142.68155844155834</v>
      </c>
      <c r="AH28" s="77">
        <f>'Price History'!M3+('Price History'!M158-'Price History'!M3)*0.162337662337662</f>
        <v>67.285974025973957</v>
      </c>
      <c r="AI28" s="77">
        <f>'Price History'!N3+('Price History'!N158-'Price History'!N3)*0.162337662337662</f>
        <v>370.51584415584415</v>
      </c>
      <c r="AJ28" s="77">
        <f>'Price History'!O3+('Price History'!O158-'Price History'!O3)*0.162337662337662</f>
        <v>89.737987012986991</v>
      </c>
      <c r="AK28" s="77">
        <f>'Price History'!Q3+('Price History'!Q151-'Price History'!Q3)*0.162337662337662</f>
        <v>52.861103896103891</v>
      </c>
      <c r="AL28" s="77">
        <f>'Price History'!R3+('Price History'!R158-'Price History'!R3)*0.162337662337662</f>
        <v>49.513181818181813</v>
      </c>
      <c r="AM28" s="77">
        <f>'Price History'!S3+('Price History'!S158-'Price History'!S3)*0.162337662337662</f>
        <v>72.385779220779199</v>
      </c>
      <c r="AN28" s="77">
        <f>'Price History'!T3+('Price History'!T158-'Price History'!T3)*0.162337662337662</f>
        <v>30.616168831168824</v>
      </c>
    </row>
    <row r="29" spans="1:40" ht="15" customHeight="1" x14ac:dyDescent="0.2">
      <c r="A29" s="55">
        <f>IF('Price History'!A30="","",'Price History'!A30)</f>
        <v>45338</v>
      </c>
      <c r="B29" s="76">
        <f>IFERROR(IF(OR(NOT(ISNUMBER('Price History'!B30)),NOT(ISNUMBER('Price History'!B29)),'Price History'!B29=0),"",'Price History'!B30/'Price History'!B29-1),"")</f>
        <v>-0.12842588606686767</v>
      </c>
      <c r="C29" s="76">
        <f>IFERROR(IF(OR(NOT(ISNUMBER('Price History'!C30)),NOT(ISNUMBER('Price History'!C29)),'Price History'!C29=0),"",'Price History'!C30/'Price History'!C29-1),"")</f>
        <v>-7.3219090780342722E-2</v>
      </c>
      <c r="D29" s="76">
        <f>IFERROR(IF(OR(NOT(ISNUMBER('Price History'!D30)),NOT(ISNUMBER('Price History'!D29)),'Price History'!D29=0),"",'Price History'!D30/'Price History'!D29-1),"")</f>
        <v>-2.1756529064869357E-2</v>
      </c>
      <c r="E29" s="76">
        <f>IFERROR(IF(OR(NOT(ISNUMBER('Price History'!E30)),NOT(ISNUMBER('Price History'!E29)),'Price History'!E29=0),"",'Price History'!E30/'Price History'!E29-1),"")</f>
        <v>-2.9530933458002284E-2</v>
      </c>
      <c r="F29" s="76">
        <f>IFERROR(IF(OR(NOT(ISNUMBER('Price History'!F30)),NOT(ISNUMBER('Price History'!F29)),'Price History'!F29=0),"",'Price History'!F30/'Price History'!F29-1),"")</f>
        <v>-3.6434296818077527E-4</v>
      </c>
      <c r="G29" s="76">
        <f>IFERROR(IF(OR(NOT(ISNUMBER('Price History'!G30)),NOT(ISNUMBER('Price History'!G29)),'Price History'!G29=0),"",'Price History'!G30/'Price History'!G29-1),"")</f>
        <v>1.7851646660510978E-2</v>
      </c>
      <c r="H29" s="76">
        <f>IFERROR(IF(OR(NOT(ISNUMBER('Price History'!H30)),NOT(ISNUMBER('Price History'!H29)),'Price History'!H29=0),"",'Price History'!H30/'Price History'!H29-1),"")</f>
        <v>-7.0827489481065986E-2</v>
      </c>
      <c r="I29" s="76">
        <f>IFERROR(IF(OR(NOT(ISNUMBER('Price History'!I30)),NOT(ISNUMBER('Price History'!I29)),'Price History'!I29=0),"",'Price History'!I30/'Price History'!I29-1),"")</f>
        <v>6.6546513239984506E-3</v>
      </c>
      <c r="J29" s="76">
        <f>IFERROR(IF(OR(NOT(ISNUMBER('Price History'!J30)),NOT(ISNUMBER('Price History'!J29)),'Price History'!J29=0),"",'Price History'!J30/'Price History'!J29-1),"")</f>
        <v>6.8689613526569104E-3</v>
      </c>
      <c r="K29" s="76">
        <f>IFERROR(IF(OR(NOT(ISNUMBER('Price History'!K30)),NOT(ISNUMBER('Price History'!K29)),'Price History'!K29=0),"",'Price History'!K30/'Price History'!K29-1),"")</f>
        <v>2.4610336341264194E-3</v>
      </c>
      <c r="L29" s="76">
        <f>IFERROR(IF(OR(NOT(ISNUMBER('Price History'!L30)),NOT(ISNUMBER('Price History'!L29)),'Price History'!L29=0),"",'Price History'!L30/'Price History'!L29-1),"")</f>
        <v>-4.8230786567500683E-2</v>
      </c>
      <c r="M29" s="76">
        <f>IFERROR(IF(OR(NOT(ISNUMBER('Price History'!M30)),NOT(ISNUMBER('Price History'!M29)),'Price History'!M29=0),"",'Price History'!M30/'Price History'!M29-1),"")</f>
        <v>-8.6586901763224811E-3</v>
      </c>
      <c r="N29" s="76">
        <f>IFERROR(IF(OR(NOT(ISNUMBER('Price History'!N30)),NOT(ISNUMBER('Price History'!N29)),'Price History'!N29=0),"",'Price History'!N30/'Price History'!N29-1),"")</f>
        <v>-1.6788441985293723E-3</v>
      </c>
      <c r="O29" s="76">
        <f>IFERROR(IF(OR(NOT(ISNUMBER('Price History'!O30)),NOT(ISNUMBER('Price History'!O29)),'Price History'!O29=0),"",'Price History'!O30/'Price History'!O29-1),"")</f>
        <v>7.0526675008530937E-3</v>
      </c>
      <c r="P29" s="76" t="str">
        <f>IFERROR(IF(OR(NOT(ISNUMBER('Price History'!P30)),NOT(ISNUMBER('Price History'!P29)),'Price History'!P29=0),"",'Price History'!P30/'Price History'!P29-1),"")</f>
        <v/>
      </c>
      <c r="Q29" s="76">
        <f>IFERROR(IF(OR(NOT(ISNUMBER('Price History'!Q30)),NOT(ISNUMBER('Price History'!Q29)),'Price History'!Q29=0),"",'Price History'!Q30/'Price History'!Q29-1),"")</f>
        <v>-3.7520100053600736E-3</v>
      </c>
      <c r="R29" s="76">
        <f>IFERROR(IF(OR(NOT(ISNUMBER('Price History'!R30)),NOT(ISNUMBER('Price History'!R29)),'Price History'!R29=0),"",'Price History'!R30/'Price History'!R29-1),"")</f>
        <v>-3.2387121356449722E-3</v>
      </c>
      <c r="S29" s="76">
        <f>IFERROR(IF(OR(NOT(ISNUMBER('Price History'!S30)),NOT(ISNUMBER('Price History'!S29)),'Price History'!S29=0),"",'Price History'!S30/'Price History'!S29-1),"")</f>
        <v>8.3501683501683299E-3</v>
      </c>
      <c r="T29" s="76">
        <f>IFERROR(IF(OR(NOT(ISNUMBER('Price History'!T30)),NOT(ISNUMBER('Price History'!T29)),'Price History'!T29=0),"",'Price History'!T30/'Price History'!T29-1),"")</f>
        <v>8.3828152287810376E-3</v>
      </c>
      <c r="U29" s="76" t="str">
        <f>IFERROR(IF(OR(NOT(ISNUMBER('Price History'!U30)),NOT(ISNUMBER('Price History'!U29)),'Price History'!U29=0),"",'Price History'!U30/'Price History'!U29-1),"")</f>
        <v/>
      </c>
      <c r="W29" s="77">
        <f>'Price History'!B3+('Price History'!B158-'Price History'!B3)*0.168831168831169</f>
        <v>464.88480519480515</v>
      </c>
      <c r="X29" s="77">
        <f>'Price History'!C3+('Price History'!C158-'Price History'!C3)*0.168831168831169</f>
        <v>66.80402597402599</v>
      </c>
      <c r="Y29" s="77">
        <f>'Price History'!D3+('Price History'!D158-'Price History'!D3)*0.168831168831169</f>
        <v>825.07688311688321</v>
      </c>
      <c r="Z29" s="77">
        <f>'Price History'!E3+('Price History'!E158-'Price History'!E3)*0.168831168831169</f>
        <v>134.69298701298706</v>
      </c>
      <c r="AA29" s="77">
        <f>'Price History'!F3+('Price History'!F158-'Price History'!F3)*0.168831168831169</f>
        <v>63.026233766233801</v>
      </c>
      <c r="AB29" s="77">
        <f>'Price History'!G3+('Price History'!G158-'Price History'!G3)*0.168831168831169</f>
        <v>70.678701298701313</v>
      </c>
      <c r="AC29" s="77">
        <f>'Price History'!H3+('Price History'!H158-'Price History'!H3)*0.168831168831169</f>
        <v>192.45545454545467</v>
      </c>
      <c r="AD29" s="77">
        <f>'Price History'!I3+('Price History'!I158-'Price History'!I3)*0.168831168831169</f>
        <v>67.846103896103926</v>
      </c>
      <c r="AE29" s="77">
        <f>'Price History'!J3+('Price History'!J158-'Price History'!J3)*0.168831168831169</f>
        <v>127.07233766233767</v>
      </c>
      <c r="AF29" s="77">
        <f>'Price History'!K3+('Price History'!K158-'Price History'!K3)*0.168831168831169</f>
        <v>33.584675324675345</v>
      </c>
      <c r="AG29" s="77">
        <f>'Price History'!L3+('Price History'!L158-'Price History'!L3)*0.168831168831169</f>
        <v>144.70922077922083</v>
      </c>
      <c r="AH29" s="77">
        <f>'Price History'!M3+('Price History'!M158-'Price History'!M3)*0.168831168831169</f>
        <v>68.637012987013023</v>
      </c>
      <c r="AI29" s="77">
        <f>'Price History'!N3+('Price History'!N158-'Price History'!N3)*0.168831168831169</f>
        <v>371.34207792207798</v>
      </c>
      <c r="AJ29" s="77">
        <f>'Price History'!O3+('Price History'!O158-'Price History'!O3)*0.168831168831169</f>
        <v>90.013506493506497</v>
      </c>
      <c r="AK29" s="77">
        <f>'Price History'!Q3+('Price History'!Q151-'Price History'!Q3)*0.168831168831169</f>
        <v>52.981948051948059</v>
      </c>
      <c r="AL29" s="77">
        <f>'Price History'!R3+('Price History'!R158-'Price History'!R3)*0.168831168831169</f>
        <v>49.580909090909095</v>
      </c>
      <c r="AM29" s="77">
        <f>'Price History'!S3+('Price History'!S158-'Price History'!S3)*0.168831168831169</f>
        <v>72.939610389610408</v>
      </c>
      <c r="AN29" s="77">
        <f>'Price History'!T3+('Price History'!T158-'Price History'!T3)*0.168831168831169</f>
        <v>30.764415584415588</v>
      </c>
    </row>
    <row r="30" spans="1:40" ht="15" customHeight="1" x14ac:dyDescent="0.2">
      <c r="A30" s="55">
        <f>IF('Price History'!A31="","",'Price History'!A31)</f>
        <v>45345</v>
      </c>
      <c r="B30" s="76">
        <f>IFERROR(IF(OR(NOT(ISNUMBER('Price History'!B31)),NOT(ISNUMBER('Price History'!B30)),'Price History'!B30=0),"",'Price History'!B31/'Price History'!B30-1),"")</f>
        <v>1.2402590275491399E-2</v>
      </c>
      <c r="C30" s="76">
        <f>IFERROR(IF(OR(NOT(ISNUMBER('Price History'!C31)),NOT(ISNUMBER('Price History'!C30)),'Price History'!C30=0),"",'Price History'!C31/'Price History'!C30-1),"")</f>
        <v>2.261613691931541E-2</v>
      </c>
      <c r="D30" s="76">
        <f>IFERROR(IF(OR(NOT(ISNUMBER('Price History'!D31)),NOT(ISNUMBER('Price History'!D30)),'Price History'!D30=0),"",'Price History'!D31/'Price History'!D30-1),"")</f>
        <v>4.6396968587851806E-3</v>
      </c>
      <c r="E30" s="76">
        <f>IFERROR(IF(OR(NOT(ISNUMBER('Price History'!E31)),NOT(ISNUMBER('Price History'!E30)),'Price History'!E30=0),"",'Price History'!E31/'Price History'!E30-1),"")</f>
        <v>4.0867121637896409E-2</v>
      </c>
      <c r="F30" s="76">
        <f>IFERROR(IF(OR(NOT(ISNUMBER('Price History'!F31)),NOT(ISNUMBER('Price History'!F30)),'Price History'!F30=0),"",'Price History'!F31/'Price History'!F30-1),"")</f>
        <v>-5.3942412829546815E-2</v>
      </c>
      <c r="G30" s="76">
        <f>IFERROR(IF(OR(NOT(ISNUMBER('Price History'!G31)),NOT(ISNUMBER('Price History'!G30)),'Price History'!G30=0),"",'Price History'!G31/'Price History'!G30-1),"")</f>
        <v>1.1188388267311611E-2</v>
      </c>
      <c r="H30" s="76">
        <f>IFERROR(IF(OR(NOT(ISNUMBER('Price History'!H31)),NOT(ISNUMBER('Price History'!H30)),'Price History'!H30=0),"",'Price History'!H31/'Price History'!H30-1),"")</f>
        <v>8.1761006289308158E-2</v>
      </c>
      <c r="I30" s="76">
        <f>IFERROR(IF(OR(NOT(ISNUMBER('Price History'!I31)),NOT(ISNUMBER('Price History'!I30)),'Price History'!I30=0),"",'Price History'!I31/'Price History'!I30-1),"")</f>
        <v>8.5525409723178569E-2</v>
      </c>
      <c r="J30" s="76">
        <f>IFERROR(IF(OR(NOT(ISNUMBER('Price History'!J31)),NOT(ISNUMBER('Price History'!J30)),'Price History'!J30=0),"",'Price History'!J31/'Price History'!J30-1),"")</f>
        <v>-1.3494264937400358E-3</v>
      </c>
      <c r="K30" s="76">
        <f>IFERROR(IF(OR(NOT(ISNUMBER('Price History'!K31)),NOT(ISNUMBER('Price History'!K30)),'Price History'!K30=0),"",'Price History'!K31/'Price History'!K30-1),"")</f>
        <v>-6.0147299509001773E-2</v>
      </c>
      <c r="L30" s="76">
        <f>IFERROR(IF(OR(NOT(ISNUMBER('Price History'!L31)),NOT(ISNUMBER('Price History'!L30)),'Price History'!L30=0),"",'Price History'!L31/'Price History'!L30-1),"")</f>
        <v>2.2416923198358196E-2</v>
      </c>
      <c r="M30" s="76">
        <f>IFERROR(IF(OR(NOT(ISNUMBER('Price History'!M31)),NOT(ISNUMBER('Price History'!M30)),'Price History'!M30=0),"",'Price History'!M31/'Price History'!M30-1),"")</f>
        <v>-4.2877560743210807E-3</v>
      </c>
      <c r="N30" s="76">
        <f>IFERROR(IF(OR(NOT(ISNUMBER('Price History'!N31)),NOT(ISNUMBER('Price History'!N30)),'Price History'!N30=0),"",'Price History'!N31/'Price History'!N30-1),"")</f>
        <v>1.8735196589294123E-2</v>
      </c>
      <c r="O30" s="76">
        <f>IFERROR(IF(OR(NOT(ISNUMBER('Price History'!O31)),NOT(ISNUMBER('Price History'!O30)),'Price History'!O30=0),"",'Price History'!O31/'Price History'!O30-1),"")</f>
        <v>-3.2757257426861974E-3</v>
      </c>
      <c r="P30" s="76" t="str">
        <f>IFERROR(IF(OR(NOT(ISNUMBER('Price History'!P31)),NOT(ISNUMBER('Price History'!P30)),'Price History'!P30=0),"",'Price History'!P31/'Price History'!P30-1),"")</f>
        <v/>
      </c>
      <c r="Q30" s="76">
        <f>IFERROR(IF(OR(NOT(ISNUMBER('Price History'!Q31)),NOT(ISNUMBER('Price History'!Q30)),'Price History'!Q30=0),"",'Price History'!Q31/'Price History'!Q30-1),"")</f>
        <v>-6.276901004304225E-3</v>
      </c>
      <c r="R30" s="76">
        <f>IFERROR(IF(OR(NOT(ISNUMBER('Price History'!R31)),NOT(ISNUMBER('Price History'!R30)),'Price History'!R30=0),"",'Price History'!R31/'Price History'!R30-1),"")</f>
        <v>1.261467889908241E-2</v>
      </c>
      <c r="S30" s="76">
        <f>IFERROR(IF(OR(NOT(ISNUMBER('Price History'!S31)),NOT(ISNUMBER('Price History'!S30)),'Price History'!S30=0),"",'Price History'!S31/'Price History'!S30-1),"")</f>
        <v>2.243889408307731E-2</v>
      </c>
      <c r="T30" s="76">
        <f>IFERROR(IF(OR(NOT(ISNUMBER('Price History'!T31)),NOT(ISNUMBER('Price History'!T30)),'Price History'!T30=0),"",'Price History'!T31/'Price History'!T30-1),"")</f>
        <v>2.1821960512642846E-2</v>
      </c>
      <c r="U30" s="76" t="str">
        <f>IFERROR(IF(OR(NOT(ISNUMBER('Price History'!U31)),NOT(ISNUMBER('Price History'!U30)),'Price History'!U30=0),"",'Price History'!U31/'Price History'!U30-1),"")</f>
        <v/>
      </c>
      <c r="W30" s="77">
        <f>'Price History'!B3+('Price History'!B158-'Price History'!B3)*0.175324675324675</f>
        <v>463.20922077922086</v>
      </c>
      <c r="X30" s="77">
        <f>'Price History'!C3+('Price History'!C158-'Price History'!C3)*0.175324675324675</f>
        <v>67.691103896103854</v>
      </c>
      <c r="Y30" s="77">
        <f>'Price History'!D3+('Price History'!D158-'Price History'!D3)*0.175324675324675</f>
        <v>831.35753246753211</v>
      </c>
      <c r="Z30" s="77">
        <f>'Price History'!E3+('Price History'!E158-'Price History'!E3)*0.175324675324675</f>
        <v>136.68194805194796</v>
      </c>
      <c r="AA30" s="77">
        <f>'Price History'!F3+('Price History'!F158-'Price History'!F3)*0.175324675324675</f>
        <v>64.024935064935022</v>
      </c>
      <c r="AB30" s="77">
        <f>'Price History'!G3+('Price History'!G158-'Price History'!G3)*0.175324675324675</f>
        <v>71.554805194805141</v>
      </c>
      <c r="AC30" s="77">
        <f>'Price History'!H3+('Price History'!H158-'Price History'!H3)*0.175324675324675</f>
        <v>197.38181818181792</v>
      </c>
      <c r="AD30" s="77">
        <f>'Price History'!I3+('Price History'!I158-'Price History'!I3)*0.175324675324675</f>
        <v>68.884415584415535</v>
      </c>
      <c r="AE30" s="77">
        <f>'Price History'!J3+('Price History'!J158-'Price History'!J3)*0.175324675324675</f>
        <v>127.20935064935065</v>
      </c>
      <c r="AF30" s="77">
        <f>'Price History'!K3+('Price History'!K158-'Price History'!K3)*0.175324675324675</f>
        <v>34.28370129870126</v>
      </c>
      <c r="AG30" s="77">
        <f>'Price History'!L3+('Price History'!L158-'Price History'!L3)*0.175324675324675</f>
        <v>146.73688311688301</v>
      </c>
      <c r="AH30" s="77">
        <f>'Price History'!M3+('Price History'!M158-'Price History'!M3)*0.175324675324675</f>
        <v>69.988051948051876</v>
      </c>
      <c r="AI30" s="77">
        <f>'Price History'!N3+('Price History'!N158-'Price History'!N3)*0.175324675324675</f>
        <v>372.16831168831163</v>
      </c>
      <c r="AJ30" s="77">
        <f>'Price History'!O3+('Price History'!O158-'Price History'!O3)*0.175324675324675</f>
        <v>90.289025974025961</v>
      </c>
      <c r="AK30" s="77">
        <f>'Price History'!Q3+('Price History'!Q151-'Price History'!Q3)*0.175324675324675</f>
        <v>53.102792207792206</v>
      </c>
      <c r="AL30" s="77">
        <f>'Price History'!R3+('Price History'!R158-'Price History'!R3)*0.175324675324675</f>
        <v>49.648636363636363</v>
      </c>
      <c r="AM30" s="77">
        <f>'Price History'!S3+('Price History'!S158-'Price History'!S3)*0.175324675324675</f>
        <v>73.493441558441532</v>
      </c>
      <c r="AN30" s="77">
        <f>'Price History'!T3+('Price History'!T158-'Price History'!T3)*0.175324675324675</f>
        <v>30.912662337662329</v>
      </c>
    </row>
    <row r="31" spans="1:40" ht="15" customHeight="1" x14ac:dyDescent="0.2">
      <c r="A31" s="55">
        <f>IF('Price History'!A32="","",'Price History'!A32)</f>
        <v>45352</v>
      </c>
      <c r="B31" s="76">
        <f>IFERROR(IF(OR(NOT(ISNUMBER('Price History'!B32)),NOT(ISNUMBER('Price History'!B31)),'Price History'!B31=0),"",'Price History'!B32/'Price History'!B31-1),"")</f>
        <v>3.1602341717259064E-2</v>
      </c>
      <c r="C31" s="76">
        <f>IFERROR(IF(OR(NOT(ISNUMBER('Price History'!C32)),NOT(ISNUMBER('Price History'!C31)),'Price History'!C31=0),"",'Price History'!C32/'Price History'!C31-1),"")</f>
        <v>7.5014943215780061E-2</v>
      </c>
      <c r="D31" s="76">
        <f>IFERROR(IF(OR(NOT(ISNUMBER('Price History'!D32)),NOT(ISNUMBER('Price History'!D31)),'Price History'!D31=0),"",'Price History'!D32/'Price History'!D31-1),"")</f>
        <v>6.1816233592285164E-2</v>
      </c>
      <c r="E31" s="76">
        <f>IFERROR(IF(OR(NOT(ISNUMBER('Price History'!E32)),NOT(ISNUMBER('Price History'!E31)),'Price History'!E31=0),"",'Price History'!E32/'Price History'!E31-1),"")</f>
        <v>7.9296513421783343E-2</v>
      </c>
      <c r="F31" s="76">
        <f>IFERROR(IF(OR(NOT(ISNUMBER('Price History'!F32)),NOT(ISNUMBER('Price History'!F31)),'Price History'!F31=0),"",'Price History'!F32/'Price History'!F31-1),"")</f>
        <v>1.001669449081799E-2</v>
      </c>
      <c r="G31" s="76">
        <f>IFERROR(IF(OR(NOT(ISNUMBER('Price History'!G32)),NOT(ISNUMBER('Price History'!G31)),'Price History'!G31=0),"",'Price History'!G32/'Price History'!G31-1),"")</f>
        <v>7.2966507177033568E-2</v>
      </c>
      <c r="H31" s="76">
        <f>IFERROR(IF(OR(NOT(ISNUMBER('Price History'!H32)),NOT(ISNUMBER('Price History'!H31)),'Price History'!H31=0),"",'Price History'!H32/'Price History'!H31-1),"")</f>
        <v>0.10639534883720936</v>
      </c>
      <c r="I31" s="76">
        <f>IFERROR(IF(OR(NOT(ISNUMBER('Price History'!I32)),NOT(ISNUMBER('Price History'!I31)),'Price History'!I31=0),"",'Price History'!I32/'Price History'!I31-1),"")</f>
        <v>4.3897487947221592E-2</v>
      </c>
      <c r="J31" s="76">
        <f>IFERROR(IF(OR(NOT(ISNUMBER('Price History'!J32)),NOT(ISNUMBER('Price History'!J31)),'Price History'!J31=0),"",'Price History'!J32/'Price History'!J31-1),"")</f>
        <v>1.0434652053149085E-2</v>
      </c>
      <c r="K31" s="76">
        <f>IFERROR(IF(OR(NOT(ISNUMBER('Price History'!K32)),NOT(ISNUMBER('Price History'!K31)),'Price History'!K31=0),"",'Price History'!K32/'Price History'!K31-1),"")</f>
        <v>8.5328689595124185E-2</v>
      </c>
      <c r="L31" s="76">
        <f>IFERROR(IF(OR(NOT(ISNUMBER('Price History'!L32)),NOT(ISNUMBER('Price History'!L31)),'Price History'!L31=0),"",'Price History'!L32/'Price History'!L31-1),"")</f>
        <v>3.373735814097123E-2</v>
      </c>
      <c r="M31" s="76">
        <f>IFERROR(IF(OR(NOT(ISNUMBER('Price History'!M32)),NOT(ISNUMBER('Price History'!M31)),'Price History'!M31=0),"",'Price History'!M32/'Price History'!M31-1),"")</f>
        <v>0.12551834130781492</v>
      </c>
      <c r="N31" s="76">
        <f>IFERROR(IF(OR(NOT(ISNUMBER('Price History'!N32)),NOT(ISNUMBER('Price History'!N31)),'Price History'!N31=0),"",'Price History'!N32/'Price History'!N31-1),"")</f>
        <v>6.161214573016105E-3</v>
      </c>
      <c r="O31" s="76">
        <f>IFERROR(IF(OR(NOT(ISNUMBER('Price History'!O32)),NOT(ISNUMBER('Price History'!O31)),'Price History'!O31=0),"",'Price History'!O32/'Price History'!O31-1),"")</f>
        <v>1.575249320036276E-2</v>
      </c>
      <c r="P31" s="76" t="str">
        <f>IFERROR(IF(OR(NOT(ISNUMBER('Price History'!P32)),NOT(ISNUMBER('Price History'!P31)),'Price History'!P31=0),"",'Price History'!P32/'Price History'!P31-1),"")</f>
        <v/>
      </c>
      <c r="Q31" s="76">
        <f>IFERROR(IF(OR(NOT(ISNUMBER('Price History'!Q32)),NOT(ISNUMBER('Price History'!Q31)),'Price History'!Q31=0),"",'Price History'!Q32/'Price History'!Q31-1),"")</f>
        <v>-1.9491066594477524E-2</v>
      </c>
      <c r="R31" s="76">
        <f>IFERROR(IF(OR(NOT(ISNUMBER('Price History'!R32)),NOT(ISNUMBER('Price History'!R31)),'Price History'!R31=0),"",'Price History'!R32/'Price History'!R31-1),"")</f>
        <v>5.2850132125330518E-3</v>
      </c>
      <c r="S31" s="76">
        <f>IFERROR(IF(OR(NOT(ISNUMBER('Price History'!S32)),NOT(ISNUMBER('Price History'!S31)),'Price History'!S31=0),"",'Price History'!S32/'Price History'!S31-1),"")</f>
        <v>2.8086218158066778E-2</v>
      </c>
      <c r="T31" s="76">
        <f>IFERROR(IF(OR(NOT(ISNUMBER('Price History'!T32)),NOT(ISNUMBER('Price History'!T31)),'Price History'!T31=0),"",'Price History'!T32/'Price History'!T31-1),"")</f>
        <v>2.2033898305084731E-2</v>
      </c>
      <c r="U31" s="76" t="str">
        <f>IFERROR(IF(OR(NOT(ISNUMBER('Price History'!U32)),NOT(ISNUMBER('Price History'!U31)),'Price History'!U31=0),"",'Price History'!U32/'Price History'!U31-1),"")</f>
        <v/>
      </c>
      <c r="W31" s="77">
        <f>'Price History'!B3+('Price History'!B158-'Price History'!B3)*0.181818181818182</f>
        <v>461.53363636363633</v>
      </c>
      <c r="X31" s="77">
        <f>'Price History'!C3+('Price History'!C158-'Price History'!C3)*0.181818181818182</f>
        <v>68.578181818181832</v>
      </c>
      <c r="Y31" s="77">
        <f>'Price History'!D3+('Price History'!D158-'Price History'!D3)*0.181818181818182</f>
        <v>837.63818181818192</v>
      </c>
      <c r="Z31" s="77">
        <f>'Price History'!E3+('Price History'!E158-'Price History'!E3)*0.181818181818182</f>
        <v>138.67090909090913</v>
      </c>
      <c r="AA31" s="77">
        <f>'Price History'!F3+('Price History'!F158-'Price History'!F3)*0.181818181818182</f>
        <v>65.023636363636399</v>
      </c>
      <c r="AB31" s="77">
        <f>'Price History'!G3+('Price History'!G158-'Price History'!G3)*0.181818181818182</f>
        <v>72.430909090909111</v>
      </c>
      <c r="AC31" s="77">
        <f>'Price History'!H3+('Price History'!H158-'Price History'!H3)*0.181818181818182</f>
        <v>202.30818181818194</v>
      </c>
      <c r="AD31" s="77">
        <f>'Price History'!I3+('Price History'!I158-'Price History'!I3)*0.181818181818182</f>
        <v>69.9227272727273</v>
      </c>
      <c r="AE31" s="77">
        <f>'Price History'!J3+('Price History'!J158-'Price History'!J3)*0.181818181818182</f>
        <v>127.34636363636365</v>
      </c>
      <c r="AF31" s="77">
        <f>'Price History'!K3+('Price History'!K158-'Price History'!K3)*0.181818181818182</f>
        <v>34.982727272727288</v>
      </c>
      <c r="AG31" s="77">
        <f>'Price History'!L3+('Price History'!L158-'Price History'!L3)*0.181818181818182</f>
        <v>148.7645454545455</v>
      </c>
      <c r="AH31" s="77">
        <f>'Price History'!M3+('Price History'!M158-'Price History'!M3)*0.181818181818182</f>
        <v>71.339090909090942</v>
      </c>
      <c r="AI31" s="77">
        <f>'Price History'!N3+('Price History'!N158-'Price History'!N3)*0.181818181818182</f>
        <v>372.99454545454552</v>
      </c>
      <c r="AJ31" s="77">
        <f>'Price History'!O3+('Price History'!O158-'Price History'!O3)*0.181818181818182</f>
        <v>90.564545454545453</v>
      </c>
      <c r="AK31" s="77">
        <f>'Price History'!Q3+('Price History'!Q151-'Price History'!Q3)*0.181818181818182</f>
        <v>53.223636363636373</v>
      </c>
      <c r="AL31" s="77">
        <f>'Price History'!R3+('Price History'!R158-'Price History'!R3)*0.181818181818182</f>
        <v>49.716363636363639</v>
      </c>
      <c r="AM31" s="77">
        <f>'Price History'!S3+('Price History'!S158-'Price History'!S3)*0.181818181818182</f>
        <v>74.047272727272741</v>
      </c>
      <c r="AN31" s="77">
        <f>'Price History'!T3+('Price History'!T158-'Price History'!T3)*0.181818181818182</f>
        <v>31.060909090909096</v>
      </c>
    </row>
    <row r="32" spans="1:40" ht="15" customHeight="1" x14ac:dyDescent="0.2">
      <c r="A32" s="55">
        <f>IF('Price History'!A33="","",'Price History'!A33)</f>
        <v>45359</v>
      </c>
      <c r="B32" s="76">
        <f>IFERROR(IF(OR(NOT(ISNUMBER('Price History'!B33)),NOT(ISNUMBER('Price History'!B32)),'Price History'!B32=0),"",'Price History'!B33/'Price History'!B32-1),"")</f>
        <v>-3.3699402728880723E-2</v>
      </c>
      <c r="C32" s="76">
        <f>IFERROR(IF(OR(NOT(ISNUMBER('Price History'!C33)),NOT(ISNUMBER('Price History'!C32)),'Price History'!C32=0),"",'Price History'!C33/'Price History'!C32-1),"")</f>
        <v>-5.0875729774812251E-2</v>
      </c>
      <c r="D32" s="76">
        <f>IFERROR(IF(OR(NOT(ISNUMBER('Price History'!D33)),NOT(ISNUMBER('Price History'!D32)),'Price History'!D32=0),"",'Price History'!D33/'Price History'!D32-1),"")</f>
        <v>3.4209942075200672E-3</v>
      </c>
      <c r="E32" s="76">
        <f>IFERROR(IF(OR(NOT(ISNUMBER('Price History'!E33)),NOT(ISNUMBER('Price History'!E32)),'Price History'!E32=0),"",'Price History'!E33/'Price History'!E32-1),"")</f>
        <v>-6.4679817038307497E-2</v>
      </c>
      <c r="F32" s="76">
        <f>IFERROR(IF(OR(NOT(ISNUMBER('Price History'!F33)),NOT(ISNUMBER('Price History'!F32)),'Price History'!F32=0),"",'Price History'!F33/'Price History'!F32-1),"")</f>
        <v>2.6191989828353357E-2</v>
      </c>
      <c r="G32" s="76">
        <f>IFERROR(IF(OR(NOT(ISNUMBER('Price History'!G33)),NOT(ISNUMBER('Price History'!G32)),'Price History'!G32=0),"",'Price History'!G33/'Price History'!G32-1),"")</f>
        <v>-2.5641025641025661E-2</v>
      </c>
      <c r="H32" s="76">
        <f>IFERROR(IF(OR(NOT(ISNUMBER('Price History'!H33)),NOT(ISNUMBER('Price History'!H32)),'Price History'!H32=0),"",'Price History'!H33/'Price History'!H32-1),"")</f>
        <v>2.5959012086179678E-2</v>
      </c>
      <c r="I32" s="76">
        <f>IFERROR(IF(OR(NOT(ISNUMBER('Price History'!I33)),NOT(ISNUMBER('Price History'!I32)),'Price History'!I32=0),"",'Price History'!I33/'Price History'!I32-1),"")</f>
        <v>6.3806514341273601E-2</v>
      </c>
      <c r="J32" s="76">
        <f>IFERROR(IF(OR(NOT(ISNUMBER('Price History'!J33)),NOT(ISNUMBER('Price History'!J32)),'Price History'!J32=0),"",'Price History'!J33/'Price History'!J32-1),"")</f>
        <v>3.4918276374442669E-3</v>
      </c>
      <c r="K32" s="76">
        <f>IFERROR(IF(OR(NOT(ISNUMBER('Price History'!K33)),NOT(ISNUMBER('Price History'!K32)),'Price History'!K32=0),"",'Price History'!K33/'Price History'!K32-1),"")</f>
        <v>4.4524669073405576E-2</v>
      </c>
      <c r="L32" s="76">
        <f>IFERROR(IF(OR(NOT(ISNUMBER('Price History'!L33)),NOT(ISNUMBER('Price History'!L32)),'Price History'!L32=0),"",'Price History'!L33/'Price History'!L32-1),"")</f>
        <v>9.3129200896191255E-2</v>
      </c>
      <c r="M32" s="76">
        <f>IFERROR(IF(OR(NOT(ISNUMBER('Price History'!M33)),NOT(ISNUMBER('Price History'!M32)),'Price History'!M32=0),"",'Price History'!M33/'Price History'!M32-1),"")</f>
        <v>-1.7004392801473589E-2</v>
      </c>
      <c r="N32" s="76">
        <f>IFERROR(IF(OR(NOT(ISNUMBER('Price History'!N33)),NOT(ISNUMBER('Price History'!N32)),'Price History'!N32=0),"",'Price History'!N33/'Price History'!N32-1),"")</f>
        <v>-4.4297069969498115E-2</v>
      </c>
      <c r="O32" s="76">
        <f>IFERROR(IF(OR(NOT(ISNUMBER('Price History'!O33)),NOT(ISNUMBER('Price History'!O32)),'Price History'!O32=0),"",'Price History'!O33/'Price History'!O32-1),"")</f>
        <v>1.1156978690172181E-3</v>
      </c>
      <c r="P32" s="76" t="str">
        <f>IFERROR(IF(OR(NOT(ISNUMBER('Price History'!P33)),NOT(ISNUMBER('Price History'!P32)),'Price History'!P32=0),"",'Price History'!P33/'Price History'!P32-1),"")</f>
        <v/>
      </c>
      <c r="Q32" s="76">
        <f>IFERROR(IF(OR(NOT(ISNUMBER('Price History'!Q33)),NOT(ISNUMBER('Price History'!Q32)),'Price History'!Q32=0),"",'Price History'!Q33/'Price History'!Q32-1),"")</f>
        <v>2.0614761641818635E-2</v>
      </c>
      <c r="R32" s="76">
        <f>IFERROR(IF(OR(NOT(ISNUMBER('Price History'!R33)),NOT(ISNUMBER('Price History'!R32)),'Price History'!R32=0),"",'Price History'!R33/'Price History'!R32-1),"")</f>
        <v>-1.3143071723620281E-3</v>
      </c>
      <c r="S32" s="76">
        <f>IFERROR(IF(OR(NOT(ISNUMBER('Price History'!S33)),NOT(ISNUMBER('Price History'!S32)),'Price History'!S32=0),"",'Price History'!S33/'Price History'!S32-1),"")</f>
        <v>3.8119440914865521E-3</v>
      </c>
      <c r="T32" s="76">
        <f>IFERROR(IF(OR(NOT(ISNUMBER('Price History'!T33)),NOT(ISNUMBER('Price History'!T32)),'Price History'!T32=0),"",'Price History'!T33/'Price History'!T32-1),"")</f>
        <v>1.9568822553897247E-2</v>
      </c>
      <c r="U32" s="76" t="str">
        <f>IFERROR(IF(OR(NOT(ISNUMBER('Price History'!U33)),NOT(ISNUMBER('Price History'!U32)),'Price History'!U32=0),"",'Price History'!U33/'Price History'!U32-1),"")</f>
        <v/>
      </c>
      <c r="W32" s="77">
        <f>'Price History'!B3+('Price History'!B158-'Price History'!B3)*0.188311688311688</f>
        <v>459.85805194805204</v>
      </c>
      <c r="X32" s="77">
        <f>'Price History'!C3+('Price History'!C158-'Price History'!C3)*0.188311688311688</f>
        <v>69.465259740259697</v>
      </c>
      <c r="Y32" s="77">
        <f>'Price History'!D3+('Price History'!D158-'Price History'!D3)*0.188311688311688</f>
        <v>843.91883116883082</v>
      </c>
      <c r="Z32" s="77">
        <f>'Price History'!E3+('Price History'!E158-'Price History'!E3)*0.188311688311688</f>
        <v>140.65987012987003</v>
      </c>
      <c r="AA32" s="77">
        <f>'Price History'!F3+('Price History'!F158-'Price History'!F3)*0.188311688311688</f>
        <v>66.02233766233762</v>
      </c>
      <c r="AB32" s="77">
        <f>'Price History'!G3+('Price History'!G158-'Price History'!G3)*0.188311688311688</f>
        <v>73.307012987012939</v>
      </c>
      <c r="AC32" s="77">
        <f>'Price History'!H3+('Price History'!H158-'Price History'!H3)*0.188311688311688</f>
        <v>207.23454545454521</v>
      </c>
      <c r="AD32" s="77">
        <f>'Price History'!I3+('Price History'!I158-'Price History'!I3)*0.188311688311688</f>
        <v>70.961038961038923</v>
      </c>
      <c r="AE32" s="77">
        <f>'Price History'!J3+('Price History'!J158-'Price History'!J3)*0.188311688311688</f>
        <v>127.48337662337663</v>
      </c>
      <c r="AF32" s="77">
        <f>'Price History'!K3+('Price History'!K158-'Price History'!K3)*0.188311688311688</f>
        <v>35.681753246753217</v>
      </c>
      <c r="AG32" s="77">
        <f>'Price History'!L3+('Price History'!L158-'Price History'!L3)*0.188311688311688</f>
        <v>150.79220779220771</v>
      </c>
      <c r="AH32" s="77">
        <f>'Price History'!M3+('Price History'!M158-'Price History'!M3)*0.188311688311688</f>
        <v>72.690129870129809</v>
      </c>
      <c r="AI32" s="77">
        <f>'Price History'!N3+('Price History'!N158-'Price History'!N3)*0.188311688311688</f>
        <v>373.82077922077917</v>
      </c>
      <c r="AJ32" s="77">
        <f>'Price History'!O3+('Price History'!O158-'Price History'!O3)*0.188311688311688</f>
        <v>90.840064935064916</v>
      </c>
      <c r="AK32" s="77">
        <f>'Price History'!Q3+('Price History'!Q151-'Price History'!Q3)*0.188311688311688</f>
        <v>53.34448051948052</v>
      </c>
      <c r="AL32" s="77">
        <f>'Price History'!R3+('Price History'!R158-'Price History'!R3)*0.188311688311688</f>
        <v>49.784090909090907</v>
      </c>
      <c r="AM32" s="77">
        <f>'Price History'!S3+('Price History'!S158-'Price History'!S3)*0.188311688311688</f>
        <v>74.601103896103865</v>
      </c>
      <c r="AN32" s="77">
        <f>'Price History'!T3+('Price History'!T158-'Price History'!T3)*0.188311688311688</f>
        <v>31.209155844155838</v>
      </c>
    </row>
    <row r="33" spans="1:40" ht="15" customHeight="1" x14ac:dyDescent="0.2">
      <c r="A33" s="55">
        <f>IF('Price History'!A34="","",'Price History'!A34)</f>
        <v>45366</v>
      </c>
      <c r="B33" s="76">
        <f>IFERROR(IF(OR(NOT(ISNUMBER('Price History'!B34)),NOT(ISNUMBER('Price History'!B33)),'Price History'!B33=0),"",'Price History'!B34/'Price History'!B33-1),"")</f>
        <v>-0.10736101796298658</v>
      </c>
      <c r="C33" s="76">
        <f>IFERROR(IF(OR(NOT(ISNUMBER('Price History'!C34)),NOT(ISNUMBER('Price History'!C33)),'Price History'!C33=0),"",'Price History'!C34/'Price History'!C33-1),"")</f>
        <v>1.6842413591095617E-2</v>
      </c>
      <c r="D33" s="76">
        <f>IFERROR(IF(OR(NOT(ISNUMBER('Price History'!D34)),NOT(ISNUMBER('Price History'!D33)),'Price History'!D33=0),"",'Price History'!D34/'Price History'!D33-1),"")</f>
        <v>-5.4428610219947049E-2</v>
      </c>
      <c r="E33" s="76">
        <f>IFERROR(IF(OR(NOT(ISNUMBER('Price History'!E34)),NOT(ISNUMBER('Price History'!E33)),'Price History'!E33=0),"",'Price History'!E34/'Price History'!E33-1),"")</f>
        <v>-5.593336899212964E-2</v>
      </c>
      <c r="F33" s="76">
        <f>IFERROR(IF(OR(NOT(ISNUMBER('Price History'!F34)),NOT(ISNUMBER('Price History'!F33)),'Price History'!F33=0),"",'Price History'!F34/'Price History'!F33-1),"")</f>
        <v>-2.2302069136414304E-2</v>
      </c>
      <c r="G33" s="76">
        <f>IFERROR(IF(OR(NOT(ISNUMBER('Price History'!G34)),NOT(ISNUMBER('Price History'!G33)),'Price History'!G33=0),"",'Price History'!G34/'Price History'!G33-1),"")</f>
        <v>-2.1882151029748331E-2</v>
      </c>
      <c r="H33" s="76">
        <f>IFERROR(IF(OR(NOT(ISNUMBER('Price History'!H34)),NOT(ISNUMBER('Price History'!H33)),'Price History'!H33=0),"",'Price History'!H34/'Price History'!H33-1),"")</f>
        <v>-4.4765416922761814E-2</v>
      </c>
      <c r="I33" s="76">
        <f>IFERROR(IF(OR(NOT(ISNUMBER('Price History'!I34)),NOT(ISNUMBER('Price History'!I33)),'Price History'!I33=0),"",'Price History'!I34/'Price History'!I33-1),"")</f>
        <v>3.5416428653034515E-3</v>
      </c>
      <c r="J33" s="76">
        <f>IFERROR(IF(OR(NOT(ISNUMBER('Price History'!J34)),NOT(ISNUMBER('Price History'!J33)),'Price History'!J33=0),"",'Price History'!J34/'Price History'!J33-1),"")</f>
        <v>-4.4791589546161137E-2</v>
      </c>
      <c r="K33" s="76">
        <f>IFERROR(IF(OR(NOT(ISNUMBER('Price History'!K34)),NOT(ISNUMBER('Price History'!K33)),'Price History'!K33=0),"",'Price History'!K34/'Price History'!K33-1),"")</f>
        <v>-9.7926267281105983E-2</v>
      </c>
      <c r="L33" s="76">
        <f>IFERROR(IF(OR(NOT(ISNUMBER('Price History'!L34)),NOT(ISNUMBER('Price History'!L33)),'Price History'!L33=0),"",'Price History'!L34/'Price History'!L33-1),"")</f>
        <v>-6.415249026439851E-2</v>
      </c>
      <c r="M33" s="76">
        <f>IFERROR(IF(OR(NOT(ISNUMBER('Price History'!M34)),NOT(ISNUMBER('Price History'!M33)),'Price History'!M33=0),"",'Price History'!M34/'Price History'!M33-1),"")</f>
        <v>6.9050021623179969E-2</v>
      </c>
      <c r="N33" s="76">
        <f>IFERROR(IF(OR(NOT(ISNUMBER('Price History'!N34)),NOT(ISNUMBER('Price History'!N33)),'Price History'!N33=0),"",'Price History'!N34/'Price History'!N33-1),"")</f>
        <v>-1.4265335235377985E-2</v>
      </c>
      <c r="O33" s="76">
        <f>IFERROR(IF(OR(NOT(ISNUMBER('Price History'!O34)),NOT(ISNUMBER('Price History'!O33)),'Price History'!O33=0),"",'Price History'!O34/'Price History'!O33-1),"")</f>
        <v>-8.4698540064639394E-3</v>
      </c>
      <c r="P33" s="76" t="str">
        <f>IFERROR(IF(OR(NOT(ISNUMBER('Price History'!P34)),NOT(ISNUMBER('Price History'!P33)),'Price History'!P33=0),"",'Price History'!P34/'Price History'!P33-1),"")</f>
        <v/>
      </c>
      <c r="Q33" s="76">
        <f>IFERROR(IF(OR(NOT(ISNUMBER('Price History'!Q34)),NOT(ISNUMBER('Price History'!Q33)),'Price History'!Q33=0),"",'Price History'!Q34/'Price History'!Q33-1),"")</f>
        <v>4.1478809738502154E-3</v>
      </c>
      <c r="R33" s="76">
        <f>IFERROR(IF(OR(NOT(ISNUMBER('Price History'!R34)),NOT(ISNUMBER('Price History'!R33)),'Price History'!R33=0),"",'Price History'!R34/'Price History'!R33-1),"")</f>
        <v>-5.2641473961271279E-3</v>
      </c>
      <c r="S33" s="76">
        <f>IFERROR(IF(OR(NOT(ISNUMBER('Price History'!S34)),NOT(ISNUMBER('Price History'!S33)),'Price History'!S33=0),"",'Price History'!S34/'Price History'!S33-1),"")</f>
        <v>-5.18987341772148E-3</v>
      </c>
      <c r="T33" s="76">
        <f>IFERROR(IF(OR(NOT(ISNUMBER('Price History'!T34)),NOT(ISNUMBER('Price History'!T33)),'Price History'!T33=0),"",'Price History'!T34/'Price History'!T33-1),"")</f>
        <v>1.3662979830839417E-2</v>
      </c>
      <c r="U33" s="76" t="str">
        <f>IFERROR(IF(OR(NOT(ISNUMBER('Price History'!U34)),NOT(ISNUMBER('Price History'!U33)),'Price History'!U33=0),"",'Price History'!U34/'Price History'!U33-1),"")</f>
        <v/>
      </c>
      <c r="W33" s="77">
        <f>'Price History'!B3+('Price History'!B158-'Price History'!B3)*0.194805194805195</f>
        <v>458.18246753246746</v>
      </c>
      <c r="X33" s="77">
        <f>'Price History'!C3+('Price History'!C158-'Price History'!C3)*0.194805194805195</f>
        <v>70.352337662337689</v>
      </c>
      <c r="Y33" s="77">
        <f>'Price History'!D3+('Price History'!D158-'Price History'!D3)*0.194805194805195</f>
        <v>850.19948051948063</v>
      </c>
      <c r="Z33" s="77">
        <f>'Price History'!E3+('Price History'!E158-'Price History'!E3)*0.194805194805195</f>
        <v>142.64883116883124</v>
      </c>
      <c r="AA33" s="77">
        <f>'Price History'!F3+('Price History'!F158-'Price History'!F3)*0.194805194805195</f>
        <v>67.021038961038997</v>
      </c>
      <c r="AB33" s="77">
        <f>'Price History'!G3+('Price History'!G158-'Price History'!G3)*0.194805194805195</f>
        <v>74.183116883116909</v>
      </c>
      <c r="AC33" s="77">
        <f>'Price History'!H3+('Price History'!H158-'Price History'!H3)*0.194805194805195</f>
        <v>212.16090909090926</v>
      </c>
      <c r="AD33" s="77">
        <f>'Price History'!I3+('Price History'!I158-'Price History'!I3)*0.194805194805195</f>
        <v>71.999350649350689</v>
      </c>
      <c r="AE33" s="77">
        <f>'Price History'!J3+('Price History'!J158-'Price History'!J3)*0.194805194805195</f>
        <v>127.62038961038962</v>
      </c>
      <c r="AF33" s="77">
        <f>'Price History'!K3+('Price History'!K158-'Price History'!K3)*0.194805194805195</f>
        <v>36.380779220779246</v>
      </c>
      <c r="AG33" s="77">
        <f>'Price History'!L3+('Price History'!L158-'Price History'!L3)*0.194805194805195</f>
        <v>152.8198701298702</v>
      </c>
      <c r="AH33" s="77">
        <f>'Price History'!M3+('Price History'!M158-'Price History'!M3)*0.194805194805195</f>
        <v>74.041168831168875</v>
      </c>
      <c r="AI33" s="77">
        <f>'Price History'!N3+('Price History'!N158-'Price History'!N3)*0.194805194805195</f>
        <v>374.647012987013</v>
      </c>
      <c r="AJ33" s="77">
        <f>'Price History'!O3+('Price History'!O158-'Price History'!O3)*0.194805194805195</f>
        <v>91.115584415584422</v>
      </c>
      <c r="AK33" s="77">
        <f>'Price History'!Q3+('Price History'!Q151-'Price History'!Q3)*0.194805194805195</f>
        <v>53.46532467532468</v>
      </c>
      <c r="AL33" s="77">
        <f>'Price History'!R3+('Price History'!R158-'Price History'!R3)*0.194805194805195</f>
        <v>49.851818181818182</v>
      </c>
      <c r="AM33" s="77">
        <f>'Price History'!S3+('Price History'!S158-'Price History'!S3)*0.194805194805195</f>
        <v>75.154935064935088</v>
      </c>
      <c r="AN33" s="77">
        <f>'Price History'!T3+('Price History'!T158-'Price History'!T3)*0.194805194805195</f>
        <v>31.357402597402604</v>
      </c>
    </row>
    <row r="34" spans="1:40" ht="15" customHeight="1" x14ac:dyDescent="0.2">
      <c r="A34" s="55">
        <f>IF('Price History'!A35="","",'Price History'!A35)</f>
        <v>45373</v>
      </c>
      <c r="B34" s="76">
        <f>IFERROR(IF(OR(NOT(ISNUMBER('Price History'!B35)),NOT(ISNUMBER('Price History'!B34)),'Price History'!B34=0),"",'Price History'!B35/'Price History'!B34-1),"")</f>
        <v>1.4336189741298799E-2</v>
      </c>
      <c r="C34" s="76">
        <f>IFERROR(IF(OR(NOT(ISNUMBER('Price History'!C35)),NOT(ISNUMBER('Price History'!C34)),'Price History'!C34=0),"",'Price History'!C35/'Price History'!C34-1),"")</f>
        <v>0.10341351001008192</v>
      </c>
      <c r="D34" s="76">
        <f>IFERROR(IF(OR(NOT(ISNUMBER('Price History'!D35)),NOT(ISNUMBER('Price History'!D34)),'Price History'!D34=0),"",'Price History'!D35/'Price History'!D34-1),"")</f>
        <v>4.227778900458401E-2</v>
      </c>
      <c r="E34" s="76">
        <f>IFERROR(IF(OR(NOT(ISNUMBER('Price History'!E35)),NOT(ISNUMBER('Price History'!E34)),'Price History'!E34=0),"",'Price History'!E35/'Price History'!E34-1),"")</f>
        <v>9.5507891541885881E-2</v>
      </c>
      <c r="F34" s="76">
        <f>IFERROR(IF(OR(NOT(ISNUMBER('Price History'!F35)),NOT(ISNUMBER('Price History'!F34)),'Price History'!F34=0),"",'Price History'!F35/'Price History'!F34-1),"")</f>
        <v>3.7891268533772671E-2</v>
      </c>
      <c r="G34" s="76">
        <f>IFERROR(IF(OR(NOT(ISNUMBER('Price History'!G35)),NOT(ISNUMBER('Price History'!G34)),'Price History'!G34=0),"",'Price History'!G35/'Price History'!G34-1),"")</f>
        <v>3.9040795437929487E-2</v>
      </c>
      <c r="H34" s="76">
        <f>IFERROR(IF(OR(NOT(ISNUMBER('Price History'!H35)),NOT(ISNUMBER('Price History'!H34)),'Price History'!H34=0),"",'Price History'!H35/'Price History'!H34-1),"")</f>
        <v>0.18187667560321708</v>
      </c>
      <c r="I34" s="76">
        <f>IFERROR(IF(OR(NOT(ISNUMBER('Price History'!I35)),NOT(ISNUMBER('Price History'!I34)),'Price History'!I34=0),"",'Price History'!I35/'Price History'!I34-1),"")</f>
        <v>7.3428961748633892E-2</v>
      </c>
      <c r="J34" s="76">
        <f>IFERROR(IF(OR(NOT(ISNUMBER('Price History'!J35)),NOT(ISNUMBER('Price History'!J34)),'Price History'!J34=0),"",'Price History'!J35/'Price History'!J34-1),"")</f>
        <v>-3.1002945279802185E-3</v>
      </c>
      <c r="K34" s="76">
        <f>IFERROR(IF(OR(NOT(ISNUMBER('Price History'!K35)),NOT(ISNUMBER('Price History'!K34)),'Price History'!K34=0),"",'Price History'!K35/'Price History'!K34-1),"")</f>
        <v>2.9374201787994991E-2</v>
      </c>
      <c r="L34" s="76">
        <f>IFERROR(IF(OR(NOT(ISNUMBER('Price History'!L35)),NOT(ISNUMBER('Price History'!L34)),'Price History'!L34=0),"",'Price History'!L35/'Price History'!L34-1),"")</f>
        <v>2.5989195502993168E-2</v>
      </c>
      <c r="M34" s="76">
        <f>IFERROR(IF(OR(NOT(ISNUMBER('Price History'!M35)),NOT(ISNUMBER('Price History'!M34)),'Price History'!M34=0),"",'Price History'!M35/'Price History'!M34-1),"")</f>
        <v>0.11245954692556648</v>
      </c>
      <c r="N34" s="76">
        <f>IFERROR(IF(OR(NOT(ISNUMBER('Price History'!N35)),NOT(ISNUMBER('Price History'!N34)),'Price History'!N34=0),"",'Price History'!N35/'Price History'!N34-1),"")</f>
        <v>1.954916725943745E-2</v>
      </c>
      <c r="O34" s="76">
        <f>IFERROR(IF(OR(NOT(ISNUMBER('Price History'!O35)),NOT(ISNUMBER('Price History'!O34)),'Price History'!O34=0),"",'Price History'!O35/'Price History'!O34-1),"")</f>
        <v>2.3940654153085328E-2</v>
      </c>
      <c r="P34" s="76" t="str">
        <f>IFERROR(IF(OR(NOT(ISNUMBER('Price History'!P35)),NOT(ISNUMBER('Price History'!P34)),'Price History'!P34=0),"",'Price History'!P35/'Price History'!P34-1),"")</f>
        <v/>
      </c>
      <c r="Q34" s="76">
        <f>IFERROR(IF(OR(NOT(ISNUMBER('Price History'!Q35)),NOT(ISNUMBER('Price History'!Q34)),'Price History'!Q34=0),"",'Price History'!Q35/'Price History'!Q34-1),"")</f>
        <v>1.5445402298850608E-2</v>
      </c>
      <c r="R34" s="76">
        <f>IFERROR(IF(OR(NOT(ISNUMBER('Price History'!R35)),NOT(ISNUMBER('Price History'!R34)),'Price History'!R34=0),"",'Price History'!R35/'Price History'!R34-1),"")</f>
        <v>2.5515025515025602E-2</v>
      </c>
      <c r="S34" s="76">
        <f>IFERROR(IF(OR(NOT(ISNUMBER('Price History'!S35)),NOT(ISNUMBER('Price History'!S34)),'Price History'!S34=0),"",'Price History'!S35/'Price History'!S34-1),"")</f>
        <v>2.8502353989056983E-2</v>
      </c>
      <c r="T34" s="76">
        <f>IFERROR(IF(OR(NOT(ISNUMBER('Price History'!T35)),NOT(ISNUMBER('Price History'!T34)),'Price History'!T34=0),"",'Price History'!T35/'Price History'!T34-1),"")</f>
        <v>2.4069319640564801E-2</v>
      </c>
      <c r="U34" s="76" t="str">
        <f>IFERROR(IF(OR(NOT(ISNUMBER('Price History'!U35)),NOT(ISNUMBER('Price History'!U34)),'Price History'!U34=0),"",'Price History'!U35/'Price History'!U34-1),"")</f>
        <v/>
      </c>
      <c r="W34" s="77">
        <f>'Price History'!B3+('Price History'!B158-'Price History'!B3)*0.201298701298701</f>
        <v>456.50688311688316</v>
      </c>
      <c r="X34" s="77">
        <f>'Price History'!C3+('Price History'!C158-'Price History'!C3)*0.201298701298701</f>
        <v>71.239415584415539</v>
      </c>
      <c r="Y34" s="77">
        <f>'Price History'!D3+('Price History'!D158-'Price History'!D3)*0.201298701298701</f>
        <v>856.48012987012953</v>
      </c>
      <c r="Z34" s="77">
        <f>'Price History'!E3+('Price History'!E158-'Price History'!E3)*0.201298701298701</f>
        <v>144.6377922077921</v>
      </c>
      <c r="AA34" s="77">
        <f>'Price History'!F3+('Price History'!F158-'Price History'!F3)*0.201298701298701</f>
        <v>68.019740259740217</v>
      </c>
      <c r="AB34" s="77">
        <f>'Price History'!G3+('Price History'!G158-'Price History'!G3)*0.201298701298701</f>
        <v>75.059220779220738</v>
      </c>
      <c r="AC34" s="77">
        <f>'Price History'!H3+('Price History'!H158-'Price History'!H3)*0.201298701298701</f>
        <v>217.08727272727251</v>
      </c>
      <c r="AD34" s="77">
        <f>'Price History'!I3+('Price History'!I158-'Price History'!I3)*0.201298701298701</f>
        <v>73.037662337662283</v>
      </c>
      <c r="AE34" s="77">
        <f>'Price History'!J3+('Price History'!J158-'Price History'!J3)*0.201298701298701</f>
        <v>127.7574025974026</v>
      </c>
      <c r="AF34" s="77">
        <f>'Price History'!K3+('Price History'!K158-'Price History'!K3)*0.201298701298701</f>
        <v>37.079805194805161</v>
      </c>
      <c r="AG34" s="77">
        <f>'Price History'!L3+('Price History'!L158-'Price History'!L3)*0.201298701298701</f>
        <v>154.84753246753237</v>
      </c>
      <c r="AH34" s="77">
        <f>'Price History'!M3+('Price History'!M158-'Price History'!M3)*0.201298701298701</f>
        <v>75.392207792207728</v>
      </c>
      <c r="AI34" s="77">
        <f>'Price History'!N3+('Price History'!N158-'Price History'!N3)*0.201298701298701</f>
        <v>375.47324675324671</v>
      </c>
      <c r="AJ34" s="77">
        <f>'Price History'!O3+('Price History'!O158-'Price History'!O3)*0.201298701298701</f>
        <v>91.391103896103886</v>
      </c>
      <c r="AK34" s="77">
        <f>'Price History'!Q3+('Price History'!Q151-'Price History'!Q3)*0.201298701298701</f>
        <v>53.586168831168827</v>
      </c>
      <c r="AL34" s="77">
        <f>'Price History'!R3+('Price History'!R158-'Price History'!R3)*0.201298701298701</f>
        <v>49.91954545454545</v>
      </c>
      <c r="AM34" s="77">
        <f>'Price History'!S3+('Price History'!S158-'Price History'!S3)*0.201298701298701</f>
        <v>75.708766233766212</v>
      </c>
      <c r="AN34" s="77">
        <f>'Price History'!T3+('Price History'!T158-'Price History'!T3)*0.201298701298701</f>
        <v>31.505649350649342</v>
      </c>
    </row>
    <row r="35" spans="1:40" ht="15" customHeight="1" x14ac:dyDescent="0.2">
      <c r="A35" s="55">
        <f>IF('Price History'!A36="","",'Price History'!A36)</f>
        <v>45379</v>
      </c>
      <c r="B35" s="76">
        <f>IFERROR(IF(OR(NOT(ISNUMBER('Price History'!B36)),NOT(ISNUMBER('Price History'!B35)),'Price History'!B35=0),"",'Price History'!B36/'Price History'!B35-1),"")</f>
        <v>1.0169762972453533E-2</v>
      </c>
      <c r="C35" s="76">
        <f>IFERROR(IF(OR(NOT(ISNUMBER('Price History'!C36)),NOT(ISNUMBER('Price History'!C35)),'Price History'!C35=0),"",'Price History'!C36/'Price History'!C35-1),"")</f>
        <v>-5.3648348779532729E-2</v>
      </c>
      <c r="D35" s="76">
        <f>IFERROR(IF(OR(NOT(ISNUMBER('Price History'!D36)),NOT(ISNUMBER('Price History'!D35)),'Price History'!D35=0),"",'Price History'!D36/'Price History'!D35-1),"")</f>
        <v>-9.684068737499496E-3</v>
      </c>
      <c r="E35" s="76">
        <f>IFERROR(IF(OR(NOT(ISNUMBER('Price History'!E36)),NOT(ISNUMBER('Price History'!E35)),'Price History'!E35=0),"",'Price History'!E36/'Price History'!E35-1),"")</f>
        <v>-2.076099002585885E-2</v>
      </c>
      <c r="F35" s="76">
        <f>IFERROR(IF(OR(NOT(ISNUMBER('Price History'!F36)),NOT(ISNUMBER('Price History'!F35)),'Price History'!F35=0),"",'Price History'!F36/'Price History'!F35-1),"")</f>
        <v>-2.1367521367521403E-2</v>
      </c>
      <c r="G35" s="76">
        <f>IFERROR(IF(OR(NOT(ISNUMBER('Price History'!G36)),NOT(ISNUMBER('Price History'!G35)),'Price History'!G35=0),"",'Price History'!G36/'Price History'!G35-1),"")</f>
        <v>-1.6887137630171689E-2</v>
      </c>
      <c r="H35" s="76">
        <f>IFERROR(IF(OR(NOT(ISNUMBER('Price History'!H36)),NOT(ISNUMBER('Price History'!H35)),'Price History'!H35=0),"",'Price History'!H36/'Price History'!H35-1),"")</f>
        <v>6.9685146538426723E-2</v>
      </c>
      <c r="I35" s="76">
        <f>IFERROR(IF(OR(NOT(ISNUMBER('Price History'!I36)),NOT(ISNUMBER('Price History'!I35)),'Price History'!I35=0),"",'Price History'!I36/'Price History'!I35-1),"")</f>
        <v>-4.1679923639834637E-2</v>
      </c>
      <c r="J35" s="76">
        <f>IFERROR(IF(OR(NOT(ISNUMBER('Price History'!J36)),NOT(ISNUMBER('Price History'!J35)),'Price History'!J35=0),"",'Price History'!J36/'Price History'!J35-1),"")</f>
        <v>1.2439744985227819E-2</v>
      </c>
      <c r="K35" s="76">
        <f>IFERROR(IF(OR(NOT(ISNUMBER('Price History'!K36)),NOT(ISNUMBER('Price History'!K35)),'Price History'!K35=0),"",'Price History'!K36/'Price History'!K35-1),"")</f>
        <v>-4.8387096774193505E-2</v>
      </c>
      <c r="L35" s="76">
        <f>IFERROR(IF(OR(NOT(ISNUMBER('Price History'!L36)),NOT(ISNUMBER('Price History'!L35)),'Price History'!L35=0),"",'Price History'!L36/'Price History'!L35-1),"")</f>
        <v>-3.1948199800768351E-2</v>
      </c>
      <c r="M35" s="76">
        <f>IFERROR(IF(OR(NOT(ISNUMBER('Price History'!M36)),NOT(ISNUMBER('Price History'!M35)),'Price History'!M35=0),"",'Price History'!M36/'Price History'!M35-1),"")</f>
        <v>-1.0060606060605992E-2</v>
      </c>
      <c r="N35" s="76">
        <f>IFERROR(IF(OR(NOT(ISNUMBER('Price History'!N36)),NOT(ISNUMBER('Price History'!N35)),'Price History'!N35=0),"",'Price History'!N36/'Price History'!N35-1),"")</f>
        <v>5.6536592407254727E-3</v>
      </c>
      <c r="O35" s="76">
        <f>IFERROR(IF(OR(NOT(ISNUMBER('Price History'!O36)),NOT(ISNUMBER('Price History'!O35)),'Price History'!O35=0),"",'Price History'!O36/'Price History'!O35-1),"")</f>
        <v>2.8649835345773811E-2</v>
      </c>
      <c r="P35" s="76" t="str">
        <f>IFERROR(IF(OR(NOT(ISNUMBER('Price History'!P36)),NOT(ISNUMBER('Price History'!P35)),'Price History'!P35=0),"",'Price History'!P36/'Price History'!P35-1),"")</f>
        <v/>
      </c>
      <c r="Q35" s="76">
        <f>IFERROR(IF(OR(NOT(ISNUMBER('Price History'!Q36)),NOT(ISNUMBER('Price History'!Q35)),'Price History'!Q35=0),"",'Price History'!Q36/'Price History'!Q35-1),"")</f>
        <v>1.0788822072868687E-2</v>
      </c>
      <c r="R35" s="76">
        <f>IFERROR(IF(OR(NOT(ISNUMBER('Price History'!R36)),NOT(ISNUMBER('Price History'!R35)),'Price History'!R35=0),"",'Price History'!R36/'Price History'!R35-1),"")</f>
        <v>-3.6859565057123511E-4</v>
      </c>
      <c r="S35" s="76">
        <f>IFERROR(IF(OR(NOT(ISNUMBER('Price History'!S36)),NOT(ISNUMBER('Price History'!S35)),'Price History'!S35=0),"",'Price History'!S36/'Price History'!S35-1),"")</f>
        <v>-7.5467029568229149E-3</v>
      </c>
      <c r="T35" s="76">
        <f>IFERROR(IF(OR(NOT(ISNUMBER('Price History'!T36)),NOT(ISNUMBER('Price History'!T35)),'Price History'!T35=0),"",'Price History'!T36/'Price History'!T35-1),"")</f>
        <v>1.5669069257286061E-2</v>
      </c>
      <c r="U35" s="76" t="str">
        <f>IFERROR(IF(OR(NOT(ISNUMBER('Price History'!U36)),NOT(ISNUMBER('Price History'!U35)),'Price History'!U35=0),"",'Price History'!U36/'Price History'!U35-1),"")</f>
        <v/>
      </c>
      <c r="W35" s="77">
        <f>'Price History'!B3+('Price History'!B158-'Price History'!B3)*0.207792207792208</f>
        <v>454.83129870129864</v>
      </c>
      <c r="X35" s="77">
        <f>'Price History'!C3+('Price History'!C158-'Price History'!C3)*0.207792207792208</f>
        <v>72.126493506493532</v>
      </c>
      <c r="Y35" s="77">
        <f>'Price History'!D3+('Price History'!D158-'Price History'!D3)*0.207792207792208</f>
        <v>862.76077922077934</v>
      </c>
      <c r="Z35" s="77">
        <f>'Price History'!E3+('Price History'!E158-'Price History'!E3)*0.207792207792208</f>
        <v>146.62675324675331</v>
      </c>
      <c r="AA35" s="77">
        <f>'Price History'!F3+('Price History'!F158-'Price History'!F3)*0.207792207792208</f>
        <v>69.018441558441594</v>
      </c>
      <c r="AB35" s="77">
        <f>'Price History'!G3+('Price History'!G158-'Price History'!G3)*0.207792207792208</f>
        <v>75.935324675324694</v>
      </c>
      <c r="AC35" s="77">
        <f>'Price History'!H3+('Price History'!H158-'Price History'!H3)*0.207792207792208</f>
        <v>222.01363636363652</v>
      </c>
      <c r="AD35" s="77">
        <f>'Price History'!I3+('Price History'!I158-'Price History'!I3)*0.207792207792208</f>
        <v>74.075974025974062</v>
      </c>
      <c r="AE35" s="77">
        <f>'Price History'!J3+('Price History'!J158-'Price History'!J3)*0.207792207792208</f>
        <v>127.8944155844156</v>
      </c>
      <c r="AF35" s="77">
        <f>'Price History'!K3+('Price History'!K158-'Price History'!K3)*0.207792207792208</f>
        <v>37.778831168831189</v>
      </c>
      <c r="AG35" s="77">
        <f>'Price History'!L3+('Price History'!L158-'Price History'!L3)*0.207792207792208</f>
        <v>156.87519480519487</v>
      </c>
      <c r="AH35" s="77">
        <f>'Price History'!M3+('Price History'!M158-'Price History'!M3)*0.207792207792208</f>
        <v>76.743246753246794</v>
      </c>
      <c r="AI35" s="77">
        <f>'Price History'!N3+('Price History'!N158-'Price History'!N3)*0.207792207792208</f>
        <v>376.29948051948054</v>
      </c>
      <c r="AJ35" s="77">
        <f>'Price History'!O3+('Price History'!O158-'Price History'!O3)*0.207792207792208</f>
        <v>91.666623376623377</v>
      </c>
      <c r="AK35" s="77">
        <f>'Price History'!Q3+('Price History'!Q151-'Price History'!Q3)*0.207792207792208</f>
        <v>53.707012987012995</v>
      </c>
      <c r="AL35" s="77">
        <f>'Price History'!R3+('Price History'!R158-'Price History'!R3)*0.207792207792208</f>
        <v>49.987272727272732</v>
      </c>
      <c r="AM35" s="77">
        <f>'Price History'!S3+('Price History'!S158-'Price History'!S3)*0.207792207792208</f>
        <v>76.262597402597422</v>
      </c>
      <c r="AN35" s="77">
        <f>'Price History'!T3+('Price History'!T158-'Price History'!T3)*0.207792207792208</f>
        <v>31.653896103896109</v>
      </c>
    </row>
    <row r="36" spans="1:40" ht="15" customHeight="1" x14ac:dyDescent="0.2">
      <c r="A36" s="55">
        <f>IF('Price History'!A37="","",'Price History'!A37)</f>
        <v>45387</v>
      </c>
      <c r="B36" s="76">
        <f>IFERROR(IF(OR(NOT(ISNUMBER('Price History'!B37)),NOT(ISNUMBER('Price History'!B36)),'Price History'!B36=0),"",'Price History'!B37/'Price History'!B36-1),"")</f>
        <v>-3.8604835513277869E-2</v>
      </c>
      <c r="C36" s="76">
        <f>IFERROR(IF(OR(NOT(ISNUMBER('Price History'!C37)),NOT(ISNUMBER('Price History'!C36)),'Price History'!C36=0),"",'Price History'!C37/'Price History'!C36-1),"")</f>
        <v>2.6206896551724146E-2</v>
      </c>
      <c r="D36" s="76">
        <f>IFERROR(IF(OR(NOT(ISNUMBER('Price History'!D37)),NOT(ISNUMBER('Price History'!D36)),'Price History'!D36=0),"",'Price History'!D37/'Price History'!D36-1),"")</f>
        <v>9.3562912815439159E-3</v>
      </c>
      <c r="E36" s="76">
        <f>IFERROR(IF(OR(NOT(ISNUMBER('Price History'!E37)),NOT(ISNUMBER('Price History'!E36)),'Price History'!E36=0),"",'Price History'!E37/'Price History'!E36-1),"")</f>
        <v>1.056284895126014E-2</v>
      </c>
      <c r="F36" s="76">
        <f>IFERROR(IF(OR(NOT(ISNUMBER('Price History'!F37)),NOT(ISNUMBER('Price History'!F36)),'Price History'!F36=0),"",'Price History'!F37/'Price History'!F36-1),"")</f>
        <v>-1.5845290081098029E-2</v>
      </c>
      <c r="G36" s="76">
        <f>IFERROR(IF(OR(NOT(ISNUMBER('Price History'!G37)),NOT(ISNUMBER('Price History'!G36)),'Price History'!G36=0),"",'Price History'!G37/'Price History'!G36-1),"")</f>
        <v>-2.2616661895218937E-2</v>
      </c>
      <c r="H36" s="76">
        <f>IFERROR(IF(OR(NOT(ISNUMBER('Price History'!H37)),NOT(ISNUMBER('Price History'!H36)),'Price History'!H36=0),"",'Price History'!H37/'Price History'!H36-1),"")</f>
        <v>4.8265332089235669E-2</v>
      </c>
      <c r="I36" s="76">
        <f>IFERROR(IF(OR(NOT(ISNUMBER('Price History'!I37)),NOT(ISNUMBER('Price History'!I36)),'Price History'!I36=0),"",'Price History'!I37/'Price History'!I36-1),"")</f>
        <v>-2.6007082779991086E-2</v>
      </c>
      <c r="J36" s="76">
        <f>IFERROR(IF(OR(NOT(ISNUMBER('Price History'!J37)),NOT(ISNUMBER('Price History'!J36)),'Price History'!J36=0),"",'Price History'!J37/'Price History'!J36-1),"")</f>
        <v>-4.2082629396406168E-2</v>
      </c>
      <c r="K36" s="76">
        <f>IFERROR(IF(OR(NOT(ISNUMBER('Price History'!K37)),NOT(ISNUMBER('Price History'!K36)),'Price History'!K36=0),"",'Price History'!K37/'Price History'!K36-1),"")</f>
        <v>-2.1729682746631784E-3</v>
      </c>
      <c r="L36" s="76">
        <f>IFERROR(IF(OR(NOT(ISNUMBER('Price History'!L37)),NOT(ISNUMBER('Price History'!L36)),'Price History'!L36=0),"",'Price History'!L37/'Price History'!L36-1),"")</f>
        <v>3.902976846747519E-2</v>
      </c>
      <c r="M36" s="76">
        <f>IFERROR(IF(OR(NOT(ISNUMBER('Price History'!M37)),NOT(ISNUMBER('Price History'!M36)),'Price History'!M36=0),"",'Price History'!M37/'Price History'!M36-1),"")</f>
        <v>4.4936941349332793E-2</v>
      </c>
      <c r="N36" s="76">
        <f>IFERROR(IF(OR(NOT(ISNUMBER('Price History'!N37)),NOT(ISNUMBER('Price History'!N36)),'Price History'!N36=0),"",'Price History'!N37/'Price History'!N36-1),"")</f>
        <v>-2.7128537594794278E-2</v>
      </c>
      <c r="O36" s="76">
        <f>IFERROR(IF(OR(NOT(ISNUMBER('Price History'!O37)),NOT(ISNUMBER('Price History'!O36)),'Price History'!O36=0),"",'Price History'!O37/'Price History'!O36-1),"")</f>
        <v>-2.1555863835236333E-2</v>
      </c>
      <c r="P36" s="76" t="str">
        <f>IFERROR(IF(OR(NOT(ISNUMBER('Price History'!P37)),NOT(ISNUMBER('Price History'!P36)),'Price History'!P36=0),"",'Price History'!P37/'Price History'!P36-1),"")</f>
        <v/>
      </c>
      <c r="Q36" s="76">
        <f>IFERROR(IF(OR(NOT(ISNUMBER('Price History'!Q37)),NOT(ISNUMBER('Price History'!Q36)),'Price History'!Q36=0),"",'Price History'!Q37/'Price History'!Q36-1),"")</f>
        <v>1.0498687664042272E-3</v>
      </c>
      <c r="R36" s="76">
        <f>IFERROR(IF(OR(NOT(ISNUMBER('Price History'!R37)),NOT(ISNUMBER('Price History'!R36)),'Price History'!R36=0),"",'Price History'!R37/'Price History'!R36-1),"")</f>
        <v>-1.1983775811209463E-2</v>
      </c>
      <c r="S36" s="76">
        <f>IFERROR(IF(OR(NOT(ISNUMBER('Price History'!S37)),NOT(ISNUMBER('Price History'!S36)),'Price History'!S36=0),"",'Price History'!S37/'Price History'!S36-1),"")</f>
        <v>2.8671154325605741E-3</v>
      </c>
      <c r="T36" s="76">
        <f>IFERROR(IF(OR(NOT(ISNUMBER('Price History'!T37)),NOT(ISNUMBER('Price History'!T36)),'Price History'!T36=0),"",'Price History'!T37/'Price History'!T36-1),"")</f>
        <v>-2.4683739586547349E-3</v>
      </c>
      <c r="U36" s="76" t="str">
        <f>IFERROR(IF(OR(NOT(ISNUMBER('Price History'!U37)),NOT(ISNUMBER('Price History'!U36)),'Price History'!U36=0),"",'Price History'!U37/'Price History'!U36-1),"")</f>
        <v/>
      </c>
      <c r="W36" s="77">
        <f>'Price History'!B3+('Price History'!B158-'Price History'!B3)*0.214285714285714</f>
        <v>453.15571428571434</v>
      </c>
      <c r="X36" s="77">
        <f>'Price History'!C3+('Price History'!C158-'Price History'!C3)*0.214285714285714</f>
        <v>73.013571428571396</v>
      </c>
      <c r="Y36" s="77">
        <f>'Price History'!D3+('Price History'!D158-'Price History'!D3)*0.214285714285714</f>
        <v>869.04142857142824</v>
      </c>
      <c r="Z36" s="77">
        <f>'Price History'!E3+('Price History'!E158-'Price History'!E3)*0.214285714285714</f>
        <v>148.6157142857142</v>
      </c>
      <c r="AA36" s="77">
        <f>'Price History'!F3+('Price History'!F158-'Price History'!F3)*0.214285714285714</f>
        <v>70.017142857142815</v>
      </c>
      <c r="AB36" s="77">
        <f>'Price History'!G3+('Price History'!G158-'Price History'!G3)*0.214285714285714</f>
        <v>76.811428571428536</v>
      </c>
      <c r="AC36" s="77">
        <f>'Price History'!H3+('Price History'!H158-'Price History'!H3)*0.214285714285714</f>
        <v>226.93999999999977</v>
      </c>
      <c r="AD36" s="77">
        <f>'Price History'!I3+('Price History'!I158-'Price History'!I3)*0.214285714285714</f>
        <v>75.114285714285671</v>
      </c>
      <c r="AE36" s="77">
        <f>'Price History'!J3+('Price History'!J158-'Price History'!J3)*0.214285714285714</f>
        <v>128.03142857142856</v>
      </c>
      <c r="AF36" s="77">
        <f>'Price History'!K3+('Price History'!K158-'Price History'!K3)*0.214285714285714</f>
        <v>38.477857142857118</v>
      </c>
      <c r="AG36" s="77">
        <f>'Price History'!L3+('Price History'!L158-'Price History'!L3)*0.214285714285714</f>
        <v>158.90285714285704</v>
      </c>
      <c r="AH36" s="77">
        <f>'Price History'!M3+('Price History'!M158-'Price History'!M3)*0.214285714285714</f>
        <v>78.094285714285661</v>
      </c>
      <c r="AI36" s="77">
        <f>'Price History'!N3+('Price History'!N158-'Price History'!N3)*0.214285714285714</f>
        <v>377.12571428571425</v>
      </c>
      <c r="AJ36" s="77">
        <f>'Price History'!O3+('Price History'!O158-'Price History'!O3)*0.214285714285714</f>
        <v>91.942142857142841</v>
      </c>
      <c r="AK36" s="77">
        <f>'Price History'!Q3+('Price History'!Q151-'Price History'!Q3)*0.214285714285714</f>
        <v>53.827857142857141</v>
      </c>
      <c r="AL36" s="77">
        <f>'Price History'!R3+('Price History'!R158-'Price History'!R3)*0.214285714285714</f>
        <v>50.055</v>
      </c>
      <c r="AM36" s="77">
        <f>'Price History'!S3+('Price History'!S158-'Price History'!S3)*0.214285714285714</f>
        <v>76.816428571428546</v>
      </c>
      <c r="AN36" s="77">
        <f>'Price History'!T3+('Price History'!T158-'Price History'!T3)*0.214285714285714</f>
        <v>31.802142857142851</v>
      </c>
    </row>
    <row r="37" spans="1:40" ht="15" customHeight="1" x14ac:dyDescent="0.2">
      <c r="A37" s="55">
        <f>IF('Price History'!A38="","",'Price History'!A38)</f>
        <v>45394</v>
      </c>
      <c r="B37" s="76">
        <f>IFERROR(IF(OR(NOT(ISNUMBER('Price History'!B38)),NOT(ISNUMBER('Price History'!B37)),'Price History'!B37=0),"",'Price History'!B38/'Price History'!B37-1),"")</f>
        <v>-2.2736642480211122E-2</v>
      </c>
      <c r="C37" s="76">
        <f>IFERROR(IF(OR(NOT(ISNUMBER('Price History'!C38)),NOT(ISNUMBER('Price History'!C37)),'Price History'!C37=0),"",'Price History'!C38/'Price History'!C37-1),"")</f>
        <v>-8.8575268817204345E-2</v>
      </c>
      <c r="D37" s="76">
        <f>IFERROR(IF(OR(NOT(ISNUMBER('Price History'!D38)),NOT(ISNUMBER('Price History'!D37)),'Price History'!D37=0),"",'Price History'!D38/'Price History'!D37-1),"")</f>
        <v>-1.8079730488489543E-2</v>
      </c>
      <c r="E37" s="76">
        <f>IFERROR(IF(OR(NOT(ISNUMBER('Price History'!E38)),NOT(ISNUMBER('Price History'!E37)),'Price History'!E37=0),"",'Price History'!E38/'Price History'!E37-1),"")</f>
        <v>3.5090338957741718E-3</v>
      </c>
      <c r="F37" s="76">
        <f>IFERROR(IF(OR(NOT(ISNUMBER('Price History'!F38)),NOT(ISNUMBER('Price History'!F37)),'Price History'!F37=0),"",'Price History'!F38/'Price History'!F37-1),"")</f>
        <v>-2.0537525354969444E-2</v>
      </c>
      <c r="G37" s="76">
        <f>IFERROR(IF(OR(NOT(ISNUMBER('Price History'!G38)),NOT(ISNUMBER('Price History'!G37)),'Price History'!G37=0),"",'Price History'!G38/'Price History'!G37-1),"")</f>
        <v>-2.9291154071471315E-3</v>
      </c>
      <c r="H37" s="76">
        <f>IFERROR(IF(OR(NOT(ISNUMBER('Price History'!H38)),NOT(ISNUMBER('Price History'!H37)),'Price History'!H37=0),"",'Price History'!H38/'Price History'!H37-1),"")</f>
        <v>-8.5774397151643367E-3</v>
      </c>
      <c r="I37" s="76">
        <f>IFERROR(IF(OR(NOT(ISNUMBER('Price History'!I38)),NOT(ISNUMBER('Price History'!I37)),'Price History'!I37=0),"",'Price History'!I38/'Price History'!I37-1),"")</f>
        <v>2.045222133848279E-3</v>
      </c>
      <c r="J37" s="76">
        <f>IFERROR(IF(OR(NOT(ISNUMBER('Price History'!J38)),NOT(ISNUMBER('Price History'!J37)),'Price History'!J37=0),"",'Price History'!J38/'Price History'!J37-1),"")</f>
        <v>-4.6015712682379362E-2</v>
      </c>
      <c r="K37" s="76">
        <f>IFERROR(IF(OR(NOT(ISNUMBER('Price History'!K38)),NOT(ISNUMBER('Price History'!K37)),'Price History'!K37=0),"",'Price History'!K38/'Price History'!K37-1),"")</f>
        <v>-1.2630662020905903E-2</v>
      </c>
      <c r="L37" s="76">
        <f>IFERROR(IF(OR(NOT(ISNUMBER('Price History'!L38)),NOT(ISNUMBER('Price History'!L37)),'Price History'!L37=0),"",'Price History'!L38/'Price History'!L37-1),"")</f>
        <v>8.2059988681379981E-3</v>
      </c>
      <c r="M37" s="76">
        <f>IFERROR(IF(OR(NOT(ISNUMBER('Price History'!M38)),NOT(ISNUMBER('Price History'!M37)),'Price History'!M37=0),"",'Price History'!M38/'Price History'!M37-1),"")</f>
        <v>-1.6990860089055593E-2</v>
      </c>
      <c r="N37" s="76">
        <f>IFERROR(IF(OR(NOT(ISNUMBER('Price History'!N38)),NOT(ISNUMBER('Price History'!N37)),'Price History'!N37=0),"",'Price History'!N38/'Price History'!N37-1),"")</f>
        <v>-2.4885041925885809E-2</v>
      </c>
      <c r="O37" s="76">
        <f>IFERROR(IF(OR(NOT(ISNUMBER('Price History'!O38)),NOT(ISNUMBER('Price History'!O37)),'Price History'!O37=0),"",'Price History'!O38/'Price History'!O37-1),"")</f>
        <v>-3.0864870760170082E-2</v>
      </c>
      <c r="P37" s="76" t="str">
        <f>IFERROR(IF(OR(NOT(ISNUMBER('Price History'!P38)),NOT(ISNUMBER('Price History'!P37)),'Price History'!P37=0),"",'Price History'!P38/'Price History'!P37-1),"")</f>
        <v/>
      </c>
      <c r="Q37" s="76">
        <f>IFERROR(IF(OR(NOT(ISNUMBER('Price History'!Q38)),NOT(ISNUMBER('Price History'!Q37)),'Price History'!Q37=0),"",'Price History'!Q38/'Price History'!Q37-1),"")</f>
        <v>-2.6219192448871942E-3</v>
      </c>
      <c r="R37" s="76">
        <f>IFERROR(IF(OR(NOT(ISNUMBER('Price History'!R38)),NOT(ISNUMBER('Price History'!R37)),'Price History'!R37=0),"",'Price History'!R38/'Price History'!R37-1),"")</f>
        <v>-3.5454375816384998E-3</v>
      </c>
      <c r="S37" s="76">
        <f>IFERROR(IF(OR(NOT(ISNUMBER('Price History'!S38)),NOT(ISNUMBER('Price History'!S37)),'Price History'!S37=0),"",'Price History'!S38/'Price History'!S37-1),"")</f>
        <v>-1.4045991298943572E-2</v>
      </c>
      <c r="T37" s="76">
        <f>IFERROR(IF(OR(NOT(ISNUMBER('Price History'!T38)),NOT(ISNUMBER('Price History'!T37)),'Price History'!T37=0),"",'Price History'!T38/'Price History'!T37-1),"")</f>
        <v>-2.5982060006186192E-2</v>
      </c>
      <c r="U37" s="76" t="str">
        <f>IFERROR(IF(OR(NOT(ISNUMBER('Price History'!U38)),NOT(ISNUMBER('Price History'!U37)),'Price History'!U37=0),"",'Price History'!U38/'Price History'!U37-1),"")</f>
        <v/>
      </c>
      <c r="W37" s="77">
        <f>'Price History'!B3+('Price History'!B158-'Price History'!B3)*0.220779220779221</f>
        <v>451.48012987012982</v>
      </c>
      <c r="X37" s="77">
        <f>'Price History'!C3+('Price History'!C158-'Price History'!C3)*0.220779220779221</f>
        <v>73.900649350649374</v>
      </c>
      <c r="Y37" s="77">
        <f>'Price History'!D3+('Price History'!D158-'Price History'!D3)*0.220779220779221</f>
        <v>875.32207792207805</v>
      </c>
      <c r="Z37" s="77">
        <f>'Price History'!E3+('Price History'!E158-'Price History'!E3)*0.220779220779221</f>
        <v>150.60467532467538</v>
      </c>
      <c r="AA37" s="77">
        <f>'Price History'!F3+('Price History'!F158-'Price History'!F3)*0.220779220779221</f>
        <v>71.015844155844192</v>
      </c>
      <c r="AB37" s="77">
        <f>'Price History'!G3+('Price History'!G158-'Price History'!G3)*0.220779220779221</f>
        <v>77.687532467532492</v>
      </c>
      <c r="AC37" s="77">
        <f>'Price History'!H3+('Price History'!H158-'Price History'!H3)*0.220779220779221</f>
        <v>231.86636363636379</v>
      </c>
      <c r="AD37" s="77">
        <f>'Price History'!I3+('Price History'!I158-'Price History'!I3)*0.220779220779221</f>
        <v>76.152597402597436</v>
      </c>
      <c r="AE37" s="77">
        <f>'Price History'!J3+('Price History'!J158-'Price History'!J3)*0.220779220779221</f>
        <v>128.16844155844157</v>
      </c>
      <c r="AF37" s="77">
        <f>'Price History'!K3+('Price History'!K158-'Price History'!K3)*0.220779220779221</f>
        <v>39.17688311688314</v>
      </c>
      <c r="AG37" s="77">
        <f>'Price History'!L3+('Price History'!L158-'Price History'!L3)*0.220779220779221</f>
        <v>160.93051948051954</v>
      </c>
      <c r="AH37" s="77">
        <f>'Price History'!M3+('Price History'!M158-'Price History'!M3)*0.220779220779221</f>
        <v>79.445324675324713</v>
      </c>
      <c r="AI37" s="77">
        <f>'Price History'!N3+('Price History'!N158-'Price History'!N3)*0.220779220779221</f>
        <v>377.95194805194808</v>
      </c>
      <c r="AJ37" s="77">
        <f>'Price History'!O3+('Price History'!O158-'Price History'!O3)*0.220779220779221</f>
        <v>92.217662337662347</v>
      </c>
      <c r="AK37" s="77">
        <f>'Price History'!Q3+('Price History'!Q151-'Price History'!Q3)*0.220779220779221</f>
        <v>53.948701298701309</v>
      </c>
      <c r="AL37" s="77">
        <f>'Price History'!R3+('Price History'!R158-'Price History'!R3)*0.220779220779221</f>
        <v>50.122727272727275</v>
      </c>
      <c r="AM37" s="77">
        <f>'Price History'!S3+('Price History'!S158-'Price History'!S3)*0.220779220779221</f>
        <v>77.370259740259769</v>
      </c>
      <c r="AN37" s="77">
        <f>'Price History'!T3+('Price History'!T158-'Price History'!T3)*0.220779220779221</f>
        <v>31.950389610389614</v>
      </c>
    </row>
    <row r="38" spans="1:40" ht="15" customHeight="1" x14ac:dyDescent="0.2">
      <c r="A38" s="55">
        <f>IF('Price History'!A39="","",'Price History'!A39)</f>
        <v>45401</v>
      </c>
      <c r="B38" s="76">
        <f>IFERROR(IF(OR(NOT(ISNUMBER('Price History'!B39)),NOT(ISNUMBER('Price History'!B38)),'Price History'!B38=0),"",'Price History'!B39/'Price History'!B38-1),"")</f>
        <v>-1.9131388554915696E-2</v>
      </c>
      <c r="C38" s="76">
        <f>IFERROR(IF(OR(NOT(ISNUMBER('Price History'!C39)),NOT(ISNUMBER('Price History'!C38)),'Price History'!C38=0),"",'Price History'!C39/'Price History'!C38-1),"")</f>
        <v>-9.2759180061937729E-2</v>
      </c>
      <c r="D38" s="76">
        <f>IFERROR(IF(OR(NOT(ISNUMBER('Price History'!D39)),NOT(ISNUMBER('Price History'!D38)),'Price History'!D38=0),"",'Price History'!D39/'Price History'!D38-1),"")</f>
        <v>-0.10635864592863686</v>
      </c>
      <c r="E38" s="76">
        <f>IFERROR(IF(OR(NOT(ISNUMBER('Price History'!E39)),NOT(ISNUMBER('Price History'!E38)),'Price History'!E38=0),"",'Price History'!E39/'Price History'!E38-1),"")</f>
        <v>-0.10371252138977749</v>
      </c>
      <c r="F38" s="76">
        <f>IFERROR(IF(OR(NOT(ISNUMBER('Price History'!F39)),NOT(ISNUMBER('Price History'!F38)),'Price History'!F38=0),"",'Price History'!F39/'Price History'!F38-1),"")</f>
        <v>-8.5425834843386061E-2</v>
      </c>
      <c r="G38" s="76">
        <f>IFERROR(IF(OR(NOT(ISNUMBER('Price History'!G39)),NOT(ISNUMBER('Price History'!G38)),'Price History'!G38=0),"",'Price History'!G39/'Price History'!G38-1),"")</f>
        <v>-7.726204465334896E-2</v>
      </c>
      <c r="H38" s="76">
        <f>IFERROR(IF(OR(NOT(ISNUMBER('Price History'!H39)),NOT(ISNUMBER('Price History'!H38)),'Price History'!H38=0),"",'Price History'!H39/'Price History'!H38-1),"")</f>
        <v>-0.12855044074436828</v>
      </c>
      <c r="I38" s="76">
        <f>IFERROR(IF(OR(NOT(ISNUMBER('Price History'!I39)),NOT(ISNUMBER('Price History'!I38)),'Price History'!I38=0),"",'Price History'!I39/'Price History'!I38-1),"")</f>
        <v>-0.13595645764825937</v>
      </c>
      <c r="J38" s="76">
        <f>IFERROR(IF(OR(NOT(ISNUMBER('Price History'!J39)),NOT(ISNUMBER('Price History'!J38)),'Price History'!J38=0),"",'Price History'!J39/'Price History'!J38-1),"")</f>
        <v>-0.13033613445378156</v>
      </c>
      <c r="K38" s="76">
        <f>IFERROR(IF(OR(NOT(ISNUMBER('Price History'!K39)),NOT(ISNUMBER('Price History'!K38)),'Price History'!K38=0),"",'Price History'!K39/'Price History'!K38-1),"")</f>
        <v>-9.7044552271724815E-2</v>
      </c>
      <c r="L38" s="76">
        <f>IFERROR(IF(OR(NOT(ISNUMBER('Price History'!L39)),NOT(ISNUMBER('Price History'!L38)),'Price History'!L38=0),"",'Price History'!L39/'Price History'!L38-1),"")</f>
        <v>-0.10398540555711488</v>
      </c>
      <c r="M38" s="76">
        <f>IFERROR(IF(OR(NOT(ISNUMBER('Price History'!M39)),NOT(ISNUMBER('Price History'!M38)),'Price History'!M38=0),"",'Price History'!M39/'Price History'!M38-1),"")</f>
        <v>-0.10585290261056135</v>
      </c>
      <c r="N38" s="76">
        <f>IFERROR(IF(OR(NOT(ISNUMBER('Price History'!N39)),NOT(ISNUMBER('Price History'!N38)),'Price History'!N38=0),"",'Price History'!N39/'Price History'!N38-1),"")</f>
        <v>-5.7243727146640833E-3</v>
      </c>
      <c r="O38" s="76">
        <f>IFERROR(IF(OR(NOT(ISNUMBER('Price History'!O39)),NOT(ISNUMBER('Price History'!O38)),'Price History'!O38=0),"",'Price History'!O39/'Price History'!O38-1),"")</f>
        <v>-9.0029259509339932E-3</v>
      </c>
      <c r="P38" s="76" t="str">
        <f>IFERROR(IF(OR(NOT(ISNUMBER('Price History'!P39)),NOT(ISNUMBER('Price History'!P38)),'Price History'!P38=0),"",'Price History'!P39/'Price History'!P38-1),"")</f>
        <v/>
      </c>
      <c r="Q38" s="76">
        <f>IFERROR(IF(OR(NOT(ISNUMBER('Price History'!Q39)),NOT(ISNUMBER('Price History'!Q38)),'Price History'!Q38=0),"",'Price History'!Q39/'Price History'!Q38-1),"")</f>
        <v>1.1041009463722329E-2</v>
      </c>
      <c r="R38" s="76">
        <f>IFERROR(IF(OR(NOT(ISNUMBER('Price History'!R39)),NOT(ISNUMBER('Price History'!R38)),'Price History'!R38=0),"",'Price History'!R39/'Price History'!R38-1),"")</f>
        <v>-4.7940074906366981E-2</v>
      </c>
      <c r="S38" s="76">
        <f>IFERROR(IF(OR(NOT(ISNUMBER('Price History'!S39)),NOT(ISNUMBER('Price History'!S38)),'Price History'!S38=0),"",'Price History'!S39/'Price History'!S38-1),"")</f>
        <v>-5.6858295511850621E-2</v>
      </c>
      <c r="T38" s="76">
        <f>IFERROR(IF(OR(NOT(ISNUMBER('Price History'!T39)),NOT(ISNUMBER('Price History'!T38)),'Price History'!T38=0),"",'Price History'!T39/'Price History'!T38-1),"")</f>
        <v>-1.7783423308986968E-2</v>
      </c>
      <c r="U38" s="76" t="str">
        <f>IFERROR(IF(OR(NOT(ISNUMBER('Price History'!U39)),NOT(ISNUMBER('Price History'!U38)),'Price History'!U38=0),"",'Price History'!U39/'Price History'!U38-1),"")</f>
        <v/>
      </c>
      <c r="W38" s="77">
        <f>'Price History'!B3+('Price History'!B158-'Price History'!B3)*0.227272727272727</f>
        <v>449.80454545454552</v>
      </c>
      <c r="X38" s="77">
        <f>'Price History'!C3+('Price History'!C158-'Price History'!C3)*0.227272727272727</f>
        <v>74.787727272727238</v>
      </c>
      <c r="Y38" s="77">
        <f>'Price History'!D3+('Price History'!D158-'Price History'!D3)*0.227272727272727</f>
        <v>881.60272727272695</v>
      </c>
      <c r="Z38" s="77">
        <f>'Price History'!E3+('Price History'!E158-'Price History'!E3)*0.227272727272727</f>
        <v>152.59363636363628</v>
      </c>
      <c r="AA38" s="77">
        <f>'Price History'!F3+('Price History'!F158-'Price History'!F3)*0.227272727272727</f>
        <v>72.014545454545413</v>
      </c>
      <c r="AB38" s="77">
        <f>'Price History'!G3+('Price History'!G158-'Price History'!G3)*0.227272727272727</f>
        <v>78.56363636363632</v>
      </c>
      <c r="AC38" s="77">
        <f>'Price History'!H3+('Price History'!H158-'Price History'!H3)*0.227272727272727</f>
        <v>236.79272727272706</v>
      </c>
      <c r="AD38" s="77">
        <f>'Price History'!I3+('Price History'!I158-'Price History'!I3)*0.227272727272727</f>
        <v>77.190909090909045</v>
      </c>
      <c r="AE38" s="77">
        <f>'Price History'!J3+('Price History'!J158-'Price History'!J3)*0.227272727272727</f>
        <v>128.30545454545455</v>
      </c>
      <c r="AF38" s="77">
        <f>'Price History'!K3+('Price History'!K158-'Price History'!K3)*0.227272727272727</f>
        <v>39.875909090909062</v>
      </c>
      <c r="AG38" s="77">
        <f>'Price History'!L3+('Price History'!L158-'Price History'!L3)*0.227272727272727</f>
        <v>162.95818181818174</v>
      </c>
      <c r="AH38" s="77">
        <f>'Price History'!M3+('Price History'!M158-'Price History'!M3)*0.227272727272727</f>
        <v>80.796363636363566</v>
      </c>
      <c r="AI38" s="77">
        <f>'Price History'!N3+('Price History'!N158-'Price History'!N3)*0.227272727272727</f>
        <v>378.77818181818179</v>
      </c>
      <c r="AJ38" s="77">
        <f>'Price History'!O3+('Price History'!O158-'Price History'!O3)*0.227272727272727</f>
        <v>92.493181818181796</v>
      </c>
      <c r="AK38" s="77">
        <f>'Price History'!Q3+('Price History'!Q151-'Price History'!Q3)*0.227272727272727</f>
        <v>54.069545454545455</v>
      </c>
      <c r="AL38" s="77">
        <f>'Price History'!R3+('Price History'!R158-'Price History'!R3)*0.227272727272727</f>
        <v>50.190454545454543</v>
      </c>
      <c r="AM38" s="77">
        <f>'Price History'!S3+('Price History'!S158-'Price History'!S3)*0.227272727272727</f>
        <v>77.924090909090893</v>
      </c>
      <c r="AN38" s="77">
        <f>'Price History'!T3+('Price History'!T158-'Price History'!T3)*0.227272727272727</f>
        <v>32.098636363636359</v>
      </c>
    </row>
    <row r="39" spans="1:40" ht="15" customHeight="1" x14ac:dyDescent="0.2">
      <c r="A39" s="55">
        <f>IF('Price History'!A40="","",'Price History'!A40)</f>
        <v>45408</v>
      </c>
      <c r="B39" s="76">
        <f>IFERROR(IF(OR(NOT(ISNUMBER('Price History'!B40)),NOT(ISNUMBER('Price History'!B39)),'Price History'!B39=0),"",'Price History'!B40/'Price History'!B39-1),"")</f>
        <v>2.6966582082491142E-2</v>
      </c>
      <c r="C39" s="76">
        <f>IFERROR(IF(OR(NOT(ISNUMBER('Price History'!C40)),NOT(ISNUMBER('Price History'!C39)),'Price History'!C39=0),"",'Price History'!C40/'Price History'!C39-1),"")</f>
        <v>7.5747724317295262E-2</v>
      </c>
      <c r="D39" s="76">
        <f>IFERROR(IF(OR(NOT(ISNUMBER('Price History'!D40)),NOT(ISNUMBER('Price History'!D39)),'Price History'!D39=0),"",'Price History'!D40/'Price History'!D39-1),"")</f>
        <v>6.9141633897200849E-2</v>
      </c>
      <c r="E39" s="76">
        <f>IFERROR(IF(OR(NOT(ISNUMBER('Price History'!E40)),NOT(ISNUMBER('Price History'!E39)),'Price History'!E39=0),"",'Price History'!E40/'Price History'!E39-1),"")</f>
        <v>0.11571345563210755</v>
      </c>
      <c r="F39" s="76">
        <f>IFERROR(IF(OR(NOT(ISNUMBER('Price History'!F40)),NOT(ISNUMBER('Price History'!F39)),'Price History'!F39=0),"",'Price History'!F40/'Price History'!F39-1),"")</f>
        <v>7.5856212850268889E-2</v>
      </c>
      <c r="G39" s="76">
        <f>IFERROR(IF(OR(NOT(ISNUMBER('Price History'!G40)),NOT(ISNUMBER('Price History'!G39)),'Price History'!G39=0),"",'Price History'!G40/'Price History'!G39-1),"")</f>
        <v>0.12432346386501103</v>
      </c>
      <c r="H39" s="76">
        <f>IFERROR(IF(OR(NOT(ISNUMBER('Price History'!H40)),NOT(ISNUMBER('Price History'!H39)),'Price History'!H39=0),"",'Price History'!H40/'Price History'!H39-1),"")</f>
        <v>7.5583028940713781E-2</v>
      </c>
      <c r="I39" s="76">
        <f>IFERROR(IF(OR(NOT(ISNUMBER('Price History'!I40)),NOT(ISNUMBER('Price History'!I39)),'Price History'!I39=0),"",'Price History'!I40/'Price History'!I39-1),"")</f>
        <v>0.15144356955380567</v>
      </c>
      <c r="J39" s="76">
        <f>IFERROR(IF(OR(NOT(ISNUMBER('Price History'!J40)),NOT(ISNUMBER('Price History'!J39)),'Price History'!J39=0),"",'Price History'!J40/'Price History'!J39-1),"")</f>
        <v>5.5077785293264903E-3</v>
      </c>
      <c r="K39" s="76">
        <f>IFERROR(IF(OR(NOT(ISNUMBER('Price History'!K40)),NOT(ISNUMBER('Price History'!K39)),'Price History'!K39=0),"",'Price History'!K40/'Price History'!K39-1),"")</f>
        <v>0.10014655593551547</v>
      </c>
      <c r="L39" s="76">
        <f>IFERROR(IF(OR(NOT(ISNUMBER('Price History'!L40)),NOT(ISNUMBER('Price History'!L39)),'Price History'!L39=0),"",'Price History'!L40/'Price History'!L39-1),"")</f>
        <v>8.3007047768206776E-2</v>
      </c>
      <c r="M39" s="76">
        <f>IFERROR(IF(OR(NOT(ISNUMBER('Price History'!M40)),NOT(ISNUMBER('Price History'!M39)),'Price History'!M39=0),"",'Price History'!M40/'Price History'!M39-1),"")</f>
        <v>0.24636715104652707</v>
      </c>
      <c r="N39" s="76">
        <f>IFERROR(IF(OR(NOT(ISNUMBER('Price History'!N40)),NOT(ISNUMBER('Price History'!N39)),'Price History'!N39=0),"",'Price History'!N40/'Price History'!N39-1),"")</f>
        <v>8.1160596530385209E-3</v>
      </c>
      <c r="O39" s="76">
        <f>IFERROR(IF(OR(NOT(ISNUMBER('Price History'!O40)),NOT(ISNUMBER('Price History'!O39)),'Price History'!O39=0),"",'Price History'!O40/'Price History'!O39-1),"")</f>
        <v>2.4755848285259896E-2</v>
      </c>
      <c r="P39" s="76" t="str">
        <f>IFERROR(IF(OR(NOT(ISNUMBER('Price History'!P40)),NOT(ISNUMBER('Price History'!P39)),'Price History'!P39=0),"",'Price History'!P40/'Price History'!P39-1),"")</f>
        <v/>
      </c>
      <c r="Q39" s="76">
        <f>IFERROR(IF(OR(NOT(ISNUMBER('Price History'!Q40)),NOT(ISNUMBER('Price History'!Q39)),'Price History'!Q39=0),"",'Price History'!Q40/'Price History'!Q39-1),"")</f>
        <v>9.0136938810885248E-3</v>
      </c>
      <c r="R39" s="76">
        <f>IFERROR(IF(OR(NOT(ISNUMBER('Price History'!R40)),NOT(ISNUMBER('Price History'!R39)),'Price History'!R39=0),"",'Price History'!R40/'Price History'!R39-1),"")</f>
        <v>3.5798583792289396E-2</v>
      </c>
      <c r="S39" s="76">
        <f>IFERROR(IF(OR(NOT(ISNUMBER('Price History'!S40)),NOT(ISNUMBER('Price History'!S39)),'Price History'!S39=0),"",'Price History'!S40/'Price History'!S39-1),"")</f>
        <v>3.0076193022323228E-2</v>
      </c>
      <c r="T39" s="76">
        <f>IFERROR(IF(OR(NOT(ISNUMBER('Price History'!T40)),NOT(ISNUMBER('Price History'!T39)),'Price History'!T39=0),"",'Price History'!T40/'Price History'!T39-1),"")</f>
        <v>1.2609117361784605E-2</v>
      </c>
      <c r="U39" s="76" t="str">
        <f>IFERROR(IF(OR(NOT(ISNUMBER('Price History'!U40)),NOT(ISNUMBER('Price History'!U39)),'Price History'!U39=0),"",'Price History'!U40/'Price History'!U39-1),"")</f>
        <v/>
      </c>
      <c r="W39" s="77">
        <f>'Price History'!B3+('Price History'!B158-'Price History'!B3)*0.233766233766234</f>
        <v>448.12896103896099</v>
      </c>
      <c r="X39" s="77">
        <f>'Price History'!C3+('Price History'!C158-'Price History'!C3)*0.233766233766234</f>
        <v>75.674805194805231</v>
      </c>
      <c r="Y39" s="77">
        <f>'Price History'!D3+('Price History'!D158-'Price History'!D3)*0.233766233766234</f>
        <v>887.88337662337688</v>
      </c>
      <c r="Z39" s="77">
        <f>'Price History'!E3+('Price History'!E158-'Price History'!E3)*0.233766233766234</f>
        <v>154.58259740259746</v>
      </c>
      <c r="AA39" s="77">
        <f>'Price History'!F3+('Price History'!F158-'Price History'!F3)*0.233766233766234</f>
        <v>73.01324675324679</v>
      </c>
      <c r="AB39" s="77">
        <f>'Price History'!G3+('Price History'!G158-'Price History'!G3)*0.233766233766234</f>
        <v>79.43974025974029</v>
      </c>
      <c r="AC39" s="77">
        <f>'Price History'!H3+('Price History'!H158-'Price History'!H3)*0.233766233766234</f>
        <v>241.71909090909108</v>
      </c>
      <c r="AD39" s="77">
        <f>'Price History'!I3+('Price History'!I158-'Price History'!I3)*0.233766233766234</f>
        <v>78.229220779220825</v>
      </c>
      <c r="AE39" s="77">
        <f>'Price History'!J3+('Price History'!J158-'Price History'!J3)*0.233766233766234</f>
        <v>128.44246753246753</v>
      </c>
      <c r="AF39" s="77">
        <f>'Price History'!K3+('Price History'!K158-'Price History'!K3)*0.233766233766234</f>
        <v>40.57493506493509</v>
      </c>
      <c r="AG39" s="77">
        <f>'Price History'!L3+('Price History'!L158-'Price History'!L3)*0.233766233766234</f>
        <v>164.98584415584423</v>
      </c>
      <c r="AH39" s="77">
        <f>'Price History'!M3+('Price History'!M158-'Price History'!M3)*0.233766233766234</f>
        <v>82.147402597402646</v>
      </c>
      <c r="AI39" s="77">
        <f>'Price History'!N3+('Price History'!N158-'Price History'!N3)*0.233766233766234</f>
        <v>379.60441558441562</v>
      </c>
      <c r="AJ39" s="77">
        <f>'Price History'!O3+('Price History'!O158-'Price History'!O3)*0.233766233766234</f>
        <v>92.768701298701302</v>
      </c>
      <c r="AK39" s="77">
        <f>'Price History'!Q3+('Price History'!Q151-'Price History'!Q3)*0.233766233766234</f>
        <v>54.190389610389616</v>
      </c>
      <c r="AL39" s="77">
        <f>'Price History'!R3+('Price History'!R158-'Price History'!R3)*0.233766233766234</f>
        <v>50.258181818181818</v>
      </c>
      <c r="AM39" s="77">
        <f>'Price History'!S3+('Price History'!S158-'Price History'!S3)*0.233766233766234</f>
        <v>78.477922077922102</v>
      </c>
      <c r="AN39" s="77">
        <f>'Price History'!T3+('Price History'!T158-'Price History'!T3)*0.233766233766234</f>
        <v>32.246883116883126</v>
      </c>
    </row>
    <row r="40" spans="1:40" ht="15" customHeight="1" x14ac:dyDescent="0.2">
      <c r="A40" s="55">
        <f>IF('Price History'!A41="","",'Price History'!A41)</f>
        <v>45415</v>
      </c>
      <c r="B40" s="76">
        <f>IFERROR(IF(OR(NOT(ISNUMBER('Price History'!B41)),NOT(ISNUMBER('Price History'!B40)),'Price History'!B40=0),"",'Price History'!B41/'Price History'!B40-1),"")</f>
        <v>1.8050087947064197E-2</v>
      </c>
      <c r="C40" s="76">
        <f>IFERROR(IF(OR(NOT(ISNUMBER('Price History'!C41)),NOT(ISNUMBER('Price History'!C40)),'Price History'!C40=0),"",'Price History'!C41/'Price History'!C40-1),"")</f>
        <v>3.6566938652160541E-2</v>
      </c>
      <c r="D40" s="76">
        <f>IFERROR(IF(OR(NOT(ISNUMBER('Price History'!D41)),NOT(ISNUMBER('Price History'!D40)),'Price History'!D40=0),"",'Price History'!D41/'Price History'!D40-1),"")</f>
        <v>-1.8868951108306109E-2</v>
      </c>
      <c r="E40" s="76">
        <f>IFERROR(IF(OR(NOT(ISNUMBER('Price History'!E41)),NOT(ISNUMBER('Price History'!E40)),'Price History'!E40=0),"",'Price History'!E41/'Price History'!E40-1),"")</f>
        <v>-4.9103489323711003E-2</v>
      </c>
      <c r="F40" s="76">
        <f>IFERROR(IF(OR(NOT(ISNUMBER('Price History'!F41)),NOT(ISNUMBER('Price History'!F40)),'Price History'!F40=0),"",'Price History'!F41/'Price History'!F40-1),"")</f>
        <v>2.0126282557221709E-2</v>
      </c>
      <c r="G40" s="76">
        <f>IFERROR(IF(OR(NOT(ISNUMBER('Price History'!G41)),NOT(ISNUMBER('Price History'!G40)),'Price History'!G40=0),"",'Price History'!G41/'Price History'!G40-1),"")</f>
        <v>-1.3733540988248638E-2</v>
      </c>
      <c r="H40" s="76">
        <f>IFERROR(IF(OR(NOT(ISNUMBER('Price History'!H41)),NOT(ISNUMBER('Price History'!H40)),'Price History'!H40=0),"",'Price History'!H41/'Price History'!H40-1),"")</f>
        <v>-1.2190874259839779E-3</v>
      </c>
      <c r="I40" s="76">
        <f>IFERROR(IF(OR(NOT(ISNUMBER('Price History'!I41)),NOT(ISNUMBER('Price History'!I40)),'Price History'!I40=0),"",'Price History'!I41/'Price History'!I40-1),"")</f>
        <v>1.1967175746524061E-2</v>
      </c>
      <c r="J40" s="76">
        <f>IFERROR(IF(OR(NOT(ISNUMBER('Price History'!J41)),NOT(ISNUMBER('Price History'!J40)),'Price History'!J40=0),"",'Price History'!J41/'Price History'!J40-1),"")</f>
        <v>1.7586008072266068E-2</v>
      </c>
      <c r="K40" s="76">
        <f>IFERROR(IF(OR(NOT(ISNUMBER('Price History'!K41)),NOT(ISNUMBER('Price History'!K40)),'Price History'!K40=0),"",'Price History'!K41/'Price History'!K40-1),"")</f>
        <v>3.5968028419182785E-2</v>
      </c>
      <c r="L40" s="76">
        <f>IFERROR(IF(OR(NOT(ISNUMBER('Price History'!L41)),NOT(ISNUMBER('Price History'!L40)),'Price History'!L40=0),"",'Price History'!L41/'Price History'!L40-1),"")</f>
        <v>2.357194504699911E-2</v>
      </c>
      <c r="M40" s="76">
        <f>IFERROR(IF(OR(NOT(ISNUMBER('Price History'!M41)),NOT(ISNUMBER('Price History'!M40)),'Price History'!M40=0),"",'Price History'!M41/'Price History'!M40-1),"")</f>
        <v>-5.1342389560379287E-3</v>
      </c>
      <c r="N40" s="76">
        <f>IFERROR(IF(OR(NOT(ISNUMBER('Price History'!N41)),NOT(ISNUMBER('Price History'!N40)),'Price History'!N40=0),"",'Price History'!N41/'Price History'!N40-1),"")</f>
        <v>9.0570594746903765E-3</v>
      </c>
      <c r="O40" s="76">
        <f>IFERROR(IF(OR(NOT(ISNUMBER('Price History'!O41)),NOT(ISNUMBER('Price History'!O40)),'Price History'!O40=0),"",'Price History'!O41/'Price History'!O40-1),"")</f>
        <v>6.8705673758866492E-3</v>
      </c>
      <c r="P40" s="76" t="str">
        <f>IFERROR(IF(OR(NOT(ISNUMBER('Price History'!P41)),NOT(ISNUMBER('Price History'!P40)),'Price History'!P40=0),"",'Price History'!P41/'Price History'!P40-1),"")</f>
        <v/>
      </c>
      <c r="Q40" s="76">
        <f>IFERROR(IF(OR(NOT(ISNUMBER('Price History'!Q41)),NOT(ISNUMBER('Price History'!Q40)),'Price History'!Q40=0),"",'Price History'!Q41/'Price History'!Q40-1),"")</f>
        <v>3.2640439786977282E-3</v>
      </c>
      <c r="R40" s="76">
        <f>IFERROR(IF(OR(NOT(ISNUMBER('Price History'!R41)),NOT(ISNUMBER('Price History'!R40)),'Price History'!R40=0),"",'Price History'!R41/'Price History'!R40-1),"")</f>
        <v>1.7090770983669845E-3</v>
      </c>
      <c r="S40" s="76">
        <f>IFERROR(IF(OR(NOT(ISNUMBER('Price History'!S41)),NOT(ISNUMBER('Price History'!S40)),'Price History'!S40=0),"",'Price History'!S41/'Price History'!S40-1),"")</f>
        <v>9.8624448481701155E-3</v>
      </c>
      <c r="T40" s="76">
        <f>IFERROR(IF(OR(NOT(ISNUMBER('Price History'!T41)),NOT(ISNUMBER('Price History'!T40)),'Price History'!T40=0),"",'Price History'!T41/'Price History'!T40-1),"")</f>
        <v>-1.5644955300127772E-2</v>
      </c>
      <c r="U40" s="76" t="str">
        <f>IFERROR(IF(OR(NOT(ISNUMBER('Price History'!U41)),NOT(ISNUMBER('Price History'!U40)),'Price History'!U40=0),"",'Price History'!U41/'Price History'!U40-1),"")</f>
        <v/>
      </c>
      <c r="W40" s="77">
        <f>'Price History'!B3+('Price History'!B158-'Price History'!B3)*0.24025974025974</f>
        <v>446.4533766233767</v>
      </c>
      <c r="X40" s="77">
        <f>'Price History'!C3+('Price History'!C158-'Price History'!C3)*0.24025974025974</f>
        <v>76.561883116883081</v>
      </c>
      <c r="Y40" s="77">
        <f>'Price History'!D3+('Price History'!D158-'Price History'!D3)*0.24025974025974</f>
        <v>894.16402597402566</v>
      </c>
      <c r="Z40" s="77">
        <f>'Price History'!E3+('Price History'!E158-'Price History'!E3)*0.24025974025974</f>
        <v>156.57155844155835</v>
      </c>
      <c r="AA40" s="77">
        <f>'Price History'!F3+('Price History'!F158-'Price History'!F3)*0.24025974025974</f>
        <v>74.011948051948025</v>
      </c>
      <c r="AB40" s="77">
        <f>'Price History'!G3+('Price History'!G158-'Price History'!G3)*0.24025974025974</f>
        <v>80.315844155844118</v>
      </c>
      <c r="AC40" s="77">
        <f>'Price History'!H3+('Price History'!H158-'Price History'!H3)*0.24025974025974</f>
        <v>246.64545454545436</v>
      </c>
      <c r="AD40" s="77">
        <f>'Price History'!I3+('Price History'!I158-'Price History'!I3)*0.24025974025974</f>
        <v>79.267532467532433</v>
      </c>
      <c r="AE40" s="77">
        <f>'Price History'!J3+('Price History'!J158-'Price History'!J3)*0.24025974025974</f>
        <v>128.57948051948051</v>
      </c>
      <c r="AF40" s="77">
        <f>'Price History'!K3+('Price History'!K158-'Price History'!K3)*0.24025974025974</f>
        <v>41.273961038961012</v>
      </c>
      <c r="AG40" s="77">
        <f>'Price History'!L3+('Price History'!L158-'Price History'!L3)*0.24025974025974</f>
        <v>167.01350649350641</v>
      </c>
      <c r="AH40" s="77">
        <f>'Price History'!M3+('Price History'!M158-'Price History'!M3)*0.24025974025974</f>
        <v>83.498441558441499</v>
      </c>
      <c r="AI40" s="77">
        <f>'Price History'!N3+('Price History'!N158-'Price History'!N3)*0.24025974025974</f>
        <v>380.43064935064933</v>
      </c>
      <c r="AJ40" s="77">
        <f>'Price History'!O3+('Price History'!O158-'Price History'!O3)*0.24025974025974</f>
        <v>93.044220779220765</v>
      </c>
      <c r="AK40" s="77">
        <f>'Price History'!Q3+('Price History'!Q151-'Price History'!Q3)*0.24025974025974</f>
        <v>54.311233766233762</v>
      </c>
      <c r="AL40" s="77">
        <f>'Price History'!R3+('Price History'!R158-'Price History'!R3)*0.24025974025974</f>
        <v>50.325909090909086</v>
      </c>
      <c r="AM40" s="77">
        <f>'Price History'!S3+('Price History'!S158-'Price History'!S3)*0.24025974025974</f>
        <v>79.031753246753226</v>
      </c>
      <c r="AN40" s="77">
        <f>'Price History'!T3+('Price History'!T158-'Price History'!T3)*0.24025974025974</f>
        <v>32.395129870129864</v>
      </c>
    </row>
    <row r="41" spans="1:40" ht="15" customHeight="1" x14ac:dyDescent="0.2">
      <c r="A41" s="55">
        <f>IF('Price History'!A42="","",'Price History'!A42)</f>
        <v>45422</v>
      </c>
      <c r="B41" s="76">
        <f>IFERROR(IF(OR(NOT(ISNUMBER('Price History'!B42)),NOT(ISNUMBER('Price History'!B41)),'Price History'!B41=0),"",'Price History'!B42/'Price History'!B41-1),"")</f>
        <v>-8.0011518367681944E-3</v>
      </c>
      <c r="C41" s="76">
        <f>IFERROR(IF(OR(NOT(ISNUMBER('Price History'!C42)),NOT(ISNUMBER('Price History'!C41)),'Price History'!C41=0),"",'Price History'!C42/'Price History'!C41-1),"")</f>
        <v>0.14446064139941717</v>
      </c>
      <c r="D41" s="76">
        <f>IFERROR(IF(OR(NOT(ISNUMBER('Price History'!D42)),NOT(ISNUMBER('Price History'!D41)),'Price History'!D41=0),"",'Price History'!D42/'Price History'!D41-1),"")</f>
        <v>3.1786874882157923E-2</v>
      </c>
      <c r="E41" s="76">
        <f>IFERROR(IF(OR(NOT(ISNUMBER('Price History'!E42)),NOT(ISNUMBER('Price History'!E41)),'Price History'!E41=0),"",'Price History'!E42/'Price History'!E41-1),"")</f>
        <v>4.2797903137469673E-2</v>
      </c>
      <c r="F41" s="76">
        <f>IFERROR(IF(OR(NOT(ISNUMBER('Price History'!F42)),NOT(ISNUMBER('Price History'!F41)),'Price History'!F41=0),"",'Price History'!F42/'Price History'!F41-1),"")</f>
        <v>3.4042553191489411E-2</v>
      </c>
      <c r="G41" s="76">
        <f>IFERROR(IF(OR(NOT(ISNUMBER('Price History'!G42)),NOT(ISNUMBER('Price History'!G41)),'Price History'!G41=0),"",'Price History'!G42/'Price History'!G41-1),"")</f>
        <v>3.1151306345104768E-2</v>
      </c>
      <c r="H41" s="76">
        <f>IFERROR(IF(OR(NOT(ISNUMBER('Price History'!H42)),NOT(ISNUMBER('Price History'!H41)),'Price History'!H41=0),"",'Price History'!H42/'Price History'!H41-1),"")</f>
        <v>5.7018308631211712E-2</v>
      </c>
      <c r="I41" s="76">
        <f>IFERROR(IF(OR(NOT(ISNUMBER('Price History'!I42)),NOT(ISNUMBER('Price History'!I41)),'Price History'!I41=0),"",'Price History'!I42/'Price History'!I41-1),"")</f>
        <v>1.2276157224912598E-2</v>
      </c>
      <c r="J41" s="76">
        <f>IFERROR(IF(OR(NOT(ISNUMBER('Price History'!J42)),NOT(ISNUMBER('Price History'!J41)),'Price History'!J41=0),"",'Price History'!J42/'Price History'!J41-1),"")</f>
        <v>1.5110019831900967E-2</v>
      </c>
      <c r="K41" s="76">
        <f>IFERROR(IF(OR(NOT(ISNUMBER('Price History'!K42)),NOT(ISNUMBER('Price History'!K41)),'Price History'!K41=0),"",'Price History'!K42/'Price History'!K41-1),"")</f>
        <v>-0.11701671667381042</v>
      </c>
      <c r="L41" s="76">
        <f>IFERROR(IF(OR(NOT(ISNUMBER('Price History'!L42)),NOT(ISNUMBER('Price History'!L41)),'Price History'!L41=0),"",'Price History'!L42/'Price History'!L41-1),"")</f>
        <v>5.4393896580954948E-2</v>
      </c>
      <c r="M41" s="76">
        <f>IFERROR(IF(OR(NOT(ISNUMBER('Price History'!M42)),NOT(ISNUMBER('Price History'!M41)),'Price History'!M41=0),"",'Price History'!M42/'Price History'!M41-1),"")</f>
        <v>2.5696161703042675E-2</v>
      </c>
      <c r="N41" s="76">
        <f>IFERROR(IF(OR(NOT(ISNUMBER('Price History'!N42)),NOT(ISNUMBER('Price History'!N41)),'Price History'!N41=0),"",'Price History'!N42/'Price History'!N41-1),"")</f>
        <v>5.4103919417572532E-2</v>
      </c>
      <c r="O41" s="76">
        <f>IFERROR(IF(OR(NOT(ISNUMBER('Price History'!O42)),NOT(ISNUMBER('Price History'!O41)),'Price History'!O41=0),"",'Price History'!O42/'Price History'!O41-1),"")</f>
        <v>1.7279330838652962E-2</v>
      </c>
      <c r="P41" s="76" t="str">
        <f>IFERROR(IF(OR(NOT(ISNUMBER('Price History'!P42)),NOT(ISNUMBER('Price History'!P41)),'Price History'!P41=0),"",'Price History'!P42/'Price History'!P41-1),"")</f>
        <v/>
      </c>
      <c r="Q41" s="76">
        <f>IFERROR(IF(OR(NOT(ISNUMBER('Price History'!Q42)),NOT(ISNUMBER('Price History'!Q41)),'Price History'!Q41=0),"",'Price History'!Q42/'Price History'!Q41-1),"")</f>
        <v>2.73972602739736E-3</v>
      </c>
      <c r="R41" s="76">
        <f>IFERROR(IF(OR(NOT(ISNUMBER('Price History'!R42)),NOT(ISNUMBER('Price History'!R41)),'Price History'!R41=0),"",'Price History'!R42/'Price History'!R41-1),"")</f>
        <v>1.3838862559241605E-2</v>
      </c>
      <c r="S41" s="76">
        <f>IFERROR(IF(OR(NOT(ISNUMBER('Price History'!S42)),NOT(ISNUMBER('Price History'!S41)),'Price History'!S41=0),"",'Price History'!S42/'Price History'!S41-1),"")</f>
        <v>2.2230789000257101E-2</v>
      </c>
      <c r="T41" s="76">
        <f>IFERROR(IF(OR(NOT(ISNUMBER('Price History'!T42)),NOT(ISNUMBER('Price History'!T41)),'Price History'!T41=0),"",'Price History'!T42/'Price History'!T41-1),"")</f>
        <v>2.2056438533895717E-2</v>
      </c>
      <c r="U41" s="76" t="str">
        <f>IFERROR(IF(OR(NOT(ISNUMBER('Price History'!U42)),NOT(ISNUMBER('Price History'!U41)),'Price History'!U41=0),"",'Price History'!U42/'Price History'!U41-1),"")</f>
        <v/>
      </c>
      <c r="W41" s="77">
        <f>'Price History'!B3+('Price History'!B158-'Price History'!B3)*0.246753246753247</f>
        <v>444.77779220779212</v>
      </c>
      <c r="X41" s="77">
        <f>'Price History'!C3+('Price History'!C158-'Price History'!C3)*0.246753246753247</f>
        <v>77.448961038961073</v>
      </c>
      <c r="Y41" s="77">
        <f>'Price History'!D3+('Price History'!D158-'Price History'!D3)*0.246753246753247</f>
        <v>900.44467532467559</v>
      </c>
      <c r="Z41" s="77">
        <f>'Price History'!E3+('Price History'!E158-'Price History'!E3)*0.246753246753247</f>
        <v>158.56051948051953</v>
      </c>
      <c r="AA41" s="77">
        <f>'Price History'!F3+('Price History'!F158-'Price History'!F3)*0.246753246753247</f>
        <v>75.010649350649402</v>
      </c>
      <c r="AB41" s="77">
        <f>'Price History'!G3+('Price History'!G158-'Price History'!G3)*0.246753246753247</f>
        <v>81.191948051948089</v>
      </c>
      <c r="AC41" s="77">
        <f>'Price History'!H3+('Price History'!H158-'Price History'!H3)*0.246753246753247</f>
        <v>251.57181818181837</v>
      </c>
      <c r="AD41" s="77">
        <f>'Price History'!I3+('Price History'!I158-'Price History'!I3)*0.246753246753247</f>
        <v>80.305844155844198</v>
      </c>
      <c r="AE41" s="77">
        <f>'Price History'!J3+('Price History'!J158-'Price History'!J3)*0.246753246753247</f>
        <v>128.71649350649352</v>
      </c>
      <c r="AF41" s="77">
        <f>'Price History'!K3+('Price History'!K158-'Price History'!K3)*0.246753246753247</f>
        <v>41.972987012987041</v>
      </c>
      <c r="AG41" s="77">
        <f>'Price History'!L3+('Price History'!L158-'Price History'!L3)*0.246753246753247</f>
        <v>169.0411688311689</v>
      </c>
      <c r="AH41" s="77">
        <f>'Price History'!M3+('Price History'!M158-'Price History'!M3)*0.246753246753247</f>
        <v>84.849480519480579</v>
      </c>
      <c r="AI41" s="77">
        <f>'Price History'!N3+('Price History'!N158-'Price History'!N3)*0.246753246753247</f>
        <v>381.25688311688316</v>
      </c>
      <c r="AJ41" s="77">
        <f>'Price History'!O3+('Price History'!O158-'Price History'!O3)*0.246753246753247</f>
        <v>93.319740259740271</v>
      </c>
      <c r="AK41" s="77">
        <f>'Price History'!Q3+('Price History'!Q151-'Price History'!Q3)*0.246753246753247</f>
        <v>54.43207792207793</v>
      </c>
      <c r="AL41" s="77">
        <f>'Price History'!R3+('Price History'!R158-'Price History'!R3)*0.246753246753247</f>
        <v>50.393636363636368</v>
      </c>
      <c r="AM41" s="77">
        <f>'Price History'!S3+('Price History'!S158-'Price History'!S3)*0.246753246753247</f>
        <v>79.585584415584435</v>
      </c>
      <c r="AN41" s="77">
        <f>'Price History'!T3+('Price History'!T158-'Price History'!T3)*0.246753246753247</f>
        <v>32.543376623376631</v>
      </c>
    </row>
    <row r="42" spans="1:40" ht="15" customHeight="1" x14ac:dyDescent="0.2">
      <c r="A42" s="55">
        <f>IF('Price History'!A43="","",'Price History'!A43)</f>
        <v>45429</v>
      </c>
      <c r="B42" s="76">
        <f>IFERROR(IF(OR(NOT(ISNUMBER('Price History'!B43)),NOT(ISNUMBER('Price History'!B42)),'Price History'!B42=0),"",'Price History'!B43/'Price History'!B42-1),"")</f>
        <v>2.3637230711812673E-3</v>
      </c>
      <c r="C42" s="76">
        <f>IFERROR(IF(OR(NOT(ISNUMBER('Price History'!C43)),NOT(ISNUMBER('Price History'!C42)),'Price History'!C42=0),"",'Price History'!C43/'Price History'!C42-1),"")</f>
        <v>1.8596357151955178E-2</v>
      </c>
      <c r="D42" s="76">
        <f>IFERROR(IF(OR(NOT(ISNUMBER('Price History'!D43)),NOT(ISNUMBER('Price History'!D42)),'Price History'!D42=0),"",'Price History'!D43/'Price History'!D42-1),"")</f>
        <v>-5.7186468735554996E-3</v>
      </c>
      <c r="E42" s="76">
        <f>IFERROR(IF(OR(NOT(ISNUMBER('Price History'!E43)),NOT(ISNUMBER('Price History'!E42)),'Price History'!E42=0),"",'Price History'!E43/'Price History'!E42-1),"")</f>
        <v>4.6893757503001288E-2</v>
      </c>
      <c r="F42" s="76">
        <f>IFERROR(IF(OR(NOT(ISNUMBER('Price History'!F43)),NOT(ISNUMBER('Price History'!F42)),'Price History'!F42=0),"",'Price History'!F43/'Price History'!F42-1),"")</f>
        <v>7.8438708068337748E-2</v>
      </c>
      <c r="G42" s="76">
        <f>IFERROR(IF(OR(NOT(ISNUMBER('Price History'!G43)),NOT(ISNUMBER('Price History'!G42)),'Price History'!G42=0),"",'Price History'!G43/'Price History'!G42-1),"")</f>
        <v>4.0929973548656573E-2</v>
      </c>
      <c r="H42" s="76">
        <f>IFERROR(IF(OR(NOT(ISNUMBER('Price History'!H43)),NOT(ISNUMBER('Price History'!H42)),'Price History'!H42=0),"",'Price History'!H43/'Price History'!H42-1),"")</f>
        <v>3.340481689211483E-2</v>
      </c>
      <c r="I42" s="76">
        <f>IFERROR(IF(OR(NOT(ISNUMBER('Price History'!I43)),NOT(ISNUMBER('Price History'!I42)),'Price History'!I42=0),"",'Price History'!I43/'Price History'!I42-1),"")</f>
        <v>2.8927458834000941E-2</v>
      </c>
      <c r="J42" s="76">
        <f>IFERROR(IF(OR(NOT(ISNUMBER('Price History'!J43)),NOT(ISNUMBER('Price History'!J42)),'Price History'!J42=0),"",'Price History'!J43/'Price History'!J42-1),"")</f>
        <v>3.7305795887989657E-2</v>
      </c>
      <c r="K42" s="76">
        <f>IFERROR(IF(OR(NOT(ISNUMBER('Price History'!K43)),NOT(ISNUMBER('Price History'!K42)),'Price History'!K42=0),"",'Price History'!K43/'Price History'!K42-1),"")</f>
        <v>5.6310679611650594E-2</v>
      </c>
      <c r="L42" s="76">
        <f>IFERROR(IF(OR(NOT(ISNUMBER('Price History'!L43)),NOT(ISNUMBER('Price History'!L42)),'Price History'!L42=0),"",'Price History'!L43/'Price History'!L42-1),"")</f>
        <v>1.6213319040600416E-2</v>
      </c>
      <c r="M42" s="76">
        <f>IFERROR(IF(OR(NOT(ISNUMBER('Price History'!M43)),NOT(ISNUMBER('Price History'!M42)),'Price History'!M42=0),"",'Price History'!M43/'Price History'!M42-1),"")</f>
        <v>1.477987421383653E-2</v>
      </c>
      <c r="N42" s="76">
        <f>IFERROR(IF(OR(NOT(ISNUMBER('Price History'!N43)),NOT(ISNUMBER('Price History'!N42)),'Price History'!N42=0),"",'Price History'!N43/'Price History'!N42-1),"")</f>
        <v>5.3053597615781323E-2</v>
      </c>
      <c r="O42" s="76">
        <f>IFERROR(IF(OR(NOT(ISNUMBER('Price History'!O43)),NOT(ISNUMBER('Price History'!O42)),'Price History'!O42=0),"",'Price History'!O43/'Price History'!O42-1),"")</f>
        <v>1.1035378123985584E-2</v>
      </c>
      <c r="P42" s="76" t="str">
        <f>IFERROR(IF(OR(NOT(ISNUMBER('Price History'!P43)),NOT(ISNUMBER('Price History'!P42)),'Price History'!P42=0),"",'Price History'!P43/'Price History'!P42-1),"")</f>
        <v/>
      </c>
      <c r="Q42" s="76">
        <f>IFERROR(IF(OR(NOT(ISNUMBER('Price History'!Q43)),NOT(ISNUMBER('Price History'!Q42)),'Price History'!Q42=0),"",'Price History'!Q43/'Price History'!Q42-1),"")</f>
        <v>7.1721311475407834E-3</v>
      </c>
      <c r="R42" s="76">
        <f>IFERROR(IF(OR(NOT(ISNUMBER('Price History'!R43)),NOT(ISNUMBER('Price History'!R42)),'Price History'!R42=0),"",'Price History'!R43/'Price History'!R42-1),"")</f>
        <v>1.1967090501121991E-2</v>
      </c>
      <c r="S42" s="76">
        <f>IFERROR(IF(OR(NOT(ISNUMBER('Price History'!S43)),NOT(ISNUMBER('Price History'!S42)),'Price History'!S42=0),"",'Price History'!S43/'Price History'!S42-1),"")</f>
        <v>1.5084852294154683E-2</v>
      </c>
      <c r="T42" s="76">
        <f>IFERROR(IF(OR(NOT(ISNUMBER('Price History'!T43)),NOT(ISNUMBER('Price History'!T42)),'Price History'!T42=0),"",'Price History'!T43/'Price History'!T42-1),"")</f>
        <v>9.2034274833385776E-3</v>
      </c>
      <c r="U42" s="76" t="str">
        <f>IFERROR(IF(OR(NOT(ISNUMBER('Price History'!U43)),NOT(ISNUMBER('Price History'!U42)),'Price History'!U42=0),"",'Price History'!U43/'Price History'!U42-1),"")</f>
        <v/>
      </c>
      <c r="W42" s="77">
        <f>'Price History'!B3+('Price History'!B158-'Price History'!B3)*0.253246753246753</f>
        <v>443.10220779220788</v>
      </c>
      <c r="X42" s="77">
        <f>'Price History'!C3+('Price History'!C158-'Price History'!C3)*0.253246753246753</f>
        <v>78.336038961038923</v>
      </c>
      <c r="Y42" s="77">
        <f>'Price History'!D3+('Price History'!D158-'Price History'!D3)*0.253246753246753</f>
        <v>906.72532467532437</v>
      </c>
      <c r="Z42" s="77">
        <f>'Price History'!E3+('Price History'!E158-'Price History'!E3)*0.253246753246753</f>
        <v>160.54948051948043</v>
      </c>
      <c r="AA42" s="77">
        <f>'Price History'!F3+('Price History'!F158-'Price History'!F3)*0.253246753246753</f>
        <v>76.009350649350608</v>
      </c>
      <c r="AB42" s="77">
        <f>'Price History'!G3+('Price History'!G158-'Price History'!G3)*0.253246753246753</f>
        <v>82.068051948051902</v>
      </c>
      <c r="AC42" s="77">
        <f>'Price History'!H3+('Price History'!H158-'Price History'!H3)*0.253246753246753</f>
        <v>256.49818181818159</v>
      </c>
      <c r="AD42" s="77">
        <f>'Price History'!I3+('Price History'!I158-'Price History'!I3)*0.253246753246753</f>
        <v>81.344155844155807</v>
      </c>
      <c r="AE42" s="77">
        <f>'Price History'!J3+('Price History'!J158-'Price History'!J3)*0.253246753246753</f>
        <v>128.8535064935065</v>
      </c>
      <c r="AF42" s="77">
        <f>'Price History'!K3+('Price History'!K158-'Price History'!K3)*0.253246753246753</f>
        <v>42.672012987012963</v>
      </c>
      <c r="AG42" s="77">
        <f>'Price History'!L3+('Price History'!L158-'Price History'!L3)*0.253246753246753</f>
        <v>171.06883116883108</v>
      </c>
      <c r="AH42" s="77">
        <f>'Price History'!M3+('Price History'!M158-'Price History'!M3)*0.253246753246753</f>
        <v>86.200519480519432</v>
      </c>
      <c r="AI42" s="77">
        <f>'Price History'!N3+('Price History'!N158-'Price History'!N3)*0.253246753246753</f>
        <v>382.08311688311687</v>
      </c>
      <c r="AJ42" s="77">
        <f>'Price History'!O3+('Price History'!O158-'Price History'!O3)*0.253246753246753</f>
        <v>93.595259740259721</v>
      </c>
      <c r="AK42" s="77">
        <f>'Price History'!Q3+('Price History'!Q151-'Price History'!Q3)*0.253246753246753</f>
        <v>54.552922077922076</v>
      </c>
      <c r="AL42" s="77">
        <f>'Price History'!R3+('Price History'!R158-'Price History'!R3)*0.253246753246753</f>
        <v>50.461363636363636</v>
      </c>
      <c r="AM42" s="77">
        <f>'Price History'!S3+('Price History'!S158-'Price History'!S3)*0.253246753246753</f>
        <v>80.139415584415559</v>
      </c>
      <c r="AN42" s="77">
        <f>'Price History'!T3+('Price History'!T158-'Price History'!T3)*0.253246753246753</f>
        <v>32.691623376623369</v>
      </c>
    </row>
    <row r="43" spans="1:40" ht="15" customHeight="1" x14ac:dyDescent="0.2">
      <c r="A43" s="55">
        <f>IF('Price History'!A44="","",'Price History'!A44)</f>
        <v>45436</v>
      </c>
      <c r="B43" s="76">
        <f>IFERROR(IF(OR(NOT(ISNUMBER('Price History'!B44)),NOT(ISNUMBER('Price History'!B43)),'Price History'!B43=0),"",'Price History'!B44/'Price History'!B43-1),"")</f>
        <v>-1.6548414455040072E-2</v>
      </c>
      <c r="C43" s="76">
        <f>IFERROR(IF(OR(NOT(ISNUMBER('Price History'!C44)),NOT(ISNUMBER('Price History'!C43)),'Price History'!C43=0),"",'Price History'!C44/'Price History'!C43-1),"")</f>
        <v>-4.1640615230711497E-2</v>
      </c>
      <c r="D43" s="76">
        <f>IFERROR(IF(OR(NOT(ISNUMBER('Price History'!D44)),NOT(ISNUMBER('Price History'!D43)),'Price History'!D43=0),"",'Price History'!D44/'Price History'!D43-1),"")</f>
        <v>3.3784879509605625E-2</v>
      </c>
      <c r="E43" s="76">
        <f>IFERROR(IF(OR(NOT(ISNUMBER('Price History'!E44)),NOT(ISNUMBER('Price History'!E43)),'Price History'!E43=0),"",'Price History'!E44/'Price History'!E43-1),"")</f>
        <v>8.958646885974364E-3</v>
      </c>
      <c r="F43" s="76">
        <f>IFERROR(IF(OR(NOT(ISNUMBER('Price History'!F44)),NOT(ISNUMBER('Price History'!F43)),'Price History'!F43=0),"",'Price History'!F44/'Price History'!F43-1),"")</f>
        <v>1.6073080481036062E-2</v>
      </c>
      <c r="G43" s="76">
        <f>IFERROR(IF(OR(NOT(ISNUMBER('Price History'!G44)),NOT(ISNUMBER('Price History'!G43)),'Price History'!G43=0),"",'Price History'!G44/'Price History'!G43-1),"")</f>
        <v>4.1995452721679927E-2</v>
      </c>
      <c r="H43" s="76">
        <f>IFERROR(IF(OR(NOT(ISNUMBER('Price History'!H44)),NOT(ISNUMBER('Price History'!H43)),'Price History'!H43=0),"",'Price History'!H44/'Price History'!H43-1),"")</f>
        <v>3.3522228430042267E-2</v>
      </c>
      <c r="I43" s="76">
        <f>IFERROR(IF(OR(NOT(ISNUMBER('Price History'!I44)),NOT(ISNUMBER('Price History'!I43)),'Price History'!I43=0),"",'Price History'!I44/'Price History'!I43-1),"")</f>
        <v>0.15127595155709339</v>
      </c>
      <c r="J43" s="76">
        <f>IFERROR(IF(OR(NOT(ISNUMBER('Price History'!J44)),NOT(ISNUMBER('Price History'!J43)),'Price History'!J43=0),"",'Price History'!J44/'Price History'!J43-1),"")</f>
        <v>-6.0538116591928204E-2</v>
      </c>
      <c r="K43" s="76">
        <f>IFERROR(IF(OR(NOT(ISNUMBER('Price History'!K44)),NOT(ISNUMBER('Price History'!K43)),'Price History'!K43=0),"",'Price History'!K44/'Price History'!K43-1),"")</f>
        <v>-3.4466911764705843E-2</v>
      </c>
      <c r="L43" s="76">
        <f>IFERROR(IF(OR(NOT(ISNUMBER('Price History'!L44)),NOT(ISNUMBER('Price History'!L43)),'Price History'!L43=0),"",'Price History'!L44/'Price History'!L43-1),"")</f>
        <v>5.4852320675105481E-2</v>
      </c>
      <c r="M43" s="76">
        <f>IFERROR(IF(OR(NOT(ISNUMBER('Price History'!M44)),NOT(ISNUMBER('Price History'!M43)),'Price History'!M43=0),"",'Price History'!M44/'Price History'!M43-1),"")</f>
        <v>9.6684226836070586E-2</v>
      </c>
      <c r="N43" s="76">
        <f>IFERROR(IF(OR(NOT(ISNUMBER('Price History'!N44)),NOT(ISNUMBER('Price History'!N43)),'Price History'!N43=0),"",'Price History'!N44/'Price History'!N43-1),"")</f>
        <v>2.6369578401203908E-2</v>
      </c>
      <c r="O43" s="76">
        <f>IFERROR(IF(OR(NOT(ISNUMBER('Price History'!O44)),NOT(ISNUMBER('Price History'!O43)),'Price History'!O43=0),"",'Price History'!O44/'Price History'!O43-1),"")</f>
        <v>-1.4874264312466523E-2</v>
      </c>
      <c r="P43" s="76" t="str">
        <f>IFERROR(IF(OR(NOT(ISNUMBER('Price History'!P44)),NOT(ISNUMBER('Price History'!P43)),'Price History'!P43=0),"",'Price History'!P44/'Price History'!P43-1),"")</f>
        <v/>
      </c>
      <c r="Q43" s="76">
        <f>IFERROR(IF(OR(NOT(ISNUMBER('Price History'!Q44)),NOT(ISNUMBER('Price History'!Q43)),'Price History'!Q43=0),"",'Price History'!Q44/'Price History'!Q43-1),"")</f>
        <v>3.390979993218135E-3</v>
      </c>
      <c r="R43" s="76">
        <f>IFERROR(IF(OR(NOT(ISNUMBER('Price History'!R44)),NOT(ISNUMBER('Price History'!R43)),'Price History'!R43=0),"",'Price History'!R44/'Price History'!R43-1),"")</f>
        <v>4.8041389504804854E-3</v>
      </c>
      <c r="S43" s="76">
        <f>IFERROR(IF(OR(NOT(ISNUMBER('Price History'!S44)),NOT(ISNUMBER('Price History'!S43)),'Price History'!S43=0),"",'Price History'!S44/'Price History'!S43-1),"")</f>
        <v>1.9442724458204275E-2</v>
      </c>
      <c r="T43" s="76">
        <f>IFERROR(IF(OR(NOT(ISNUMBER('Price History'!T44)),NOT(ISNUMBER('Price History'!T43)),'Price History'!T43=0),"",'Price History'!T44/'Price History'!T43-1),"")</f>
        <v>-1.6981132075471694E-2</v>
      </c>
      <c r="U43" s="76" t="str">
        <f>IFERROR(IF(OR(NOT(ISNUMBER('Price History'!U44)),NOT(ISNUMBER('Price History'!U43)),'Price History'!U43=0),"",'Price History'!U44/'Price History'!U43-1),"")</f>
        <v/>
      </c>
      <c r="W43" s="77">
        <f>'Price History'!B3+('Price History'!B158-'Price History'!B3)*0.25974025974026</f>
        <v>441.4266233766233</v>
      </c>
      <c r="X43" s="77">
        <f>'Price History'!C3+('Price History'!C158-'Price History'!C3)*0.25974025974026</f>
        <v>79.223116883116916</v>
      </c>
      <c r="Y43" s="77">
        <f>'Price History'!D3+('Price History'!D158-'Price History'!D3)*0.25974025974026</f>
        <v>913.00597402597418</v>
      </c>
      <c r="Z43" s="77">
        <f>'Price History'!E3+('Price History'!E158-'Price History'!E3)*0.25974025974026</f>
        <v>162.53844155844163</v>
      </c>
      <c r="AA43" s="77">
        <f>'Price History'!F3+('Price History'!F158-'Price History'!F3)*0.25974025974026</f>
        <v>77.008051948051985</v>
      </c>
      <c r="AB43" s="77">
        <f>'Price History'!G3+('Price History'!G158-'Price History'!G3)*0.25974025974026</f>
        <v>82.944155844155873</v>
      </c>
      <c r="AC43" s="77">
        <f>'Price History'!H3+('Price History'!H158-'Price History'!H3)*0.25974025974026</f>
        <v>261.42454545454564</v>
      </c>
      <c r="AD43" s="77">
        <f>'Price History'!I3+('Price History'!I158-'Price History'!I3)*0.25974025974026</f>
        <v>82.382467532467572</v>
      </c>
      <c r="AE43" s="77">
        <f>'Price History'!J3+('Price History'!J158-'Price History'!J3)*0.25974025974026</f>
        <v>128.99051948051948</v>
      </c>
      <c r="AF43" s="77">
        <f>'Price History'!K3+('Price History'!K158-'Price History'!K3)*0.25974025974026</f>
        <v>43.371038961038991</v>
      </c>
      <c r="AG43" s="77">
        <f>'Price History'!L3+('Price History'!L158-'Price History'!L3)*0.25974025974026</f>
        <v>173.09649350649357</v>
      </c>
      <c r="AH43" s="77">
        <f>'Price History'!M3+('Price History'!M158-'Price History'!M3)*0.25974025974026</f>
        <v>87.551558441558484</v>
      </c>
      <c r="AI43" s="77">
        <f>'Price History'!N3+('Price History'!N158-'Price History'!N3)*0.25974025974026</f>
        <v>382.9093506493507</v>
      </c>
      <c r="AJ43" s="77">
        <f>'Price History'!O3+('Price History'!O158-'Price History'!O3)*0.25974025974026</f>
        <v>93.870779220779227</v>
      </c>
      <c r="AK43" s="77">
        <f>'Price History'!Q3+('Price History'!Q151-'Price History'!Q3)*0.25974025974026</f>
        <v>54.673766233766244</v>
      </c>
      <c r="AL43" s="77">
        <f>'Price History'!R3+('Price History'!R158-'Price History'!R3)*0.25974025974026</f>
        <v>50.529090909090911</v>
      </c>
      <c r="AM43" s="77">
        <f>'Price History'!S3+('Price History'!S158-'Price History'!S3)*0.25974025974026</f>
        <v>80.693246753246783</v>
      </c>
      <c r="AN43" s="77">
        <f>'Price History'!T3+('Price History'!T158-'Price History'!T3)*0.25974025974026</f>
        <v>32.839870129870135</v>
      </c>
    </row>
    <row r="44" spans="1:40" ht="15" customHeight="1" x14ac:dyDescent="0.2">
      <c r="A44" s="55">
        <f>IF('Price History'!A45="","",'Price History'!A45)</f>
        <v>45443</v>
      </c>
      <c r="B44" s="76">
        <f>IFERROR(IF(OR(NOT(ISNUMBER('Price History'!B45)),NOT(ISNUMBER('Price History'!B44)),'Price History'!B44=0),"",'Price History'!B45/'Price History'!B44-1),"")</f>
        <v>-6.4510022505942066E-2</v>
      </c>
      <c r="C44" s="76">
        <f>IFERROR(IF(OR(NOT(ISNUMBER('Price History'!C45)),NOT(ISNUMBER('Price History'!C44)),'Price History'!C44=0),"",'Price History'!C45/'Price History'!C44-1),"")</f>
        <v>-2.9097077244258918E-2</v>
      </c>
      <c r="D44" s="76">
        <f>IFERROR(IF(OR(NOT(ISNUMBER('Price History'!D45)),NOT(ISNUMBER('Price History'!D44)),'Price History'!D44=0),"",'Price History'!D45/'Price History'!D44-1),"")</f>
        <v>4.3190897492209057E-3</v>
      </c>
      <c r="E44" s="76">
        <f>IFERROR(IF(OR(NOT(ISNUMBER('Price History'!E45)),NOT(ISNUMBER('Price History'!E44)),'Price History'!E44=0),"",'Price History'!E45/'Price History'!E44-1),"")</f>
        <v>-5.6329024009092232E-2</v>
      </c>
      <c r="F44" s="76">
        <f>IFERROR(IF(OR(NOT(ISNUMBER('Price History'!F45)),NOT(ISNUMBER('Price History'!F44)),'Price History'!F44=0),"",'Price History'!F45/'Price History'!F44-1),"")</f>
        <v>-0.10754523728234899</v>
      </c>
      <c r="G44" s="76">
        <f>IFERROR(IF(OR(NOT(ISNUMBER('Price History'!G45)),NOT(ISNUMBER('Price History'!G44)),'Price History'!G44=0),"",'Price History'!G45/'Price History'!G44-1),"")</f>
        <v>-2.5157232704402399E-2</v>
      </c>
      <c r="H44" s="76">
        <f>IFERROR(IF(OR(NOT(ISNUMBER('Price History'!H45)),NOT(ISNUMBER('Price History'!H44)),'Price History'!H44=0),"",'Price History'!H45/'Price History'!H44-1),"")</f>
        <v>-3.4674492238782939E-2</v>
      </c>
      <c r="I44" s="76">
        <f>IFERROR(IF(OR(NOT(ISNUMBER('Price History'!I45)),NOT(ISNUMBER('Price History'!I44)),'Price History'!I44=0),"",'Price History'!I45/'Price History'!I44-1),"")</f>
        <v>2.9679721987414309E-2</v>
      </c>
      <c r="J44" s="76">
        <f>IFERROR(IF(OR(NOT(ISNUMBER('Price History'!J45)),NOT(ISNUMBER('Price History'!J44)),'Price History'!J44=0),"",'Price History'!J45/'Price History'!J44-1),"")</f>
        <v>5.4797136038186034E-2</v>
      </c>
      <c r="K44" s="76">
        <f>IFERROR(IF(OR(NOT(ISNUMBER('Price History'!K45)),NOT(ISNUMBER('Price History'!K44)),'Price History'!K44=0),"",'Price History'!K45/'Price History'!K44-1),"")</f>
        <v>3.188957639219403E-2</v>
      </c>
      <c r="L44" s="76">
        <f>IFERROR(IF(OR(NOT(ISNUMBER('Price History'!L45)),NOT(ISNUMBER('Price History'!L44)),'Price History'!L44=0),"",'Price History'!L45/'Price History'!L44-1),"")</f>
        <v>-5.600000000000005E-2</v>
      </c>
      <c r="M44" s="76">
        <f>IFERROR(IF(OR(NOT(ISNUMBER('Price History'!M45)),NOT(ISNUMBER('Price History'!M44)),'Price History'!M44=0),"",'Price History'!M45/'Price History'!M44-1),"")</f>
        <v>-7.6292738061599419E-2</v>
      </c>
      <c r="N44" s="76">
        <f>IFERROR(IF(OR(NOT(ISNUMBER('Price History'!N45)),NOT(ISNUMBER('Price History'!N44)),'Price History'!N44=0),"",'Price History'!N45/'Price History'!N44-1),"")</f>
        <v>-3.5233614180982809E-3</v>
      </c>
      <c r="O44" s="76">
        <f>IFERROR(IF(OR(NOT(ISNUMBER('Price History'!O45)),NOT(ISNUMBER('Price History'!O44)),'Price History'!O44=0),"",'Price History'!O45/'Price History'!O44-1),"")</f>
        <v>1.0753856180751642E-2</v>
      </c>
      <c r="P44" s="76" t="str">
        <f>IFERROR(IF(OR(NOT(ISNUMBER('Price History'!P45)),NOT(ISNUMBER('Price History'!P44)),'Price History'!P44=0),"",'Price History'!P45/'Price History'!P44-1),"")</f>
        <v/>
      </c>
      <c r="Q44" s="76">
        <f>IFERROR(IF(OR(NOT(ISNUMBER('Price History'!Q45)),NOT(ISNUMBER('Price History'!Q44)),'Price History'!Q44=0),"",'Price History'!Q45/'Price History'!Q44-1),"")</f>
        <v>-6.5900642108820406E-3</v>
      </c>
      <c r="R44" s="76">
        <f>IFERROR(IF(OR(NOT(ISNUMBER('Price History'!R45)),NOT(ISNUMBER('Price History'!R44)),'Price History'!R44=0),"",'Price History'!R45/'Price History'!R44-1),"")</f>
        <v>-3.4939315924973346E-3</v>
      </c>
      <c r="S44" s="76">
        <f>IFERROR(IF(OR(NOT(ISNUMBER('Price History'!S45)),NOT(ISNUMBER('Price History'!S44)),'Price History'!S44=0),"",'Price History'!S45/'Price History'!S44-1),"")</f>
        <v>-1.0932944606413919E-2</v>
      </c>
      <c r="T44" s="76">
        <f>IFERROR(IF(OR(NOT(ISNUMBER('Price History'!T45)),NOT(ISNUMBER('Price History'!T44)),'Price History'!T44=0),"",'Price History'!T45/'Price History'!T44-1),"")</f>
        <v>1.1516314779270509E-2</v>
      </c>
      <c r="U44" s="76" t="str">
        <f>IFERROR(IF(OR(NOT(ISNUMBER('Price History'!U45)),NOT(ISNUMBER('Price History'!U44)),'Price History'!U44=0),"",'Price History'!U45/'Price History'!U44-1),"")</f>
        <v/>
      </c>
      <c r="W44" s="77">
        <f>'Price History'!B3+('Price History'!B158-'Price History'!B3)*0.266233766233766</f>
        <v>439.75103896103906</v>
      </c>
      <c r="X44" s="77">
        <f>'Price History'!C3+('Price History'!C158-'Price History'!C3)*0.266233766233766</f>
        <v>80.110194805194766</v>
      </c>
      <c r="Y44" s="77">
        <f>'Price History'!D3+('Price History'!D158-'Price History'!D3)*0.266233766233766</f>
        <v>919.28662337662308</v>
      </c>
      <c r="Z44" s="77">
        <f>'Price History'!E3+('Price History'!E158-'Price History'!E3)*0.266233766233766</f>
        <v>164.5274025974025</v>
      </c>
      <c r="AA44" s="77">
        <f>'Price History'!F3+('Price History'!F158-'Price History'!F3)*0.266233766233766</f>
        <v>78.00675324675322</v>
      </c>
      <c r="AB44" s="77">
        <f>'Price History'!G3+('Price History'!G158-'Price History'!G3)*0.266233766233766</f>
        <v>83.820259740259701</v>
      </c>
      <c r="AC44" s="77">
        <f>'Price History'!H3+('Price History'!H158-'Price History'!H3)*0.266233766233766</f>
        <v>266.35090909090889</v>
      </c>
      <c r="AD44" s="77">
        <f>'Price History'!I3+('Price History'!I158-'Price History'!I3)*0.266233766233766</f>
        <v>83.420779220779181</v>
      </c>
      <c r="AE44" s="77">
        <f>'Price History'!J3+('Price History'!J158-'Price History'!J3)*0.266233766233766</f>
        <v>129.12753246753246</v>
      </c>
      <c r="AF44" s="77">
        <f>'Price History'!K3+('Price History'!K158-'Price History'!K3)*0.266233766233766</f>
        <v>44.070064935064906</v>
      </c>
      <c r="AG44" s="77">
        <f>'Price History'!L3+('Price History'!L158-'Price History'!L3)*0.266233766233766</f>
        <v>175.12415584415578</v>
      </c>
      <c r="AH44" s="77">
        <f>'Price History'!M3+('Price History'!M158-'Price History'!M3)*0.266233766233766</f>
        <v>88.902597402597351</v>
      </c>
      <c r="AI44" s="77">
        <f>'Price History'!N3+('Price History'!N158-'Price History'!N3)*0.266233766233766</f>
        <v>383.73558441558441</v>
      </c>
      <c r="AJ44" s="77">
        <f>'Price History'!O3+('Price History'!O158-'Price History'!O3)*0.266233766233766</f>
        <v>94.14629870129869</v>
      </c>
      <c r="AK44" s="77">
        <f>'Price History'!Q3+('Price History'!Q151-'Price History'!Q3)*0.266233766233766</f>
        <v>54.794610389610391</v>
      </c>
      <c r="AL44" s="77">
        <f>'Price History'!R3+('Price History'!R158-'Price History'!R3)*0.266233766233766</f>
        <v>50.596818181818179</v>
      </c>
      <c r="AM44" s="77">
        <f>'Price History'!S3+('Price History'!S158-'Price History'!S3)*0.266233766233766</f>
        <v>81.247077922077906</v>
      </c>
      <c r="AN44" s="77">
        <f>'Price History'!T3+('Price History'!T158-'Price History'!T3)*0.266233766233766</f>
        <v>32.988116883116881</v>
      </c>
    </row>
    <row r="45" spans="1:40" ht="15" customHeight="1" x14ac:dyDescent="0.2">
      <c r="A45" s="55">
        <f>IF('Price History'!A46="","",'Price History'!A46)</f>
        <v>45450</v>
      </c>
      <c r="B45" s="76">
        <f>IFERROR(IF(OR(NOT(ISNUMBER('Price History'!B46)),NOT(ISNUMBER('Price History'!B45)),'Price History'!B45=0),"",'Price History'!B46/'Price History'!B45-1),"")</f>
        <v>4.6474503102797105E-2</v>
      </c>
      <c r="C45" s="76">
        <f>IFERROR(IF(OR(NOT(ISNUMBER('Price History'!C46)),NOT(ISNUMBER('Price History'!C45)),'Price History'!C45=0),"",'Price History'!C46/'Price History'!C45-1),"")</f>
        <v>-2.8222013170271509E-3</v>
      </c>
      <c r="D45" s="76">
        <f>IFERROR(IF(OR(NOT(ISNUMBER('Price History'!D46)),NOT(ISNUMBER('Price History'!D45)),'Price History'!D45=0),"",'Price History'!D46/'Price History'!D45-1),"")</f>
        <v>7.0880408184516019E-2</v>
      </c>
      <c r="E45" s="76">
        <f>IFERROR(IF(OR(NOT(ISNUMBER('Price History'!E46)),NOT(ISNUMBER('Price History'!E45)),'Price History'!E45=0),"",'Price History'!E46/'Price History'!E45-1),"")</f>
        <v>5.8788106887467162E-2</v>
      </c>
      <c r="F45" s="76">
        <f>IFERROR(IF(OR(NOT(ISNUMBER('Price History'!F46)),NOT(ISNUMBER('Price History'!F45)),'Price History'!F45=0),"",'Price History'!F46/'Price History'!F45-1),"")</f>
        <v>0.11298138230043353</v>
      </c>
      <c r="G45" s="76">
        <f>IFERROR(IF(OR(NOT(ISNUMBER('Price History'!G46)),NOT(ISNUMBER('Price History'!G45)),'Price History'!G45=0),"",'Price History'!G46/'Price History'!G45-1),"")</f>
        <v>1.2508229098090906E-2</v>
      </c>
      <c r="H45" s="76">
        <f>IFERROR(IF(OR(NOT(ISNUMBER('Price History'!H46)),NOT(ISNUMBER('Price History'!H45)),'Price History'!H45=0),"",'Price History'!H46/'Price History'!H45-1),"")</f>
        <v>4.7520000000000007E-2</v>
      </c>
      <c r="I45" s="76">
        <f>IFERROR(IF(OR(NOT(ISNUMBER('Price History'!I46)),NOT(ISNUMBER('Price History'!I45)),'Price History'!I45=0),"",'Price History'!I46/'Price History'!I45-1),"")</f>
        <v>0.10270911246921477</v>
      </c>
      <c r="J45" s="76">
        <f>IFERROR(IF(OR(NOT(ISNUMBER('Price History'!J46)),NOT(ISNUMBER('Price History'!J45)),'Price History'!J45=0),"",'Price History'!J46/'Price History'!J45-1),"")</f>
        <v>-2.624671916010457E-3</v>
      </c>
      <c r="K45" s="76">
        <f>IFERROR(IF(OR(NOT(ISNUMBER('Price History'!K46)),NOT(ISNUMBER('Price History'!K45)),'Price History'!K45=0),"",'Price History'!K46/'Price History'!K45-1),"")</f>
        <v>7.5184501845018348E-2</v>
      </c>
      <c r="L45" s="76">
        <f>IFERROR(IF(OR(NOT(ISNUMBER('Price History'!L46)),NOT(ISNUMBER('Price History'!L45)),'Price History'!L45=0),"",'Price History'!L46/'Price History'!L45-1),"")</f>
        <v>8.8387182203389703E-2</v>
      </c>
      <c r="M45" s="76">
        <f>IFERROR(IF(OR(NOT(ISNUMBER('Price History'!M46)),NOT(ISNUMBER('Price History'!M45)),'Price History'!M45=0),"",'Price History'!M46/'Price History'!M45-1),"")</f>
        <v>-0.10594473335372678</v>
      </c>
      <c r="N45" s="76">
        <f>IFERROR(IF(OR(NOT(ISNUMBER('Price History'!N46)),NOT(ISNUMBER('Price History'!N45)),'Price History'!N45=0),"",'Price History'!N46/'Price History'!N45-1),"")</f>
        <v>6.0833662757499907E-2</v>
      </c>
      <c r="O45" s="76">
        <f>IFERROR(IF(OR(NOT(ISNUMBER('Price History'!O46)),NOT(ISNUMBER('Price History'!O45)),'Price History'!O45=0),"",'Price History'!O46/'Price History'!O45-1),"")</f>
        <v>-3.4067705534658765E-2</v>
      </c>
      <c r="P45" s="76" t="str">
        <f>IFERROR(IF(OR(NOT(ISNUMBER('Price History'!P46)),NOT(ISNUMBER('Price History'!P45)),'Price History'!P45=0),"",'Price History'!P46/'Price History'!P45-1),"")</f>
        <v/>
      </c>
      <c r="Q45" s="76">
        <f>IFERROR(IF(OR(NOT(ISNUMBER('Price History'!Q46)),NOT(ISNUMBER('Price History'!Q45)),'Price History'!Q45=0),"",'Price History'!Q46/'Price History'!Q45-1),"")</f>
        <v>-4.2524238816125104E-3</v>
      </c>
      <c r="R45" s="76">
        <f>IFERROR(IF(OR(NOT(ISNUMBER('Price History'!R46)),NOT(ISNUMBER('Price History'!R45)),'Price History'!R45=0),"",'Price History'!R46/'Price History'!R45-1),"")</f>
        <v>5.5360767669312416E-3</v>
      </c>
      <c r="S45" s="76">
        <f>IFERROR(IF(OR(NOT(ISNUMBER('Price History'!S46)),NOT(ISNUMBER('Price History'!S45)),'Price History'!S45=0),"",'Price History'!S46/'Price History'!S45-1),"")</f>
        <v>3.0336526651928208E-2</v>
      </c>
      <c r="T45" s="76">
        <f>IFERROR(IF(OR(NOT(ISNUMBER('Price History'!T46)),NOT(ISNUMBER('Price History'!T45)),'Price History'!T45=0),"",'Price History'!T46/'Price History'!T45-1),"")</f>
        <v>-2.1189120809614215E-2</v>
      </c>
      <c r="U45" s="76" t="str">
        <f>IFERROR(IF(OR(NOT(ISNUMBER('Price History'!U46)),NOT(ISNUMBER('Price History'!U45)),'Price History'!U45=0),"",'Price History'!U46/'Price History'!U45-1),"")</f>
        <v/>
      </c>
      <c r="W45" s="77">
        <f>'Price History'!B3+('Price History'!B158-'Price History'!B3)*0.272727272727273</f>
        <v>438.07545454545448</v>
      </c>
      <c r="X45" s="77">
        <f>'Price History'!C3+('Price History'!C158-'Price History'!C3)*0.272727272727273</f>
        <v>80.997272727272758</v>
      </c>
      <c r="Y45" s="77">
        <f>'Price History'!D3+('Price History'!D158-'Price History'!D3)*0.272727272727273</f>
        <v>925.56727272727289</v>
      </c>
      <c r="Z45" s="77">
        <f>'Price History'!E3+('Price History'!E158-'Price History'!E3)*0.272727272727273</f>
        <v>166.51636363636371</v>
      </c>
      <c r="AA45" s="77">
        <f>'Price History'!F3+('Price History'!F158-'Price History'!F3)*0.272727272727273</f>
        <v>79.005454545454597</v>
      </c>
      <c r="AB45" s="77">
        <f>'Price History'!G3+('Price History'!G158-'Price History'!G3)*0.272727272727273</f>
        <v>84.696363636363657</v>
      </c>
      <c r="AC45" s="77">
        <f>'Price History'!H3+('Price History'!H158-'Price History'!H3)*0.272727272727273</f>
        <v>271.27727272727293</v>
      </c>
      <c r="AD45" s="77">
        <f>'Price History'!I3+('Price History'!I158-'Price History'!I3)*0.272727272727273</f>
        <v>84.459090909090946</v>
      </c>
      <c r="AE45" s="77">
        <f>'Price History'!J3+('Price History'!J158-'Price History'!J3)*0.272727272727273</f>
        <v>129.26454545454547</v>
      </c>
      <c r="AF45" s="77">
        <f>'Price History'!K3+('Price History'!K158-'Price History'!K3)*0.272727272727273</f>
        <v>44.769090909090934</v>
      </c>
      <c r="AG45" s="77">
        <f>'Price History'!L3+('Price History'!L158-'Price History'!L3)*0.272727272727273</f>
        <v>177.15181818181827</v>
      </c>
      <c r="AH45" s="77">
        <f>'Price History'!M3+('Price History'!M158-'Price History'!M3)*0.272727272727273</f>
        <v>90.253636363636417</v>
      </c>
      <c r="AI45" s="77">
        <f>'Price History'!N3+('Price History'!N158-'Price History'!N3)*0.272727272727273</f>
        <v>384.56181818181824</v>
      </c>
      <c r="AJ45" s="77">
        <f>'Price History'!O3+('Price History'!O158-'Price History'!O3)*0.272727272727273</f>
        <v>94.421818181818196</v>
      </c>
      <c r="AK45" s="77">
        <f>'Price History'!Q3+('Price History'!Q151-'Price History'!Q3)*0.272727272727273</f>
        <v>54.915454545454551</v>
      </c>
      <c r="AL45" s="77">
        <f>'Price History'!R3+('Price History'!R158-'Price History'!R3)*0.272727272727273</f>
        <v>50.664545454545454</v>
      </c>
      <c r="AM45" s="77">
        <f>'Price History'!S3+('Price History'!S158-'Price History'!S3)*0.272727272727273</f>
        <v>81.800909090909116</v>
      </c>
      <c r="AN45" s="77">
        <f>'Price History'!T3+('Price History'!T158-'Price History'!T3)*0.272727272727273</f>
        <v>33.13636363636364</v>
      </c>
    </row>
    <row r="46" spans="1:40" ht="15" customHeight="1" x14ac:dyDescent="0.2">
      <c r="A46" s="55">
        <f>IF('Price History'!A47="","",'Price History'!A47)</f>
        <v>45457</v>
      </c>
      <c r="B46" s="76">
        <f>IFERROR(IF(OR(NOT(ISNUMBER('Price History'!B47)),NOT(ISNUMBER('Price History'!B46)),'Price History'!B46=0),"",'Price History'!B47/'Price History'!B46-1),"")</f>
        <v>0.12865522205272528</v>
      </c>
      <c r="C46" s="76">
        <f>IFERROR(IF(OR(NOT(ISNUMBER('Price History'!C47)),NOT(ISNUMBER('Price History'!C46)),'Price History'!C46=0),"",'Price History'!C47/'Price History'!C46-1),"")</f>
        <v>0.10687331536388123</v>
      </c>
      <c r="D46" s="76">
        <f>IFERROR(IF(OR(NOT(ISNUMBER('Price History'!D47)),NOT(ISNUMBER('Price History'!D46)),'Price History'!D46=0),"",'Price History'!D47/'Price History'!D46-1),"")</f>
        <v>-5.0562999552705712E-4</v>
      </c>
      <c r="E46" s="76">
        <f>IFERROR(IF(OR(NOT(ISNUMBER('Price History'!E47)),NOT(ISNUMBER('Price History'!E46)),'Price History'!E46=0),"",'Price History'!E47/'Price History'!E46-1),"")</f>
        <v>0.23347078060571591</v>
      </c>
      <c r="F46" s="76">
        <f>IFERROR(IF(OR(NOT(ISNUMBER('Price History'!F47)),NOT(ISNUMBER('Price History'!F46)),'Price History'!F46=0),"",'Price History'!F47/'Price History'!F46-1),"")</f>
        <v>0.10403299725022919</v>
      </c>
      <c r="G46" s="76">
        <f>IFERROR(IF(OR(NOT(ISNUMBER('Price History'!G47)),NOT(ISNUMBER('Price History'!G46)),'Price History'!G46=0),"",'Price History'!G47/'Price History'!G46-1),"")</f>
        <v>7.2561768530559068E-2</v>
      </c>
      <c r="H46" s="76">
        <f>IFERROR(IF(OR(NOT(ISNUMBER('Price History'!H47)),NOT(ISNUMBER('Price History'!H46)),'Price History'!H46=0),"",'Price History'!H47/'Price History'!H46-1),"")</f>
        <v>7.9578432870016869E-2</v>
      </c>
      <c r="I46" s="76">
        <f>IFERROR(IF(OR(NOT(ISNUMBER('Price History'!I47)),NOT(ISNUMBER('Price History'!I46)),'Price History'!I46=0),"",'Price History'!I47/'Price History'!I46-1),"")</f>
        <v>9.0909090909090828E-2</v>
      </c>
      <c r="J46" s="76">
        <f>IFERROR(IF(OR(NOT(ISNUMBER('Price History'!J47)),NOT(ISNUMBER('Price History'!J46)),'Price History'!J46=0),"",'Price History'!J47/'Price History'!J46-1),"")</f>
        <v>1.8965517241379404E-2</v>
      </c>
      <c r="K46" s="76">
        <f>IFERROR(IF(OR(NOT(ISNUMBER('Price History'!K47)),NOT(ISNUMBER('Price History'!K46)),'Price History'!K46=0),"",'Price History'!K47/'Price History'!K46-1),"")</f>
        <v>1.1154011154011156E-2</v>
      </c>
      <c r="L46" s="76">
        <f>IFERROR(IF(OR(NOT(ISNUMBER('Price History'!L47)),NOT(ISNUMBER('Price History'!L46)),'Price History'!L46=0),"",'Price History'!L47/'Price History'!L46-1),"")</f>
        <v>4.9394732039661715E-2</v>
      </c>
      <c r="M46" s="76">
        <f>IFERROR(IF(OR(NOT(ISNUMBER('Price History'!M47)),NOT(ISNUMBER('Price History'!M46)),'Price History'!M46=0),"",'Price History'!M47/'Price History'!M46-1),"")</f>
        <v>4.3339416058394198E-2</v>
      </c>
      <c r="N46" s="76">
        <f>IFERROR(IF(OR(NOT(ISNUMBER('Price History'!N47)),NOT(ISNUMBER('Price History'!N46)),'Price History'!N46=0),"",'Price History'!N47/'Price History'!N46-1),"")</f>
        <v>-4.7822126531964493E-3</v>
      </c>
      <c r="O46" s="76">
        <f>IFERROR(IF(OR(NOT(ISNUMBER('Price History'!O47)),NOT(ISNUMBER('Price History'!O46)),'Price History'!O46=0),"",'Price History'!O47/'Price History'!O46-1),"")</f>
        <v>-2.3920783266577539E-2</v>
      </c>
      <c r="P46" s="76" t="str">
        <f>IFERROR(IF(OR(NOT(ISNUMBER('Price History'!P47)),NOT(ISNUMBER('Price History'!P46)),'Price History'!P46=0),"",'Price History'!P47/'Price History'!P46-1),"")</f>
        <v/>
      </c>
      <c r="Q46" s="76">
        <f>IFERROR(IF(OR(NOT(ISNUMBER('Price History'!Q47)),NOT(ISNUMBER('Price History'!Q46)),'Price History'!Q46=0),"",'Price History'!Q47/'Price History'!Q46-1),"")</f>
        <v>-1.0761872224120284E-2</v>
      </c>
      <c r="R46" s="76">
        <f>IFERROR(IF(OR(NOT(ISNUMBER('Price History'!R47)),NOT(ISNUMBER('Price History'!R46)),'Price History'!R46=0),"",'Price History'!R47/'Price History'!R46-1),"")</f>
        <v>1.2662873921820417E-2</v>
      </c>
      <c r="S46" s="76">
        <f>IFERROR(IF(OR(NOT(ISNUMBER('Price History'!S47)),NOT(ISNUMBER('Price History'!S46)),'Price History'!S46=0),"",'Price History'!S47/'Price History'!S46-1),"")</f>
        <v>4.219811658123751E-2</v>
      </c>
      <c r="T46" s="76">
        <f>IFERROR(IF(OR(NOT(ISNUMBER('Price History'!T47)),NOT(ISNUMBER('Price History'!T46)),'Price History'!T46=0),"",'Price History'!T47/'Price History'!T46-1),"")</f>
        <v>-4.2003231017769815E-3</v>
      </c>
      <c r="U46" s="76" t="str">
        <f>IFERROR(IF(OR(NOT(ISNUMBER('Price History'!U47)),NOT(ISNUMBER('Price History'!U46)),'Price History'!U46=0),"",'Price History'!U47/'Price History'!U46-1),"")</f>
        <v/>
      </c>
      <c r="W46" s="77">
        <f>'Price History'!B3+('Price History'!B158-'Price History'!B3)*0.279220779220779</f>
        <v>436.39987012987018</v>
      </c>
      <c r="X46" s="77">
        <f>'Price History'!C3+('Price History'!C158-'Price History'!C3)*0.279220779220779</f>
        <v>81.884350649350608</v>
      </c>
      <c r="Y46" s="77">
        <f>'Price History'!D3+('Price History'!D158-'Price History'!D3)*0.279220779220779</f>
        <v>931.84792207792179</v>
      </c>
      <c r="Z46" s="77">
        <f>'Price History'!E3+('Price History'!E158-'Price History'!E3)*0.279220779220779</f>
        <v>168.50532467532457</v>
      </c>
      <c r="AA46" s="77">
        <f>'Price History'!F3+('Price History'!F158-'Price History'!F3)*0.279220779220779</f>
        <v>80.004155844155804</v>
      </c>
      <c r="AB46" s="77">
        <f>'Price History'!G3+('Price History'!G158-'Price History'!G3)*0.279220779220779</f>
        <v>85.572467532467499</v>
      </c>
      <c r="AC46" s="77">
        <f>'Price History'!H3+('Price History'!H158-'Price History'!H3)*0.279220779220779</f>
        <v>276.20363636363618</v>
      </c>
      <c r="AD46" s="77">
        <f>'Price History'!I3+('Price History'!I158-'Price History'!I3)*0.279220779220779</f>
        <v>85.497402597402555</v>
      </c>
      <c r="AE46" s="77">
        <f>'Price History'!J3+('Price History'!J158-'Price History'!J3)*0.279220779220779</f>
        <v>129.40155844155845</v>
      </c>
      <c r="AF46" s="77">
        <f>'Price History'!K3+('Price History'!K158-'Price History'!K3)*0.279220779220779</f>
        <v>45.468116883116863</v>
      </c>
      <c r="AG46" s="77">
        <f>'Price History'!L3+('Price History'!L158-'Price History'!L3)*0.279220779220779</f>
        <v>179.17948051948042</v>
      </c>
      <c r="AH46" s="77">
        <f>'Price History'!M3+('Price History'!M158-'Price History'!M3)*0.279220779220779</f>
        <v>91.60467532467527</v>
      </c>
      <c r="AI46" s="77">
        <f>'Price History'!N3+('Price History'!N158-'Price History'!N3)*0.279220779220779</f>
        <v>385.38805194805195</v>
      </c>
      <c r="AJ46" s="77">
        <f>'Price History'!O3+('Price History'!O158-'Price History'!O3)*0.279220779220779</f>
        <v>94.697337662337645</v>
      </c>
      <c r="AK46" s="77">
        <f>'Price History'!Q3+('Price History'!Q151-'Price History'!Q3)*0.279220779220779</f>
        <v>55.036298701298698</v>
      </c>
      <c r="AL46" s="77">
        <f>'Price History'!R3+('Price History'!R158-'Price History'!R3)*0.279220779220779</f>
        <v>50.732272727272722</v>
      </c>
      <c r="AM46" s="77">
        <f>'Price History'!S3+('Price History'!S158-'Price History'!S3)*0.279220779220779</f>
        <v>82.35474025974024</v>
      </c>
      <c r="AN46" s="77">
        <f>'Price History'!T3+('Price History'!T158-'Price History'!T3)*0.279220779220779</f>
        <v>33.284610389610386</v>
      </c>
    </row>
    <row r="47" spans="1:40" ht="15" customHeight="1" x14ac:dyDescent="0.2">
      <c r="A47" s="55">
        <f>IF('Price History'!A48="","",'Price History'!A48)</f>
        <v>45464</v>
      </c>
      <c r="B47" s="76">
        <f>IFERROR(IF(OR(NOT(ISNUMBER('Price History'!B48)),NOT(ISNUMBER('Price History'!B47)),'Price History'!B47=0),"",'Price History'!B48/'Price History'!B47-1),"")</f>
        <v>1.5476575736232068E-2</v>
      </c>
      <c r="C47" s="76">
        <f>IFERROR(IF(OR(NOT(ISNUMBER('Price History'!C48)),NOT(ISNUMBER('Price History'!C47)),'Price History'!C47=0),"",'Price History'!C48/'Price History'!C47-1),"")</f>
        <v>2.6908559600633319E-2</v>
      </c>
      <c r="D47" s="76">
        <f>IFERROR(IF(OR(NOT(ISNUMBER('Price History'!D48)),NOT(ISNUMBER('Price History'!D47)),'Price History'!D47=0),"",'Price History'!D48/'Price History'!D47-1),"")</f>
        <v>8.4638583519796029E-3</v>
      </c>
      <c r="E47" s="76">
        <f>IFERROR(IF(OR(NOT(ISNUMBER('Price History'!E48)),NOT(ISNUMBER('Price History'!E47)),'Price History'!E47=0),"",'Price History'!E48/'Price History'!E47-1),"")</f>
        <v>-4.4034582132564726E-2</v>
      </c>
      <c r="F47" s="76">
        <f>IFERROR(IF(OR(NOT(ISNUMBER('Price History'!F48)),NOT(ISNUMBER('Price History'!F47)),'Price History'!F47=0),"",'Price History'!F48/'Price History'!F47-1),"")</f>
        <v>-1.2453300124533051E-2</v>
      </c>
      <c r="G47" s="76">
        <f>IFERROR(IF(OR(NOT(ISNUMBER('Price History'!G48)),NOT(ISNUMBER('Price History'!G47)),'Price History'!G47=0),"",'Price History'!G48/'Price History'!G47-1),"")</f>
        <v>-9.9418040737149216E-3</v>
      </c>
      <c r="H47" s="76">
        <f>IFERROR(IF(OR(NOT(ISNUMBER('Price History'!H48)),NOT(ISNUMBER('Price History'!H47)),'Price History'!H47=0),"",'Price History'!H48/'Price History'!H47-1),"")</f>
        <v>-1.2874929258630652E-2</v>
      </c>
      <c r="I47" s="76">
        <f>IFERROR(IF(OR(NOT(ISNUMBER('Price History'!I48)),NOT(ISNUMBER('Price History'!I47)),'Price History'!I47=0),"",'Price History'!I48/'Price History'!I47-1),"")</f>
        <v>-4.0263876251137365E-2</v>
      </c>
      <c r="J47" s="76">
        <f>IFERROR(IF(OR(NOT(ISNUMBER('Price History'!J48)),NOT(ISNUMBER('Price History'!J47)),'Price History'!J47=0),"",'Price History'!J48/'Price History'!J47-1),"")</f>
        <v>-2.5736931160388332E-2</v>
      </c>
      <c r="K47" s="76">
        <f>IFERROR(IF(OR(NOT(ISNUMBER('Price History'!K48)),NOT(ISNUMBER('Price History'!K47)),'Price History'!K47=0),"",'Price History'!K48/'Price History'!K47-1),"")</f>
        <v>1.1455239711497756E-2</v>
      </c>
      <c r="L47" s="76">
        <f>IFERROR(IF(OR(NOT(ISNUMBER('Price History'!L48)),NOT(ISNUMBER('Price History'!L47)),'Price History'!L47=0),"",'Price History'!L48/'Price History'!L47-1),"")</f>
        <v>8.4053098371110746E-3</v>
      </c>
      <c r="M47" s="76">
        <f>IFERROR(IF(OR(NOT(ISNUMBER('Price History'!M48)),NOT(ISNUMBER('Price History'!M47)),'Price History'!M47=0),"",'Price History'!M48/'Price History'!M47-1),"")</f>
        <v>-9.4009619588981685E-3</v>
      </c>
      <c r="N47" s="76">
        <f>IFERROR(IF(OR(NOT(ISNUMBER('Price History'!N48)),NOT(ISNUMBER('Price History'!N47)),'Price History'!N47=0),"",'Price History'!N48/'Price History'!N47-1),"")</f>
        <v>-2.5003640297048269E-2</v>
      </c>
      <c r="O47" s="76">
        <f>IFERROR(IF(OR(NOT(ISNUMBER('Price History'!O48)),NOT(ISNUMBER('Price History'!O47)),'Price History'!O47=0),"",'Price History'!O48/'Price History'!O47-1),"")</f>
        <v>1.0828678901174005E-2</v>
      </c>
      <c r="P47" s="76" t="str">
        <f>IFERROR(IF(OR(NOT(ISNUMBER('Price History'!P48)),NOT(ISNUMBER('Price History'!P47)),'Price History'!P47=0),"",'Price History'!P48/'Price History'!P47-1),"")</f>
        <v/>
      </c>
      <c r="Q47" s="76">
        <f>IFERROR(IF(OR(NOT(ISNUMBER('Price History'!Q48)),NOT(ISNUMBER('Price History'!Q47)),'Price History'!Q47=0),"",'Price History'!Q48/'Price History'!Q47-1),"")</f>
        <v>6.9072699015726435E-4</v>
      </c>
      <c r="R47" s="76">
        <f>IFERROR(IF(OR(NOT(ISNUMBER('Price History'!R48)),NOT(ISNUMBER('Price History'!R47)),'Price History'!R47=0),"",'Price History'!R48/'Price History'!R47-1),"")</f>
        <v>1.0873504893078589E-3</v>
      </c>
      <c r="S47" s="76">
        <f>IFERROR(IF(OR(NOT(ISNUMBER('Price History'!S48)),NOT(ISNUMBER('Price History'!S47)),'Price History'!S47=0),"",'Price History'!S48/'Price History'!S47-1),"")</f>
        <v>-8.0064051241002243E-4</v>
      </c>
      <c r="T47" s="76">
        <f>IFERROR(IF(OR(NOT(ISNUMBER('Price History'!T48)),NOT(ISNUMBER('Price History'!T47)),'Price History'!T47=0),"",'Price History'!T48/'Price History'!T47-1),"")</f>
        <v>9.7339390006490056E-3</v>
      </c>
      <c r="U47" s="76" t="str">
        <f>IFERROR(IF(OR(NOT(ISNUMBER('Price History'!U48)),NOT(ISNUMBER('Price History'!U47)),'Price History'!U47=0),"",'Price History'!U48/'Price History'!U47-1),"")</f>
        <v/>
      </c>
      <c r="W47" s="77">
        <f>'Price History'!B3+('Price History'!B158-'Price History'!B3)*0.285714285714286</f>
        <v>434.72428571428566</v>
      </c>
      <c r="X47" s="77">
        <f>'Price History'!C3+('Price History'!C158-'Price History'!C3)*0.285714285714286</f>
        <v>82.771428571428601</v>
      </c>
      <c r="Y47" s="77">
        <f>'Price History'!D3+('Price History'!D158-'Price History'!D3)*0.285714285714286</f>
        <v>938.1285714285716</v>
      </c>
      <c r="Z47" s="77">
        <f>'Price History'!E3+('Price History'!E158-'Price History'!E3)*0.285714285714286</f>
        <v>170.49428571428578</v>
      </c>
      <c r="AA47" s="77">
        <f>'Price History'!F3+('Price History'!F158-'Price History'!F3)*0.285714285714286</f>
        <v>81.002857142857181</v>
      </c>
      <c r="AB47" s="77">
        <f>'Price History'!G3+('Price History'!G158-'Price History'!G3)*0.285714285714286</f>
        <v>86.448571428571455</v>
      </c>
      <c r="AC47" s="77">
        <f>'Price History'!H3+('Price History'!H158-'Price History'!H3)*0.285714285714286</f>
        <v>281.13000000000022</v>
      </c>
      <c r="AD47" s="77">
        <f>'Price History'!I3+('Price History'!I158-'Price History'!I3)*0.285714285714286</f>
        <v>86.535714285714334</v>
      </c>
      <c r="AE47" s="77">
        <f>'Price History'!J3+('Price History'!J158-'Price History'!J3)*0.285714285714286</f>
        <v>129.53857142857143</v>
      </c>
      <c r="AF47" s="77">
        <f>'Price History'!K3+('Price History'!K158-'Price History'!K3)*0.285714285714286</f>
        <v>46.167142857142892</v>
      </c>
      <c r="AG47" s="77">
        <f>'Price History'!L3+('Price History'!L158-'Price History'!L3)*0.285714285714286</f>
        <v>181.20714285714291</v>
      </c>
      <c r="AH47" s="77">
        <f>'Price History'!M3+('Price History'!M158-'Price History'!M3)*0.285714285714286</f>
        <v>92.955714285714336</v>
      </c>
      <c r="AI47" s="77">
        <f>'Price History'!N3+('Price History'!N158-'Price History'!N3)*0.285714285714286</f>
        <v>386.21428571428578</v>
      </c>
      <c r="AJ47" s="77">
        <f>'Price History'!O3+('Price History'!O158-'Price History'!O3)*0.285714285714286</f>
        <v>94.972857142857151</v>
      </c>
      <c r="AK47" s="77">
        <f>'Price History'!Q3+('Price History'!Q151-'Price History'!Q3)*0.285714285714286</f>
        <v>55.157142857142865</v>
      </c>
      <c r="AL47" s="77">
        <f>'Price History'!R3+('Price History'!R158-'Price History'!R3)*0.285714285714286</f>
        <v>50.800000000000004</v>
      </c>
      <c r="AM47" s="77">
        <f>'Price History'!S3+('Price History'!S158-'Price History'!S3)*0.285714285714286</f>
        <v>82.908571428571463</v>
      </c>
      <c r="AN47" s="77">
        <f>'Price History'!T3+('Price History'!T158-'Price History'!T3)*0.285714285714286</f>
        <v>33.432857142857152</v>
      </c>
    </row>
    <row r="48" spans="1:40" ht="15" customHeight="1" x14ac:dyDescent="0.2">
      <c r="A48" s="55">
        <f>IF('Price History'!A49="","",'Price History'!A49)</f>
        <v>45471</v>
      </c>
      <c r="B48" s="76">
        <f>IFERROR(IF(OR(NOT(ISNUMBER('Price History'!B49)),NOT(ISNUMBER('Price History'!B48)),'Price History'!B48=0),"",'Price History'!B49/'Price History'!B48-1),"")</f>
        <v>4.1429214157168381E-2</v>
      </c>
      <c r="C48" s="76">
        <f>IFERROR(IF(OR(NOT(ISNUMBER('Price History'!C49)),NOT(ISNUMBER('Price History'!C48)),'Price History'!C48=0),"",'Price History'!C49/'Price History'!C48-1),"")</f>
        <v>3.8890206307801822E-2</v>
      </c>
      <c r="D48" s="76">
        <f>IFERROR(IF(OR(NOT(ISNUMBER('Price History'!D49)),NOT(ISNUMBER('Price History'!D48)),'Price History'!D48=0),"",'Price History'!D49/'Price History'!D48-1),"")</f>
        <v>-1.3380281690140716E-2</v>
      </c>
      <c r="E48" s="76">
        <f>IFERROR(IF(OR(NOT(ISNUMBER('Price History'!E49)),NOT(ISNUMBER('Price History'!E48)),'Price History'!E48=0),"",'Price History'!E49/'Price History'!E48-1),"")</f>
        <v>-3.2014952369468275E-2</v>
      </c>
      <c r="F48" s="76">
        <f>IFERROR(IF(OR(NOT(ISNUMBER('Price History'!F49)),NOT(ISNUMBER('Price History'!F48)),'Price History'!F48=0),"",'Price History'!F49/'Price History'!F48-1),"")</f>
        <v>6.7255149222362753E-3</v>
      </c>
      <c r="G48" s="76">
        <f>IFERROR(IF(OR(NOT(ISNUMBER('Price History'!G49)),NOT(ISNUMBER('Price History'!G48)),'Price History'!G48=0),"",'Price History'!G49/'Price History'!G48-1),"")</f>
        <v>9.6742591231937514E-3</v>
      </c>
      <c r="H48" s="76">
        <f>IFERROR(IF(OR(NOT(ISNUMBER('Price History'!H49)),NOT(ISNUMBER('Price History'!H48)),'Price History'!H48=0),"",'Price History'!H49/'Price History'!H48-1),"")</f>
        <v>-5.7402895227174899E-2</v>
      </c>
      <c r="I48" s="76">
        <f>IFERROR(IF(OR(NOT(ISNUMBER('Price History'!I49)),NOT(ISNUMBER('Price History'!I48)),'Price History'!I48=0),"",'Price History'!I49/'Price History'!I48-1),"")</f>
        <v>-2.3939322114244987E-2</v>
      </c>
      <c r="J48" s="76">
        <f>IFERROR(IF(OR(NOT(ISNUMBER('Price History'!J49)),NOT(ISNUMBER('Price History'!J48)),'Price History'!J48=0),"",'Price History'!J49/'Price History'!J48-1),"")</f>
        <v>2.6599634369286917E-2</v>
      </c>
      <c r="K48" s="76">
        <f>IFERROR(IF(OR(NOT(ISNUMBER('Price History'!K49)),NOT(ISNUMBER('Price History'!K48)),'Price History'!K48=0),"",'Price History'!K49/'Price History'!K48-1),"")</f>
        <v>6.25E-2</v>
      </c>
      <c r="L48" s="76">
        <f>IFERROR(IF(OR(NOT(ISNUMBER('Price History'!L49)),NOT(ISNUMBER('Price History'!L48)),'Price History'!L48=0),"",'Price History'!L49/'Price History'!L48-1),"")</f>
        <v>-8.6226718785931133E-4</v>
      </c>
      <c r="M48" s="76">
        <f>IFERROR(IF(OR(NOT(ISNUMBER('Price History'!M49)),NOT(ISNUMBER('Price History'!M48)),'Price History'!M48=0),"",'Price History'!M49/'Price History'!M48-1),"")</f>
        <v>-4.4692120944603952E-2</v>
      </c>
      <c r="N48" s="76">
        <f>IFERROR(IF(OR(NOT(ISNUMBER('Price History'!N49)),NOT(ISNUMBER('Price History'!N48)),'Price History'!N48=0),"",'Price History'!N49/'Price History'!N48-1),"")</f>
        <v>2.1335153933321749E-5</v>
      </c>
      <c r="O48" s="76">
        <f>IFERROR(IF(OR(NOT(ISNUMBER('Price History'!O49)),NOT(ISNUMBER('Price History'!O48)),'Price History'!O48=0),"",'Price History'!O49/'Price History'!O48-1),"")</f>
        <v>1.1727559765448703E-2</v>
      </c>
      <c r="P48" s="76" t="str">
        <f>IFERROR(IF(OR(NOT(ISNUMBER('Price History'!P49)),NOT(ISNUMBER('Price History'!P48)),'Price History'!P48=0),"",'Price History'!P49/'Price History'!P48-1),"")</f>
        <v/>
      </c>
      <c r="Q48" s="76">
        <f>IFERROR(IF(OR(NOT(ISNUMBER('Price History'!Q49)),NOT(ISNUMBER('Price History'!Q48)),'Price History'!Q48=0),"",'Price History'!Q49/'Price History'!Q48-1),"")</f>
        <v>2.6229508196721207E-2</v>
      </c>
      <c r="R48" s="76">
        <f>IFERROR(IF(OR(NOT(ISNUMBER('Price History'!R49)),NOT(ISNUMBER('Price History'!R48)),'Price History'!R48=0),"",'Price History'!R49/'Price History'!R48-1),"")</f>
        <v>4.706734250543132E-3</v>
      </c>
      <c r="S48" s="76">
        <f>IFERROR(IF(OR(NOT(ISNUMBER('Price History'!S49)),NOT(ISNUMBER('Price History'!S48)),'Price History'!S48=0),"",'Price History'!S49/'Price History'!S48-1),"")</f>
        <v>1.1446886446886406E-3</v>
      </c>
      <c r="T48" s="76">
        <f>IFERROR(IF(OR(NOT(ISNUMBER('Price History'!T49)),NOT(ISNUMBER('Price History'!T48)),'Price History'!T48=0),"",'Price History'!T49/'Price History'!T48-1),"")</f>
        <v>-6.4267352185090054E-3</v>
      </c>
      <c r="U48" s="76" t="str">
        <f>IFERROR(IF(OR(NOT(ISNUMBER('Price History'!U49)),NOT(ISNUMBER('Price History'!U48)),'Price History'!U48=0),"",'Price History'!U49/'Price History'!U48-1),"")</f>
        <v/>
      </c>
      <c r="W48" s="77">
        <f>'Price History'!B3+('Price History'!B158-'Price History'!B3)*0.292207792207792</f>
        <v>433.04870129870136</v>
      </c>
      <c r="X48" s="77">
        <f>'Price History'!C3+('Price History'!C158-'Price History'!C3)*0.292207792207792</f>
        <v>83.658506493506465</v>
      </c>
      <c r="Y48" s="77">
        <f>'Price History'!D3+('Price History'!D158-'Price History'!D3)*0.292207792207792</f>
        <v>944.4092207792205</v>
      </c>
      <c r="Z48" s="77">
        <f>'Price History'!E3+('Price History'!E158-'Price History'!E3)*0.292207792207792</f>
        <v>172.4832467532467</v>
      </c>
      <c r="AA48" s="77">
        <f>'Price History'!F3+('Price History'!F158-'Price History'!F3)*0.292207792207792</f>
        <v>82.001558441558416</v>
      </c>
      <c r="AB48" s="77">
        <f>'Price History'!G3+('Price History'!G158-'Price History'!G3)*0.292207792207792</f>
        <v>87.324675324675297</v>
      </c>
      <c r="AC48" s="77">
        <f>'Price History'!H3+('Price History'!H158-'Price History'!H3)*0.292207792207792</f>
        <v>286.05636363636347</v>
      </c>
      <c r="AD48" s="77">
        <f>'Price History'!I3+('Price History'!I158-'Price History'!I3)*0.292207792207792</f>
        <v>87.574025974025943</v>
      </c>
      <c r="AE48" s="77">
        <f>'Price History'!J3+('Price History'!J158-'Price History'!J3)*0.292207792207792</f>
        <v>129.67558441558441</v>
      </c>
      <c r="AF48" s="77">
        <f>'Price History'!K3+('Price History'!K158-'Price History'!K3)*0.292207792207792</f>
        <v>46.866168831168814</v>
      </c>
      <c r="AG48" s="77">
        <f>'Price History'!L3+('Price History'!L158-'Price History'!L3)*0.292207792207792</f>
        <v>183.23480519480512</v>
      </c>
      <c r="AH48" s="77">
        <f>'Price History'!M3+('Price History'!M158-'Price History'!M3)*0.292207792207792</f>
        <v>94.306753246753203</v>
      </c>
      <c r="AI48" s="77">
        <f>'Price History'!N3+('Price History'!N158-'Price History'!N3)*0.292207792207792</f>
        <v>387.04051948051949</v>
      </c>
      <c r="AJ48" s="77">
        <f>'Price History'!O3+('Price History'!O158-'Price History'!O3)*0.292207792207792</f>
        <v>95.248376623376615</v>
      </c>
      <c r="AK48" s="77">
        <f>'Price History'!Q3+('Price History'!Q151-'Price History'!Q3)*0.292207792207792</f>
        <v>55.277987012987012</v>
      </c>
      <c r="AL48" s="77">
        <f>'Price History'!R3+('Price History'!R158-'Price History'!R3)*0.292207792207792</f>
        <v>50.867727272727272</v>
      </c>
      <c r="AM48" s="77">
        <f>'Price History'!S3+('Price History'!S158-'Price History'!S3)*0.292207792207792</f>
        <v>83.462402597402587</v>
      </c>
      <c r="AN48" s="77">
        <f>'Price History'!T3+('Price History'!T158-'Price History'!T3)*0.292207792207792</f>
        <v>33.58110389610389</v>
      </c>
    </row>
    <row r="49" spans="1:40" ht="15" customHeight="1" x14ac:dyDescent="0.2">
      <c r="A49" s="55">
        <f>IF('Price History'!A50="","",'Price History'!A50)</f>
        <v>45478</v>
      </c>
      <c r="B49" s="76">
        <f>IFERROR(IF(OR(NOT(ISNUMBER('Price History'!B50)),NOT(ISNUMBER('Price History'!B49)),'Price History'!B49=0),"",'Price History'!B50/'Price History'!B49-1),"")</f>
        <v>4.1041149152176493E-2</v>
      </c>
      <c r="C49" s="76">
        <f>IFERROR(IF(OR(NOT(ISNUMBER('Price History'!C50)),NOT(ISNUMBER('Price History'!C49)),'Price History'!C49=0),"",'Price History'!C50/'Price History'!C49-1),"")</f>
        <v>4.4738644145172257E-2</v>
      </c>
      <c r="D49" s="76">
        <f>IFERROR(IF(OR(NOT(ISNUMBER('Price History'!D50)),NOT(ISNUMBER('Price History'!D49)),'Price History'!D49=0),"",'Price History'!D50/'Price History'!D49-1),"")</f>
        <v>5.0599865067026517E-2</v>
      </c>
      <c r="E49" s="76">
        <f>IFERROR(IF(OR(NOT(ISNUMBER('Price History'!E50)),NOT(ISNUMBER('Price History'!E49)),'Price History'!E49=0),"",'Price History'!E50/'Price History'!E49-1),"")</f>
        <v>6.0915602616007369E-2</v>
      </c>
      <c r="F49" s="76">
        <f>IFERROR(IF(OR(NOT(ISNUMBER('Price History'!F50)),NOT(ISNUMBER('Price History'!F49)),'Price History'!F49=0),"",'Price History'!F50/'Price History'!F49-1),"")</f>
        <v>1.6910229645094033E-2</v>
      </c>
      <c r="G49" s="76">
        <f>IFERROR(IF(OR(NOT(ISNUMBER('Price History'!G50)),NOT(ISNUMBER('Price History'!G49)),'Price History'!G49=0),"",'Price History'!G50/'Price History'!G49-1),"")</f>
        <v>3.7234687689508661E-2</v>
      </c>
      <c r="H49" s="76">
        <f>IFERROR(IF(OR(NOT(ISNUMBER('Price History'!H50)),NOT(ISNUMBER('Price History'!H49)),'Price History'!H49=0),"",'Price History'!H50/'Price History'!H49-1),"")</f>
        <v>5.3219797764758603E-4</v>
      </c>
      <c r="I49" s="76">
        <f>IFERROR(IF(OR(NOT(ISNUMBER('Price History'!I50)),NOT(ISNUMBER('Price History'!I49)),'Price History'!I49=0),"",'Price History'!I50/'Price History'!I49-1),"")</f>
        <v>1.8536506394689845E-2</v>
      </c>
      <c r="J49" s="76">
        <f>IFERROR(IF(OR(NOT(ISNUMBER('Price History'!J50)),NOT(ISNUMBER('Price History'!J49)),'Price History'!J49=0),"",'Price History'!J50/'Price History'!J49-1),"")</f>
        <v>1.9143442258035659E-2</v>
      </c>
      <c r="K49" s="76">
        <f>IFERROR(IF(OR(NOT(ISNUMBER('Price History'!K50)),NOT(ISNUMBER('Price History'!K49)),'Price History'!K49=0),"",'Price History'!K50/'Price History'!K49-1),"")</f>
        <v>7.500986971970014E-2</v>
      </c>
      <c r="L49" s="76">
        <f>IFERROR(IF(OR(NOT(ISNUMBER('Price History'!L50)),NOT(ISNUMBER('Price History'!L49)),'Price History'!L49=0),"",'Price History'!L50/'Price History'!L49-1),"")</f>
        <v>5.856970254876015E-2</v>
      </c>
      <c r="M49" s="76">
        <f>IFERROR(IF(OR(NOT(ISNUMBER('Price History'!M50)),NOT(ISNUMBER('Price History'!M49)),'Price History'!M49=0),"",'Price History'!M50/'Price History'!M49-1),"")</f>
        <v>6.0182511262562244E-2</v>
      </c>
      <c r="N49" s="76">
        <f>IFERROR(IF(OR(NOT(ISNUMBER('Price History'!N50)),NOT(ISNUMBER('Price History'!N49)),'Price History'!N49=0),"",'Price History'!N50/'Price History'!N49-1),"")</f>
        <v>1.2480798771121293E-2</v>
      </c>
      <c r="O49" s="76">
        <f>IFERROR(IF(OR(NOT(ISNUMBER('Price History'!O50)),NOT(ISNUMBER('Price History'!O49)),'Price History'!O49=0),"",'Price History'!O50/'Price History'!O49-1),"")</f>
        <v>-1.64957646009809E-2</v>
      </c>
      <c r="P49" s="76" t="str">
        <f>IFERROR(IF(OR(NOT(ISNUMBER('Price History'!P50)),NOT(ISNUMBER('Price History'!P49)),'Price History'!P49=0),"",'Price History'!P50/'Price History'!P49-1),"")</f>
        <v/>
      </c>
      <c r="Q49" s="76">
        <f>IFERROR(IF(OR(NOT(ISNUMBER('Price History'!Q50)),NOT(ISNUMBER('Price History'!Q49)),'Price History'!Q49=0),"",'Price History'!Q50/'Price History'!Q49-1),"")</f>
        <v>8.7439044896586715E-3</v>
      </c>
      <c r="R49" s="76">
        <f>IFERROR(IF(OR(NOT(ISNUMBER('Price History'!R50)),NOT(ISNUMBER('Price History'!R49)),'Price History'!R49=0),"",'Price History'!R50/'Price History'!R49-1),"")</f>
        <v>6.846846846846999E-3</v>
      </c>
      <c r="S49" s="76">
        <f>IFERROR(IF(OR(NOT(ISNUMBER('Price History'!S50)),NOT(ISNUMBER('Price History'!S49)),'Price History'!S49=0),"",'Price History'!S50/'Price History'!S49-1),"")</f>
        <v>3.0985593414132317E-2</v>
      </c>
      <c r="T49" s="76">
        <f>IFERROR(IF(OR(NOT(ISNUMBER('Price History'!T50)),NOT(ISNUMBER('Price History'!T49)),'Price History'!T49=0),"",'Price History'!T50/'Price History'!T49-1),"")</f>
        <v>-2.0051746442432128E-2</v>
      </c>
      <c r="U49" s="76" t="str">
        <f>IFERROR(IF(OR(NOT(ISNUMBER('Price History'!U50)),NOT(ISNUMBER('Price History'!U49)),'Price History'!U49=0),"",'Price History'!U50/'Price History'!U49-1),"")</f>
        <v/>
      </c>
      <c r="W49" s="77">
        <f>'Price History'!B3+('Price History'!B158-'Price History'!B3)*0.298701298701299</f>
        <v>431.37311688311678</v>
      </c>
      <c r="X49" s="77">
        <f>'Price History'!C3+('Price History'!C158-'Price History'!C3)*0.298701298701299</f>
        <v>84.545584415584457</v>
      </c>
      <c r="Y49" s="77">
        <f>'Price History'!D3+('Price History'!D158-'Price History'!D3)*0.298701298701299</f>
        <v>950.68987012987043</v>
      </c>
      <c r="Z49" s="77">
        <f>'Price History'!E3+('Price History'!E158-'Price History'!E3)*0.298701298701299</f>
        <v>174.47220779220788</v>
      </c>
      <c r="AA49" s="77">
        <f>'Price History'!F3+('Price History'!F158-'Price History'!F3)*0.298701298701299</f>
        <v>83.000259740259793</v>
      </c>
      <c r="AB49" s="77">
        <f>'Price History'!G3+('Price History'!G158-'Price History'!G3)*0.298701298701299</f>
        <v>88.200779220779253</v>
      </c>
      <c r="AC49" s="77">
        <f>'Price History'!H3+('Price History'!H158-'Price History'!H3)*0.298701298701299</f>
        <v>290.98272727272752</v>
      </c>
      <c r="AD49" s="77">
        <f>'Price History'!I3+('Price History'!I158-'Price History'!I3)*0.298701298701299</f>
        <v>88.612337662337723</v>
      </c>
      <c r="AE49" s="77">
        <f>'Price History'!J3+('Price History'!J158-'Price History'!J3)*0.298701298701299</f>
        <v>129.81259740259742</v>
      </c>
      <c r="AF49" s="77">
        <f>'Price History'!K3+('Price History'!K158-'Price History'!K3)*0.298701298701299</f>
        <v>47.565194805194835</v>
      </c>
      <c r="AG49" s="77">
        <f>'Price History'!L3+('Price History'!L158-'Price History'!L3)*0.298701298701299</f>
        <v>185.26246753246761</v>
      </c>
      <c r="AH49" s="77">
        <f>'Price History'!M3+('Price History'!M158-'Price History'!M3)*0.298701298701299</f>
        <v>95.657792207792284</v>
      </c>
      <c r="AI49" s="77">
        <f>'Price History'!N3+('Price History'!N158-'Price History'!N3)*0.298701298701299</f>
        <v>387.86675324675332</v>
      </c>
      <c r="AJ49" s="77">
        <f>'Price History'!O3+('Price History'!O158-'Price History'!O3)*0.298701298701299</f>
        <v>95.523896103896107</v>
      </c>
      <c r="AK49" s="77">
        <f>'Price History'!Q3+('Price History'!Q151-'Price History'!Q3)*0.298701298701299</f>
        <v>55.39883116883118</v>
      </c>
      <c r="AL49" s="77">
        <f>'Price History'!R3+('Price History'!R158-'Price History'!R3)*0.298701298701299</f>
        <v>50.935454545454547</v>
      </c>
      <c r="AM49" s="77">
        <f>'Price History'!S3+('Price History'!S158-'Price History'!S3)*0.298701298701299</f>
        <v>84.016233766233796</v>
      </c>
      <c r="AN49" s="77">
        <f>'Price History'!T3+('Price History'!T158-'Price History'!T3)*0.298701298701299</f>
        <v>33.729350649350657</v>
      </c>
    </row>
    <row r="50" spans="1:40" ht="15" customHeight="1" x14ac:dyDescent="0.2">
      <c r="A50" s="55">
        <f>IF('Price History'!A51="","",'Price History'!A51)</f>
        <v>45485</v>
      </c>
      <c r="B50" s="76">
        <f>IFERROR(IF(OR(NOT(ISNUMBER('Price History'!B51)),NOT(ISNUMBER('Price History'!B50)),'Price History'!B50=0),"",'Price History'!B51/'Price History'!B50-1),"")</f>
        <v>-3.3354082373690308E-2</v>
      </c>
      <c r="C50" s="76">
        <f>IFERROR(IF(OR(NOT(ISNUMBER('Price History'!C51)),NOT(ISNUMBER('Price History'!C50)),'Price History'!C50=0),"",'Price History'!C51/'Price History'!C50-1),"")</f>
        <v>-1.1579637317019942E-2</v>
      </c>
      <c r="D50" s="76">
        <f>IFERROR(IF(OR(NOT(ISNUMBER('Price History'!D51)),NOT(ISNUMBER('Price History'!D50)),'Price History'!D50=0),"",'Price History'!D51/'Price History'!D50-1),"")</f>
        <v>1.0032760032760102E-2</v>
      </c>
      <c r="E50" s="76">
        <f>IFERROR(IF(OR(NOT(ISNUMBER('Price History'!E51)),NOT(ISNUMBER('Price History'!E50)),'Price History'!E50=0),"",'Price History'!E51/'Price History'!E50-1),"")</f>
        <v>-1.5264486584866122E-3</v>
      </c>
      <c r="F50" s="76">
        <f>IFERROR(IF(OR(NOT(ISNUMBER('Price History'!F51)),NOT(ISNUMBER('Price History'!F50)),'Price History'!F50=0),"",'Price History'!F51/'Price History'!F50-1),"")</f>
        <v>-4.711558201601318E-2</v>
      </c>
      <c r="G50" s="76">
        <f>IFERROR(IF(OR(NOT(ISNUMBER('Price History'!G51)),NOT(ISNUMBER('Price History'!G50)),'Price History'!G50=0),"",'Price History'!G51/'Price History'!G50-1),"")</f>
        <v>2.9232927970066491E-3</v>
      </c>
      <c r="H50" s="76">
        <f>IFERROR(IF(OR(NOT(ISNUMBER('Price History'!H51)),NOT(ISNUMBER('Price History'!H50)),'Price History'!H50=0),"",'Price History'!H51/'Price History'!H50-1),"")</f>
        <v>1.4817629179331382E-2</v>
      </c>
      <c r="I50" s="76">
        <f>IFERROR(IF(OR(NOT(ISNUMBER('Price History'!I51)),NOT(ISNUMBER('Price History'!I50)),'Price History'!I50=0),"",'Price History'!I51/'Price History'!I50-1),"")</f>
        <v>2.7100055630612907E-2</v>
      </c>
      <c r="J50" s="76">
        <f>IFERROR(IF(OR(NOT(ISNUMBER('Price History'!J51)),NOT(ISNUMBER('Price History'!J50)),'Price History'!J50=0),"",'Price History'!J51/'Price History'!J50-1),"")</f>
        <v>4.9711689673248349E-2</v>
      </c>
      <c r="K50" s="76">
        <f>IFERROR(IF(OR(NOT(ISNUMBER('Price History'!K51)),NOT(ISNUMBER('Price History'!K50)),'Price History'!K50=0),"",'Price History'!K51/'Price History'!K50-1),"")</f>
        <v>3.084832904884327E-2</v>
      </c>
      <c r="L50" s="76">
        <f>IFERROR(IF(OR(NOT(ISNUMBER('Price History'!L51)),NOT(ISNUMBER('Price History'!L50)),'Price History'!L50=0),"",'Price History'!L51/'Price History'!L50-1),"")</f>
        <v>1.8261862057720402E-2</v>
      </c>
      <c r="M50" s="76">
        <f>IFERROR(IF(OR(NOT(ISNUMBER('Price History'!M51)),NOT(ISNUMBER('Price History'!M50)),'Price History'!M50=0),"",'Price History'!M51/'Price History'!M50-1),"")</f>
        <v>-2.2989758117236914E-2</v>
      </c>
      <c r="N50" s="76">
        <f>IFERROR(IF(OR(NOT(ISNUMBER('Price History'!N51)),NOT(ISNUMBER('Price History'!N50)),'Price History'!N50=0),"",'Price History'!N51/'Price History'!N50-1),"")</f>
        <v>2.9858608845902745E-2</v>
      </c>
      <c r="O50" s="76">
        <f>IFERROR(IF(OR(NOT(ISNUMBER('Price History'!O51)),NOT(ISNUMBER('Price History'!O50)),'Price History'!O50=0),"",'Price History'!O51/'Price History'!O50-1),"")</f>
        <v>5.5757026291931133E-2</v>
      </c>
      <c r="P50" s="76" t="str">
        <f>IFERROR(IF(OR(NOT(ISNUMBER('Price History'!P51)),NOT(ISNUMBER('Price History'!P50)),'Price History'!P50=0),"",'Price History'!P51/'Price History'!P50-1),"")</f>
        <v/>
      </c>
      <c r="Q50" s="76">
        <f>IFERROR(IF(OR(NOT(ISNUMBER('Price History'!Q51)),NOT(ISNUMBER('Price History'!Q50)),'Price History'!Q50=0),"",'Price History'!Q51/'Price History'!Q50-1),"")</f>
        <v>3.6672778796464911E-3</v>
      </c>
      <c r="R50" s="76">
        <f>IFERROR(IF(OR(NOT(ISNUMBER('Price History'!R51)),NOT(ISNUMBER('Price History'!R50)),'Price History'!R50=0),"",'Price History'!R51/'Price History'!R50-1),"")</f>
        <v>-7.158196134573469E-4</v>
      </c>
      <c r="S50" s="76">
        <f>IFERROR(IF(OR(NOT(ISNUMBER('Price History'!S51)),NOT(ISNUMBER('Price History'!S50)),'Price History'!S50=0),"",'Price History'!S51/'Price History'!S50-1),"")</f>
        <v>-1.996229344571443E-3</v>
      </c>
      <c r="T50" s="76">
        <f>IFERROR(IF(OR(NOT(ISNUMBER('Price History'!T51)),NOT(ISNUMBER('Price History'!T50)),'Price History'!T50=0),"",'Price History'!T51/'Price History'!T50-1),"")</f>
        <v>3.8283828382838392E-2</v>
      </c>
      <c r="U50" s="76" t="str">
        <f>IFERROR(IF(OR(NOT(ISNUMBER('Price History'!U51)),NOT(ISNUMBER('Price History'!U50)),'Price History'!U50=0),"",'Price History'!U51/'Price History'!U50-1),"")</f>
        <v/>
      </c>
      <c r="W50" s="77">
        <f>'Price History'!B3+('Price History'!B158-'Price History'!B3)*0.305194805194805</f>
        <v>429.69753246753248</v>
      </c>
      <c r="X50" s="77">
        <f>'Price History'!C3+('Price History'!C158-'Price History'!C3)*0.305194805194805</f>
        <v>85.432662337662322</v>
      </c>
      <c r="Y50" s="77">
        <f>'Price History'!D3+('Price History'!D158-'Price History'!D3)*0.305194805194805</f>
        <v>956.97051948051921</v>
      </c>
      <c r="Z50" s="77">
        <f>'Price History'!E3+('Price History'!E158-'Price History'!E3)*0.305194805194805</f>
        <v>176.46116883116878</v>
      </c>
      <c r="AA50" s="77">
        <f>'Price History'!F3+('Price History'!F158-'Price History'!F3)*0.305194805194805</f>
        <v>83.998961038961028</v>
      </c>
      <c r="AB50" s="77">
        <f>'Price History'!G3+('Price History'!G158-'Price History'!G3)*0.305194805194805</f>
        <v>89.076883116883096</v>
      </c>
      <c r="AC50" s="77">
        <f>'Price History'!H3+('Price History'!H158-'Price History'!H3)*0.305194805194805</f>
        <v>295.90909090909076</v>
      </c>
      <c r="AD50" s="77">
        <f>'Price History'!I3+('Price History'!I158-'Price History'!I3)*0.305194805194805</f>
        <v>89.650649350649331</v>
      </c>
      <c r="AE50" s="77">
        <f>'Price History'!J3+('Price History'!J158-'Price History'!J3)*0.305194805194805</f>
        <v>129.9496103896104</v>
      </c>
      <c r="AF50" s="77">
        <f>'Price History'!K3+('Price History'!K158-'Price History'!K3)*0.305194805194805</f>
        <v>48.264220779220764</v>
      </c>
      <c r="AG50" s="77">
        <f>'Price History'!L3+('Price History'!L158-'Price History'!L3)*0.305194805194805</f>
        <v>187.29012987012982</v>
      </c>
      <c r="AH50" s="77">
        <f>'Price History'!M3+('Price History'!M158-'Price History'!M3)*0.305194805194805</f>
        <v>97.008831168831136</v>
      </c>
      <c r="AI50" s="77">
        <f>'Price History'!N3+('Price History'!N158-'Price History'!N3)*0.305194805194805</f>
        <v>388.69298701298703</v>
      </c>
      <c r="AJ50" s="77">
        <f>'Price History'!O3+('Price History'!O158-'Price History'!O3)*0.305194805194805</f>
        <v>95.79941558441557</v>
      </c>
      <c r="AK50" s="77">
        <f>'Price History'!Q3+('Price History'!Q151-'Price History'!Q3)*0.305194805194805</f>
        <v>55.519675324675326</v>
      </c>
      <c r="AL50" s="77">
        <f>'Price History'!R3+('Price History'!R158-'Price History'!R3)*0.305194805194805</f>
        <v>51.003181818181815</v>
      </c>
      <c r="AM50" s="77">
        <f>'Price History'!S3+('Price History'!S158-'Price History'!S3)*0.305194805194805</f>
        <v>84.57006493506492</v>
      </c>
      <c r="AN50" s="77">
        <f>'Price History'!T3+('Price History'!T158-'Price History'!T3)*0.305194805194805</f>
        <v>33.877597402597402</v>
      </c>
    </row>
    <row r="51" spans="1:40" ht="15" customHeight="1" x14ac:dyDescent="0.2">
      <c r="A51" s="55">
        <f>IF('Price History'!A52="","",'Price History'!A52)</f>
        <v>45492</v>
      </c>
      <c r="B51" s="76">
        <f>IFERROR(IF(OR(NOT(ISNUMBER('Price History'!B52)),NOT(ISNUMBER('Price History'!B51)),'Price History'!B51=0),"",'Price History'!B52/'Price History'!B51-1),"")</f>
        <v>-1.4399427600393477E-2</v>
      </c>
      <c r="C51" s="76">
        <f>IFERROR(IF(OR(NOT(ISNUMBER('Price History'!C52)),NOT(ISNUMBER('Price History'!C51)),'Price History'!C51=0),"",'Price History'!C52/'Price History'!C51-1),"")</f>
        <v>-8.6648983200707352E-2</v>
      </c>
      <c r="D51" s="76">
        <f>IFERROR(IF(OR(NOT(ISNUMBER('Price History'!D52)),NOT(ISNUMBER('Price History'!D51)),'Price History'!D51=0),"",'Price History'!D52/'Price History'!D51-1),"")</f>
        <v>-0.17497189613548825</v>
      </c>
      <c r="E51" s="76">
        <f>IFERROR(IF(OR(NOT(ISNUMBER('Price History'!E52)),NOT(ISNUMBER('Price History'!E51)),'Price History'!E51=0),"",'Price History'!E52/'Price History'!E51-1),"")</f>
        <v>-7.4792732404304063E-2</v>
      </c>
      <c r="F51" s="76">
        <f>IFERROR(IF(OR(NOT(ISNUMBER('Price History'!F52)),NOT(ISNUMBER('Price History'!F51)),'Price History'!F51=0),"",'Price History'!F52/'Price History'!F51-1),"")</f>
        <v>-0.17871377787353226</v>
      </c>
      <c r="G51" s="76">
        <f>IFERROR(IF(OR(NOT(ISNUMBER('Price History'!G52)),NOT(ISNUMBER('Price History'!G51)),'Price History'!G51=0),"",'Price History'!G52/'Price History'!G51-1),"")</f>
        <v>-0.110877929345925</v>
      </c>
      <c r="H51" s="76">
        <f>IFERROR(IF(OR(NOT(ISNUMBER('Price History'!H52)),NOT(ISNUMBER('Price History'!H51)),'Price History'!H51=0),"",'Price History'!H52/'Price History'!H51-1),"")</f>
        <v>-0.14444028453762636</v>
      </c>
      <c r="I51" s="76">
        <f>IFERROR(IF(OR(NOT(ISNUMBER('Price History'!I52)),NOT(ISNUMBER('Price History'!I51)),'Price History'!I51=0),"",'Price History'!I52/'Price History'!I51-1),"")</f>
        <v>-8.75116063138347E-2</v>
      </c>
      <c r="J51" s="76">
        <f>IFERROR(IF(OR(NOT(ISNUMBER('Price History'!J52)),NOT(ISNUMBER('Price History'!J51)),'Price History'!J51=0),"",'Price History'!J52/'Price History'!J51-1),"")</f>
        <v>2.9962546816479252E-2</v>
      </c>
      <c r="K51" s="76">
        <f>IFERROR(IF(OR(NOT(ISNUMBER('Price History'!K52)),NOT(ISNUMBER('Price History'!K51)),'Price History'!K51=0),"",'Price History'!K52/'Price History'!K51-1),"")</f>
        <v>1.8168863555397152E-2</v>
      </c>
      <c r="L51" s="76">
        <f>IFERROR(IF(OR(NOT(ISNUMBER('Price History'!L52)),NOT(ISNUMBER('Price History'!L51)),'Price History'!L51=0),"",'Price History'!L52/'Price History'!L51-1),"")</f>
        <v>-0.11518548171870824</v>
      </c>
      <c r="M51" s="76">
        <f>IFERROR(IF(OR(NOT(ISNUMBER('Price History'!M52)),NOT(ISNUMBER('Price History'!M51)),'Price History'!M51=0),"",'Price History'!M52/'Price History'!M51-1),"")</f>
        <v>-4.8622727779636388E-2</v>
      </c>
      <c r="N51" s="76">
        <f>IFERROR(IF(OR(NOT(ISNUMBER('Price History'!N52)),NOT(ISNUMBER('Price History'!N51)),'Price History'!N51=0),"",'Price History'!N52/'Price History'!N51-1),"")</f>
        <v>5.7903998035764292E-3</v>
      </c>
      <c r="O51" s="76">
        <f>IFERROR(IF(OR(NOT(ISNUMBER('Price History'!O52)),NOT(ISNUMBER('Price History'!O51)),'Price History'!O51=0),"",'Price History'!O52/'Price History'!O51-1),"")</f>
        <v>2.6406182911120846E-2</v>
      </c>
      <c r="P51" s="76" t="str">
        <f>IFERROR(IF(OR(NOT(ISNUMBER('Price History'!P52)),NOT(ISNUMBER('Price History'!P51)),'Price History'!P51=0),"",'Price History'!P52/'Price History'!P51-1),"")</f>
        <v/>
      </c>
      <c r="Q51" s="76">
        <f>IFERROR(IF(OR(NOT(ISNUMBER('Price History'!Q52)),NOT(ISNUMBER('Price History'!Q51)),'Price History'!Q51=0),"",'Price History'!Q52/'Price History'!Q51-1),"")</f>
        <v>-2.7071914964291732E-2</v>
      </c>
      <c r="R51" s="76">
        <f>IFERROR(IF(OR(NOT(ISNUMBER('Price History'!R52)),NOT(ISNUMBER('Price History'!R51)),'Price History'!R51=0),"",'Price History'!R52/'Price History'!R51-1),"")</f>
        <v>-2.9548710601719264E-2</v>
      </c>
      <c r="S51" s="76">
        <f>IFERROR(IF(OR(NOT(ISNUMBER('Price History'!S52)),NOT(ISNUMBER('Price History'!S51)),'Price History'!S51=0),"",'Price History'!S52/'Price History'!S51-1),"")</f>
        <v>-4.0448938770974552E-2</v>
      </c>
      <c r="T51" s="76">
        <f>IFERROR(IF(OR(NOT(ISNUMBER('Price History'!T52)),NOT(ISNUMBER('Price History'!T51)),'Price History'!T51=0),"",'Price History'!T52/'Price History'!T51-1),"")</f>
        <v>1.5257469802924417E-2</v>
      </c>
      <c r="U51" s="76" t="str">
        <f>IFERROR(IF(OR(NOT(ISNUMBER('Price History'!U52)),NOT(ISNUMBER('Price History'!U51)),'Price History'!U51=0),"",'Price History'!U52/'Price History'!U51-1),"")</f>
        <v/>
      </c>
      <c r="W51" s="77">
        <f>'Price History'!B3+('Price History'!B158-'Price History'!B3)*0.311688311688312</f>
        <v>428.02194805194796</v>
      </c>
      <c r="X51" s="77">
        <f>'Price History'!C3+('Price History'!C158-'Price History'!C3)*0.311688311688312</f>
        <v>86.3197402597403</v>
      </c>
      <c r="Y51" s="77">
        <f>'Price History'!D3+('Price History'!D158-'Price History'!D3)*0.311688311688312</f>
        <v>963.25116883116914</v>
      </c>
      <c r="Z51" s="77">
        <f>'Price History'!E3+('Price History'!E158-'Price History'!E3)*0.311688311688312</f>
        <v>178.45012987012996</v>
      </c>
      <c r="AA51" s="77">
        <f>'Price History'!F3+('Price History'!F158-'Price History'!F3)*0.311688311688312</f>
        <v>84.997662337662391</v>
      </c>
      <c r="AB51" s="77">
        <f>'Price History'!G3+('Price History'!G158-'Price History'!G3)*0.311688311688312</f>
        <v>89.952987012987052</v>
      </c>
      <c r="AC51" s="77">
        <f>'Price History'!H3+('Price History'!H158-'Price History'!H3)*0.311688311688312</f>
        <v>300.83545454545481</v>
      </c>
      <c r="AD51" s="77">
        <f>'Price History'!I3+('Price History'!I158-'Price History'!I3)*0.311688311688312</f>
        <v>90.688961038961097</v>
      </c>
      <c r="AE51" s="77">
        <f>'Price History'!J3+('Price History'!J158-'Price History'!J3)*0.311688311688312</f>
        <v>130.08662337662338</v>
      </c>
      <c r="AF51" s="77">
        <f>'Price History'!K3+('Price History'!K158-'Price History'!K3)*0.311688311688312</f>
        <v>48.963246753246793</v>
      </c>
      <c r="AG51" s="77">
        <f>'Price History'!L3+('Price History'!L158-'Price History'!L3)*0.311688311688312</f>
        <v>189.31779220779231</v>
      </c>
      <c r="AH51" s="77">
        <f>'Price History'!M3+('Price History'!M158-'Price History'!M3)*0.311688311688312</f>
        <v>98.359870129870188</v>
      </c>
      <c r="AI51" s="77">
        <f>'Price History'!N3+('Price History'!N158-'Price History'!N3)*0.311688311688312</f>
        <v>389.51922077922086</v>
      </c>
      <c r="AJ51" s="77">
        <f>'Price History'!O3+('Price History'!O158-'Price History'!O3)*0.311688311688312</f>
        <v>96.074935064935076</v>
      </c>
      <c r="AK51" s="77">
        <f>'Price History'!Q3+('Price History'!Q151-'Price History'!Q3)*0.311688311688312</f>
        <v>55.640519480519487</v>
      </c>
      <c r="AL51" s="77">
        <f>'Price History'!R3+('Price History'!R158-'Price History'!R3)*0.311688311688312</f>
        <v>51.070909090909097</v>
      </c>
      <c r="AM51" s="77">
        <f>'Price History'!S3+('Price History'!S158-'Price History'!S3)*0.311688311688312</f>
        <v>85.123896103896129</v>
      </c>
      <c r="AN51" s="77">
        <f>'Price History'!T3+('Price History'!T158-'Price History'!T3)*0.311688311688312</f>
        <v>34.025844155844162</v>
      </c>
    </row>
    <row r="52" spans="1:40" ht="15" customHeight="1" x14ac:dyDescent="0.2">
      <c r="A52" s="55">
        <f>IF('Price History'!A53="","",'Price History'!A53)</f>
        <v>45499</v>
      </c>
      <c r="B52" s="76">
        <f>IFERROR(IF(OR(NOT(ISNUMBER('Price History'!B53)),NOT(ISNUMBER('Price History'!B52)),'Price History'!B52=0),"",'Price History'!B53/'Price History'!B52-1),"")</f>
        <v>-1.55353901996369E-2</v>
      </c>
      <c r="C52" s="76">
        <f>IFERROR(IF(OR(NOT(ISNUMBER('Price History'!C53)),NOT(ISNUMBER('Price History'!C52)),'Price History'!C52=0),"",'Price History'!C53/'Price History'!C52-1),"")</f>
        <v>-3.436592449177156E-2</v>
      </c>
      <c r="D52" s="76">
        <f>IFERROR(IF(OR(NOT(ISNUMBER('Price History'!D53)),NOT(ISNUMBER('Price History'!D52)),'Price History'!D52=0),"",'Price History'!D53/'Price History'!D52-1),"")</f>
        <v>-7.7956598947921396E-3</v>
      </c>
      <c r="E52" s="76">
        <f>IFERROR(IF(OR(NOT(ISNUMBER('Price History'!E53)),NOT(ISNUMBER('Price History'!E52)),'Price History'!E52=0),"",'Price History'!E53/'Price History'!E52-1),"")</f>
        <v>-3.6352081347314935E-2</v>
      </c>
      <c r="F52" s="76">
        <f>IFERROR(IF(OR(NOT(ISNUMBER('Price History'!F53)),NOT(ISNUMBER('Price History'!F52)),'Price History'!F52=0),"",'Price History'!F53/'Price History'!F52-1),"")</f>
        <v>-0.16002098635886663</v>
      </c>
      <c r="G52" s="76">
        <f>IFERROR(IF(OR(NOT(ISNUMBER('Price History'!G53)),NOT(ISNUMBER('Price History'!G52)),'Price History'!G52=0),"",'Price History'!G53/'Price History'!G52-1),"")</f>
        <v>3.2520325203251987E-2</v>
      </c>
      <c r="H52" s="76">
        <f>IFERROR(IF(OR(NOT(ISNUMBER('Price History'!H53)),NOT(ISNUMBER('Price History'!H52)),'Price History'!H52=0),"",'Price History'!H53/'Price History'!H52-1),"")</f>
        <v>-4.2447050586381985E-2</v>
      </c>
      <c r="I52" s="76">
        <f>IFERROR(IF(OR(NOT(ISNUMBER('Price History'!I53)),NOT(ISNUMBER('Price History'!I52)),'Price History'!I52=0),"",'Price History'!I53/'Price History'!I52-1),"")</f>
        <v>-4.1295683880267942E-2</v>
      </c>
      <c r="J52" s="76">
        <f>IFERROR(IF(OR(NOT(ISNUMBER('Price History'!J53)),NOT(ISNUMBER('Price History'!J52)),'Price History'!J52=0),"",'Price History'!J53/'Price History'!J52-1),"")</f>
        <v>-8.6464646464645689E-3</v>
      </c>
      <c r="K52" s="76">
        <f>IFERROR(IF(OR(NOT(ISNUMBER('Price History'!K53)),NOT(ISNUMBER('Price History'!K52)),'Price History'!K52=0),"",'Price History'!K53/'Price History'!K52-1),"")</f>
        <v>-4.8985304408677321E-2</v>
      </c>
      <c r="L52" s="76">
        <f>IFERROR(IF(OR(NOT(ISNUMBER('Price History'!L53)),NOT(ISNUMBER('Price History'!L52)),'Price History'!L52=0),"",'Price History'!L53/'Price History'!L52-1),"")</f>
        <v>-2.3104301140133954E-2</v>
      </c>
      <c r="M52" s="76">
        <f>IFERROR(IF(OR(NOT(ISNUMBER('Price History'!M53)),NOT(ISNUMBER('Price History'!M52)),'Price History'!M52=0),"",'Price History'!M53/'Price History'!M52-1),"")</f>
        <v>-9.6002813269253306E-2</v>
      </c>
      <c r="N52" s="76">
        <f>IFERROR(IF(OR(NOT(ISNUMBER('Price History'!N53)),NOT(ISNUMBER('Price History'!N52)),'Price History'!N52=0),"",'Price History'!N53/'Price History'!N52-1),"")</f>
        <v>7.5065606119169015E-3</v>
      </c>
      <c r="O52" s="76">
        <f>IFERROR(IF(OR(NOT(ISNUMBER('Price History'!O53)),NOT(ISNUMBER('Price History'!O52)),'Price History'!O52=0),"",'Price History'!O53/'Price History'!O52-1),"")</f>
        <v>3.6289479188454266E-2</v>
      </c>
      <c r="P52" s="76" t="str">
        <f>IFERROR(IF(OR(NOT(ISNUMBER('Price History'!P53)),NOT(ISNUMBER('Price History'!P52)),'Price History'!P52=0),"",'Price History'!P53/'Price History'!P52-1),"")</f>
        <v/>
      </c>
      <c r="Q52" s="76">
        <f>IFERROR(IF(OR(NOT(ISNUMBER('Price History'!Q53)),NOT(ISNUMBER('Price History'!Q52)),'Price History'!Q52=0),"",'Price History'!Q53/'Price History'!Q52-1),"")</f>
        <v>2.5947422328439718E-2</v>
      </c>
      <c r="R52" s="76">
        <f>IFERROR(IF(OR(NOT(ISNUMBER('Price History'!R53)),NOT(ISNUMBER('Price History'!R52)),'Price History'!R52=0),"",'Price History'!R53/'Price History'!R52-1),"")</f>
        <v>-2.2697914744417735E-2</v>
      </c>
      <c r="S52" s="76">
        <f>IFERROR(IF(OR(NOT(ISNUMBER('Price History'!S53)),NOT(ISNUMBER('Price History'!S52)),'Price History'!S52=0),"",'Price History'!S53/'Price History'!S52-1),"")</f>
        <v>-1.8876664736537263E-2</v>
      </c>
      <c r="T52" s="76">
        <f>IFERROR(IF(OR(NOT(ISNUMBER('Price History'!T53)),NOT(ISNUMBER('Price History'!T52)),'Price History'!T52=0),"",'Price History'!T53/'Price History'!T52-1),"")</f>
        <v>1.784596117720727E-2</v>
      </c>
      <c r="U52" s="76" t="str">
        <f>IFERROR(IF(OR(NOT(ISNUMBER('Price History'!U53)),NOT(ISNUMBER('Price History'!U52)),'Price History'!U52=0),"",'Price History'!U53/'Price History'!U52-1),"")</f>
        <v/>
      </c>
      <c r="W52" s="77">
        <f>'Price History'!B3+('Price History'!B158-'Price History'!B3)*0.318181818181818</f>
        <v>426.34636363636366</v>
      </c>
      <c r="X52" s="77">
        <f>'Price History'!C3+('Price History'!C158-'Price History'!C3)*0.318181818181818</f>
        <v>87.206818181818164</v>
      </c>
      <c r="Y52" s="77">
        <f>'Price History'!D3+('Price History'!D158-'Price History'!D3)*0.318181818181818</f>
        <v>969.53181818181793</v>
      </c>
      <c r="Z52" s="77">
        <f>'Price History'!E3+('Price History'!E158-'Price History'!E3)*0.318181818181818</f>
        <v>180.43909090909085</v>
      </c>
      <c r="AA52" s="77">
        <f>'Price History'!F3+('Price History'!F158-'Price History'!F3)*0.318181818181818</f>
        <v>85.996363636363611</v>
      </c>
      <c r="AB52" s="77">
        <f>'Price History'!G3+('Price History'!G158-'Price History'!G3)*0.318181818181818</f>
        <v>90.82909090909088</v>
      </c>
      <c r="AC52" s="77">
        <f>'Price History'!H3+('Price History'!H158-'Price History'!H3)*0.318181818181818</f>
        <v>305.76181818181806</v>
      </c>
      <c r="AD52" s="77">
        <f>'Price History'!I3+('Price History'!I158-'Price History'!I3)*0.318181818181818</f>
        <v>91.727272727272705</v>
      </c>
      <c r="AE52" s="77">
        <f>'Price History'!J3+('Price History'!J158-'Price History'!J3)*0.318181818181818</f>
        <v>130.22363636363636</v>
      </c>
      <c r="AF52" s="77">
        <f>'Price History'!K3+('Price History'!K158-'Price History'!K3)*0.318181818181818</f>
        <v>49.662272727272708</v>
      </c>
      <c r="AG52" s="77">
        <f>'Price History'!L3+('Price History'!L158-'Price History'!L3)*0.318181818181818</f>
        <v>191.34545454545449</v>
      </c>
      <c r="AH52" s="77">
        <f>'Price History'!M3+('Price History'!M158-'Price History'!M3)*0.318181818181818</f>
        <v>99.710909090909041</v>
      </c>
      <c r="AI52" s="77">
        <f>'Price History'!N3+('Price History'!N158-'Price History'!N3)*0.318181818181818</f>
        <v>390.34545454545452</v>
      </c>
      <c r="AJ52" s="77">
        <f>'Price History'!O3+('Price History'!O158-'Price History'!O3)*0.318181818181818</f>
        <v>96.350454545454539</v>
      </c>
      <c r="AK52" s="77">
        <f>'Price History'!Q3+('Price History'!Q151-'Price History'!Q3)*0.318181818181818</f>
        <v>55.76136363636364</v>
      </c>
      <c r="AL52" s="77">
        <f>'Price History'!R3+('Price History'!R158-'Price History'!R3)*0.318181818181818</f>
        <v>51.138636363636365</v>
      </c>
      <c r="AM52" s="77">
        <f>'Price History'!S3+('Price History'!S158-'Price History'!S3)*0.318181818181818</f>
        <v>85.677727272727267</v>
      </c>
      <c r="AN52" s="77">
        <f>'Price History'!T3+('Price History'!T158-'Price History'!T3)*0.318181818181818</f>
        <v>34.174090909090907</v>
      </c>
    </row>
    <row r="53" spans="1:40" ht="15" customHeight="1" x14ac:dyDescent="0.2">
      <c r="A53" s="55">
        <f>IF('Price History'!A54="","",'Price History'!A54)</f>
        <v>45506</v>
      </c>
      <c r="B53" s="76">
        <f>IFERROR(IF(OR(NOT(ISNUMBER('Price History'!B54)),NOT(ISNUMBER('Price History'!B53)),'Price History'!B53=0),"",'Price History'!B54/'Price History'!B53-1),"")</f>
        <v>-2.9994100730034834E-2</v>
      </c>
      <c r="C53" s="76">
        <f>IFERROR(IF(OR(NOT(ISNUMBER('Price History'!C54)),NOT(ISNUMBER('Price History'!C53)),'Price History'!C53=0),"",'Price History'!C54/'Price History'!C53-1),"")</f>
        <v>3.7593984962414062E-4</v>
      </c>
      <c r="D53" s="76">
        <f>IFERROR(IF(OR(NOT(ISNUMBER('Price History'!D54)),NOT(ISNUMBER('Price History'!D53)),'Price History'!D53=0),"",'Price History'!D54/'Price History'!D53-1),"")</f>
        <v>-8.8969934375668358E-2</v>
      </c>
      <c r="E53" s="76">
        <f>IFERROR(IF(OR(NOT(ISNUMBER('Price History'!E54)),NOT(ISNUMBER('Price History'!E53)),'Price History'!E53=0),"",'Price History'!E54/'Price History'!E53-1),"")</f>
        <v>-5.1506957726043634E-2</v>
      </c>
      <c r="F53" s="76">
        <f>IFERROR(IF(OR(NOT(ISNUMBER('Price History'!F54)),NOT(ISNUMBER('Price History'!F53)),'Price History'!F53=0),"",'Price History'!F54/'Price History'!F53-1),"")</f>
        <v>-0.14943785134291077</v>
      </c>
      <c r="G53" s="76">
        <f>IFERROR(IF(OR(NOT(ISNUMBER('Price History'!G54)),NOT(ISNUMBER('Price History'!G53)),'Price History'!G53=0),"",'Price History'!G54/'Price History'!G53-1),"")</f>
        <v>-0.11582423164846323</v>
      </c>
      <c r="H53" s="76">
        <f>IFERROR(IF(OR(NOT(ISNUMBER('Price History'!H54)),NOT(ISNUMBER('Price History'!H53)),'Price History'!H53=0),"",'Price History'!H54/'Price History'!H53-1),"")</f>
        <v>-0.15272826981080334</v>
      </c>
      <c r="I53" s="76">
        <f>IFERROR(IF(OR(NOT(ISNUMBER('Price History'!I54)),NOT(ISNUMBER('Price History'!I53)),'Price History'!I53=0),"",'Price History'!I54/'Price History'!I53-1),"")</f>
        <v>-5.1211745975588197E-2</v>
      </c>
      <c r="J53" s="76">
        <f>IFERROR(IF(OR(NOT(ISNUMBER('Price History'!J54)),NOT(ISNUMBER('Price History'!J53)),'Price History'!J53=0),"",'Price History'!J54/'Price History'!J53-1),"")</f>
        <v>1.0596674274535367E-2</v>
      </c>
      <c r="K53" s="76">
        <f>IFERROR(IF(OR(NOT(ISNUMBER('Price History'!K54)),NOT(ISNUMBER('Price History'!K53)),'Price History'!K53=0),"",'Price History'!K54/'Price History'!K53-1),"")</f>
        <v>-8.9771891096394496E-2</v>
      </c>
      <c r="L53" s="76">
        <f>IFERROR(IF(OR(NOT(ISNUMBER('Price History'!L54)),NOT(ISNUMBER('Price History'!L53)),'Price History'!L53=0),"",'Price History'!L54/'Price History'!L53-1),"")</f>
        <v>-7.4595529208348665E-2</v>
      </c>
      <c r="M53" s="76">
        <f>IFERROR(IF(OR(NOT(ISNUMBER('Price History'!M54)),NOT(ISNUMBER('Price History'!M53)),'Price History'!M53=0),"",'Price History'!M54/'Price History'!M53-1),"")</f>
        <v>-9.9325726141078929E-2</v>
      </c>
      <c r="N53" s="76">
        <f>IFERROR(IF(OR(NOT(ISNUMBER('Price History'!N54)),NOT(ISNUMBER('Price History'!N53)),'Price History'!N53=0),"",'Price History'!N54/'Price History'!N53-1),"")</f>
        <v>-1.6153131688406708E-3</v>
      </c>
      <c r="O53" s="76">
        <f>IFERROR(IF(OR(NOT(ISNUMBER('Price History'!O54)),NOT(ISNUMBER('Price History'!O53)),'Price History'!O53=0),"",'Price History'!O54/'Price History'!O53-1),"")</f>
        <v>-7.1450196790796228E-2</v>
      </c>
      <c r="P53" s="76" t="str">
        <f>IFERROR(IF(OR(NOT(ISNUMBER('Price History'!P54)),NOT(ISNUMBER('Price History'!P53)),'Price History'!P53=0),"",'Price History'!P54/'Price History'!P53-1),"")</f>
        <v/>
      </c>
      <c r="Q53" s="76">
        <f>IFERROR(IF(OR(NOT(ISNUMBER('Price History'!Q54)),NOT(ISNUMBER('Price History'!Q53)),'Price History'!Q53=0),"",'Price History'!Q54/'Price History'!Q53-1),"")</f>
        <v>8.3194675540765317E-3</v>
      </c>
      <c r="R53" s="76">
        <f>IFERROR(IF(OR(NOT(ISNUMBER('Price History'!R54)),NOT(ISNUMBER('Price History'!R53)),'Price History'!R53=0),"",'Price History'!R54/'Price History'!R53-1),"")</f>
        <v>-3.4365558912386684E-2</v>
      </c>
      <c r="S53" s="76">
        <f>IFERROR(IF(OR(NOT(ISNUMBER('Price History'!S54)),NOT(ISNUMBER('Price History'!S53)),'Price History'!S53=0),"",'Price History'!S54/'Price History'!S53-1),"")</f>
        <v>-2.9745042492917761E-2</v>
      </c>
      <c r="T53" s="76">
        <f>IFERROR(IF(OR(NOT(ISNUMBER('Price History'!T54)),NOT(ISNUMBER('Price History'!T53)),'Price History'!T53=0),"",'Price History'!T54/'Price History'!T53-1),"")</f>
        <v>-2.8606582589972285E-2</v>
      </c>
      <c r="U53" s="76" t="str">
        <f>IFERROR(IF(OR(NOT(ISNUMBER('Price History'!U54)),NOT(ISNUMBER('Price History'!U53)),'Price History'!U53=0),"",'Price History'!U54/'Price History'!U53-1),"")</f>
        <v/>
      </c>
      <c r="W53" s="77">
        <f>'Price History'!B3+('Price History'!B158-'Price History'!B3)*0.324675324675325</f>
        <v>424.67077922077914</v>
      </c>
      <c r="X53" s="77">
        <f>'Price History'!C3+('Price History'!C158-'Price History'!C3)*0.324675324675325</f>
        <v>88.093896103896157</v>
      </c>
      <c r="Y53" s="77">
        <f>'Price History'!D3+('Price History'!D158-'Price History'!D3)*0.324675324675325</f>
        <v>975.81246753246785</v>
      </c>
      <c r="Z53" s="77">
        <f>'Price History'!E3+('Price History'!E158-'Price History'!E3)*0.324675324675325</f>
        <v>182.42805194805203</v>
      </c>
      <c r="AA53" s="77">
        <f>'Price History'!F3+('Price History'!F158-'Price History'!F3)*0.324675324675325</f>
        <v>86.995064935064988</v>
      </c>
      <c r="AB53" s="77">
        <f>'Price History'!G3+('Price History'!G158-'Price History'!G3)*0.324675324675325</f>
        <v>91.70519480519485</v>
      </c>
      <c r="AC53" s="77">
        <f>'Price History'!H3+('Price History'!H158-'Price History'!H3)*0.324675324675325</f>
        <v>310.6881818181821</v>
      </c>
      <c r="AD53" s="77">
        <f>'Price History'!I3+('Price History'!I158-'Price History'!I3)*0.324675324675325</f>
        <v>92.76558441558447</v>
      </c>
      <c r="AE53" s="77">
        <f>'Price History'!J3+('Price History'!J158-'Price History'!J3)*0.324675324675325</f>
        <v>130.36064935064937</v>
      </c>
      <c r="AF53" s="77">
        <f>'Price History'!K3+('Price History'!K158-'Price History'!K3)*0.324675324675325</f>
        <v>50.361298701298736</v>
      </c>
      <c r="AG53" s="77">
        <f>'Price History'!L3+('Price History'!L158-'Price History'!L3)*0.324675324675325</f>
        <v>193.37311688311698</v>
      </c>
      <c r="AH53" s="77">
        <f>'Price History'!M3+('Price History'!M158-'Price History'!M3)*0.324675324675325</f>
        <v>101.06194805194812</v>
      </c>
      <c r="AI53" s="77">
        <f>'Price History'!N3+('Price History'!N158-'Price History'!N3)*0.324675324675325</f>
        <v>391.1716883116884</v>
      </c>
      <c r="AJ53" s="77">
        <f>'Price History'!O3+('Price History'!O158-'Price History'!O3)*0.324675324675325</f>
        <v>96.625974025974031</v>
      </c>
      <c r="AK53" s="77">
        <f>'Price History'!Q3+('Price History'!Q151-'Price History'!Q3)*0.324675324675325</f>
        <v>55.882207792207801</v>
      </c>
      <c r="AL53" s="77">
        <f>'Price History'!R3+('Price History'!R158-'Price History'!R3)*0.324675324675325</f>
        <v>51.206363636363641</v>
      </c>
      <c r="AM53" s="77">
        <f>'Price History'!S3+('Price History'!S158-'Price History'!S3)*0.324675324675325</f>
        <v>86.231558441558477</v>
      </c>
      <c r="AN53" s="77">
        <f>'Price History'!T3+('Price History'!T158-'Price History'!T3)*0.324675324675325</f>
        <v>34.322337662337674</v>
      </c>
    </row>
    <row r="54" spans="1:40" ht="15" customHeight="1" x14ac:dyDescent="0.2">
      <c r="A54" s="55">
        <f>IF('Price History'!A55="","",'Price History'!A55)</f>
        <v>45513</v>
      </c>
      <c r="B54" s="76">
        <f>IFERROR(IF(OR(NOT(ISNUMBER('Price History'!B55)),NOT(ISNUMBER('Price History'!B54)),'Price History'!B54=0),"",'Price History'!B55/'Price History'!B54-1),"")</f>
        <v>1.9252332896212199E-2</v>
      </c>
      <c r="C54" s="76">
        <f>IFERROR(IF(OR(NOT(ISNUMBER('Price History'!C55)),NOT(ISNUMBER('Price History'!C54)),'Price History'!C54=0),"",'Price History'!C55/'Price History'!C54-1),"")</f>
        <v>5.1609670549918718E-2</v>
      </c>
      <c r="D54" s="76">
        <f>IFERROR(IF(OR(NOT(ISNUMBER('Price History'!D55)),NOT(ISNUMBER('Price History'!D54)),'Price History'!D54=0),"",'Price History'!D55/'Price History'!D54-1),"")</f>
        <v>6.3260641255328265E-2</v>
      </c>
      <c r="E54" s="76">
        <f>IFERROR(IF(OR(NOT(ISNUMBER('Price History'!E55)),NOT(ISNUMBER('Price History'!E54)),'Price History'!E54=0),"",'Price History'!E55/'Price History'!E54-1),"")</f>
        <v>3.0871923237379972E-2</v>
      </c>
      <c r="F54" s="76">
        <f>IFERROR(IF(OR(NOT(ISNUMBER('Price History'!F55)),NOT(ISNUMBER('Price History'!F54)),'Price History'!F54=0),"",'Price History'!F55/'Price History'!F54-1),"")</f>
        <v>0.1057462823572608</v>
      </c>
      <c r="G54" s="76">
        <f>IFERROR(IF(OR(NOT(ISNUMBER('Price History'!G55)),NOT(ISNUMBER('Price History'!G54)),'Price History'!G54=0),"",'Price History'!G55/'Price History'!G54-1),"")</f>
        <v>7.2680264291870245E-2</v>
      </c>
      <c r="H54" s="76">
        <f>IFERROR(IF(OR(NOT(ISNUMBER('Price History'!H55)),NOT(ISNUMBER('Price History'!H54)),'Price History'!H54=0),"",'Price History'!H55/'Price History'!H54-1),"")</f>
        <v>4.0992448759438194E-3</v>
      </c>
      <c r="I54" s="76">
        <f>IFERROR(IF(OR(NOT(ISNUMBER('Price History'!I55)),NOT(ISNUMBER('Price History'!I54)),'Price History'!I54=0),"",'Price History'!I55/'Price History'!I54-1),"")</f>
        <v>-2.3492122681085026E-2</v>
      </c>
      <c r="J54" s="76">
        <f>IFERROR(IF(OR(NOT(ISNUMBER('Price History'!J55)),NOT(ISNUMBER('Price History'!J54)),'Price History'!J54=0),"",'Price History'!J55/'Price History'!J54-1),"")</f>
        <v>-1.677689949991934E-2</v>
      </c>
      <c r="K54" s="76">
        <f>IFERROR(IF(OR(NOT(ISNUMBER('Price History'!K55)),NOT(ISNUMBER('Price History'!K54)),'Price History'!K54=0),"",'Price History'!K55/'Price History'!K54-1),"")</f>
        <v>0.21301535974130981</v>
      </c>
      <c r="L54" s="76">
        <f>IFERROR(IF(OR(NOT(ISNUMBER('Price History'!L55)),NOT(ISNUMBER('Price History'!L54)),'Price History'!L54=0),"",'Price History'!L55/'Price History'!L54-1),"")</f>
        <v>0.11517416255171486</v>
      </c>
      <c r="M54" s="76">
        <f>IFERROR(IF(OR(NOT(ISNUMBER('Price History'!M55)),NOT(ISNUMBER('Price History'!M54)),'Price History'!M54=0),"",'Price History'!M55/'Price History'!M54-1),"")</f>
        <v>2.879355024474517E-2</v>
      </c>
      <c r="N54" s="76">
        <f>IFERROR(IF(OR(NOT(ISNUMBER('Price History'!N55)),NOT(ISNUMBER('Price History'!N54)),'Price History'!N54=0),"",'Price History'!N55/'Price History'!N54-1),"")</f>
        <v>-5.2602839461230455E-2</v>
      </c>
      <c r="O54" s="76">
        <f>IFERROR(IF(OR(NOT(ISNUMBER('Price History'!O55)),NOT(ISNUMBER('Price History'!O54)),'Price History'!O54=0),"",'Price History'!O55/'Price History'!O54-1),"")</f>
        <v>-1.7606781871535748E-2</v>
      </c>
      <c r="P54" s="76" t="str">
        <f>IFERROR(IF(OR(NOT(ISNUMBER('Price History'!P55)),NOT(ISNUMBER('Price History'!P54)),'Price History'!P54=0),"",'Price History'!P55/'Price History'!P54-1),"")</f>
        <v/>
      </c>
      <c r="Q54" s="76">
        <f>IFERROR(IF(OR(NOT(ISNUMBER('Price History'!Q55)),NOT(ISNUMBER('Price History'!Q54)),'Price History'!Q54=0),"",'Price History'!Q55/'Price History'!Q54-1),"")</f>
        <v>5.6105610561054675E-3</v>
      </c>
      <c r="R54" s="76">
        <f>IFERROR(IF(OR(NOT(ISNUMBER('Price History'!R55)),NOT(ISNUMBER('Price History'!R54)),'Price History'!R54=0),"",'Price History'!R55/'Price History'!R54-1),"")</f>
        <v>2.9331247555728357E-3</v>
      </c>
      <c r="S54" s="76">
        <f>IFERROR(IF(OR(NOT(ISNUMBER('Price History'!S55)),NOT(ISNUMBER('Price History'!S54)),'Price History'!S54=0),"",'Price History'!S55/'Price History'!S54-1),"")</f>
        <v>1.727493917274936E-2</v>
      </c>
      <c r="T54" s="76">
        <f>IFERROR(IF(OR(NOT(ISNUMBER('Price History'!T55)),NOT(ISNUMBER('Price History'!T54)),'Price History'!T54=0),"",'Price History'!T55/'Price History'!T54-1),"")</f>
        <v>-1.5832805573147146E-3</v>
      </c>
      <c r="U54" s="76" t="str">
        <f>IFERROR(IF(OR(NOT(ISNUMBER('Price History'!U55)),NOT(ISNUMBER('Price History'!U54)),'Price History'!U54=0),"",'Price History'!U55/'Price History'!U54-1),"")</f>
        <v/>
      </c>
      <c r="W54" s="77">
        <f>'Price History'!B3+('Price History'!B158-'Price History'!B3)*0.331168831168831</f>
        <v>422.99519480519484</v>
      </c>
      <c r="X54" s="77">
        <f>'Price History'!C3+('Price History'!C158-'Price History'!C3)*0.331168831168831</f>
        <v>88.980974025974007</v>
      </c>
      <c r="Y54" s="77">
        <f>'Price History'!D3+('Price History'!D158-'Price History'!D3)*0.331168831168831</f>
        <v>982.09311688311664</v>
      </c>
      <c r="Z54" s="77">
        <f>'Price History'!E3+('Price History'!E158-'Price History'!E3)*0.331168831168831</f>
        <v>184.41701298701292</v>
      </c>
      <c r="AA54" s="77">
        <f>'Price History'!F3+('Price History'!F158-'Price History'!F3)*0.331168831168831</f>
        <v>87.993766233766223</v>
      </c>
      <c r="AB54" s="77">
        <f>'Price History'!G3+('Price History'!G158-'Price History'!G3)*0.331168831168831</f>
        <v>92.581298701298664</v>
      </c>
      <c r="AC54" s="77">
        <f>'Price History'!H3+('Price History'!H158-'Price History'!H3)*0.331168831168831</f>
        <v>315.61454545454535</v>
      </c>
      <c r="AD54" s="77">
        <f>'Price History'!I3+('Price History'!I158-'Price History'!I3)*0.331168831168831</f>
        <v>93.803896103896079</v>
      </c>
      <c r="AE54" s="77">
        <f>'Price History'!J3+('Price History'!J158-'Price History'!J3)*0.331168831168831</f>
        <v>130.49766233766235</v>
      </c>
      <c r="AF54" s="77">
        <f>'Price History'!K3+('Price History'!K158-'Price History'!K3)*0.331168831168831</f>
        <v>51.060324675324665</v>
      </c>
      <c r="AG54" s="77">
        <f>'Price History'!L3+('Price History'!L158-'Price History'!L3)*0.331168831168831</f>
        <v>195.40077922077916</v>
      </c>
      <c r="AH54" s="77">
        <f>'Price History'!M3+('Price History'!M158-'Price History'!M3)*0.331168831168831</f>
        <v>102.41298701298697</v>
      </c>
      <c r="AI54" s="77">
        <f>'Price History'!N3+('Price History'!N158-'Price History'!N3)*0.331168831168831</f>
        <v>391.99792207792206</v>
      </c>
      <c r="AJ54" s="77">
        <f>'Price History'!O3+('Price History'!O158-'Price History'!O3)*0.331168831168831</f>
        <v>96.901493506493495</v>
      </c>
      <c r="AK54" s="77">
        <f>'Price History'!Q3+('Price History'!Q151-'Price History'!Q3)*0.331168831168831</f>
        <v>56.003051948051947</v>
      </c>
      <c r="AL54" s="77">
        <f>'Price History'!R3+('Price History'!R158-'Price History'!R3)*0.331168831168831</f>
        <v>51.274090909090908</v>
      </c>
      <c r="AM54" s="77">
        <f>'Price History'!S3+('Price History'!S158-'Price History'!S3)*0.331168831168831</f>
        <v>86.785389610389601</v>
      </c>
      <c r="AN54" s="77">
        <f>'Price History'!T3+('Price History'!T158-'Price History'!T3)*0.331168831168831</f>
        <v>34.470584415584412</v>
      </c>
    </row>
    <row r="55" spans="1:40" ht="15" customHeight="1" x14ac:dyDescent="0.2">
      <c r="A55" s="55">
        <f>IF('Price History'!A56="","",'Price History'!A56)</f>
        <v>45520</v>
      </c>
      <c r="B55" s="76">
        <f>IFERROR(IF(OR(NOT(ISNUMBER('Price History'!B56)),NOT(ISNUMBER('Price History'!B55)),'Price History'!B55=0),"",'Price History'!B56/'Price History'!B55-1),"")</f>
        <v>3.1997016595189498E-2</v>
      </c>
      <c r="C55" s="76">
        <f>IFERROR(IF(OR(NOT(ISNUMBER('Price History'!C56)),NOT(ISNUMBER('Price History'!C55)),'Price History'!C55=0),"",'Price History'!C56/'Price History'!C55-1),"")</f>
        <v>5.384157236450271E-2</v>
      </c>
      <c r="D55" s="76">
        <f>IFERROR(IF(OR(NOT(ISNUMBER('Price History'!D56)),NOT(ISNUMBER('Price History'!D55)),'Price History'!D55=0),"",'Price History'!D56/'Price History'!D55-1),"")</f>
        <v>6.7526581837197064E-2</v>
      </c>
      <c r="E55" s="76">
        <f>IFERROR(IF(OR(NOT(ISNUMBER('Price History'!E56)),NOT(ISNUMBER('Price History'!E55)),'Price History'!E55=0),"",'Price History'!E56/'Price History'!E55-1),"")</f>
        <v>0.11776608660461352</v>
      </c>
      <c r="F55" s="76">
        <f>IFERROR(IF(OR(NOT(ISNUMBER('Price History'!F56)),NOT(ISNUMBER('Price History'!F55)),'Price History'!F55=0),"",'Price History'!F56/'Price History'!F55-1),"")</f>
        <v>8.9822347667275482E-2</v>
      </c>
      <c r="G55" s="76">
        <f>IFERROR(IF(OR(NOT(ISNUMBER('Price History'!G56)),NOT(ISNUMBER('Price History'!G55)),'Price History'!G55=0),"",'Price History'!G56/'Price History'!G55-1),"")</f>
        <v>9.7482592394215084E-2</v>
      </c>
      <c r="H55" s="76">
        <f>IFERROR(IF(OR(NOT(ISNUMBER('Price History'!H56)),NOT(ISNUMBER('Price History'!H55)),'Price History'!H55=0),"",'Price History'!H56/'Price History'!H55-1),"")</f>
        <v>0.16018478727975927</v>
      </c>
      <c r="I55" s="76">
        <f>IFERROR(IF(OR(NOT(ISNUMBER('Price History'!I56)),NOT(ISNUMBER('Price History'!I55)),'Price History'!I55=0),"",'Price History'!I56/'Price History'!I55-1),"")</f>
        <v>0.18930787589498799</v>
      </c>
      <c r="J55" s="76">
        <f>IFERROR(IF(OR(NOT(ISNUMBER('Price History'!J56)),NOT(ISNUMBER('Price History'!J55)),'Price History'!J55=0),"",'Price History'!J56/'Price History'!J55-1),"")</f>
        <v>7.7932731747332173E-3</v>
      </c>
      <c r="K55" s="76">
        <f>IFERROR(IF(OR(NOT(ISNUMBER('Price History'!K56)),NOT(ISNUMBER('Price History'!K55)),'Price History'!K55=0),"",'Price History'!K56/'Price History'!K55-1),"")</f>
        <v>6.8977007664111856E-2</v>
      </c>
      <c r="L55" s="76">
        <f>IFERROR(IF(OR(NOT(ISNUMBER('Price History'!L56)),NOT(ISNUMBER('Price History'!L55)),'Price History'!L55=0),"",'Price History'!L56/'Price History'!L55-1),"")</f>
        <v>4.4399234083293271E-2</v>
      </c>
      <c r="M55" s="76">
        <f>IFERROR(IF(OR(NOT(ISNUMBER('Price History'!M56)),NOT(ISNUMBER('Price History'!M55)),'Price History'!M55=0),"",'Price History'!M56/'Price History'!M55-1),"")</f>
        <v>0.11139098796529545</v>
      </c>
      <c r="N55" s="76">
        <f>IFERROR(IF(OR(NOT(ISNUMBER('Price History'!N56)),NOT(ISNUMBER('Price History'!N55)),'Price History'!N55=0),"",'Price History'!N56/'Price History'!N55-1),"")</f>
        <v>1.9041519906073168E-2</v>
      </c>
      <c r="O55" s="76">
        <f>IFERROR(IF(OR(NOT(ISNUMBER('Price History'!O56)),NOT(ISNUMBER('Price History'!O55)),'Price History'!O55=0),"",'Price History'!O56/'Price History'!O55-1),"")</f>
        <v>2.8542980418187813E-2</v>
      </c>
      <c r="P55" s="76" t="str">
        <f>IFERROR(IF(OR(NOT(ISNUMBER('Price History'!P56)),NOT(ISNUMBER('Price History'!P55)),'Price History'!P55=0),"",'Price History'!P56/'Price History'!P55-1),"")</f>
        <v/>
      </c>
      <c r="Q55" s="76">
        <f>IFERROR(IF(OR(NOT(ISNUMBER('Price History'!Q56)),NOT(ISNUMBER('Price History'!Q55)),'Price History'!Q55=0),"",'Price History'!Q56/'Price History'!Q55-1),"")</f>
        <v>1.3127666557271045E-3</v>
      </c>
      <c r="R55" s="76">
        <f>IFERROR(IF(OR(NOT(ISNUMBER('Price History'!R56)),NOT(ISNUMBER('Price History'!R55)),'Price History'!R55=0),"",'Price History'!R56/'Price History'!R55-1),"")</f>
        <v>4.2113472411776209E-2</v>
      </c>
      <c r="S55" s="76">
        <f>IFERROR(IF(OR(NOT(ISNUMBER('Price History'!S56)),NOT(ISNUMBER('Price History'!S55)),'Price History'!S55=0),"",'Price History'!S56/'Price History'!S55-1),"")</f>
        <v>5.7043769433149816E-2</v>
      </c>
      <c r="T55" s="76">
        <f>IFERROR(IF(OR(NOT(ISNUMBER('Price History'!T56)),NOT(ISNUMBER('Price History'!T55)),'Price History'!T55=0),"",'Price History'!T56/'Price History'!T55-1),"")</f>
        <v>1.6175071360608806E-2</v>
      </c>
      <c r="U55" s="76" t="str">
        <f>IFERROR(IF(OR(NOT(ISNUMBER('Price History'!U56)),NOT(ISNUMBER('Price History'!U55)),'Price History'!U55=0),"",'Price History'!U56/'Price History'!U55-1),"")</f>
        <v/>
      </c>
      <c r="W55" s="77">
        <f>'Price History'!B3+('Price History'!B158-'Price History'!B3)*0.337662337662338</f>
        <v>421.31961038961032</v>
      </c>
      <c r="X55" s="77">
        <f>'Price History'!C3+('Price History'!C158-'Price History'!C3)*0.337662337662338</f>
        <v>89.868051948051999</v>
      </c>
      <c r="Y55" s="77">
        <f>'Price History'!D3+('Price History'!D158-'Price History'!D3)*0.337662337662338</f>
        <v>988.37376623376656</v>
      </c>
      <c r="Z55" s="77">
        <f>'Price History'!E3+('Price History'!E158-'Price History'!E3)*0.337662337662338</f>
        <v>186.4059740259741</v>
      </c>
      <c r="AA55" s="77">
        <f>'Price History'!F3+('Price History'!F158-'Price History'!F3)*0.337662337662338</f>
        <v>88.9924675324676</v>
      </c>
      <c r="AB55" s="77">
        <f>'Price History'!G3+('Price History'!G158-'Price History'!G3)*0.337662337662338</f>
        <v>93.457402597402634</v>
      </c>
      <c r="AC55" s="77">
        <f>'Price History'!H3+('Price History'!H158-'Price History'!H3)*0.337662337662338</f>
        <v>320.54090909090934</v>
      </c>
      <c r="AD55" s="77">
        <f>'Price History'!I3+('Price History'!I158-'Price History'!I3)*0.337662337662338</f>
        <v>94.842207792207859</v>
      </c>
      <c r="AE55" s="77">
        <f>'Price History'!J3+('Price History'!J158-'Price History'!J3)*0.337662337662338</f>
        <v>130.63467532467533</v>
      </c>
      <c r="AF55" s="77">
        <f>'Price History'!K3+('Price History'!K158-'Price History'!K3)*0.337662337662338</f>
        <v>51.759350649350694</v>
      </c>
      <c r="AG55" s="77">
        <f>'Price History'!L3+('Price History'!L158-'Price History'!L3)*0.337662337662338</f>
        <v>197.42844155844165</v>
      </c>
      <c r="AH55" s="77">
        <f>'Price History'!M3+('Price History'!M158-'Price History'!M3)*0.337662337662338</f>
        <v>103.76402597402605</v>
      </c>
      <c r="AI55" s="77">
        <f>'Price History'!N3+('Price History'!N158-'Price History'!N3)*0.337662337662338</f>
        <v>392.82415584415588</v>
      </c>
      <c r="AJ55" s="77">
        <f>'Price History'!O3+('Price History'!O158-'Price History'!O3)*0.337662337662338</f>
        <v>97.177012987013001</v>
      </c>
      <c r="AK55" s="77">
        <f>'Price History'!Q3+('Price History'!Q151-'Price History'!Q3)*0.337662337662338</f>
        <v>56.123896103896115</v>
      </c>
      <c r="AL55" s="77">
        <f>'Price History'!R3+('Price History'!R158-'Price History'!R3)*0.337662337662338</f>
        <v>51.341818181818184</v>
      </c>
      <c r="AM55" s="77">
        <f>'Price History'!S3+('Price History'!S158-'Price History'!S3)*0.337662337662338</f>
        <v>87.33922077922081</v>
      </c>
      <c r="AN55" s="77">
        <f>'Price History'!T3+('Price History'!T158-'Price History'!T3)*0.337662337662338</f>
        <v>34.618831168831179</v>
      </c>
    </row>
    <row r="56" spans="1:40" ht="15" customHeight="1" x14ac:dyDescent="0.2">
      <c r="A56" s="55">
        <f>IF('Price History'!A57="","",'Price History'!A57)</f>
        <v>45527</v>
      </c>
      <c r="B56" s="76">
        <f>IFERROR(IF(OR(NOT(ISNUMBER('Price History'!B57)),NOT(ISNUMBER('Price History'!B56)),'Price History'!B56=0),"",'Price History'!B57/'Price History'!B56-1),"")</f>
        <v>8.7449860875219443E-3</v>
      </c>
      <c r="C56" s="76">
        <f>IFERROR(IF(OR(NOT(ISNUMBER('Price History'!C57)),NOT(ISNUMBER('Price History'!C56)),'Price History'!C56=0),"",'Price History'!C57/'Price History'!C56-1),"")</f>
        <v>3.5040126596586063E-3</v>
      </c>
      <c r="D56" s="76">
        <f>IFERROR(IF(OR(NOT(ISNUMBER('Price History'!D57)),NOT(ISNUMBER('Price History'!D56)),'Price History'!D56=0),"",'Price History'!D57/'Price History'!D56-1),"")</f>
        <v>-1.2409378877930921E-2</v>
      </c>
      <c r="E56" s="76">
        <f>IFERROR(IF(OR(NOT(ISNUMBER('Price History'!E57)),NOT(ISNUMBER('Price History'!E56)),'Price History'!E56=0),"",'Price History'!E57/'Price History'!E56-1),"")</f>
        <v>3.8619357953175726E-3</v>
      </c>
      <c r="F56" s="76">
        <f>IFERROR(IF(OR(NOT(ISNUMBER('Price History'!F57)),NOT(ISNUMBER('Price History'!F56)),'Price History'!F56=0),"",'Price History'!F57/'Price History'!F56-1),"")</f>
        <v>3.427787934186477E-2</v>
      </c>
      <c r="G56" s="76">
        <f>IFERROR(IF(OR(NOT(ISNUMBER('Price History'!G57)),NOT(ISNUMBER('Price History'!G56)),'Price History'!G56=0),"",'Price History'!G57/'Price History'!G56-1),"")</f>
        <v>-2.1961932650071958E-3</v>
      </c>
      <c r="H56" s="76">
        <f>IFERROR(IF(OR(NOT(ISNUMBER('Price History'!H57)),NOT(ISNUMBER('Price History'!H56)),'Price History'!H56=0),"",'Price History'!H57/'Price History'!H56-1),"")</f>
        <v>-4.7596999722196554E-2</v>
      </c>
      <c r="I56" s="76">
        <f>IFERROR(IF(OR(NOT(ISNUMBER('Price History'!I57)),NOT(ISNUMBER('Price History'!I56)),'Price History'!I56=0),"",'Price History'!I57/'Price History'!I56-1),"")</f>
        <v>3.8449189275967299E-2</v>
      </c>
      <c r="J56" s="76">
        <f>IFERROR(IF(OR(NOT(ISNUMBER('Price History'!J57)),NOT(ISNUMBER('Price History'!J56)),'Price History'!J56=0),"",'Price History'!J57/'Price History'!J56-1),"")</f>
        <v>4.8921448921449118E-2</v>
      </c>
      <c r="K56" s="76">
        <f>IFERROR(IF(OR(NOT(ISNUMBER('Price History'!K57)),NOT(ISNUMBER('Price History'!K56)),'Price History'!K56=0),"",'Price History'!K57/'Price History'!K56-1),"")</f>
        <v>-9.3516209476308676E-3</v>
      </c>
      <c r="L56" s="76">
        <f>IFERROR(IF(OR(NOT(ISNUMBER('Price History'!L57)),NOT(ISNUMBER('Price History'!L56)),'Price History'!L56=0),"",'Price History'!L57/'Price History'!L56-1),"")</f>
        <v>-1.867766701042739E-2</v>
      </c>
      <c r="M56" s="76">
        <f>IFERROR(IF(OR(NOT(ISNUMBER('Price History'!M57)),NOT(ISNUMBER('Price History'!M56)),'Price History'!M56=0),"",'Price History'!M57/'Price History'!M56-1),"")</f>
        <v>-1.0954419541677196E-2</v>
      </c>
      <c r="N56" s="76">
        <f>IFERROR(IF(OR(NOT(ISNUMBER('Price History'!N57)),NOT(ISNUMBER('Price History'!N56)),'Price History'!N56=0),"",'Price History'!N57/'Price History'!N56-1),"")</f>
        <v>8.1069191612375135E-3</v>
      </c>
      <c r="O56" s="76">
        <f>IFERROR(IF(OR(NOT(ISNUMBER('Price History'!O57)),NOT(ISNUMBER('Price History'!O56)),'Price History'!O56=0),"",'Price History'!O57/'Price History'!O56-1),"")</f>
        <v>3.1085296332150181E-2</v>
      </c>
      <c r="P56" s="76" t="str">
        <f>IFERROR(IF(OR(NOT(ISNUMBER('Price History'!P57)),NOT(ISNUMBER('Price History'!P56)),'Price History'!P56=0),"",'Price History'!P57/'Price History'!P56-1),"")</f>
        <v/>
      </c>
      <c r="Q56" s="76">
        <f>IFERROR(IF(OR(NOT(ISNUMBER('Price History'!Q57)),NOT(ISNUMBER('Price History'!Q56)),'Price History'!Q56=0),"",'Price History'!Q57/'Price History'!Q56-1),"")</f>
        <v>8.0301540478531219E-3</v>
      </c>
      <c r="R56" s="76">
        <f>IFERROR(IF(OR(NOT(ISNUMBER('Price History'!R57)),NOT(ISNUMBER('Price History'!R56)),'Price History'!R56=0),"",'Price History'!R57/'Price History'!R56-1),"")</f>
        <v>8.4190832553787676E-3</v>
      </c>
      <c r="S56" s="76">
        <f>IFERROR(IF(OR(NOT(ISNUMBER('Price History'!S57)),NOT(ISNUMBER('Price History'!S56)),'Price History'!S56=0),"",'Price History'!S57/'Price History'!S56-1),"")</f>
        <v>1.3802466342346387E-2</v>
      </c>
      <c r="T56" s="76">
        <f>IFERROR(IF(OR(NOT(ISNUMBER('Price History'!T57)),NOT(ISNUMBER('Price History'!T56)),'Price History'!T56=0),"",'Price History'!T57/'Price History'!T56-1),"")</f>
        <v>3.277153558052448E-2</v>
      </c>
      <c r="U56" s="76" t="str">
        <f>IFERROR(IF(OR(NOT(ISNUMBER('Price History'!U57)),NOT(ISNUMBER('Price History'!U56)),'Price History'!U56=0),"",'Price History'!U57/'Price History'!U56-1),"")</f>
        <v/>
      </c>
      <c r="W56" s="77">
        <f>'Price History'!B3+('Price History'!B158-'Price History'!B3)*0.344155844155844</f>
        <v>419.64402597402602</v>
      </c>
      <c r="X56" s="77">
        <f>'Price History'!C3+('Price History'!C158-'Price History'!C3)*0.344155844155844</f>
        <v>90.755129870129849</v>
      </c>
      <c r="Y56" s="77">
        <f>'Price History'!D3+('Price History'!D158-'Price History'!D3)*0.344155844155844</f>
        <v>994.65441558441535</v>
      </c>
      <c r="Z56" s="77">
        <f>'Price History'!E3+('Price History'!E158-'Price History'!E3)*0.344155844155844</f>
        <v>188.394935064935</v>
      </c>
      <c r="AA56" s="77">
        <f>'Price History'!F3+('Price History'!F158-'Price History'!F3)*0.344155844155844</f>
        <v>89.991168831168807</v>
      </c>
      <c r="AB56" s="77">
        <f>'Price History'!G3+('Price History'!G158-'Price History'!G3)*0.344155844155844</f>
        <v>94.333506493506462</v>
      </c>
      <c r="AC56" s="77">
        <f>'Price History'!H3+('Price History'!H158-'Price History'!H3)*0.344155844155844</f>
        <v>325.46727272727259</v>
      </c>
      <c r="AD56" s="77">
        <f>'Price History'!I3+('Price History'!I158-'Price History'!I3)*0.344155844155844</f>
        <v>95.880519480519467</v>
      </c>
      <c r="AE56" s="77">
        <f>'Price History'!J3+('Price History'!J158-'Price History'!J3)*0.344155844155844</f>
        <v>130.77168831168831</v>
      </c>
      <c r="AF56" s="77">
        <f>'Price History'!K3+('Price History'!K158-'Price History'!K3)*0.344155844155844</f>
        <v>52.458376623376608</v>
      </c>
      <c r="AG56" s="77">
        <f>'Price History'!L3+('Price History'!L158-'Price History'!L3)*0.344155844155844</f>
        <v>199.45610389610385</v>
      </c>
      <c r="AH56" s="77">
        <f>'Price History'!M3+('Price History'!M158-'Price History'!M3)*0.344155844155844</f>
        <v>105.11506493506491</v>
      </c>
      <c r="AI56" s="77">
        <f>'Price History'!N3+('Price History'!N158-'Price History'!N3)*0.344155844155844</f>
        <v>393.6503896103896</v>
      </c>
      <c r="AJ56" s="77">
        <f>'Price History'!O3+('Price History'!O158-'Price History'!O3)*0.344155844155844</f>
        <v>97.45253246753245</v>
      </c>
      <c r="AK56" s="77">
        <f>'Price History'!Q3+('Price History'!Q151-'Price History'!Q3)*0.344155844155844</f>
        <v>56.244740259740261</v>
      </c>
      <c r="AL56" s="77">
        <f>'Price History'!R3+('Price History'!R158-'Price History'!R3)*0.344155844155844</f>
        <v>51.409545454545452</v>
      </c>
      <c r="AM56" s="77">
        <f>'Price History'!S3+('Price History'!S158-'Price History'!S3)*0.344155844155844</f>
        <v>87.893051948051948</v>
      </c>
      <c r="AN56" s="77">
        <f>'Price History'!T3+('Price History'!T158-'Price History'!T3)*0.344155844155844</f>
        <v>34.767077922077917</v>
      </c>
    </row>
    <row r="57" spans="1:40" ht="15" customHeight="1" x14ac:dyDescent="0.2">
      <c r="A57" s="55">
        <f>IF('Price History'!A58="","",'Price History'!A58)</f>
        <v>45534</v>
      </c>
      <c r="B57" s="76">
        <f>IFERROR(IF(OR(NOT(ISNUMBER('Price History'!B58)),NOT(ISNUMBER('Price History'!B57)),'Price History'!B57=0),"",'Price History'!B58/'Price History'!B57-1),"")</f>
        <v>2.8855454056958552E-2</v>
      </c>
      <c r="C57" s="76">
        <f>IFERROR(IF(OR(NOT(ISNUMBER('Price History'!C58)),NOT(ISNUMBER('Price History'!C57)),'Price History'!C57=0),"",'Price History'!C58/'Price History'!C57-1),"")</f>
        <v>-4.8434332056770391E-3</v>
      </c>
      <c r="D57" s="76">
        <f>IFERROR(IF(OR(NOT(ISNUMBER('Price History'!D58)),NOT(ISNUMBER('Price History'!D57)),'Price History'!D57=0),"",'Price History'!D58/'Price History'!D57-1),"")</f>
        <v>-3.736525362079246E-3</v>
      </c>
      <c r="E57" s="76">
        <f>IFERROR(IF(OR(NOT(ISNUMBER('Price History'!E58)),NOT(ISNUMBER('Price History'!E57)),'Price History'!E57=0),"",'Price History'!E58/'Price History'!E57-1),"")</f>
        <v>-2.1279153642702719E-2</v>
      </c>
      <c r="F57" s="76">
        <f>IFERROR(IF(OR(NOT(ISNUMBER('Price History'!F58)),NOT(ISNUMBER('Price History'!F57)),'Price History'!F57=0),"",'Price History'!F58/'Price History'!F57-1),"")</f>
        <v>2.1063485049344521E-2</v>
      </c>
      <c r="G57" s="76">
        <f>IFERROR(IF(OR(NOT(ISNUMBER('Price History'!G58)),NOT(ISNUMBER('Price History'!G57)),'Price History'!G57=0),"",'Price History'!G58/'Price History'!G57-1),"")</f>
        <v>1.9564685742234911E-3</v>
      </c>
      <c r="H57" s="76">
        <f>IFERROR(IF(OR(NOT(ISNUMBER('Price History'!H58)),NOT(ISNUMBER('Price History'!H57)),'Price History'!H57=0),"",'Price History'!H58/'Price History'!H57-1),"")</f>
        <v>-6.4268351968886694E-2</v>
      </c>
      <c r="I57" s="76">
        <f>IFERROR(IF(OR(NOT(ISNUMBER('Price History'!I58)),NOT(ISNUMBER('Price History'!I57)),'Price History'!I57=0),"",'Price History'!I58/'Price History'!I57-1),"")</f>
        <v>-7.7297673340032458E-2</v>
      </c>
      <c r="J57" s="76">
        <f>IFERROR(IF(OR(NOT(ISNUMBER('Price History'!J58)),NOT(ISNUMBER('Price History'!J57)),'Price History'!J57=0),"",'Price History'!J58/'Price History'!J57-1),"")</f>
        <v>-8.0707744839362272E-3</v>
      </c>
      <c r="K57" s="76">
        <f>IFERROR(IF(OR(NOT(ISNUMBER('Price History'!K58)),NOT(ISNUMBER('Price History'!K57)),'Price History'!K57=0),"",'Price History'!K58/'Price History'!K57-1),"")</f>
        <v>-9.4398993077406956E-3</v>
      </c>
      <c r="L57" s="76">
        <f>IFERROR(IF(OR(NOT(ISNUMBER('Price History'!L58)),NOT(ISNUMBER('Price History'!L57)),'Price History'!L57=0),"",'Price History'!L58/'Price History'!L57-1),"")</f>
        <v>2.4521251751516981E-3</v>
      </c>
      <c r="M57" s="76">
        <f>IFERROR(IF(OR(NOT(ISNUMBER('Price History'!M58)),NOT(ISNUMBER('Price History'!M57)),'Price History'!M57=0),"",'Price History'!M58/'Price History'!M57-1),"")</f>
        <v>5.7033736473583785E-2</v>
      </c>
      <c r="N57" s="76">
        <f>IFERROR(IF(OR(NOT(ISNUMBER('Price History'!N58)),NOT(ISNUMBER('Price History'!N57)),'Price History'!N57=0),"",'Price History'!N58/'Price History'!N57-1),"")</f>
        <v>3.0442191006566421E-2</v>
      </c>
      <c r="O57" s="76">
        <f>IFERROR(IF(OR(NOT(ISNUMBER('Price History'!O58)),NOT(ISNUMBER('Price History'!O57)),'Price History'!O57=0),"",'Price History'!O58/'Price History'!O57-1),"")</f>
        <v>5.2159399123730132E-4</v>
      </c>
      <c r="P57" s="76" t="str">
        <f>IFERROR(IF(OR(NOT(ISNUMBER('Price History'!P58)),NOT(ISNUMBER('Price History'!P57)),'Price History'!P57=0),"",'Price History'!P58/'Price History'!P57-1),"")</f>
        <v/>
      </c>
      <c r="Q57" s="76">
        <f>IFERROR(IF(OR(NOT(ISNUMBER('Price History'!Q58)),NOT(ISNUMBER('Price History'!Q57)),'Price History'!Q57=0),"",'Price History'!Q58/'Price History'!Q57-1),"")</f>
        <v>8.291334742318357E-3</v>
      </c>
      <c r="R57" s="76">
        <f>IFERROR(IF(OR(NOT(ISNUMBER('Price History'!R58)),NOT(ISNUMBER('Price History'!R57)),'Price History'!R57=0),"",'Price History'!R58/'Price History'!R57-1),"")</f>
        <v>3.3395176252319914E-3</v>
      </c>
      <c r="S57" s="76">
        <f>IFERROR(IF(OR(NOT(ISNUMBER('Price History'!S58)),NOT(ISNUMBER('Price History'!S57)),'Price History'!S57=0),"",'Price History'!S58/'Price History'!S57-1),"")</f>
        <v>-4.01740877134249E-3</v>
      </c>
      <c r="T57" s="76">
        <f>IFERROR(IF(OR(NOT(ISNUMBER('Price History'!T58)),NOT(ISNUMBER('Price History'!T57)),'Price History'!T57=0),"",'Price History'!T58/'Price History'!T57-1),"")</f>
        <v>3.3242671501965138E-3</v>
      </c>
      <c r="U57" s="76" t="str">
        <f>IFERROR(IF(OR(NOT(ISNUMBER('Price History'!U58)),NOT(ISNUMBER('Price History'!U57)),'Price History'!U57=0),"",'Price History'!U58/'Price History'!U57-1),"")</f>
        <v/>
      </c>
      <c r="W57" s="77">
        <f>'Price History'!B3+('Price History'!B158-'Price History'!B3)*0.350649350649351</f>
        <v>417.96844155844144</v>
      </c>
      <c r="X57" s="77">
        <f>'Price History'!C3+('Price History'!C158-'Price History'!C3)*0.350649350649351</f>
        <v>91.642207792207842</v>
      </c>
      <c r="Y57" s="77">
        <f>'Price History'!D3+('Price History'!D158-'Price History'!D3)*0.350649350649351</f>
        <v>1000.9350649350653</v>
      </c>
      <c r="Z57" s="77">
        <f>'Price History'!E3+('Price History'!E158-'Price History'!E3)*0.350649350649351</f>
        <v>190.38389610389618</v>
      </c>
      <c r="AA57" s="77">
        <f>'Price History'!F3+('Price History'!F158-'Price History'!F3)*0.350649350649351</f>
        <v>90.989870129870184</v>
      </c>
      <c r="AB57" s="77">
        <f>'Price History'!G3+('Price History'!G158-'Price History'!G3)*0.350649350649351</f>
        <v>95.209610389610432</v>
      </c>
      <c r="AC57" s="77">
        <f>'Price History'!H3+('Price History'!H158-'Price History'!H3)*0.350649350649351</f>
        <v>330.39363636363663</v>
      </c>
      <c r="AD57" s="77">
        <f>'Price History'!I3+('Price History'!I158-'Price History'!I3)*0.350649350649351</f>
        <v>96.918831168831218</v>
      </c>
      <c r="AE57" s="77">
        <f>'Price History'!J3+('Price History'!J158-'Price History'!J3)*0.350649350649351</f>
        <v>130.90870129870132</v>
      </c>
      <c r="AF57" s="77">
        <f>'Price History'!K3+('Price History'!K158-'Price History'!K3)*0.350649350649351</f>
        <v>53.157402597402637</v>
      </c>
      <c r="AG57" s="77">
        <f>'Price History'!L3+('Price History'!L158-'Price History'!L3)*0.350649350649351</f>
        <v>201.48376623376635</v>
      </c>
      <c r="AH57" s="77">
        <f>'Price History'!M3+('Price History'!M158-'Price History'!M3)*0.350649350649351</f>
        <v>106.46610389610396</v>
      </c>
      <c r="AI57" s="77">
        <f>'Price History'!N3+('Price History'!N158-'Price History'!N3)*0.350649350649351</f>
        <v>394.47662337662342</v>
      </c>
      <c r="AJ57" s="77">
        <f>'Price History'!O3+('Price History'!O158-'Price History'!O3)*0.350649350649351</f>
        <v>97.728051948051956</v>
      </c>
      <c r="AK57" s="77">
        <f>'Price History'!Q3+('Price History'!Q151-'Price History'!Q3)*0.350649350649351</f>
        <v>56.365584415584422</v>
      </c>
      <c r="AL57" s="77">
        <f>'Price History'!R3+('Price History'!R158-'Price History'!R3)*0.350649350649351</f>
        <v>51.477272727272734</v>
      </c>
      <c r="AM57" s="77">
        <f>'Price History'!S3+('Price History'!S158-'Price History'!S3)*0.350649350649351</f>
        <v>88.446883116883157</v>
      </c>
      <c r="AN57" s="77">
        <f>'Price History'!T3+('Price History'!T158-'Price History'!T3)*0.350649350649351</f>
        <v>34.915324675324683</v>
      </c>
    </row>
    <row r="58" spans="1:40" ht="15" customHeight="1" x14ac:dyDescent="0.2">
      <c r="A58" s="55">
        <f>IF('Price History'!A59="","",'Price History'!A59)</f>
        <v>45541</v>
      </c>
      <c r="B58" s="76">
        <f>IFERROR(IF(OR(NOT(ISNUMBER('Price History'!B59)),NOT(ISNUMBER('Price History'!B58)),'Price History'!B58=0),"",'Price History'!B59/'Price History'!B58-1),"")</f>
        <v>-1.9150084434463199E-2</v>
      </c>
      <c r="C58" s="76">
        <f>IFERROR(IF(OR(NOT(ISNUMBER('Price History'!C59)),NOT(ISNUMBER('Price History'!C58)),'Price History'!C58=0),"",'Price History'!C59/'Price History'!C58-1),"")</f>
        <v>-0.11058290888511602</v>
      </c>
      <c r="D58" s="76">
        <f>IFERROR(IF(OR(NOT(ISNUMBER('Price History'!D59)),NOT(ISNUMBER('Price History'!D58)),'Price History'!D58=0),"",'Price History'!D59/'Price History'!D58-1),"")</f>
        <v>-0.16714793056523625</v>
      </c>
      <c r="E58" s="76">
        <f>IFERROR(IF(OR(NOT(ISNUMBER('Price History'!E59)),NOT(ISNUMBER('Price History'!E58)),'Price History'!E58=0),"",'Price History'!E59/'Price History'!E58-1),"")</f>
        <v>-0.1585800270237071</v>
      </c>
      <c r="F58" s="76">
        <f>IFERROR(IF(OR(NOT(ISNUMBER('Price History'!F59)),NOT(ISNUMBER('Price History'!F58)),'Price History'!F58=0),"",'Price History'!F59/'Price History'!F58-1),"")</f>
        <v>-0.11136757068667036</v>
      </c>
      <c r="G58" s="76">
        <f>IFERROR(IF(OR(NOT(ISNUMBER('Price History'!G59)),NOT(ISNUMBER('Price History'!G58)),'Price History'!G58=0),"",'Price History'!G59/'Price History'!G58-1),"")</f>
        <v>-0.14229924334879174</v>
      </c>
      <c r="H58" s="76">
        <f>IFERROR(IF(OR(NOT(ISNUMBER('Price History'!H59)),NOT(ISNUMBER('Price History'!H58)),'Price History'!H58=0),"",'Price History'!H59/'Price History'!H58-1),"")</f>
        <v>-0.10245220282626766</v>
      </c>
      <c r="I58" s="76">
        <f>IFERROR(IF(OR(NOT(ISNUMBER('Price History'!I59)),NOT(ISNUMBER('Price History'!I58)),'Price History'!I58=0),"",'Price History'!I59/'Price History'!I58-1),"")</f>
        <v>-0.13856077741476092</v>
      </c>
      <c r="J58" s="76">
        <f>IFERROR(IF(OR(NOT(ISNUMBER('Price History'!J59)),NOT(ISNUMBER('Price History'!J58)),'Price History'!J58=0),"",'Price History'!J59/'Price History'!J58-1),"")</f>
        <v>-4.6158660616490987E-3</v>
      </c>
      <c r="K58" s="76">
        <f>IFERROR(IF(OR(NOT(ISNUMBER('Price History'!K59)),NOT(ISNUMBER('Price History'!K58)),'Price History'!K58=0),"",'Price History'!K59/'Price History'!K58-1),"")</f>
        <v>-3.6531130876747198E-2</v>
      </c>
      <c r="L58" s="76">
        <f>IFERROR(IF(OR(NOT(ISNUMBER('Price History'!L59)),NOT(ISNUMBER('Price History'!L58)),'Price History'!L58=0),"",'Price History'!L59/'Price History'!L58-1),"")</f>
        <v>-8.6662783925451348E-2</v>
      </c>
      <c r="M58" s="76">
        <f>IFERROR(IF(OR(NOT(ISNUMBER('Price History'!M59)),NOT(ISNUMBER('Price History'!M58)),'Price History'!M58=0),"",'Price History'!M59/'Price History'!M58-1),"")</f>
        <v>-0.13561363362640011</v>
      </c>
      <c r="N58" s="76">
        <f>IFERROR(IF(OR(NOT(ISNUMBER('Price History'!N59)),NOT(ISNUMBER('Price History'!N58)),'Price History'!N58=0),"",'Price History'!N59/'Price History'!N58-1),"")</f>
        <v>-5.624231180302075E-2</v>
      </c>
      <c r="O58" s="76">
        <f>IFERROR(IF(OR(NOT(ISNUMBER('Price History'!O59)),NOT(ISNUMBER('Price History'!O58)),'Price History'!O58=0),"",'Price History'!O59/'Price History'!O58-1),"")</f>
        <v>-5.6615577103534487E-2</v>
      </c>
      <c r="P58" s="76" t="str">
        <f>IFERROR(IF(OR(NOT(ISNUMBER('Price History'!P59)),NOT(ISNUMBER('Price History'!P58)),'Price History'!P58=0),"",'Price History'!P59/'Price History'!P58-1),"")</f>
        <v/>
      </c>
      <c r="Q58" s="76">
        <f>IFERROR(IF(OR(NOT(ISNUMBER('Price History'!Q59)),NOT(ISNUMBER('Price History'!Q58)),'Price History'!Q58=0),"",'Price History'!Q59/'Price History'!Q58-1),"")</f>
        <v>-2.7410512737826576E-3</v>
      </c>
      <c r="R58" s="76">
        <f>IFERROR(IF(OR(NOT(ISNUMBER('Price History'!R59)),NOT(ISNUMBER('Price History'!R58)),'Price History'!R58=0),"",'Price History'!R59/'Price History'!R58-1),"")</f>
        <v>-5.0295857988165715E-2</v>
      </c>
      <c r="S58" s="76">
        <f>IFERROR(IF(OR(NOT(ISNUMBER('Price History'!S59)),NOT(ISNUMBER('Price History'!S58)),'Price History'!S58=0),"",'Price History'!S59/'Price History'!S58-1),"")</f>
        <v>-5.9719887955182016E-2</v>
      </c>
      <c r="T58" s="76">
        <f>IFERROR(IF(OR(NOT(ISNUMBER('Price History'!T59)),NOT(ISNUMBER('Price History'!T58)),'Price History'!T58=0),"",'Price History'!T59/'Price History'!T58-1),"")</f>
        <v>-4.1265060240963991E-2</v>
      </c>
      <c r="U58" s="76" t="str">
        <f>IFERROR(IF(OR(NOT(ISNUMBER('Price History'!U59)),NOT(ISNUMBER('Price History'!U58)),'Price History'!U58=0),"",'Price History'!U59/'Price History'!U58-1),"")</f>
        <v/>
      </c>
      <c r="W58" s="77">
        <f>'Price History'!B3+('Price History'!B158-'Price History'!B3)*0.357142857142857</f>
        <v>416.2928571428572</v>
      </c>
      <c r="X58" s="77">
        <f>'Price History'!C3+('Price History'!C158-'Price History'!C3)*0.357142857142857</f>
        <v>92.529285714285692</v>
      </c>
      <c r="Y58" s="77">
        <f>'Price History'!D3+('Price History'!D158-'Price History'!D3)*0.357142857142857</f>
        <v>1007.2157142857141</v>
      </c>
      <c r="Z58" s="77">
        <f>'Price History'!E3+('Price History'!E158-'Price History'!E3)*0.357142857142857</f>
        <v>192.37285714285707</v>
      </c>
      <c r="AA58" s="77">
        <f>'Price History'!F3+('Price History'!F158-'Price History'!F3)*0.357142857142857</f>
        <v>91.988571428571419</v>
      </c>
      <c r="AB58" s="77">
        <f>'Price History'!G3+('Price History'!G158-'Price History'!G3)*0.357142857142857</f>
        <v>96.085714285714261</v>
      </c>
      <c r="AC58" s="77">
        <f>'Price History'!H3+('Price History'!H158-'Price History'!H3)*0.357142857142857</f>
        <v>335.31999999999988</v>
      </c>
      <c r="AD58" s="77">
        <f>'Price History'!I3+('Price History'!I158-'Price History'!I3)*0.357142857142857</f>
        <v>97.957142857142827</v>
      </c>
      <c r="AE58" s="77">
        <f>'Price History'!J3+('Price History'!J158-'Price History'!J3)*0.357142857142857</f>
        <v>131.0457142857143</v>
      </c>
      <c r="AF58" s="77">
        <f>'Price History'!K3+('Price History'!K158-'Price History'!K3)*0.357142857142857</f>
        <v>53.856428571428552</v>
      </c>
      <c r="AG58" s="77">
        <f>'Price History'!L3+('Price History'!L158-'Price History'!L3)*0.357142857142857</f>
        <v>203.5114285714285</v>
      </c>
      <c r="AH58" s="77">
        <f>'Price History'!M3+('Price History'!M158-'Price History'!M3)*0.357142857142857</f>
        <v>107.81714285714281</v>
      </c>
      <c r="AI58" s="77">
        <f>'Price History'!N3+('Price History'!N158-'Price History'!N3)*0.357142857142857</f>
        <v>395.30285714285714</v>
      </c>
      <c r="AJ58" s="77">
        <f>'Price History'!O3+('Price History'!O158-'Price History'!O3)*0.357142857142857</f>
        <v>98.003571428571419</v>
      </c>
      <c r="AK58" s="77">
        <f>'Price History'!Q3+('Price History'!Q151-'Price History'!Q3)*0.357142857142857</f>
        <v>56.486428571428576</v>
      </c>
      <c r="AL58" s="77">
        <f>'Price History'!R3+('Price History'!R158-'Price History'!R3)*0.357142857142857</f>
        <v>51.545000000000002</v>
      </c>
      <c r="AM58" s="77">
        <f>'Price History'!S3+('Price History'!S158-'Price History'!S3)*0.357142857142857</f>
        <v>89.000714285714281</v>
      </c>
      <c r="AN58" s="77">
        <f>'Price History'!T3+('Price History'!T158-'Price History'!T3)*0.357142857142857</f>
        <v>35.063571428571422</v>
      </c>
    </row>
    <row r="59" spans="1:40" ht="15" customHeight="1" x14ac:dyDescent="0.2">
      <c r="A59" s="55">
        <f>IF('Price History'!A60="","",'Price History'!A60)</f>
        <v>45548</v>
      </c>
      <c r="B59" s="76">
        <f>IFERROR(IF(OR(NOT(ISNUMBER('Price History'!B60)),NOT(ISNUMBER('Price History'!B59)),'Price History'!B59=0),"",'Price History'!B60/'Price History'!B59-1),"")</f>
        <v>-4.7106015157700409E-2</v>
      </c>
      <c r="C59" s="76">
        <f>IFERROR(IF(OR(NOT(ISNUMBER('Price History'!C60)),NOT(ISNUMBER('Price History'!C59)),'Price History'!C59=0),"",'Price History'!C60/'Price History'!C59-1),"")</f>
        <v>0.1445660473402901</v>
      </c>
      <c r="D59" s="76">
        <f>IFERROR(IF(OR(NOT(ISNUMBER('Price History'!D60)),NOT(ISNUMBER('Price History'!D59)),'Price History'!D59=0),"",'Price History'!D60/'Price History'!D59-1),"")</f>
        <v>8.4445861395608501E-2</v>
      </c>
      <c r="E59" s="76">
        <f>IFERROR(IF(OR(NOT(ISNUMBER('Price History'!E60)),NOT(ISNUMBER('Price History'!E59)),'Price History'!E59=0),"",'Price History'!E60/'Price History'!E59-1),"")</f>
        <v>0.22401459854014605</v>
      </c>
      <c r="F59" s="76">
        <f>IFERROR(IF(OR(NOT(ISNUMBER('Price History'!F60)),NOT(ISNUMBER('Price History'!F59)),'Price History'!F59=0),"",'Price History'!F60/'Price History'!F59-1),"")</f>
        <v>5.1623376623376682E-2</v>
      </c>
      <c r="G59" s="76">
        <f>IFERROR(IF(OR(NOT(ISNUMBER('Price History'!G60)),NOT(ISNUMBER('Price History'!G59)),'Price History'!G59=0),"",'Price History'!G60/'Price History'!G59-1),"")</f>
        <v>6.9294251565167997E-2</v>
      </c>
      <c r="H59" s="76">
        <f>IFERROR(IF(OR(NOT(ISNUMBER('Price History'!H60)),NOT(ISNUMBER('Price History'!H59)),'Price History'!H59=0),"",'Price History'!H60/'Price History'!H59-1),"")</f>
        <v>5.6031488770548865E-2</v>
      </c>
      <c r="I59" s="76">
        <f>IFERROR(IF(OR(NOT(ISNUMBER('Price History'!I60)),NOT(ISNUMBER('Price History'!I59)),'Price History'!I59=0),"",'Price History'!I60/'Price History'!I59-1),"")</f>
        <v>0.15822230866478648</v>
      </c>
      <c r="J59" s="76">
        <f>IFERROR(IF(OR(NOT(ISNUMBER('Price History'!J60)),NOT(ISNUMBER('Price History'!J59)),'Price History'!J59=0),"",'Price History'!J60/'Price History'!J59-1),"")</f>
        <v>2.1614399119704419E-2</v>
      </c>
      <c r="K59" s="76">
        <f>IFERROR(IF(OR(NOT(ISNUMBER('Price History'!K60)),NOT(ISNUMBER('Price History'!K59)),'Price History'!K59=0),"",'Price History'!K60/'Price History'!K59-1),"")</f>
        <v>0.17342565117045838</v>
      </c>
      <c r="L59" s="76">
        <f>IFERROR(IF(OR(NOT(ISNUMBER('Price History'!L60)),NOT(ISNUMBER('Price History'!L59)),'Price History'!L59=0),"",'Price History'!L60/'Price History'!L59-1),"")</f>
        <v>9.9987246524678053E-2</v>
      </c>
      <c r="M59" s="76">
        <f>IFERROR(IF(OR(NOT(ISNUMBER('Price History'!M60)),NOT(ISNUMBER('Price History'!M59)),'Price History'!M59=0),"",'Price History'!M60/'Price History'!M59-1),"")</f>
        <v>0.19492824299846756</v>
      </c>
      <c r="N59" s="76">
        <f>IFERROR(IF(OR(NOT(ISNUMBER('Price History'!N60)),NOT(ISNUMBER('Price History'!N59)),'Price History'!N59=0),"",'Price History'!N60/'Price History'!N59-1),"")</f>
        <v>3.7115384615384661E-2</v>
      </c>
      <c r="O59" s="76">
        <f>IFERROR(IF(OR(NOT(ISNUMBER('Price History'!O60)),NOT(ISNUMBER('Price History'!O59)),'Price History'!O59=0),"",'Price History'!O60/'Price History'!O59-1),"")</f>
        <v>2.8846153846153744E-2</v>
      </c>
      <c r="P59" s="76" t="str">
        <f>IFERROR(IF(OR(NOT(ISNUMBER('Price History'!P60)),NOT(ISNUMBER('Price History'!P59)),'Price History'!P59=0),"",'Price History'!P60/'Price History'!P59-1),"")</f>
        <v/>
      </c>
      <c r="Q59" s="76">
        <f>IFERROR(IF(OR(NOT(ISNUMBER('Price History'!Q60)),NOT(ISNUMBER('Price History'!Q59)),'Price History'!Q59=0),"",'Price History'!Q60/'Price History'!Q59-1),"")</f>
        <v>-8.8924818108326864E-3</v>
      </c>
      <c r="R59" s="76">
        <f>IFERROR(IF(OR(NOT(ISNUMBER('Price History'!R60)),NOT(ISNUMBER('Price History'!R59)),'Price History'!R59=0),"",'Price History'!R60/'Price History'!R59-1),"")</f>
        <v>4.6534267912772487E-2</v>
      </c>
      <c r="S59" s="76">
        <f>IFERROR(IF(OR(NOT(ISNUMBER('Price History'!S60)),NOT(ISNUMBER('Price History'!S59)),'Price History'!S59=0),"",'Price History'!S60/'Price History'!S59-1),"")</f>
        <v>6.1487130600571982E-2</v>
      </c>
      <c r="T59" s="76">
        <f>IFERROR(IF(OR(NOT(ISNUMBER('Price History'!T60)),NOT(ISNUMBER('Price History'!T59)),'Price History'!T59=0),"",'Price History'!T60/'Price History'!T59-1),"")</f>
        <v>2.3562676720075393E-2</v>
      </c>
      <c r="U59" s="76" t="str">
        <f>IFERROR(IF(OR(NOT(ISNUMBER('Price History'!U60)),NOT(ISNUMBER('Price History'!U59)),'Price History'!U59=0),"",'Price History'!U60/'Price History'!U59-1),"")</f>
        <v/>
      </c>
      <c r="W59" s="77">
        <f>'Price History'!B3+('Price History'!B158-'Price History'!B3)*0.363636363636364</f>
        <v>414.61727272727262</v>
      </c>
      <c r="X59" s="77">
        <f>'Price History'!C3+('Price History'!C158-'Price History'!C3)*0.363636363636364</f>
        <v>93.416363636363684</v>
      </c>
      <c r="Y59" s="77">
        <f>'Price History'!D3+('Price History'!D158-'Price History'!D3)*0.363636363636364</f>
        <v>1013.4963636363639</v>
      </c>
      <c r="Z59" s="77">
        <f>'Price History'!E3+('Price History'!E158-'Price History'!E3)*0.363636363636364</f>
        <v>194.36181818181828</v>
      </c>
      <c r="AA59" s="77">
        <f>'Price History'!F3+('Price History'!F158-'Price History'!F3)*0.363636363636364</f>
        <v>92.987272727272796</v>
      </c>
      <c r="AB59" s="77">
        <f>'Price History'!G3+('Price History'!G158-'Price History'!G3)*0.363636363636364</f>
        <v>96.961818181818217</v>
      </c>
      <c r="AC59" s="77">
        <f>'Price History'!H3+('Price History'!H158-'Price History'!H3)*0.363636363636364</f>
        <v>340.24636363636387</v>
      </c>
      <c r="AD59" s="77">
        <f>'Price History'!I3+('Price History'!I158-'Price History'!I3)*0.363636363636364</f>
        <v>98.995454545454606</v>
      </c>
      <c r="AE59" s="77">
        <f>'Price History'!J3+('Price History'!J158-'Price History'!J3)*0.363636363636364</f>
        <v>131.18272727272728</v>
      </c>
      <c r="AF59" s="77">
        <f>'Price History'!K3+('Price History'!K158-'Price History'!K3)*0.363636363636364</f>
        <v>54.55545454545458</v>
      </c>
      <c r="AG59" s="77">
        <f>'Price History'!L3+('Price History'!L158-'Price History'!L3)*0.363636363636364</f>
        <v>205.53909090909099</v>
      </c>
      <c r="AH59" s="77">
        <f>'Price History'!M3+('Price History'!M158-'Price History'!M3)*0.363636363636364</f>
        <v>109.16818181818189</v>
      </c>
      <c r="AI59" s="77">
        <f>'Price History'!N3+('Price History'!N158-'Price History'!N3)*0.363636363636364</f>
        <v>396.12909090909096</v>
      </c>
      <c r="AJ59" s="77">
        <f>'Price History'!O3+('Price History'!O158-'Price History'!O3)*0.363636363636364</f>
        <v>98.279090909090925</v>
      </c>
      <c r="AK59" s="77">
        <f>'Price History'!Q3+('Price History'!Q151-'Price History'!Q3)*0.363636363636364</f>
        <v>56.607272727272736</v>
      </c>
      <c r="AL59" s="77">
        <f>'Price History'!R3+('Price History'!R158-'Price History'!R3)*0.363636363636364</f>
        <v>51.612727272727277</v>
      </c>
      <c r="AM59" s="77">
        <f>'Price History'!S3+('Price History'!S158-'Price History'!S3)*0.363636363636364</f>
        <v>89.55454545454549</v>
      </c>
      <c r="AN59" s="77">
        <f>'Price History'!T3+('Price History'!T158-'Price History'!T3)*0.363636363636364</f>
        <v>35.211818181818188</v>
      </c>
    </row>
    <row r="60" spans="1:40" ht="15" customHeight="1" x14ac:dyDescent="0.2">
      <c r="A60" s="55">
        <f>IF('Price History'!A61="","",'Price History'!A61)</f>
        <v>45555</v>
      </c>
      <c r="B60" s="76">
        <f>IFERROR(IF(OR(NOT(ISNUMBER('Price History'!B61)),NOT(ISNUMBER('Price History'!B60)),'Price History'!B60=0),"",'Price History'!B61/'Price History'!B60-1),"")</f>
        <v>-2.7138785925829412E-2</v>
      </c>
      <c r="C60" s="76">
        <f>IFERROR(IF(OR(NOT(ISNUMBER('Price History'!C61)),NOT(ISNUMBER('Price History'!C60)),'Price History'!C60=0),"",'Price History'!C61/'Price History'!C60-1),"")</f>
        <v>6.8712474983322336E-2</v>
      </c>
      <c r="D60" s="76">
        <f>IFERROR(IF(OR(NOT(ISNUMBER('Price History'!D61)),NOT(ISNUMBER('Price History'!D60)),'Price History'!D60=0),"",'Price History'!D61/'Price History'!D60-1),"")</f>
        <v>-2.5821941300406714E-2</v>
      </c>
      <c r="E60" s="76">
        <f>IFERROR(IF(OR(NOT(ISNUMBER('Price History'!E61)),NOT(ISNUMBER('Price History'!E60)),'Price History'!E60=0),"",'Price History'!E61/'Price History'!E60-1),"")</f>
        <v>2.0335142226727942E-2</v>
      </c>
      <c r="F60" s="76">
        <f>IFERROR(IF(OR(NOT(ISNUMBER('Price History'!F61)),NOT(ISNUMBER('Price History'!F60)),'Price History'!F60=0),"",'Price History'!F61/'Price History'!F60-1),"")</f>
        <v>0.15714726767520837</v>
      </c>
      <c r="G60" s="76">
        <f>IFERROR(IF(OR(NOT(ISNUMBER('Price History'!G61)),NOT(ISNUMBER('Price History'!G60)),'Price History'!G60=0),"",'Price History'!G61/'Price History'!G60-1),"")</f>
        <v>9.8469727212242564E-3</v>
      </c>
      <c r="H60" s="76">
        <f>IFERROR(IF(OR(NOT(ISNUMBER('Price History'!H61)),NOT(ISNUMBER('Price History'!H60)),'Price History'!H60=0),"",'Price History'!H61/'Price History'!H60-1),"")</f>
        <v>-3.5080026310019274E-3</v>
      </c>
      <c r="I60" s="76">
        <f>IFERROR(IF(OR(NOT(ISNUMBER('Price History'!I61)),NOT(ISNUMBER('Price History'!I60)),'Price History'!I60=0),"",'Price History'!I61/'Price History'!I60-1),"")</f>
        <v>-2.6028547439126748E-2</v>
      </c>
      <c r="J60" s="76">
        <f>IFERROR(IF(OR(NOT(ISNUMBER('Price History'!J61)),NOT(ISNUMBER('Price History'!J60)),'Price History'!J60=0),"",'Price History'!J61/'Price History'!J60-1),"")</f>
        <v>-3.4697645791660237E-2</v>
      </c>
      <c r="K60" s="76">
        <f>IFERROR(IF(OR(NOT(ISNUMBER('Price History'!K61)),NOT(ISNUMBER('Price History'!K60)),'Price History'!K60=0),"",'Price History'!K61/'Price History'!K60-1),"")</f>
        <v>4.5237426243326828E-2</v>
      </c>
      <c r="L60" s="76">
        <f>IFERROR(IF(OR(NOT(ISNUMBER('Price History'!L61)),NOT(ISNUMBER('Price History'!L60)),'Price History'!L60=0),"",'Price History'!L61/'Price History'!L60-1),"")</f>
        <v>9.1594202898550581E-3</v>
      </c>
      <c r="M60" s="76">
        <f>IFERROR(IF(OR(NOT(ISNUMBER('Price History'!M61)),NOT(ISNUMBER('Price History'!M60)),'Price History'!M60=0),"",'Price History'!M61/'Price History'!M60-1),"")</f>
        <v>0.10237873134328357</v>
      </c>
      <c r="N60" s="76">
        <f>IFERROR(IF(OR(NOT(ISNUMBER('Price History'!N61)),NOT(ISNUMBER('Price History'!N60)),'Price History'!N60=0),"",'Price History'!N61/'Price History'!N60-1),"")</f>
        <v>-4.2132805900653048E-2</v>
      </c>
      <c r="O60" s="76">
        <f>IFERROR(IF(OR(NOT(ISNUMBER('Price History'!O61)),NOT(ISNUMBER('Price History'!O60)),'Price History'!O60=0),"",'Price History'!O61/'Price History'!O60-1),"")</f>
        <v>3.0185841658610046E-2</v>
      </c>
      <c r="P60" s="76" t="str">
        <f>IFERROR(IF(OR(NOT(ISNUMBER('Price History'!P61)),NOT(ISNUMBER('Price History'!P60)),'Price History'!P60=0),"",'Price History'!P61/'Price History'!P60-1),"")</f>
        <v/>
      </c>
      <c r="Q60" s="76">
        <f>IFERROR(IF(OR(NOT(ISNUMBER('Price History'!Q61)),NOT(ISNUMBER('Price History'!Q60)),'Price History'!Q60=0),"",'Price History'!Q61/'Price History'!Q60-1),"")</f>
        <v>2.4306688417618405E-2</v>
      </c>
      <c r="R60" s="76">
        <f>IFERROR(IF(OR(NOT(ISNUMBER('Price History'!R61)),NOT(ISNUMBER('Price History'!R60)),'Price History'!R60=0),"",'Price History'!R61/'Price History'!R60-1),"")</f>
        <v>1.2279069767441753E-2</v>
      </c>
      <c r="S60" s="76">
        <f>IFERROR(IF(OR(NOT(ISNUMBER('Price History'!S61)),NOT(ISNUMBER('Price History'!S60)),'Price History'!S60=0),"",'Price History'!S61/'Price History'!S60-1),"")</f>
        <v>1.6277503367759349E-2</v>
      </c>
      <c r="T60" s="76">
        <f>IFERROR(IF(OR(NOT(ISNUMBER('Price History'!T61)),NOT(ISNUMBER('Price History'!T60)),'Price History'!T60=0),"",'Price History'!T61/'Price History'!T60-1),"")</f>
        <v>1.7188459177409632E-2</v>
      </c>
      <c r="U60" s="76" t="str">
        <f>IFERROR(IF(OR(NOT(ISNUMBER('Price History'!U61)),NOT(ISNUMBER('Price History'!U60)),'Price History'!U60=0),"",'Price History'!U61/'Price History'!U60-1),"")</f>
        <v/>
      </c>
      <c r="W60" s="77">
        <f>'Price History'!B3+('Price History'!B158-'Price History'!B3)*0.37012987012987</f>
        <v>412.94168831168838</v>
      </c>
      <c r="X60" s="77">
        <f>'Price History'!C3+('Price History'!C158-'Price History'!C3)*0.37012987012987</f>
        <v>94.303441558441534</v>
      </c>
      <c r="Y60" s="77">
        <f>'Price History'!D3+('Price History'!D158-'Price History'!D3)*0.37012987012987</f>
        <v>1019.7770129870128</v>
      </c>
      <c r="Z60" s="77">
        <f>'Price History'!E3+('Price History'!E158-'Price History'!E3)*0.37012987012987</f>
        <v>196.35077922077915</v>
      </c>
      <c r="AA60" s="77">
        <f>'Price History'!F3+('Price History'!F158-'Price History'!F3)*0.37012987012987</f>
        <v>93.985974025974002</v>
      </c>
      <c r="AB60" s="77">
        <f>'Price History'!G3+('Price History'!G158-'Price History'!G3)*0.37012987012987</f>
        <v>97.837922077922059</v>
      </c>
      <c r="AC60" s="77">
        <f>'Price History'!H3+('Price History'!H158-'Price History'!H3)*0.37012987012987</f>
        <v>345.17272727272717</v>
      </c>
      <c r="AD60" s="77">
        <f>'Price History'!I3+('Price History'!I158-'Price History'!I3)*0.37012987012987</f>
        <v>100.03376623376622</v>
      </c>
      <c r="AE60" s="77">
        <f>'Price History'!J3+('Price History'!J158-'Price History'!J3)*0.37012987012987</f>
        <v>131.31974025974026</v>
      </c>
      <c r="AF60" s="77">
        <f>'Price History'!K3+('Price History'!K158-'Price History'!K3)*0.37012987012987</f>
        <v>55.254480519480509</v>
      </c>
      <c r="AG60" s="77">
        <f>'Price History'!L3+('Price History'!L158-'Price History'!L3)*0.37012987012987</f>
        <v>207.56675324675319</v>
      </c>
      <c r="AH60" s="77">
        <f>'Price History'!M3+('Price History'!M158-'Price History'!M3)*0.37012987012987</f>
        <v>110.51922077922075</v>
      </c>
      <c r="AI60" s="77">
        <f>'Price History'!N3+('Price History'!N158-'Price History'!N3)*0.37012987012987</f>
        <v>396.95532467532468</v>
      </c>
      <c r="AJ60" s="77">
        <f>'Price History'!O3+('Price History'!O158-'Price History'!O3)*0.37012987012987</f>
        <v>98.554610389610374</v>
      </c>
      <c r="AK60" s="77">
        <f>'Price History'!Q3+('Price History'!Q151-'Price History'!Q3)*0.37012987012987</f>
        <v>56.728116883116883</v>
      </c>
      <c r="AL60" s="77">
        <f>'Price History'!R3+('Price History'!R158-'Price History'!R3)*0.37012987012987</f>
        <v>51.680454545454545</v>
      </c>
      <c r="AM60" s="77">
        <f>'Price History'!S3+('Price History'!S158-'Price History'!S3)*0.37012987012987</f>
        <v>90.108376623376614</v>
      </c>
      <c r="AN60" s="77">
        <f>'Price History'!T3+('Price History'!T158-'Price History'!T3)*0.37012987012987</f>
        <v>35.360064935064933</v>
      </c>
    </row>
    <row r="61" spans="1:40" ht="15" customHeight="1" x14ac:dyDescent="0.2">
      <c r="A61" s="55">
        <f>IF('Price History'!A62="","",'Price History'!A62)</f>
        <v>45562</v>
      </c>
      <c r="B61" s="76">
        <f>IFERROR(IF(OR(NOT(ISNUMBER('Price History'!B62)),NOT(ISNUMBER('Price History'!B61)),'Price History'!B61=0),"",'Price History'!B62/'Price History'!B61-1),"")</f>
        <v>-1.305762971472324E-2</v>
      </c>
      <c r="C61" s="76">
        <f>IFERROR(IF(OR(NOT(ISNUMBER('Price History'!C62)),NOT(ISNUMBER('Price History'!C61)),'Price History'!C61=0),"",'Price History'!C62/'Price History'!C61-1),"")</f>
        <v>-1.0923845193508197E-2</v>
      </c>
      <c r="D61" s="76">
        <f>IFERROR(IF(OR(NOT(ISNUMBER('Price History'!D62)),NOT(ISNUMBER('Price History'!D61)),'Price History'!D61=0),"",'Price History'!D62/'Price History'!D61-1),"")</f>
        <v>5.8168192334775215E-2</v>
      </c>
      <c r="E61" s="76">
        <f>IFERROR(IF(OR(NOT(ISNUMBER('Price History'!E62)),NOT(ISNUMBER('Price History'!E61)),'Price History'!E61=0),"",'Price History'!E62/'Price History'!E61-1),"")</f>
        <v>9.292811221507824E-3</v>
      </c>
      <c r="F61" s="76">
        <f>IFERROR(IF(OR(NOT(ISNUMBER('Price History'!F62)),NOT(ISNUMBER('Price History'!F61)),'Price History'!F61=0),"",'Price History'!F62/'Price History'!F61-1),"")</f>
        <v>-4.6558164354322251E-2</v>
      </c>
      <c r="G61" s="76">
        <f>IFERROR(IF(OR(NOT(ISNUMBER('Price History'!G62)),NOT(ISNUMBER('Price History'!G61)),'Price History'!G61=0),"",'Price History'!G62/'Price History'!G61-1),"")</f>
        <v>3.0965871656344568E-2</v>
      </c>
      <c r="H61" s="76">
        <f>IFERROR(IF(OR(NOT(ISNUMBER('Price History'!H62)),NOT(ISNUMBER('Price History'!H61)),'Price History'!H61=0),"",'Price History'!H62/'Price History'!H61-1),"")</f>
        <v>0.18261826182618246</v>
      </c>
      <c r="I61" s="76">
        <f>IFERROR(IF(OR(NOT(ISNUMBER('Price History'!I62)),NOT(ISNUMBER('Price History'!I61)),'Price History'!I61=0),"",'Price History'!I62/'Price History'!I61-1),"")</f>
        <v>4.6551724137931183E-2</v>
      </c>
      <c r="J61" s="76">
        <f>IFERROR(IF(OR(NOT(ISNUMBER('Price History'!J62)),NOT(ISNUMBER('Price History'!J61)),'Price History'!J61=0),"",'Price History'!J62/'Price History'!J61-1),"")</f>
        <v>9.5640392125617701E-4</v>
      </c>
      <c r="K61" s="76">
        <f>IFERROR(IF(OR(NOT(ISNUMBER('Price History'!K62)),NOT(ISNUMBER('Price History'!K61)),'Price History'!K61=0),"",'Price History'!K62/'Price History'!K61-1),"")</f>
        <v>-9.6774193548386789E-3</v>
      </c>
      <c r="L61" s="76">
        <f>IFERROR(IF(OR(NOT(ISNUMBER('Price History'!L62)),NOT(ISNUMBER('Price History'!L61)),'Price History'!L61=0),"",'Price History'!L62/'Price History'!L61-1),"")</f>
        <v>2.234604779411753E-2</v>
      </c>
      <c r="M61" s="76">
        <f>IFERROR(IF(OR(NOT(ISNUMBER('Price History'!M62)),NOT(ISNUMBER('Price History'!M61)),'Price History'!M61=0),"",'Price History'!M62/'Price History'!M61-1),"")</f>
        <v>4.0935053945419853E-2</v>
      </c>
      <c r="N61" s="76">
        <f>IFERROR(IF(OR(NOT(ISNUMBER('Price History'!N62)),NOT(ISNUMBER('Price History'!N61)),'Price History'!N61=0),"",'Price History'!N62/'Price History'!N61-1),"")</f>
        <v>-4.3878516734062734E-3</v>
      </c>
      <c r="O61" s="76">
        <f>IFERROR(IF(OR(NOT(ISNUMBER('Price History'!O62)),NOT(ISNUMBER('Price History'!O61)),'Price History'!O61=0),"",'Price History'!O62/'Price History'!O61-1),"")</f>
        <v>-3.5453597497393519E-3</v>
      </c>
      <c r="P61" s="76" t="str">
        <f>IFERROR(IF(OR(NOT(ISNUMBER('Price History'!P62)),NOT(ISNUMBER('Price History'!P61)),'Price History'!P61=0),"",'Price History'!P62/'Price History'!P61-1),"")</f>
        <v/>
      </c>
      <c r="Q61" s="76">
        <f>IFERROR(IF(OR(NOT(ISNUMBER('Price History'!Q62)),NOT(ISNUMBER('Price History'!Q61)),'Price History'!Q61=0),"",'Price History'!Q62/'Price History'!Q61-1),"")</f>
        <v>-9.5556617295747825E-3</v>
      </c>
      <c r="R61" s="76">
        <f>IFERROR(IF(OR(NOT(ISNUMBER('Price History'!R62)),NOT(ISNUMBER('Price History'!R61)),'Price History'!R61=0),"",'Price History'!R62/'Price History'!R61-1),"")</f>
        <v>7.1678000367578765E-3</v>
      </c>
      <c r="S61" s="76">
        <f>IFERROR(IF(OR(NOT(ISNUMBER('Price History'!S62)),NOT(ISNUMBER('Price History'!S61)),'Price History'!S61=0),"",'Price History'!S62/'Price History'!S61-1),"")</f>
        <v>-2.0987517949850876E-3</v>
      </c>
      <c r="T61" s="76">
        <f>IFERROR(IF(OR(NOT(ISNUMBER('Price History'!T62)),NOT(ISNUMBER('Price History'!T61)),'Price History'!T61=0),"",'Price History'!T62/'Price History'!T61-1),"")</f>
        <v>2.1122510561255581E-3</v>
      </c>
      <c r="U61" s="76" t="str">
        <f>IFERROR(IF(OR(NOT(ISNUMBER('Price History'!U62)),NOT(ISNUMBER('Price History'!U61)),'Price History'!U61=0),"",'Price History'!U62/'Price History'!U61-1),"")</f>
        <v/>
      </c>
      <c r="W61" s="77">
        <f>'Price History'!B3+('Price History'!B158-'Price History'!B3)*0.376623376623377</f>
        <v>411.2661038961038</v>
      </c>
      <c r="X61" s="77">
        <f>'Price History'!C3+('Price History'!C158-'Price History'!C3)*0.376623376623377</f>
        <v>95.190519480519526</v>
      </c>
      <c r="Y61" s="77">
        <f>'Price History'!D3+('Price History'!D158-'Price History'!D3)*0.376623376623377</f>
        <v>1026.0576623376628</v>
      </c>
      <c r="Z61" s="77">
        <f>'Price History'!E3+('Price History'!E158-'Price History'!E3)*0.376623376623377</f>
        <v>198.33974025974038</v>
      </c>
      <c r="AA61" s="77">
        <f>'Price History'!F3+('Price History'!F158-'Price History'!F3)*0.376623376623377</f>
        <v>94.984675324675393</v>
      </c>
      <c r="AB61" s="77">
        <f>'Price History'!G3+('Price History'!G158-'Price History'!G3)*0.376623376623377</f>
        <v>98.714025974026015</v>
      </c>
      <c r="AC61" s="77">
        <f>'Price History'!H3+('Price History'!H158-'Price History'!H3)*0.376623376623377</f>
        <v>350.09909090909122</v>
      </c>
      <c r="AD61" s="77">
        <f>'Price History'!I3+('Price History'!I158-'Price History'!I3)*0.376623376623377</f>
        <v>101.07207792207799</v>
      </c>
      <c r="AE61" s="77">
        <f>'Price History'!J3+('Price History'!J158-'Price History'!J3)*0.376623376623377</f>
        <v>131.45675324675327</v>
      </c>
      <c r="AF61" s="77">
        <f>'Price History'!K3+('Price History'!K158-'Price History'!K3)*0.376623376623377</f>
        <v>55.953506493506538</v>
      </c>
      <c r="AG61" s="77">
        <f>'Price History'!L3+('Price History'!L158-'Price History'!L3)*0.376623376623377</f>
        <v>209.59441558441569</v>
      </c>
      <c r="AH61" s="77">
        <f>'Price History'!M3+('Price History'!M158-'Price History'!M3)*0.376623376623377</f>
        <v>111.87025974025983</v>
      </c>
      <c r="AI61" s="77">
        <f>'Price History'!N3+('Price History'!N158-'Price History'!N3)*0.376623376623377</f>
        <v>397.7815584415585</v>
      </c>
      <c r="AJ61" s="77">
        <f>'Price History'!O3+('Price History'!O158-'Price History'!O3)*0.376623376623377</f>
        <v>98.83012987012988</v>
      </c>
      <c r="AK61" s="77">
        <f>'Price History'!Q3+('Price History'!Q151-'Price History'!Q3)*0.376623376623377</f>
        <v>56.84896103896105</v>
      </c>
      <c r="AL61" s="77">
        <f>'Price History'!R3+('Price History'!R158-'Price History'!R3)*0.376623376623377</f>
        <v>51.74818181818182</v>
      </c>
      <c r="AM61" s="77">
        <f>'Price History'!S3+('Price History'!S158-'Price History'!S3)*0.376623376623377</f>
        <v>90.662207792207823</v>
      </c>
      <c r="AN61" s="77">
        <f>'Price History'!T3+('Price History'!T158-'Price History'!T3)*0.376623376623377</f>
        <v>35.5083116883117</v>
      </c>
    </row>
    <row r="62" spans="1:40" ht="15" customHeight="1" x14ac:dyDescent="0.2">
      <c r="A62" s="55">
        <f>IF('Price History'!A63="","",'Price History'!A63)</f>
        <v>45569</v>
      </c>
      <c r="B62" s="76">
        <f>IFERROR(IF(OR(NOT(ISNUMBER('Price History'!B63)),NOT(ISNUMBER('Price History'!B62)),'Price History'!B62=0),"",'Price History'!B63/'Price History'!B62-1),"")</f>
        <v>-1.6023900054318307E-2</v>
      </c>
      <c r="C62" s="76">
        <f>IFERROR(IF(OR(NOT(ISNUMBER('Price History'!C63)),NOT(ISNUMBER('Price History'!C62)),'Price History'!C62=0),"",'Price History'!C63/'Price History'!C62-1),"")</f>
        <v>4.1232775849374237E-2</v>
      </c>
      <c r="D62" s="76">
        <f>IFERROR(IF(OR(NOT(ISNUMBER('Price History'!D63)),NOT(ISNUMBER('Price History'!D62)),'Price History'!D62=0),"",'Price History'!D63/'Price History'!D62-1),"")</f>
        <v>-1.0148061886541271E-2</v>
      </c>
      <c r="E62" s="76">
        <f>IFERROR(IF(OR(NOT(ISNUMBER('Price History'!E63)),NOT(ISNUMBER('Price History'!E62)),'Price History'!E62=0),"",'Price History'!E63/'Price History'!E62-1),"")</f>
        <v>2.2873356882274543E-2</v>
      </c>
      <c r="F62" s="76">
        <f>IFERROR(IF(OR(NOT(ISNUMBER('Price History'!F63)),NOT(ISNUMBER('Price History'!F62)),'Price History'!F62=0),"",'Price History'!F63/'Price History'!F62-1),"")</f>
        <v>2.224709668392344E-2</v>
      </c>
      <c r="G62" s="76">
        <f>IFERROR(IF(OR(NOT(ISNUMBER('Price History'!G63)),NOT(ISNUMBER('Price History'!G62)),'Price History'!G62=0),"",'Price History'!G63/'Price History'!G62-1),"")</f>
        <v>6.3905930470347094E-3</v>
      </c>
      <c r="H62" s="76">
        <f>IFERROR(IF(OR(NOT(ISNUMBER('Price History'!H63)),NOT(ISNUMBER('Price History'!H62)),'Price History'!H62=0),"",'Price History'!H63/'Price History'!H62-1),"")</f>
        <v>-4.8837209302325602E-2</v>
      </c>
      <c r="I62" s="76">
        <f>IFERROR(IF(OR(NOT(ISNUMBER('Price History'!I63)),NOT(ISNUMBER('Price History'!I62)),'Price History'!I62=0),"",'Price History'!I63/'Price History'!I62-1),"")</f>
        <v>2.8995057660625934E-2</v>
      </c>
      <c r="J62" s="76">
        <f>IFERROR(IF(OR(NOT(ISNUMBER('Price History'!J63)),NOT(ISNUMBER('Price History'!J62)),'Price History'!J62=0),"",'Price History'!J63/'Price History'!J62-1),"")</f>
        <v>-2.5240863126045121E-2</v>
      </c>
      <c r="K62" s="76">
        <f>IFERROR(IF(OR(NOT(ISNUMBER('Price History'!K63)),NOT(ISNUMBER('Price History'!K62)),'Price History'!K62=0),"",'Price History'!K63/'Price History'!K62-1),"")</f>
        <v>8.6047774158523271E-2</v>
      </c>
      <c r="L62" s="76">
        <f>IFERROR(IF(OR(NOT(ISNUMBER('Price History'!L63)),NOT(ISNUMBER('Price History'!L62)),'Price History'!L62=0),"",'Price History'!L63/'Price History'!L62-1),"")</f>
        <v>1.792436927572072E-2</v>
      </c>
      <c r="M62" s="76">
        <f>IFERROR(IF(OR(NOT(ISNUMBER('Price History'!M63)),NOT(ISNUMBER('Price History'!M62)),'Price History'!M62=0),"",'Price History'!M63/'Price History'!M62-1),"")</f>
        <v>6.8997053145005705E-2</v>
      </c>
      <c r="N62" s="76">
        <f>IFERROR(IF(OR(NOT(ISNUMBER('Price History'!N63)),NOT(ISNUMBER('Price History'!N62)),'Price History'!N62=0),"",'Price History'!N63/'Price History'!N62-1),"")</f>
        <v>-1.6354130660214294E-2</v>
      </c>
      <c r="O62" s="76">
        <f>IFERROR(IF(OR(NOT(ISNUMBER('Price History'!O63)),NOT(ISNUMBER('Price History'!O62)),'Price History'!O62=0),"",'Price History'!O63/'Price History'!O62-1),"")</f>
        <v>2.8254499790707488E-3</v>
      </c>
      <c r="P62" s="76" t="str">
        <f>IFERROR(IF(OR(NOT(ISNUMBER('Price History'!P63)),NOT(ISNUMBER('Price History'!P62)),'Price History'!P62=0),"",'Price History'!P63/'Price History'!P62-1),"")</f>
        <v/>
      </c>
      <c r="Q62" s="76">
        <f>IFERROR(IF(OR(NOT(ISNUMBER('Price History'!Q63)),NOT(ISNUMBER('Price History'!Q62)),'Price History'!Q62=0),"",'Price History'!Q63/'Price History'!Q62-1),"")</f>
        <v>7.5574851262261156E-3</v>
      </c>
      <c r="R62" s="76">
        <f>IFERROR(IF(OR(NOT(ISNUMBER('Price History'!R63)),NOT(ISNUMBER('Price History'!R62)),'Price History'!R62=0),"",'Price History'!R63/'Price History'!R62-1),"")</f>
        <v>-7.8467153284671465E-3</v>
      </c>
      <c r="S62" s="76">
        <f>IFERROR(IF(OR(NOT(ISNUMBER('Price History'!S63)),NOT(ISNUMBER('Price History'!S62)),'Price History'!S62=0),"",'Price History'!S63/'Price History'!S62-1),"")</f>
        <v>1.4943546601726698E-2</v>
      </c>
      <c r="T62" s="76">
        <f>IFERROR(IF(OR(NOT(ISNUMBER('Price History'!T63)),NOT(ISNUMBER('Price History'!T62)),'Price History'!T62=0),"",'Price History'!T63/'Price History'!T62-1),"")</f>
        <v>1.866907557964459E-2</v>
      </c>
      <c r="U62" s="76" t="str">
        <f>IFERROR(IF(OR(NOT(ISNUMBER('Price History'!U63)),NOT(ISNUMBER('Price History'!U62)),'Price History'!U62=0),"",'Price History'!U63/'Price History'!U62-1),"")</f>
        <v/>
      </c>
      <c r="W62" s="77">
        <f>'Price History'!B3+('Price History'!B158-'Price History'!B3)*0.383116883116883</f>
        <v>409.5905194805195</v>
      </c>
      <c r="X62" s="77">
        <f>'Price History'!C3+('Price History'!C158-'Price History'!C3)*0.383116883116883</f>
        <v>96.077597402597377</v>
      </c>
      <c r="Y62" s="77">
        <f>'Price History'!D3+('Price History'!D158-'Price History'!D3)*0.383116883116883</f>
        <v>1032.3383116883115</v>
      </c>
      <c r="Z62" s="77">
        <f>'Price History'!E3+('Price History'!E158-'Price History'!E3)*0.383116883116883</f>
        <v>200.32870129870128</v>
      </c>
      <c r="AA62" s="77">
        <f>'Price History'!F3+('Price History'!F158-'Price History'!F3)*0.383116883116883</f>
        <v>95.983376623376614</v>
      </c>
      <c r="AB62" s="77">
        <f>'Price History'!G3+('Price History'!G158-'Price History'!G3)*0.383116883116883</f>
        <v>99.590129870129857</v>
      </c>
      <c r="AC62" s="77">
        <f>'Price History'!H3+('Price History'!H158-'Price History'!H3)*0.383116883116883</f>
        <v>355.02545454545447</v>
      </c>
      <c r="AD62" s="77">
        <f>'Price History'!I3+('Price History'!I158-'Price History'!I3)*0.383116883116883</f>
        <v>102.1103896103896</v>
      </c>
      <c r="AE62" s="77">
        <f>'Price History'!J3+('Price History'!J158-'Price History'!J3)*0.383116883116883</f>
        <v>131.59376623376625</v>
      </c>
      <c r="AF62" s="77">
        <f>'Price History'!K3+('Price History'!K158-'Price History'!K3)*0.383116883116883</f>
        <v>56.652532467532453</v>
      </c>
      <c r="AG62" s="77">
        <f>'Price History'!L3+('Price History'!L158-'Price History'!L3)*0.383116883116883</f>
        <v>211.62207792207789</v>
      </c>
      <c r="AH62" s="77">
        <f>'Price History'!M3+('Price History'!M158-'Price History'!M3)*0.383116883116883</f>
        <v>113.22129870129868</v>
      </c>
      <c r="AI62" s="77">
        <f>'Price History'!N3+('Price History'!N158-'Price History'!N3)*0.383116883116883</f>
        <v>398.60779220779222</v>
      </c>
      <c r="AJ62" s="77">
        <f>'Price History'!O3+('Price History'!O158-'Price History'!O3)*0.383116883116883</f>
        <v>99.105649350649344</v>
      </c>
      <c r="AK62" s="77">
        <f>'Price History'!Q3+('Price History'!Q151-'Price History'!Q3)*0.383116883116883</f>
        <v>56.969805194805197</v>
      </c>
      <c r="AL62" s="77">
        <f>'Price History'!R3+('Price History'!R158-'Price History'!R3)*0.383116883116883</f>
        <v>51.815909090909088</v>
      </c>
      <c r="AM62" s="77">
        <f>'Price History'!S3+('Price History'!S158-'Price History'!S3)*0.383116883116883</f>
        <v>91.216038961038961</v>
      </c>
      <c r="AN62" s="77">
        <f>'Price History'!T3+('Price History'!T158-'Price History'!T3)*0.383116883116883</f>
        <v>35.656558441558438</v>
      </c>
    </row>
    <row r="63" spans="1:40" ht="15" customHeight="1" x14ac:dyDescent="0.2">
      <c r="A63" s="55">
        <f>IF('Price History'!A64="","",'Price History'!A64)</f>
        <v>45576</v>
      </c>
      <c r="B63" s="76">
        <f>IFERROR(IF(OR(NOT(ISNUMBER('Price History'!B64)),NOT(ISNUMBER('Price History'!B63)),'Price History'!B63=0),"",'Price History'!B64/'Price History'!B63-1),"")</f>
        <v>-2.3264066874334577E-2</v>
      </c>
      <c r="C63" s="76">
        <f>IFERROR(IF(OR(NOT(ISNUMBER('Price History'!C64)),NOT(ISNUMBER('Price History'!C63)),'Price History'!C63=0),"",'Price History'!C64/'Price History'!C63-1),"")</f>
        <v>5.2934639862612487E-2</v>
      </c>
      <c r="D63" s="76">
        <f>IFERROR(IF(OR(NOT(ISNUMBER('Price History'!D64)),NOT(ISNUMBER('Price History'!D63)),'Price History'!D63=0),"",'Price History'!D64/'Price History'!D63-1),"")</f>
        <v>9.2316926770708019E-3</v>
      </c>
      <c r="E63" s="76">
        <f>IFERROR(IF(OR(NOT(ISNUMBER('Price History'!E64)),NOT(ISNUMBER('Price History'!E63)),'Price History'!E63=0),"",'Price History'!E64/'Price History'!E63-1),"")</f>
        <v>2.7400362318840576E-2</v>
      </c>
      <c r="F63" s="76">
        <f>IFERROR(IF(OR(NOT(ISNUMBER('Price History'!F64)),NOT(ISNUMBER('Price History'!F63)),'Price History'!F63=0),"",'Price History'!F64/'Price History'!F63-1),"")</f>
        <v>9.5674787845606346E-2</v>
      </c>
      <c r="G63" s="76">
        <f>IFERROR(IF(OR(NOT(ISNUMBER('Price History'!G64)),NOT(ISNUMBER('Price History'!G63)),'Price History'!G63=0),"",'Price History'!G64/'Price History'!G63-1),"")</f>
        <v>2.0701041402082954E-2</v>
      </c>
      <c r="H63" s="76">
        <f>IFERROR(IF(OR(NOT(ISNUMBER('Price History'!H64)),NOT(ISNUMBER('Price History'!H63)),'Price History'!H63=0),"",'Price History'!H64/'Price History'!H63-1),"")</f>
        <v>4.5672371638141751E-2</v>
      </c>
      <c r="I63" s="76">
        <f>IFERROR(IF(OR(NOT(ISNUMBER('Price History'!I64)),NOT(ISNUMBER('Price History'!I63)),'Price History'!I63=0),"",'Price History'!I64/'Price History'!I63-1),"")</f>
        <v>7.9090617995517309E-2</v>
      </c>
      <c r="J63" s="76">
        <f>IFERROR(IF(OR(NOT(ISNUMBER('Price History'!J64)),NOT(ISNUMBER('Price History'!J63)),'Price History'!J63=0),"",'Price History'!J64/'Price History'!J63-1),"")</f>
        <v>-1.7807547786309441E-2</v>
      </c>
      <c r="K63" s="76">
        <f>IFERROR(IF(OR(NOT(ISNUMBER('Price History'!K64)),NOT(ISNUMBER('Price History'!K63)),'Price History'!K63=0),"",'Price History'!K64/'Price History'!K63-1),"")</f>
        <v>8.7478130467383064E-2</v>
      </c>
      <c r="L63" s="76">
        <f>IFERROR(IF(OR(NOT(ISNUMBER('Price History'!L64)),NOT(ISNUMBER('Price History'!L63)),'Price History'!L63=0),"",'Price History'!L64/'Price History'!L63-1),"")</f>
        <v>5.32678295429454E-2</v>
      </c>
      <c r="M63" s="76">
        <f>IFERROR(IF(OR(NOT(ISNUMBER('Price History'!M64)),NOT(ISNUMBER('Price History'!M63)),'Price History'!M63=0),"",'Price History'!M64/'Price History'!M63-1),"")</f>
        <v>6.3117870722433356E-2</v>
      </c>
      <c r="N63" s="76">
        <f>IFERROR(IF(OR(NOT(ISNUMBER('Price History'!N64)),NOT(ISNUMBER('Price History'!N63)),'Price History'!N63=0),"",'Price History'!N64/'Price History'!N63-1),"")</f>
        <v>5.7982473479607277E-2</v>
      </c>
      <c r="O63" s="76">
        <f>IFERROR(IF(OR(NOT(ISNUMBER('Price History'!O64)),NOT(ISNUMBER('Price History'!O63)),'Price History'!O63=0),"",'Price History'!O64/'Price History'!O63-1),"")</f>
        <v>1.1896065950119938E-2</v>
      </c>
      <c r="P63" s="76" t="str">
        <f>IFERROR(IF(OR(NOT(ISNUMBER('Price History'!P64)),NOT(ISNUMBER('Price History'!P63)),'Price History'!P63=0),"",'Price History'!P64/'Price History'!P63-1),"")</f>
        <v/>
      </c>
      <c r="Q63" s="76">
        <f>IFERROR(IF(OR(NOT(ISNUMBER('Price History'!Q64)),NOT(ISNUMBER('Price History'!Q63)),'Price History'!Q63=0),"",'Price History'!Q64/'Price History'!Q63-1),"")</f>
        <v>6.0644749441429724E-3</v>
      </c>
      <c r="R63" s="76">
        <f>IFERROR(IF(OR(NOT(ISNUMBER('Price History'!R64)),NOT(ISNUMBER('Price History'!R63)),'Price History'!R63=0),"",'Price History'!R64/'Price History'!R63-1),"")</f>
        <v>9.0123229722274267E-3</v>
      </c>
      <c r="S63" s="76">
        <f>IFERROR(IF(OR(NOT(ISNUMBER('Price History'!S64)),NOT(ISNUMBER('Price History'!S63)),'Price History'!S63=0),"",'Price History'!S64/'Price History'!S63-1),"")</f>
        <v>2.1594503217363004E-2</v>
      </c>
      <c r="T63" s="76">
        <f>IFERROR(IF(OR(NOT(ISNUMBER('Price History'!T64)),NOT(ISNUMBER('Price History'!T63)),'Price History'!T63=0),"",'Price History'!T64/'Price History'!T63-1),"")</f>
        <v>3.547147502217074E-3</v>
      </c>
      <c r="U63" s="76" t="str">
        <f>IFERROR(IF(OR(NOT(ISNUMBER('Price History'!U64)),NOT(ISNUMBER('Price History'!U63)),'Price History'!U63=0),"",'Price History'!U64/'Price History'!U63-1),"")</f>
        <v/>
      </c>
      <c r="W63" s="77">
        <f>'Price History'!B3+('Price History'!B158-'Price History'!B3)*0.38961038961039</f>
        <v>407.91493506493498</v>
      </c>
      <c r="X63" s="77">
        <f>'Price History'!C3+('Price History'!C158-'Price History'!C3)*0.38961038961039</f>
        <v>96.964675324675369</v>
      </c>
      <c r="Y63" s="77">
        <f>'Price History'!D3+('Price History'!D158-'Price History'!D3)*0.38961038961039</f>
        <v>1038.6189610389615</v>
      </c>
      <c r="Z63" s="77">
        <f>'Price History'!E3+('Price History'!E158-'Price History'!E3)*0.38961038961039</f>
        <v>202.31766233766245</v>
      </c>
      <c r="AA63" s="77">
        <f>'Price History'!F3+('Price History'!F158-'Price History'!F3)*0.38961038961039</f>
        <v>96.982077922077991</v>
      </c>
      <c r="AB63" s="77">
        <f>'Price History'!G3+('Price History'!G158-'Price History'!G3)*0.38961038961039</f>
        <v>100.46623376623381</v>
      </c>
      <c r="AC63" s="77">
        <f>'Price History'!H3+('Price History'!H158-'Price History'!H3)*0.38961038961039</f>
        <v>359.95181818181851</v>
      </c>
      <c r="AD63" s="77">
        <f>'Price History'!I3+('Price History'!I158-'Price History'!I3)*0.38961038961039</f>
        <v>103.14870129870137</v>
      </c>
      <c r="AE63" s="77">
        <f>'Price History'!J3+('Price History'!J158-'Price History'!J3)*0.38961038961039</f>
        <v>131.73077922077923</v>
      </c>
      <c r="AF63" s="77">
        <f>'Price History'!K3+('Price History'!K158-'Price History'!K3)*0.38961038961039</f>
        <v>57.351558441558481</v>
      </c>
      <c r="AG63" s="77">
        <f>'Price History'!L3+('Price History'!L158-'Price History'!L3)*0.38961038961039</f>
        <v>213.64974025974038</v>
      </c>
      <c r="AH63" s="77">
        <f>'Price History'!M3+('Price History'!M158-'Price History'!M3)*0.38961038961039</f>
        <v>114.57233766233776</v>
      </c>
      <c r="AI63" s="77">
        <f>'Price History'!N3+('Price History'!N158-'Price History'!N3)*0.38961038961039</f>
        <v>399.43402597402604</v>
      </c>
      <c r="AJ63" s="77">
        <f>'Price History'!O3+('Price History'!O158-'Price History'!O3)*0.38961038961039</f>
        <v>99.38116883116885</v>
      </c>
      <c r="AK63" s="77">
        <f>'Price History'!Q3+('Price History'!Q151-'Price History'!Q3)*0.38961038961039</f>
        <v>57.090649350649358</v>
      </c>
      <c r="AL63" s="77">
        <f>'Price History'!R3+('Price History'!R158-'Price History'!R3)*0.38961038961039</f>
        <v>51.88363636363637</v>
      </c>
      <c r="AM63" s="77">
        <f>'Price History'!S3+('Price History'!S158-'Price History'!S3)*0.38961038961039</f>
        <v>91.769870129870171</v>
      </c>
      <c r="AN63" s="77">
        <f>'Price History'!T3+('Price History'!T158-'Price History'!T3)*0.38961038961039</f>
        <v>35.804805194805205</v>
      </c>
    </row>
    <row r="64" spans="1:40" ht="15" customHeight="1" x14ac:dyDescent="0.2">
      <c r="A64" s="55">
        <f>IF('Price History'!A65="","",'Price History'!A65)</f>
        <v>45583</v>
      </c>
      <c r="B64" s="76">
        <f>IFERROR(IF(OR(NOT(ISNUMBER('Price History'!B65)),NOT(ISNUMBER('Price History'!B64)),'Price History'!B64=0),"",'Price History'!B65/'Price History'!B64-1),"")</f>
        <v>-1.049614468531801E-3</v>
      </c>
      <c r="C64" s="76">
        <f>IFERROR(IF(OR(NOT(ISNUMBER('Price History'!C65)),NOT(ISNUMBER('Price History'!C64)),'Price History'!C64=0),"",'Price History'!C65/'Price History'!C64-1),"")</f>
        <v>-3.5786241964885335E-2</v>
      </c>
      <c r="D64" s="76">
        <f>IFERROR(IF(OR(NOT(ISNUMBER('Price History'!D65)),NOT(ISNUMBER('Price History'!D64)),'Price History'!D64=0),"",'Price History'!D65/'Price History'!D64-1),"")</f>
        <v>-0.13968287953942604</v>
      </c>
      <c r="E64" s="76">
        <f>IFERROR(IF(OR(NOT(ISNUMBER('Price History'!E65)),NOT(ISNUMBER('Price History'!E64)),'Price History'!E64=0),"",'Price History'!E65/'Price History'!E64-1),"")</f>
        <v>-8.7612960105797333E-3</v>
      </c>
      <c r="F64" s="76">
        <f>IFERROR(IF(OR(NOT(ISNUMBER('Price History'!F65)),NOT(ISNUMBER('Price History'!F64)),'Price History'!F64=0),"",'Price History'!F65/'Price History'!F64-1),"")</f>
        <v>-3.1355402873204152E-2</v>
      </c>
      <c r="G64" s="76">
        <f>IFERROR(IF(OR(NOT(ISNUMBER('Price History'!G65)),NOT(ISNUMBER('Price History'!G64)),'Price History'!G64=0),"",'Price History'!G65/'Price History'!G64-1),"")</f>
        <v>-0.15577951972128912</v>
      </c>
      <c r="H64" s="76">
        <f>IFERROR(IF(OR(NOT(ISNUMBER('Price History'!H65)),NOT(ISNUMBER('Price History'!H64)),'Price History'!H64=0),"",'Price History'!H65/'Price History'!H64-1),"")</f>
        <v>3.9562289562289576E-2</v>
      </c>
      <c r="I64" s="76">
        <f>IFERROR(IF(OR(NOT(ISNUMBER('Price History'!I65)),NOT(ISNUMBER('Price History'!I64)),'Price History'!I64=0),"",'Price History'!I65/'Price History'!I64-1),"")</f>
        <v>2.3738872403560762E-2</v>
      </c>
      <c r="J64" s="76">
        <f>IFERROR(IF(OR(NOT(ISNUMBER('Price History'!J65)),NOT(ISNUMBER('Price History'!J64)),'Price History'!J64=0),"",'Price History'!J65/'Price History'!J64-1),"")</f>
        <v>1.8795741849634062E-2</v>
      </c>
      <c r="K64" s="76">
        <f>IFERROR(IF(OR(NOT(ISNUMBER('Price History'!K65)),NOT(ISNUMBER('Price History'!K64)),'Price History'!K64=0),"",'Price History'!K65/'Price History'!K64-1),"")</f>
        <v>-1.2410940013789951E-2</v>
      </c>
      <c r="L64" s="76">
        <f>IFERROR(IF(OR(NOT(ISNUMBER('Price History'!L65)),NOT(ISNUMBER('Price History'!L64)),'Price History'!L64=0),"",'Price History'!L65/'Price History'!L64-1),"")</f>
        <v>5.225093024474603E-2</v>
      </c>
      <c r="M64" s="76">
        <f>IFERROR(IF(OR(NOT(ISNUMBER('Price History'!M65)),NOT(ISNUMBER('Price History'!M64)),'Price History'!M64=0),"",'Price History'!M65/'Price History'!M64-1),"")</f>
        <v>3.6659513590844295E-3</v>
      </c>
      <c r="N64" s="76">
        <f>IFERROR(IF(OR(NOT(ISNUMBER('Price History'!N65)),NOT(ISNUMBER('Price History'!N64)),'Price History'!N64=0),"",'Price History'!N65/'Price History'!N64-1),"")</f>
        <v>2.6779597683252998E-3</v>
      </c>
      <c r="O64" s="76">
        <f>IFERROR(IF(OR(NOT(ISNUMBER('Price History'!O65)),NOT(ISNUMBER('Price History'!O64)),'Price History'!O64=0),"",'Price History'!O65/'Price History'!O64-1),"")</f>
        <v>1.2581210683716648E-2</v>
      </c>
      <c r="P64" s="76" t="str">
        <f>IFERROR(IF(OR(NOT(ISNUMBER('Price History'!P65)),NOT(ISNUMBER('Price History'!P64)),'Price History'!P64=0),"",'Price History'!P65/'Price History'!P64-1),"")</f>
        <v/>
      </c>
      <c r="Q64" s="76">
        <f>IFERROR(IF(OR(NOT(ISNUMBER('Price History'!Q65)),NOT(ISNUMBER('Price History'!Q64)),'Price History'!Q64=0),"",'Price History'!Q65/'Price History'!Q64-1),"")</f>
        <v>3.8071065989848663E-3</v>
      </c>
      <c r="R64" s="76">
        <f>IFERROR(IF(OR(NOT(ISNUMBER('Price History'!R65)),NOT(ISNUMBER('Price History'!R64)),'Price History'!R64=0),"",'Price History'!R65/'Price History'!R64-1),"")</f>
        <v>7.4735690849434544E-3</v>
      </c>
      <c r="S64" s="76">
        <f>IFERROR(IF(OR(NOT(ISNUMBER('Price History'!S65)),NOT(ISNUMBER('Price History'!S64)),'Price History'!S64=0),"",'Price History'!S65/'Price History'!S64-1),"")</f>
        <v>4.2703106651007516E-3</v>
      </c>
      <c r="T64" s="76">
        <f>IFERROR(IF(OR(NOT(ISNUMBER('Price History'!T65)),NOT(ISNUMBER('Price History'!T64)),'Price History'!T64=0),"",'Price History'!T65/'Price History'!T64-1),"")</f>
        <v>-4.7128129602357349E-3</v>
      </c>
      <c r="U64" s="76" t="str">
        <f>IFERROR(IF(OR(NOT(ISNUMBER('Price History'!U65)),NOT(ISNUMBER('Price History'!U64)),'Price History'!U64=0),"",'Price History'!U65/'Price History'!U64-1),"")</f>
        <v/>
      </c>
      <c r="W64" s="77">
        <f>'Price History'!B3+('Price History'!B158-'Price History'!B3)*0.396103896103896</f>
        <v>406.23935064935068</v>
      </c>
      <c r="X64" s="77">
        <f>'Price History'!C3+('Price History'!C158-'Price History'!C3)*0.396103896103896</f>
        <v>97.851753246753233</v>
      </c>
      <c r="Y64" s="77">
        <f>'Price History'!D3+('Price History'!D158-'Price History'!D3)*0.396103896103896</f>
        <v>1044.8996103896102</v>
      </c>
      <c r="Z64" s="77">
        <f>'Price History'!E3+('Price History'!E158-'Price History'!E3)*0.396103896103896</f>
        <v>204.30662337662335</v>
      </c>
      <c r="AA64" s="77">
        <f>'Price History'!F3+('Price History'!F158-'Price History'!F3)*0.396103896103896</f>
        <v>97.980779220779212</v>
      </c>
      <c r="AB64" s="77">
        <f>'Price History'!G3+('Price History'!G158-'Price History'!G3)*0.396103896103896</f>
        <v>101.34233766233764</v>
      </c>
      <c r="AC64" s="77">
        <f>'Price History'!H3+('Price History'!H158-'Price History'!H3)*0.396103896103896</f>
        <v>364.87818181818176</v>
      </c>
      <c r="AD64" s="77">
        <f>'Price History'!I3+('Price History'!I158-'Price History'!I3)*0.396103896103896</f>
        <v>104.18701298701298</v>
      </c>
      <c r="AE64" s="77">
        <f>'Price History'!J3+('Price History'!J158-'Price History'!J3)*0.396103896103896</f>
        <v>131.86779220779221</v>
      </c>
      <c r="AF64" s="77">
        <f>'Price History'!K3+('Price History'!K158-'Price History'!K3)*0.396103896103896</f>
        <v>58.05058441558441</v>
      </c>
      <c r="AG64" s="77">
        <f>'Price History'!L3+('Price History'!L158-'Price History'!L3)*0.396103896103896</f>
        <v>215.67740259740256</v>
      </c>
      <c r="AH64" s="77">
        <f>'Price History'!M3+('Price History'!M158-'Price History'!M3)*0.396103896103896</f>
        <v>115.92337662337661</v>
      </c>
      <c r="AI64" s="77">
        <f>'Price History'!N3+('Price History'!N158-'Price History'!N3)*0.396103896103896</f>
        <v>400.26025974025976</v>
      </c>
      <c r="AJ64" s="77">
        <f>'Price History'!O3+('Price History'!O158-'Price History'!O3)*0.396103896103896</f>
        <v>99.656688311688299</v>
      </c>
      <c r="AK64" s="77">
        <f>'Price History'!Q3+('Price History'!Q151-'Price History'!Q3)*0.396103896103896</f>
        <v>57.211493506493511</v>
      </c>
      <c r="AL64" s="77">
        <f>'Price History'!R3+('Price History'!R158-'Price History'!R3)*0.396103896103896</f>
        <v>51.951363636363638</v>
      </c>
      <c r="AM64" s="77">
        <f>'Price History'!S3+('Price History'!S158-'Price History'!S3)*0.396103896103896</f>
        <v>92.323701298701309</v>
      </c>
      <c r="AN64" s="77">
        <f>'Price History'!T3+('Price History'!T158-'Price History'!T3)*0.396103896103896</f>
        <v>35.95305194805195</v>
      </c>
    </row>
    <row r="65" spans="1:40" ht="15" customHeight="1" x14ac:dyDescent="0.2">
      <c r="A65" s="55">
        <f>IF('Price History'!A66="","",'Price History'!A66)</f>
        <v>45590</v>
      </c>
      <c r="B65" s="76">
        <f>IFERROR(IF(OR(NOT(ISNUMBER('Price History'!B66)),NOT(ISNUMBER('Price History'!B65)),'Price History'!B65=0),"",'Price History'!B66/'Price History'!B65-1),"")</f>
        <v>-2.2590422307536828E-2</v>
      </c>
      <c r="C65" s="76">
        <f>IFERROR(IF(OR(NOT(ISNUMBER('Price History'!C66)),NOT(ISNUMBER('Price History'!C65)),'Price History'!C65=0),"",'Price History'!C66/'Price History'!C65-1),"")</f>
        <v>-1.9701492537313459E-2</v>
      </c>
      <c r="D65" s="76">
        <f>IFERROR(IF(OR(NOT(ISNUMBER('Price History'!D66)),NOT(ISNUMBER('Price History'!D65)),'Price History'!D65=0),"",'Price History'!D66/'Price History'!D65-1),"")</f>
        <v>-1.5983187235572238E-2</v>
      </c>
      <c r="E65" s="76">
        <f>IFERROR(IF(OR(NOT(ISNUMBER('Price History'!E66)),NOT(ISNUMBER('Price History'!E65)),'Price History'!E65=0),"",'Price History'!E66/'Price History'!E65-1),"")</f>
        <v>-3.8301184056923621E-2</v>
      </c>
      <c r="F65" s="76">
        <f>IFERROR(IF(OR(NOT(ISNUMBER('Price History'!F66)),NOT(ISNUMBER('Price History'!F65)),'Price History'!F65=0),"",'Price History'!F66/'Price History'!F65-1),"")</f>
        <v>-3.0693835439773109E-2</v>
      </c>
      <c r="G65" s="76">
        <f>IFERROR(IF(OR(NOT(ISNUMBER('Price History'!G66)),NOT(ISNUMBER('Price History'!G65)),'Price History'!G65=0),"",'Price History'!G66/'Price History'!G65-1),"")</f>
        <v>-7.9587324981575946E-3</v>
      </c>
      <c r="H65" s="76">
        <f>IFERROR(IF(OR(NOT(ISNUMBER('Price History'!H66)),NOT(ISNUMBER('Price History'!H65)),'Price History'!H65=0),"",'Price History'!H66/'Price History'!H65-1),"")</f>
        <v>-2.9149797570850233E-2</v>
      </c>
      <c r="I65" s="76">
        <f>IFERROR(IF(OR(NOT(ISNUMBER('Price History'!I66)),NOT(ISNUMBER('Price History'!I65)),'Price History'!I65=0),"",'Price History'!I66/'Price History'!I65-1),"")</f>
        <v>2.565217391304353E-2</v>
      </c>
      <c r="J65" s="76">
        <f>IFERROR(IF(OR(NOT(ISNUMBER('Price History'!J66)),NOT(ISNUMBER('Price History'!J65)),'Price History'!J65=0),"",'Price History'!J66/'Price History'!J65-1),"")</f>
        <v>-4.0489795918367322E-2</v>
      </c>
      <c r="K65" s="76">
        <f>IFERROR(IF(OR(NOT(ISNUMBER('Price History'!K66)),NOT(ISNUMBER('Price History'!K65)),'Price History'!K65=0),"",'Price History'!K66/'Price History'!K65-1),"")</f>
        <v>4.3984175005818082E-2</v>
      </c>
      <c r="L65" s="76">
        <f>IFERROR(IF(OR(NOT(ISNUMBER('Price History'!L66)),NOT(ISNUMBER('Price History'!L65)),'Price History'!L65=0),"",'Price History'!L66/'Price History'!L65-1),"")</f>
        <v>1.3248331507122124E-2</v>
      </c>
      <c r="M65" s="76">
        <f>IFERROR(IF(OR(NOT(ISNUMBER('Price History'!M66)),NOT(ISNUMBER('Price History'!M65)),'Price History'!M65=0),"",'Price History'!M66/'Price History'!M65-1),"")</f>
        <v>-7.1269487750558191E-4</v>
      </c>
      <c r="N65" s="76">
        <f>IFERROR(IF(OR(NOT(ISNUMBER('Price History'!N66)),NOT(ISNUMBER('Price History'!N65)),'Price History'!N65=0),"",'Price History'!N66/'Price History'!N65-1),"")</f>
        <v>-1.0973084886128359E-2</v>
      </c>
      <c r="O65" s="76">
        <f>IFERROR(IF(OR(NOT(ISNUMBER('Price History'!O66)),NOT(ISNUMBER('Price History'!O65)),'Price History'!O65=0),"",'Price History'!O66/'Price History'!O65-1),"")</f>
        <v>-3.3302780323861914E-2</v>
      </c>
      <c r="P65" s="76" t="str">
        <f>IFERROR(IF(OR(NOT(ISNUMBER('Price History'!P66)),NOT(ISNUMBER('Price History'!P65)),'Price History'!P65=0),"",'Price History'!P66/'Price History'!P65-1),"")</f>
        <v/>
      </c>
      <c r="Q65" s="76">
        <f>IFERROR(IF(OR(NOT(ISNUMBER('Price History'!Q66)),NOT(ISNUMBER('Price History'!Q65)),'Price History'!Q65=0),"",'Price History'!Q66/'Price History'!Q65-1),"")</f>
        <v>-1.7383059418457636E-3</v>
      </c>
      <c r="R65" s="76">
        <f>IFERROR(IF(OR(NOT(ISNUMBER('Price History'!R66)),NOT(ISNUMBER('Price History'!R65)),'Price History'!R65=0),"",'Price History'!R66/'Price History'!R65-1),"")</f>
        <v>2.3520897412701025E-3</v>
      </c>
      <c r="S65" s="76">
        <f>IFERROR(IF(OR(NOT(ISNUMBER('Price History'!S66)),NOT(ISNUMBER('Price History'!S65)),'Price History'!S65=0),"",'Price History'!S66/'Price History'!S65-1),"")</f>
        <v>-1.4669926650366705E-2</v>
      </c>
      <c r="T65" s="76">
        <f>IFERROR(IF(OR(NOT(ISNUMBER('Price History'!T66)),NOT(ISNUMBER('Price History'!T65)),'Price History'!T65=0),"",'Price History'!T66/'Price History'!T65-1),"")</f>
        <v>-1.9236460491269591E-2</v>
      </c>
      <c r="U65" s="76" t="str">
        <f>IFERROR(IF(OR(NOT(ISNUMBER('Price History'!U66)),NOT(ISNUMBER('Price History'!U65)),'Price History'!U65=0),"",'Price History'!U66/'Price History'!U65-1),"")</f>
        <v/>
      </c>
      <c r="W65" s="77">
        <f>'Price History'!B3+('Price History'!B158-'Price History'!B3)*0.402597402597403</f>
        <v>404.56376623376616</v>
      </c>
      <c r="X65" s="77">
        <f>'Price History'!C3+('Price History'!C158-'Price History'!C3)*0.402597402597403</f>
        <v>98.738831168831211</v>
      </c>
      <c r="Y65" s="77">
        <f>'Price History'!D3+('Price History'!D158-'Price History'!D3)*0.402597402597403</f>
        <v>1051.1802597402602</v>
      </c>
      <c r="Z65" s="77">
        <f>'Price History'!E3+('Price History'!E158-'Price History'!E3)*0.402597402597403</f>
        <v>206.29558441558453</v>
      </c>
      <c r="AA65" s="77">
        <f>'Price History'!F3+('Price History'!F158-'Price History'!F3)*0.402597402597403</f>
        <v>98.979480519480589</v>
      </c>
      <c r="AB65" s="77">
        <f>'Price History'!G3+('Price History'!G158-'Price History'!G3)*0.402597402597403</f>
        <v>102.21844155844161</v>
      </c>
      <c r="AC65" s="77">
        <f>'Price History'!H3+('Price History'!H158-'Price History'!H3)*0.402597402597403</f>
        <v>369.80454545454575</v>
      </c>
      <c r="AD65" s="77">
        <f>'Price History'!I3+('Price History'!I158-'Price History'!I3)*0.402597402597403</f>
        <v>105.22532467532474</v>
      </c>
      <c r="AE65" s="77">
        <f>'Price History'!J3+('Price History'!J158-'Price History'!J3)*0.402597402597403</f>
        <v>132.00480519480521</v>
      </c>
      <c r="AF65" s="77">
        <f>'Price History'!K3+('Price History'!K158-'Price History'!K3)*0.402597402597403</f>
        <v>58.749610389610439</v>
      </c>
      <c r="AG65" s="77">
        <f>'Price History'!L3+('Price History'!L158-'Price History'!L3)*0.402597402597403</f>
        <v>217.70506493506505</v>
      </c>
      <c r="AH65" s="77">
        <f>'Price History'!M3+('Price History'!M158-'Price History'!M3)*0.402597402597403</f>
        <v>117.27441558441566</v>
      </c>
      <c r="AI65" s="77">
        <f>'Price History'!N3+('Price History'!N158-'Price History'!N3)*0.402597402597403</f>
        <v>401.08649350649358</v>
      </c>
      <c r="AJ65" s="77">
        <f>'Price History'!O3+('Price History'!O158-'Price History'!O3)*0.402597402597403</f>
        <v>99.932207792207805</v>
      </c>
      <c r="AK65" s="77">
        <f>'Price History'!Q3+('Price History'!Q151-'Price History'!Q3)*0.402597402597403</f>
        <v>57.332337662337672</v>
      </c>
      <c r="AL65" s="77">
        <f>'Price History'!R3+('Price History'!R158-'Price History'!R3)*0.402597402597403</f>
        <v>52.019090909090913</v>
      </c>
      <c r="AM65" s="77">
        <f>'Price History'!S3+('Price History'!S158-'Price History'!S3)*0.402597402597403</f>
        <v>92.877532467532518</v>
      </c>
      <c r="AN65" s="77">
        <f>'Price History'!T3+('Price History'!T158-'Price History'!T3)*0.402597402597403</f>
        <v>36.10129870129871</v>
      </c>
    </row>
    <row r="66" spans="1:40" ht="15" customHeight="1" x14ac:dyDescent="0.2">
      <c r="A66" s="55">
        <f>IF('Price History'!A67="","",'Price History'!A67)</f>
        <v>45597</v>
      </c>
      <c r="B66" s="76">
        <f>IFERROR(IF(OR(NOT(ISNUMBER('Price History'!B67)),NOT(ISNUMBER('Price History'!B66)),'Price History'!B66=0),"",'Price History'!B67/'Price History'!B66-1),"")</f>
        <v>-1.901926734474535E-3</v>
      </c>
      <c r="C66" s="76">
        <f>IFERROR(IF(OR(NOT(ISNUMBER('Price History'!C67)),NOT(ISNUMBER('Price History'!C66)),'Price History'!C66=0),"",'Price History'!C67/'Price History'!C66-1),"")</f>
        <v>2.0300446609833322E-4</v>
      </c>
      <c r="D66" s="76">
        <f>IFERROR(IF(OR(NOT(ISNUMBER('Price History'!D67)),NOT(ISNUMBER('Price History'!D66)),'Price History'!D66=0),"",'Price History'!D67/'Price History'!D66-1),"")</f>
        <v>-5.1946044681748016E-2</v>
      </c>
      <c r="E66" s="76">
        <f>IFERROR(IF(OR(NOT(ISNUMBER('Price History'!E67)),NOT(ISNUMBER('Price History'!E66)),'Price History'!E66=0),"",'Price History'!E67/'Price History'!E66-1),"")</f>
        <v>-2.3583815028901833E-2</v>
      </c>
      <c r="F66" s="76">
        <f>IFERROR(IF(OR(NOT(ISNUMBER('Price History'!F67)),NOT(ISNUMBER('Price History'!F66)),'Price History'!F66=0),"",'Price History'!F67/'Price History'!F66-1),"")</f>
        <v>8.2490686535392488E-3</v>
      </c>
      <c r="G66" s="76">
        <f>IFERROR(IF(OR(NOT(ISNUMBER('Price History'!G67)),NOT(ISNUMBER('Price History'!G66)),'Price History'!G66=0),"",'Price History'!G67/'Price History'!G66-1),"")</f>
        <v>-5.4969543901353113E-3</v>
      </c>
      <c r="H66" s="76">
        <f>IFERROR(IF(OR(NOT(ISNUMBER('Price History'!H67)),NOT(ISNUMBER('Price History'!H66)),'Price History'!H66=0),"",'Price History'!H67/'Price History'!H66-1),"")</f>
        <v>-7.5803910666295882E-2</v>
      </c>
      <c r="I66" s="76">
        <f>IFERROR(IF(OR(NOT(ISNUMBER('Price History'!I67)),NOT(ISNUMBER('Price History'!I66)),'Price History'!I66=0),"",'Price History'!I67/'Price History'!I66-1),"")</f>
        <v>-4.3379963261268806E-2</v>
      </c>
      <c r="J66" s="76">
        <f>IFERROR(IF(OR(NOT(ISNUMBER('Price History'!J67)),NOT(ISNUMBER('Price History'!J66)),'Price History'!J66=0),"",'Price History'!J67/'Price History'!J66-1),"")</f>
        <v>-3.5222052067381271E-2</v>
      </c>
      <c r="K66" s="76">
        <f>IFERROR(IF(OR(NOT(ISNUMBER('Price History'!K67)),NOT(ISNUMBER('Price History'!K66)),'Price History'!K66=0),"",'Price History'!K67/'Price History'!K66-1),"")</f>
        <v>-6.553722692822106E-2</v>
      </c>
      <c r="L66" s="76">
        <f>IFERROR(IF(OR(NOT(ISNUMBER('Price History'!L67)),NOT(ISNUMBER('Price History'!L66)),'Price History'!L66=0),"",'Price History'!L67/'Price History'!L66-1),"")</f>
        <v>-5.1563114431773527E-2</v>
      </c>
      <c r="M66" s="76">
        <f>IFERROR(IF(OR(NOT(ISNUMBER('Price History'!M67)),NOT(ISNUMBER('Price History'!M66)),'Price History'!M66=0),"",'Price History'!M67/'Price History'!M66-1),"")</f>
        <v>-4.6982259071052801E-2</v>
      </c>
      <c r="N66" s="76">
        <f>IFERROR(IF(OR(NOT(ISNUMBER('Price History'!N67)),NOT(ISNUMBER('Price History'!N66)),'Price History'!N66=0),"",'Price History'!N67/'Price History'!N66-1),"")</f>
        <v>-1.3774335356918521E-2</v>
      </c>
      <c r="O66" s="76">
        <f>IFERROR(IF(OR(NOT(ISNUMBER('Price History'!O67)),NOT(ISNUMBER('Price History'!O66)),'Price History'!O66=0),"",'Price History'!O67/'Price History'!O66-1),"")</f>
        <v>-2.4230931310578185E-3</v>
      </c>
      <c r="P66" s="76" t="str">
        <f>IFERROR(IF(OR(NOT(ISNUMBER('Price History'!P67)),NOT(ISNUMBER('Price History'!P66)),'Price History'!P66=0),"",'Price History'!P67/'Price History'!P66-1),"")</f>
        <v/>
      </c>
      <c r="Q66" s="76">
        <f>IFERROR(IF(OR(NOT(ISNUMBER('Price History'!Q67)),NOT(ISNUMBER('Price History'!Q66)),'Price History'!Q66=0),"",'Price History'!Q67/'Price History'!Q66-1),"")</f>
        <v>-1.2347633370270672E-2</v>
      </c>
      <c r="R66" s="76">
        <f>IFERROR(IF(OR(NOT(ISNUMBER('Price History'!R67)),NOT(ISNUMBER('Price History'!R66)),'Price History'!R66=0),"",'Price History'!R67/'Price History'!R66-1),"")</f>
        <v>-1.7328519855595692E-2</v>
      </c>
      <c r="S66" s="76">
        <f>IFERROR(IF(OR(NOT(ISNUMBER('Price History'!S67)),NOT(ISNUMBER('Price History'!S66)),'Price History'!S66=0),"",'Price History'!S67/'Price History'!S66-1),"")</f>
        <v>-1.3701585931599869E-2</v>
      </c>
      <c r="T66" s="76">
        <f>IFERROR(IF(OR(NOT(ISNUMBER('Price History'!T67)),NOT(ISNUMBER('Price History'!T66)),'Price History'!T66=0),"",'Price History'!T67/'Price History'!T66-1),"")</f>
        <v>6.0350030174993741E-4</v>
      </c>
      <c r="U66" s="76" t="str">
        <f>IFERROR(IF(OR(NOT(ISNUMBER('Price History'!U67)),NOT(ISNUMBER('Price History'!U66)),'Price History'!U66=0),"",'Price History'!U67/'Price History'!U66-1),"")</f>
        <v/>
      </c>
      <c r="W66" s="77">
        <f>'Price History'!B3+('Price History'!B158-'Price History'!B3)*0.409090909090909</f>
        <v>402.88818181818186</v>
      </c>
      <c r="X66" s="77">
        <f>'Price History'!C3+('Price History'!C158-'Price History'!C3)*0.409090909090909</f>
        <v>99.625909090909076</v>
      </c>
      <c r="Y66" s="77">
        <f>'Price History'!D3+('Price History'!D158-'Price History'!D3)*0.409090909090909</f>
        <v>1057.4609090909089</v>
      </c>
      <c r="Z66" s="77">
        <f>'Price History'!E3+('Price History'!E158-'Price History'!E3)*0.409090909090909</f>
        <v>208.28454545454542</v>
      </c>
      <c r="AA66" s="77">
        <f>'Price History'!F3+('Price History'!F158-'Price History'!F3)*0.409090909090909</f>
        <v>99.97818181818181</v>
      </c>
      <c r="AB66" s="77">
        <f>'Price History'!G3+('Price History'!G158-'Price History'!G3)*0.409090909090909</f>
        <v>103.09454545454544</v>
      </c>
      <c r="AC66" s="77">
        <f>'Price History'!H3+('Price History'!H158-'Price History'!H3)*0.409090909090909</f>
        <v>374.73090909090899</v>
      </c>
      <c r="AD66" s="77">
        <f>'Price History'!I3+('Price History'!I158-'Price History'!I3)*0.409090909090909</f>
        <v>106.26363636363635</v>
      </c>
      <c r="AE66" s="77">
        <f>'Price History'!J3+('Price History'!J158-'Price History'!J3)*0.409090909090909</f>
        <v>132.14181818181819</v>
      </c>
      <c r="AF66" s="77">
        <f>'Price History'!K3+('Price History'!K158-'Price History'!K3)*0.409090909090909</f>
        <v>59.448636363636354</v>
      </c>
      <c r="AG66" s="77">
        <f>'Price History'!L3+('Price History'!L158-'Price History'!L3)*0.409090909090909</f>
        <v>219.73272727272723</v>
      </c>
      <c r="AH66" s="77">
        <f>'Price History'!M3+('Price History'!M158-'Price History'!M3)*0.409090909090909</f>
        <v>118.62545454545452</v>
      </c>
      <c r="AI66" s="77">
        <f>'Price History'!N3+('Price History'!N158-'Price History'!N3)*0.409090909090909</f>
        <v>401.9127272727273</v>
      </c>
      <c r="AJ66" s="77">
        <f>'Price History'!O3+('Price History'!O158-'Price History'!O3)*0.409090909090909</f>
        <v>100.20772727272727</v>
      </c>
      <c r="AK66" s="77">
        <f>'Price History'!Q3+('Price History'!Q151-'Price History'!Q3)*0.409090909090909</f>
        <v>57.453181818181818</v>
      </c>
      <c r="AL66" s="77">
        <f>'Price History'!R3+('Price History'!R158-'Price History'!R3)*0.409090909090909</f>
        <v>52.086818181818181</v>
      </c>
      <c r="AM66" s="77">
        <f>'Price History'!S3+('Price History'!S158-'Price History'!S3)*0.409090909090909</f>
        <v>93.431363636363642</v>
      </c>
      <c r="AN66" s="77">
        <f>'Price History'!T3+('Price History'!T158-'Price History'!T3)*0.409090909090909</f>
        <v>36.249545454545455</v>
      </c>
    </row>
    <row r="67" spans="1:40" ht="15" customHeight="1" x14ac:dyDescent="0.2">
      <c r="A67" s="55">
        <f>IF('Price History'!A68="","",'Price History'!A68)</f>
        <v>45604</v>
      </c>
      <c r="B67" s="76">
        <f>IFERROR(IF(OR(NOT(ISNUMBER('Price History'!B68)),NOT(ISNUMBER('Price History'!B67)),'Price History'!B67=0),"",'Price History'!B68/'Price History'!B67-1),"")</f>
        <v>2.4606462303231158E-2</v>
      </c>
      <c r="C67" s="76">
        <f>IFERROR(IF(OR(NOT(ISNUMBER('Price History'!C68)),NOT(ISNUMBER('Price History'!C67)),'Price History'!C67=0),"",'Price History'!C68/'Price History'!C67-1),"")</f>
        <v>1.5932616196468352E-2</v>
      </c>
      <c r="D67" s="76">
        <f>IFERROR(IF(OR(NOT(ISNUMBER('Price History'!D68)),NOT(ISNUMBER('Price History'!D67)),'Price History'!D67=0),"",'Price History'!D68/'Price History'!D67-1),"")</f>
        <v>-7.795710876943307E-3</v>
      </c>
      <c r="E67" s="76">
        <f>IFERROR(IF(OR(NOT(ISNUMBER('Price History'!E68)),NOT(ISNUMBER('Price History'!E67)),'Price History'!E67=0),"",'Price History'!E68/'Price History'!E67-1),"")</f>
        <v>8.7141842292209226E-2</v>
      </c>
      <c r="F67" s="76">
        <f>IFERROR(IF(OR(NOT(ISNUMBER('Price History'!F68)),NOT(ISNUMBER('Price History'!F67)),'Price History'!F67=0),"",'Price History'!F68/'Price History'!F67-1),"")</f>
        <v>8.8809712325151891E-2</v>
      </c>
      <c r="G67" s="76">
        <f>IFERROR(IF(OR(NOT(ISNUMBER('Price History'!G68)),NOT(ISNUMBER('Price History'!G67)),'Price History'!G67=0),"",'Price History'!G68/'Price History'!G67-1),"")</f>
        <v>2.6889752016731272E-2</v>
      </c>
      <c r="H67" s="76">
        <f>IFERROR(IF(OR(NOT(ISNUMBER('Price History'!H68)),NOT(ISNUMBER('Price History'!H67)),'Price History'!H67=0),"",'Price History'!H68/'Price History'!H67-1),"")</f>
        <v>0.12202947959490618</v>
      </c>
      <c r="I67" s="76">
        <f>IFERROR(IF(OR(NOT(ISNUMBER('Price History'!I68)),NOT(ISNUMBER('Price History'!I67)),'Price History'!I67=0),"",'Price History'!I68/'Price History'!I67-1),"")</f>
        <v>9.0324963072378139E-2</v>
      </c>
      <c r="J67" s="76">
        <f>IFERROR(IF(OR(NOT(ISNUMBER('Price History'!J68)),NOT(ISNUMBER('Price History'!J67)),'Price History'!J67=0),"",'Price History'!J68/'Price History'!J67-1),"")</f>
        <v>2.1428571428571352E-2</v>
      </c>
      <c r="K67" s="76">
        <f>IFERROR(IF(OR(NOT(ISNUMBER('Price History'!K68)),NOT(ISNUMBER('Price History'!K67)),'Price History'!K67=0),"",'Price History'!K68/'Price History'!K67-1),"")</f>
        <v>0.39289122137404586</v>
      </c>
      <c r="L67" s="76">
        <f>IFERROR(IF(OR(NOT(ISNUMBER('Price History'!L68)),NOT(ISNUMBER('Price History'!L67)),'Price History'!L67=0),"",'Price History'!L68/'Price History'!L67-1),"")</f>
        <v>4.275719098211983E-2</v>
      </c>
      <c r="M67" s="76">
        <f>IFERROR(IF(OR(NOT(ISNUMBER('Price History'!M68)),NOT(ISNUMBER('Price History'!M67)),'Price History'!M67=0),"",'Price History'!M68/'Price History'!M67-1),"")</f>
        <v>0.17633302151543484</v>
      </c>
      <c r="N67" s="76">
        <f>IFERROR(IF(OR(NOT(ISNUMBER('Price History'!N68)),NOT(ISNUMBER('Price History'!N67)),'Price History'!N67=0),"",'Price History'!N68/'Price History'!N67-1),"")</f>
        <v>9.6833078621158197E-2</v>
      </c>
      <c r="O67" s="76">
        <f>IFERROR(IF(OR(NOT(ISNUMBER('Price History'!O68)),NOT(ISNUMBER('Price History'!O67)),'Price History'!O67=0),"",'Price History'!O68/'Price History'!O67-1),"")</f>
        <v>8.8604921322209318E-2</v>
      </c>
      <c r="P67" s="76" t="str">
        <f>IFERROR(IF(OR(NOT(ISNUMBER('Price History'!P68)),NOT(ISNUMBER('Price History'!P67)),'Price History'!P67=0),"",'Price History'!P68/'Price History'!P67-1),"")</f>
        <v/>
      </c>
      <c r="Q67" s="76">
        <f>IFERROR(IF(OR(NOT(ISNUMBER('Price History'!Q68)),NOT(ISNUMBER('Price History'!Q67)),'Price History'!Q67=0),"",'Price History'!Q68/'Price History'!Q67-1),"")</f>
        <v>4.1673345087354097E-3</v>
      </c>
      <c r="R67" s="76">
        <f>IFERROR(IF(OR(NOT(ISNUMBER('Price History'!R68)),NOT(ISNUMBER('Price History'!R67)),'Price History'!R67=0),"",'Price History'!R68/'Price History'!R67-1),"")</f>
        <v>3.8574577516532038E-2</v>
      </c>
      <c r="S67" s="76">
        <f>IFERROR(IF(OR(NOT(ISNUMBER('Price History'!S68)),NOT(ISNUMBER('Price History'!S67)),'Price History'!S67=0),"",'Price History'!S68/'Price History'!S67-1),"")</f>
        <v>5.9833734412601203E-2</v>
      </c>
      <c r="T67" s="76">
        <f>IFERROR(IF(OR(NOT(ISNUMBER('Price History'!T68)),NOT(ISNUMBER('Price History'!T67)),'Price History'!T67=0),"",'Price History'!T68/'Price History'!T67-1),"")</f>
        <v>7.7503015681543941E-2</v>
      </c>
      <c r="U67" s="76" t="str">
        <f>IFERROR(IF(OR(NOT(ISNUMBER('Price History'!U68)),NOT(ISNUMBER('Price History'!U67)),'Price History'!U67=0),"",'Price History'!U68/'Price History'!U67-1),"")</f>
        <v/>
      </c>
      <c r="W67" s="77">
        <f>'Price History'!B3+('Price History'!B158-'Price History'!B3)*0.415584415584416</f>
        <v>401.21259740259728</v>
      </c>
      <c r="X67" s="77">
        <f>'Price History'!C3+('Price History'!C158-'Price History'!C3)*0.415584415584416</f>
        <v>100.51298701298707</v>
      </c>
      <c r="Y67" s="77">
        <f>'Price History'!D3+('Price History'!D158-'Price History'!D3)*0.415584415584416</f>
        <v>1063.7415584415589</v>
      </c>
      <c r="Z67" s="77">
        <f>'Price History'!E3+('Price History'!E158-'Price History'!E3)*0.415584415584416</f>
        <v>210.2735064935066</v>
      </c>
      <c r="AA67" s="77">
        <f>'Price History'!F3+('Price History'!F158-'Price History'!F3)*0.415584415584416</f>
        <v>100.97688311688319</v>
      </c>
      <c r="AB67" s="77">
        <f>'Price History'!G3+('Price History'!G158-'Price History'!G3)*0.415584415584416</f>
        <v>103.97064935064941</v>
      </c>
      <c r="AC67" s="77">
        <f>'Price History'!H3+('Price History'!H158-'Price History'!H3)*0.415584415584416</f>
        <v>379.65727272727304</v>
      </c>
      <c r="AD67" s="77">
        <f>'Price History'!I3+('Price History'!I158-'Price History'!I3)*0.415584415584416</f>
        <v>107.30194805194813</v>
      </c>
      <c r="AE67" s="77">
        <f>'Price History'!J3+('Price History'!J158-'Price History'!J3)*0.415584415584416</f>
        <v>132.27883116883118</v>
      </c>
      <c r="AF67" s="77">
        <f>'Price History'!K3+('Price History'!K158-'Price History'!K3)*0.415584415584416</f>
        <v>60.147662337662382</v>
      </c>
      <c r="AG67" s="77">
        <f>'Price History'!L3+('Price History'!L158-'Price History'!L3)*0.415584415584416</f>
        <v>221.76038961038972</v>
      </c>
      <c r="AH67" s="77">
        <f>'Price History'!M3+('Price History'!M158-'Price History'!M3)*0.415584415584416</f>
        <v>119.9764935064936</v>
      </c>
      <c r="AI67" s="77">
        <f>'Price History'!N3+('Price History'!N158-'Price History'!N3)*0.415584415584416</f>
        <v>402.73896103896112</v>
      </c>
      <c r="AJ67" s="77">
        <f>'Price History'!O3+('Price History'!O158-'Price History'!O3)*0.415584415584416</f>
        <v>100.48324675324676</v>
      </c>
      <c r="AK67" s="77">
        <f>'Price History'!Q3+('Price History'!Q151-'Price History'!Q3)*0.415584415584416</f>
        <v>57.574025974025986</v>
      </c>
      <c r="AL67" s="77">
        <f>'Price History'!R3+('Price History'!R158-'Price History'!R3)*0.415584415584416</f>
        <v>52.154545454545456</v>
      </c>
      <c r="AM67" s="77">
        <f>'Price History'!S3+('Price History'!S158-'Price History'!S3)*0.415584415584416</f>
        <v>93.985194805194851</v>
      </c>
      <c r="AN67" s="77">
        <f>'Price History'!T3+('Price History'!T158-'Price History'!T3)*0.415584415584416</f>
        <v>36.397792207792222</v>
      </c>
    </row>
    <row r="68" spans="1:40" ht="15" customHeight="1" x14ac:dyDescent="0.2">
      <c r="A68" s="55">
        <f>IF('Price History'!A69="","",'Price History'!A69)</f>
        <v>45611</v>
      </c>
      <c r="B68" s="76">
        <f>IFERROR(IF(OR(NOT(ISNUMBER('Price History'!B69)),NOT(ISNUMBER('Price History'!B68)),'Price History'!B68=0),"",'Price History'!B69/'Price History'!B68-1),"")</f>
        <v>1.7566911943074359E-2</v>
      </c>
      <c r="C68" s="76">
        <f>IFERROR(IF(OR(NOT(ISNUMBER('Price History'!C69)),NOT(ISNUMBER('Price History'!C68)),'Price History'!C68=0),"",'Price History'!C69/'Price History'!C68-1),"")</f>
        <v>-6.5028468684447116E-2</v>
      </c>
      <c r="D68" s="76">
        <f>IFERROR(IF(OR(NOT(ISNUMBER('Price History'!D69)),NOT(ISNUMBER('Price History'!D68)),'Price History'!D68=0),"",'Price History'!D69/'Price History'!D68-1),"")</f>
        <v>-1.6191913005810576E-2</v>
      </c>
      <c r="E68" s="76">
        <f>IFERROR(IF(OR(NOT(ISNUMBER('Price History'!E69)),NOT(ISNUMBER('Price History'!E68)),'Price History'!E68=0),"",'Price History'!E69/'Price History'!E68-1),"")</f>
        <v>-0.10237421041167494</v>
      </c>
      <c r="F68" s="76">
        <f>IFERROR(IF(OR(NOT(ISNUMBER('Price History'!F69)),NOT(ISNUMBER('Price History'!F68)),'Price History'!F68=0),"",'Price History'!F69/'Price History'!F68-1),"")</f>
        <v>2.0361168343230984E-2</v>
      </c>
      <c r="G68" s="76">
        <f>IFERROR(IF(OR(NOT(ISNUMBER('Price History'!G69)),NOT(ISNUMBER('Price History'!G68)),'Price History'!G68=0),"",'Price History'!G69/'Price History'!G68-1),"")</f>
        <v>-0.10605178935117821</v>
      </c>
      <c r="H68" s="76">
        <f>IFERROR(IF(OR(NOT(ISNUMBER('Price History'!H69)),NOT(ISNUMBER('Price History'!H68)),'Price History'!H68=0),"",'Price History'!H69/'Price History'!H68-1),"")</f>
        <v>-0.13905272564789994</v>
      </c>
      <c r="I68" s="76">
        <f>IFERROR(IF(OR(NOT(ISNUMBER('Price History'!I69)),NOT(ISNUMBER('Price History'!I68)),'Price History'!I68=0),"",'Price History'!I69/'Price History'!I68-1),"")</f>
        <v>-3.8271354060827822E-2</v>
      </c>
      <c r="J68" s="76">
        <f>IFERROR(IF(OR(NOT(ISNUMBER('Price History'!J69)),NOT(ISNUMBER('Price History'!J68)),'Price History'!J68=0),"",'Price History'!J69/'Price History'!J68-1),"")</f>
        <v>-2.0806354139687455E-2</v>
      </c>
      <c r="K68" s="76">
        <f>IFERROR(IF(OR(NOT(ISNUMBER('Price History'!K69)),NOT(ISNUMBER('Price History'!K68)),'Price History'!K68=0),"",'Price History'!K69/'Price History'!K68-1),"")</f>
        <v>0.1263915053947593</v>
      </c>
      <c r="L68" s="76">
        <f>IFERROR(IF(OR(NOT(ISNUMBER('Price History'!L69)),NOT(ISNUMBER('Price History'!L68)),'Price History'!L68=0),"",'Price History'!L69/'Price History'!L68-1),"")</f>
        <v>-7.549701789264418E-2</v>
      </c>
      <c r="M68" s="76">
        <f>IFERROR(IF(OR(NOT(ISNUMBER('Price History'!M69)),NOT(ISNUMBER('Price History'!M68)),'Price History'!M68=0),"",'Price History'!M69/'Price History'!M68-1),"")</f>
        <v>-3.8807157057654029E-2</v>
      </c>
      <c r="N68" s="76">
        <f>IFERROR(IF(OR(NOT(ISNUMBER('Price History'!N69)),NOT(ISNUMBER('Price History'!N68)),'Price History'!N68=0),"",'Price History'!N69/'Price History'!N68-1),"")</f>
        <v>-9.8773077369663675E-2</v>
      </c>
      <c r="O68" s="76">
        <f>IFERROR(IF(OR(NOT(ISNUMBER('Price History'!O69)),NOT(ISNUMBER('Price History'!O68)),'Price History'!O68=0),"",'Price History'!O69/'Price History'!O68-1),"")</f>
        <v>-1.9402405898331421E-2</v>
      </c>
      <c r="P68" s="76" t="str">
        <f>IFERROR(IF(OR(NOT(ISNUMBER('Price History'!P69)),NOT(ISNUMBER('Price History'!P68)),'Price History'!P68=0),"",'Price History'!P69/'Price History'!P68-1),"")</f>
        <v/>
      </c>
      <c r="Q68" s="76">
        <f>IFERROR(IF(OR(NOT(ISNUMBER('Price History'!Q69)),NOT(ISNUMBER('Price History'!Q68)),'Price History'!Q68=0),"",'Price History'!Q69/'Price History'!Q68-1),"")</f>
        <v>-3.9904229848364281E-3</v>
      </c>
      <c r="R68" s="76">
        <f>IFERROR(IF(OR(NOT(ISNUMBER('Price History'!R69)),NOT(ISNUMBER('Price History'!R68)),'Price History'!R68=0),"",'Price History'!R69/'Price History'!R68-1),"")</f>
        <v>-1.6448532012734329E-2</v>
      </c>
      <c r="S68" s="76">
        <f>IFERROR(IF(OR(NOT(ISNUMBER('Price History'!S69)),NOT(ISNUMBER('Price History'!S68)),'Price History'!S68=0),"",'Price History'!S69/'Price History'!S68-1),"")</f>
        <v>-3.085973784704299E-2</v>
      </c>
      <c r="T68" s="76">
        <f>IFERROR(IF(OR(NOT(ISNUMBER('Price History'!T69)),NOT(ISNUMBER('Price History'!T68)),'Price History'!T68=0),"",'Price History'!T69/'Price History'!T68-1),"")</f>
        <v>-1.5393226980128683E-2</v>
      </c>
      <c r="U68" s="76" t="str">
        <f>IFERROR(IF(OR(NOT(ISNUMBER('Price History'!U69)),NOT(ISNUMBER('Price History'!U68)),'Price History'!U68=0),"",'Price History'!U69/'Price History'!U68-1),"")</f>
        <v/>
      </c>
      <c r="W68" s="77">
        <f>'Price History'!B3+('Price History'!B158-'Price History'!B3)*0.422077922077922</f>
        <v>399.53701298701299</v>
      </c>
      <c r="X68" s="77">
        <f>'Price History'!C3+('Price History'!C158-'Price History'!C3)*0.422077922077922</f>
        <v>101.40006493506492</v>
      </c>
      <c r="Y68" s="77">
        <f>'Price History'!D3+('Price History'!D158-'Price History'!D3)*0.422077922077922</f>
        <v>1070.0222077922076</v>
      </c>
      <c r="Z68" s="77">
        <f>'Price History'!E3+('Price History'!E158-'Price History'!E3)*0.422077922077922</f>
        <v>212.2624675324675</v>
      </c>
      <c r="AA68" s="77">
        <f>'Price History'!F3+('Price History'!F158-'Price History'!F3)*0.422077922077922</f>
        <v>101.97558441558441</v>
      </c>
      <c r="AB68" s="77">
        <f>'Price History'!G3+('Price History'!G158-'Price History'!G3)*0.422077922077922</f>
        <v>104.84675324675322</v>
      </c>
      <c r="AC68" s="77">
        <f>'Price History'!H3+('Price History'!H158-'Price History'!H3)*0.422077922077922</f>
        <v>384.58363636363629</v>
      </c>
      <c r="AD68" s="77">
        <f>'Price History'!I3+('Price History'!I158-'Price History'!I3)*0.422077922077922</f>
        <v>108.34025974025974</v>
      </c>
      <c r="AE68" s="77">
        <f>'Price History'!J3+('Price History'!J158-'Price History'!J3)*0.422077922077922</f>
        <v>132.41584415584416</v>
      </c>
      <c r="AF68" s="77">
        <f>'Price History'!K3+('Price History'!K158-'Price History'!K3)*0.422077922077922</f>
        <v>60.846688311688311</v>
      </c>
      <c r="AG68" s="77">
        <f>'Price History'!L3+('Price History'!L158-'Price History'!L3)*0.422077922077922</f>
        <v>223.78805194805193</v>
      </c>
      <c r="AH68" s="77">
        <f>'Price History'!M3+('Price History'!M158-'Price History'!M3)*0.422077922077922</f>
        <v>121.32753246753245</v>
      </c>
      <c r="AI68" s="77">
        <f>'Price History'!N3+('Price History'!N158-'Price History'!N3)*0.422077922077922</f>
        <v>403.56519480519484</v>
      </c>
      <c r="AJ68" s="77">
        <f>'Price History'!O3+('Price History'!O158-'Price History'!O3)*0.422077922077922</f>
        <v>100.75876623376622</v>
      </c>
      <c r="AK68" s="77">
        <f>'Price History'!Q3+('Price History'!Q151-'Price History'!Q3)*0.422077922077922</f>
        <v>57.694870129870132</v>
      </c>
      <c r="AL68" s="77">
        <f>'Price History'!R3+('Price History'!R158-'Price History'!R3)*0.422077922077922</f>
        <v>52.222272727272724</v>
      </c>
      <c r="AM68" s="77">
        <f>'Price History'!S3+('Price History'!S158-'Price History'!S3)*0.422077922077922</f>
        <v>94.539025974025975</v>
      </c>
      <c r="AN68" s="77">
        <f>'Price History'!T3+('Price History'!T158-'Price History'!T3)*0.422077922077922</f>
        <v>36.54603896103896</v>
      </c>
    </row>
    <row r="69" spans="1:40" ht="15" customHeight="1" x14ac:dyDescent="0.2">
      <c r="A69" s="55">
        <f>IF('Price History'!A70="","",'Price History'!A70)</f>
        <v>45618</v>
      </c>
      <c r="B69" s="76">
        <f>IFERROR(IF(OR(NOT(ISNUMBER('Price History'!B70)),NOT(ISNUMBER('Price History'!B69)),'Price History'!B69=0),"",'Price History'!B70/'Price History'!B69-1),"")</f>
        <v>1.7442437968095081E-2</v>
      </c>
      <c r="C69" s="76">
        <f>IFERROR(IF(OR(NOT(ISNUMBER('Price History'!C70)),NOT(ISNUMBER('Price History'!C69)),'Price History'!C69=0),"",'Price History'!C70/'Price History'!C69-1),"")</f>
        <v>8.5683760683760823E-2</v>
      </c>
      <c r="D69" s="76">
        <f>IFERROR(IF(OR(NOT(ISNUMBER('Price History'!D70)),NOT(ISNUMBER('Price History'!D69)),'Price History'!D69=0),"",'Price History'!D70/'Price History'!D69-1),"")</f>
        <v>2.1635819807782841E-2</v>
      </c>
      <c r="E69" s="76">
        <f>IFERROR(IF(OR(NOT(ISNUMBER('Price History'!E70)),NOT(ISNUMBER('Price History'!E69)),'Price History'!E69=0),"",'Price History'!E70/'Price History'!E69-1),"")</f>
        <v>-3.7005581169620161E-3</v>
      </c>
      <c r="F69" s="76">
        <f>IFERROR(IF(OR(NOT(ISNUMBER('Price History'!F70)),NOT(ISNUMBER('Price History'!F69)),'Price History'!F69=0),"",'Price History'!F70/'Price History'!F69-1),"")</f>
        <v>0.10547570970424025</v>
      </c>
      <c r="G69" s="76">
        <f>IFERROR(IF(OR(NOT(ISNUMBER('Price History'!G70)),NOT(ISNUMBER('Price History'!G69)),'Price History'!G69=0),"",'Price History'!G70/'Price History'!G69-1),"")</f>
        <v>4.0846216436126959E-2</v>
      </c>
      <c r="H69" s="76">
        <f>IFERROR(IF(OR(NOT(ISNUMBER('Price History'!H70)),NOT(ISNUMBER('Price History'!H69)),'Price History'!H69=0),"",'Price History'!H70/'Price History'!H69-1),"")</f>
        <v>6.539339838073488E-2</v>
      </c>
      <c r="I69" s="76">
        <f>IFERROR(IF(OR(NOT(ISNUMBER('Price History'!I70)),NOT(ISNUMBER('Price History'!I69)),'Price History'!I69=0),"",'Price History'!I70/'Price History'!I69-1),"")</f>
        <v>-2.1129736582614633E-4</v>
      </c>
      <c r="J69" s="76">
        <f>IFERROR(IF(OR(NOT(ISNUMBER('Price History'!J70)),NOT(ISNUMBER('Price History'!J69)),'Price History'!J69=0),"",'Price History'!J70/'Price History'!J69-1),"")</f>
        <v>2.0983953447363701E-2</v>
      </c>
      <c r="K69" s="76">
        <f>IFERROR(IF(OR(NOT(ISNUMBER('Price History'!K70)),NOT(ISNUMBER('Price History'!K69)),'Price History'!K69=0),"",'Price History'!K70/'Price History'!K69-1),"")</f>
        <v>-2.1590390755663713E-2</v>
      </c>
      <c r="L69" s="76">
        <f>IFERROR(IF(OR(NOT(ISNUMBER('Price History'!L70)),NOT(ISNUMBER('Price History'!L69)),'Price History'!L69=0),"",'Price History'!L70/'Price History'!L69-1),"")</f>
        <v>2.1880544056771312E-2</v>
      </c>
      <c r="M69" s="76">
        <f>IFERROR(IF(OR(NOT(ISNUMBER('Price History'!M70)),NOT(ISNUMBER('Price History'!M69)),'Price History'!M69=0),"",'Price History'!M70/'Price History'!M69-1),"")</f>
        <v>0.15951021758914541</v>
      </c>
      <c r="N69" s="76">
        <f>IFERROR(IF(OR(NOT(ISNUMBER('Price History'!N70)),NOT(ISNUMBER('Price History'!N69)),'Price History'!N69=0),"",'Price History'!N70/'Price History'!N69-1),"")</f>
        <v>-3.1629804595232902E-2</v>
      </c>
      <c r="O69" s="76">
        <f>IFERROR(IF(OR(NOT(ISNUMBER('Price History'!O70)),NOT(ISNUMBER('Price History'!O69)),'Price History'!O69=0),"",'Price History'!O70/'Price History'!O69-1),"")</f>
        <v>3.6604669568658599E-2</v>
      </c>
      <c r="P69" s="76" t="str">
        <f>IFERROR(IF(OR(NOT(ISNUMBER('Price History'!P70)),NOT(ISNUMBER('Price History'!P69)),'Price History'!P69=0),"",'Price History'!P70/'Price History'!P69-1),"")</f>
        <v/>
      </c>
      <c r="Q69" s="76">
        <f>IFERROR(IF(OR(NOT(ISNUMBER('Price History'!Q70)),NOT(ISNUMBER('Price History'!Q69)),'Price History'!Q69=0),"",'Price History'!Q70/'Price History'!Q69-1),"")</f>
        <v>-1.2179487179487136E-2</v>
      </c>
      <c r="R69" s="76">
        <f>IFERROR(IF(OR(NOT(ISNUMBER('Price History'!R70)),NOT(ISNUMBER('Price History'!R69)),'Price History'!R69=0),"",'Price History'!R70/'Price History'!R69-1),"")</f>
        <v>1.7263082179464151E-2</v>
      </c>
      <c r="S69" s="76">
        <f>IFERROR(IF(OR(NOT(ISNUMBER('Price History'!S70)),NOT(ISNUMBER('Price History'!S69)),'Price History'!S69=0),"",'Price History'!S70/'Price History'!S69-1),"")</f>
        <v>1.7891373801916854E-2</v>
      </c>
      <c r="T69" s="76">
        <f>IFERROR(IF(OR(NOT(ISNUMBER('Price History'!T70)),NOT(ISNUMBER('Price History'!T69)),'Price History'!T69=0),"",'Price History'!T70/'Price History'!T69-1),"")</f>
        <v>3.8658328595793101E-2</v>
      </c>
      <c r="U69" s="76" t="str">
        <f>IFERROR(IF(OR(NOT(ISNUMBER('Price History'!U70)),NOT(ISNUMBER('Price History'!U69)),'Price History'!U69=0),"",'Price History'!U70/'Price History'!U69-1),"")</f>
        <v/>
      </c>
      <c r="W69" s="77">
        <f>'Price History'!B3+('Price History'!B158-'Price History'!B3)*0.428571428571429</f>
        <v>397.86142857142846</v>
      </c>
      <c r="X69" s="77">
        <f>'Price History'!C3+('Price History'!C158-'Price History'!C3)*0.428571428571429</f>
        <v>102.28714285714291</v>
      </c>
      <c r="Y69" s="77">
        <f>'Price History'!D3+('Price History'!D158-'Price History'!D3)*0.428571428571429</f>
        <v>1076.3028571428576</v>
      </c>
      <c r="Z69" s="77">
        <f>'Price History'!E3+('Price History'!E158-'Price History'!E3)*0.428571428571429</f>
        <v>214.25142857142868</v>
      </c>
      <c r="AA69" s="77">
        <f>'Price History'!F3+('Price History'!F158-'Price History'!F3)*0.428571428571429</f>
        <v>102.97428571428578</v>
      </c>
      <c r="AB69" s="77">
        <f>'Price History'!G3+('Price History'!G158-'Price History'!G3)*0.428571428571429</f>
        <v>105.72285714285719</v>
      </c>
      <c r="AC69" s="77">
        <f>'Price History'!H3+('Price History'!H158-'Price History'!H3)*0.428571428571429</f>
        <v>389.51000000000033</v>
      </c>
      <c r="AD69" s="77">
        <f>'Price History'!I3+('Price History'!I158-'Price History'!I3)*0.428571428571429</f>
        <v>109.37857142857149</v>
      </c>
      <c r="AE69" s="77">
        <f>'Price History'!J3+('Price History'!J158-'Price History'!J3)*0.428571428571429</f>
        <v>132.55285714285716</v>
      </c>
      <c r="AF69" s="77">
        <f>'Price History'!K3+('Price History'!K158-'Price History'!K3)*0.428571428571429</f>
        <v>61.54571428571434</v>
      </c>
      <c r="AG69" s="77">
        <f>'Price History'!L3+('Price History'!L158-'Price History'!L3)*0.428571428571429</f>
        <v>225.81571428571442</v>
      </c>
      <c r="AH69" s="77">
        <f>'Price History'!M3+('Price History'!M158-'Price History'!M3)*0.428571428571429</f>
        <v>122.6785714285715</v>
      </c>
      <c r="AI69" s="77">
        <f>'Price History'!N3+('Price History'!N158-'Price History'!N3)*0.428571428571429</f>
        <v>404.39142857142866</v>
      </c>
      <c r="AJ69" s="77">
        <f>'Price History'!O3+('Price History'!O158-'Price History'!O3)*0.428571428571429</f>
        <v>101.03428571428573</v>
      </c>
      <c r="AK69" s="77">
        <f>'Price History'!Q3+('Price History'!Q151-'Price History'!Q3)*0.428571428571429</f>
        <v>57.815714285714293</v>
      </c>
      <c r="AL69" s="77">
        <f>'Price History'!R3+('Price History'!R158-'Price History'!R3)*0.428571428571429</f>
        <v>52.290000000000006</v>
      </c>
      <c r="AM69" s="77">
        <f>'Price History'!S3+('Price History'!S158-'Price History'!S3)*0.428571428571429</f>
        <v>95.092857142857184</v>
      </c>
      <c r="AN69" s="77">
        <f>'Price History'!T3+('Price History'!T158-'Price History'!T3)*0.428571428571429</f>
        <v>36.694285714285726</v>
      </c>
    </row>
    <row r="70" spans="1:40" ht="15" customHeight="1" x14ac:dyDescent="0.2">
      <c r="A70" s="55">
        <f>IF('Price History'!A71="","",'Price History'!A71)</f>
        <v>45625</v>
      </c>
      <c r="B70" s="76">
        <f>IFERROR(IF(OR(NOT(ISNUMBER('Price History'!B71)),NOT(ISNUMBER('Price History'!B70)),'Price History'!B70=0),"",'Price History'!B71/'Price History'!B70-1),"")</f>
        <v>7.3806502001365626E-3</v>
      </c>
      <c r="C70" s="76">
        <f>IFERROR(IF(OR(NOT(ISNUMBER('Price History'!C71)),NOT(ISNUMBER('Price History'!C70)),'Price History'!C70=0),"",'Price History'!C71/'Price History'!C70-1),"")</f>
        <v>-1.5744932099981401E-3</v>
      </c>
      <c r="D70" s="76">
        <f>IFERROR(IF(OR(NOT(ISNUMBER('Price History'!D71)),NOT(ISNUMBER('Price History'!D70)),'Price History'!D70=0),"",'Price History'!D71/'Price History'!D70-1),"")</f>
        <v>2.0404827012245885E-2</v>
      </c>
      <c r="E70" s="76">
        <f>IFERROR(IF(OR(NOT(ISNUMBER('Price History'!E71)),NOT(ISNUMBER('Price History'!E70)),'Price History'!E70=0),"",'Price History'!E71/'Price History'!E70-1),"")</f>
        <v>-1.3091396212628448E-2</v>
      </c>
      <c r="F70" s="76">
        <f>IFERROR(IF(OR(NOT(ISNUMBER('Price History'!F71)),NOT(ISNUMBER('Price History'!F70)),'Price History'!F70=0),"",'Price History'!F71/'Price History'!F70-1),"")</f>
        <v>-7.0699473514558964E-2</v>
      </c>
      <c r="G70" s="76">
        <f>IFERROR(IF(OR(NOT(ISNUMBER('Price History'!G71)),NOT(ISNUMBER('Price History'!G70)),'Price History'!G70=0),"",'Price History'!G71/'Price History'!G70-1),"")</f>
        <v>1.1569731081926271E-2</v>
      </c>
      <c r="H70" s="76">
        <f>IFERROR(IF(OR(NOT(ISNUMBER('Price History'!H71)),NOT(ISNUMBER('Price History'!H70)),'Price History'!H70=0),"",'Price History'!H71/'Price History'!H70-1),"")</f>
        <v>-4.5693686671862799E-2</v>
      </c>
      <c r="I70" s="76">
        <f>IFERROR(IF(OR(NOT(ISNUMBER('Price History'!I71)),NOT(ISNUMBER('Price History'!I70)),'Price History'!I70=0),"",'Price History'!I71/'Price History'!I70-1),"")</f>
        <v>-2.6065516026769875E-2</v>
      </c>
      <c r="J70" s="76">
        <f>IFERROR(IF(OR(NOT(ISNUMBER('Price History'!J71)),NOT(ISNUMBER('Price History'!J70)),'Price History'!J70=0),"",'Price History'!J71/'Price History'!J70-1),"")</f>
        <v>8.4628670120898697E-3</v>
      </c>
      <c r="K70" s="76">
        <f>IFERROR(IF(OR(NOT(ISNUMBER('Price History'!K71)),NOT(ISNUMBER('Price History'!K70)),'Price History'!K70=0),"",'Price History'!K71/'Price History'!K70-1),"")</f>
        <v>4.2424242424242475E-2</v>
      </c>
      <c r="L70" s="76">
        <f>IFERROR(IF(OR(NOT(ISNUMBER('Price History'!L71)),NOT(ISNUMBER('Price History'!L70)),'Price History'!L70=0),"",'Price History'!L71/'Price History'!L70-1),"")</f>
        <v>-2.8514309764309798E-2</v>
      </c>
      <c r="M70" s="76">
        <f>IFERROR(IF(OR(NOT(ISNUMBER('Price History'!M71)),NOT(ISNUMBER('Price History'!M70)),'Price History'!M70=0),"",'Price History'!M71/'Price History'!M70-1),"")</f>
        <v>-8.9546914020692148E-2</v>
      </c>
      <c r="N70" s="76">
        <f>IFERROR(IF(OR(NOT(ISNUMBER('Price History'!N71)),NOT(ISNUMBER('Price History'!N70)),'Price History'!N70=0),"",'Price History'!N71/'Price History'!N70-1),"")</f>
        <v>3.8051311617180561E-2</v>
      </c>
      <c r="O70" s="76">
        <f>IFERROR(IF(OR(NOT(ISNUMBER('Price History'!O71)),NOT(ISNUMBER('Price History'!O70)),'Price History'!O70=0),"",'Price History'!O71/'Price History'!O70-1),"")</f>
        <v>6.7761023096009065E-3</v>
      </c>
      <c r="P70" s="76" t="str">
        <f>IFERROR(IF(OR(NOT(ISNUMBER('Price History'!P71)),NOT(ISNUMBER('Price History'!P70)),'Price History'!P70=0),"",'Price History'!P71/'Price History'!P70-1),"")</f>
        <v/>
      </c>
      <c r="Q70" s="76">
        <f>IFERROR(IF(OR(NOT(ISNUMBER('Price History'!Q71)),NOT(ISNUMBER('Price History'!Q70)),'Price History'!Q70=0),"",'Price History'!Q71/'Price History'!Q70-1),"")</f>
        <v>1.7196625567813095E-2</v>
      </c>
      <c r="R70" s="76">
        <f>IFERROR(IF(OR(NOT(ISNUMBER('Price History'!R71)),NOT(ISNUMBER('Price History'!R70)),'Price History'!R70=0),"",'Price History'!R71/'Price History'!R70-1),"")</f>
        <v>9.1921513169526126E-3</v>
      </c>
      <c r="S70" s="76">
        <f>IFERROR(IF(OR(NOT(ISNUMBER('Price History'!S71)),NOT(ISNUMBER('Price History'!S70)),'Price History'!S70=0),"",'Price History'!S71/'Price History'!S70-1),"")</f>
        <v>1.3078049801213742E-2</v>
      </c>
      <c r="T70" s="76">
        <f>IFERROR(IF(OR(NOT(ISNUMBER('Price History'!T71)),NOT(ISNUMBER('Price History'!T70)),'Price History'!T70=0),"",'Price History'!T71/'Price History'!T70-1),"")</f>
        <v>1.9157088122605526E-3</v>
      </c>
      <c r="U70" s="76" t="str">
        <f>IFERROR(IF(OR(NOT(ISNUMBER('Price History'!U71)),NOT(ISNUMBER('Price History'!U70)),'Price History'!U70=0),"",'Price History'!U71/'Price History'!U70-1),"")</f>
        <v/>
      </c>
      <c r="W70" s="77">
        <f>'Price History'!B3+('Price History'!B158-'Price History'!B3)*0.435064935064935</f>
        <v>396.18584415584417</v>
      </c>
      <c r="X70" s="77">
        <f>'Price History'!C3+('Price History'!C158-'Price History'!C3)*0.435064935064935</f>
        <v>103.17422077922076</v>
      </c>
      <c r="Y70" s="77">
        <f>'Price History'!D3+('Price History'!D158-'Price History'!D3)*0.435064935064935</f>
        <v>1082.5835064935063</v>
      </c>
      <c r="Z70" s="77">
        <f>'Price History'!E3+('Price History'!E158-'Price History'!E3)*0.435064935064935</f>
        <v>216.24038961038957</v>
      </c>
      <c r="AA70" s="77">
        <f>'Price History'!F3+('Price History'!F158-'Price History'!F3)*0.435064935064935</f>
        <v>103.97298701298701</v>
      </c>
      <c r="AB70" s="77">
        <f>'Price History'!G3+('Price History'!G158-'Price History'!G3)*0.435064935064935</f>
        <v>106.59896103896102</v>
      </c>
      <c r="AC70" s="77">
        <f>'Price History'!H3+('Price History'!H158-'Price History'!H3)*0.435064935064935</f>
        <v>394.43636363636358</v>
      </c>
      <c r="AD70" s="77">
        <f>'Price History'!I3+('Price History'!I158-'Price History'!I3)*0.435064935064935</f>
        <v>110.4168831168831</v>
      </c>
      <c r="AE70" s="77">
        <f>'Price History'!J3+('Price History'!J158-'Price History'!J3)*0.435064935064935</f>
        <v>132.68987012987014</v>
      </c>
      <c r="AF70" s="77">
        <f>'Price History'!K3+('Price History'!K158-'Price History'!K3)*0.435064935064935</f>
        <v>62.244740259740254</v>
      </c>
      <c r="AG70" s="77">
        <f>'Price History'!L3+('Price History'!L158-'Price History'!L3)*0.435064935064935</f>
        <v>227.84337662337657</v>
      </c>
      <c r="AH70" s="77">
        <f>'Price History'!M3+('Price History'!M158-'Price History'!M3)*0.435064935064935</f>
        <v>124.02961038961038</v>
      </c>
      <c r="AI70" s="77">
        <f>'Price History'!N3+('Price History'!N158-'Price History'!N3)*0.435064935064935</f>
        <v>405.21766233766232</v>
      </c>
      <c r="AJ70" s="77">
        <f>'Price History'!O3+('Price History'!O158-'Price History'!O3)*0.435064935064935</f>
        <v>101.30980519480519</v>
      </c>
      <c r="AK70" s="77">
        <f>'Price History'!Q3+('Price History'!Q151-'Price History'!Q3)*0.435064935064935</f>
        <v>57.936558441558446</v>
      </c>
      <c r="AL70" s="77">
        <f>'Price History'!R3+('Price History'!R158-'Price History'!R3)*0.435064935064935</f>
        <v>52.357727272727274</v>
      </c>
      <c r="AM70" s="77">
        <f>'Price History'!S3+('Price History'!S158-'Price History'!S3)*0.435064935064935</f>
        <v>95.646688311688308</v>
      </c>
      <c r="AN70" s="77">
        <f>'Price History'!T3+('Price History'!T158-'Price History'!T3)*0.435064935064935</f>
        <v>36.842532467532465</v>
      </c>
    </row>
    <row r="71" spans="1:40" ht="15" customHeight="1" x14ac:dyDescent="0.2">
      <c r="A71" s="55">
        <f>IF('Price History'!A72="","",'Price History'!A72)</f>
        <v>45632</v>
      </c>
      <c r="B71" s="76">
        <f>IFERROR(IF(OR(NOT(ISNUMBER('Price History'!B72)),NOT(ISNUMBER('Price History'!B71)),'Price History'!B71=0),"",'Price History'!B72/'Price History'!B71-1),"")</f>
        <v>7.1773302579807519E-2</v>
      </c>
      <c r="C71" s="76">
        <f>IFERROR(IF(OR(NOT(ISNUMBER('Price History'!C72)),NOT(ISNUMBER('Price History'!C71)),'Price History'!C71=0),"",'Price History'!C72/'Price History'!C71-1),"")</f>
        <v>6.6922925290755053E-2</v>
      </c>
      <c r="D71" s="76">
        <f>IFERROR(IF(OR(NOT(ISNUMBER('Price History'!D72)),NOT(ISNUMBER('Price History'!D71)),'Price History'!D71=0),"",'Price History'!D72/'Price History'!D71-1),"")</f>
        <v>3.2580358573280233E-2</v>
      </c>
      <c r="E71" s="76">
        <f>IFERROR(IF(OR(NOT(ISNUMBER('Price History'!E72)),NOT(ISNUMBER('Price History'!E71)),'Price History'!E71=0),"",'Price History'!E72/'Price History'!E71-1),"")</f>
        <v>0.10766288252714706</v>
      </c>
      <c r="F71" s="76">
        <f>IFERROR(IF(OR(NOT(ISNUMBER('Price History'!F72)),NOT(ISNUMBER('Price History'!F71)),'Price History'!F71=0),"",'Price History'!F72/'Price History'!F71-1),"")</f>
        <v>5.6885189039195261E-2</v>
      </c>
      <c r="G71" s="76">
        <f>IFERROR(IF(OR(NOT(ISNUMBER('Price History'!G72)),NOT(ISNUMBER('Price History'!G71)),'Price History'!G71=0),"",'Price History'!G72/'Price History'!G71-1),"")</f>
        <v>2.0092735703245435E-3</v>
      </c>
      <c r="H71" s="76">
        <f>IFERROR(IF(OR(NOT(ISNUMBER('Price History'!H72)),NOT(ISNUMBER('Price History'!H71)),'Price History'!H71=0),"",'Price History'!H72/'Price History'!H71-1),"")</f>
        <v>3.2873915262889186E-2</v>
      </c>
      <c r="I71" s="76">
        <f>IFERROR(IF(OR(NOT(ISNUMBER('Price History'!I72)),NOT(ISNUMBER('Price History'!I71)),'Price History'!I71=0),"",'Price History'!I72/'Price History'!I71-1),"")</f>
        <v>3.0307414104882469E-2</v>
      </c>
      <c r="J71" s="76">
        <f>IFERROR(IF(OR(NOT(ISNUMBER('Price History'!J72)),NOT(ISNUMBER('Price History'!J71)),'Price History'!J71=0),"",'Price History'!J72/'Price History'!J71-1),"")</f>
        <v>-4.0931666381229692E-2</v>
      </c>
      <c r="K71" s="76">
        <f>IFERROR(IF(OR(NOT(ISNUMBER('Price History'!K72)),NOT(ISNUMBER('Price History'!K71)),'Price History'!K71=0),"",'Price History'!K72/'Price History'!K71-1),"")</f>
        <v>0.13804412641621955</v>
      </c>
      <c r="L71" s="76">
        <f>IFERROR(IF(OR(NOT(ISNUMBER('Price History'!L72)),NOT(ISNUMBER('Price History'!L71)),'Price History'!L71=0),"",'Price History'!L72/'Price History'!L71-1),"")</f>
        <v>9.9425972056752965E-2</v>
      </c>
      <c r="M71" s="76">
        <f>IFERROR(IF(OR(NOT(ISNUMBER('Price History'!M72)),NOT(ISNUMBER('Price History'!M71)),'Price History'!M71=0),"",'Price History'!M72/'Price History'!M71-1),"")</f>
        <v>4.8981191222570608E-2</v>
      </c>
      <c r="N71" s="76">
        <f>IFERROR(IF(OR(NOT(ISNUMBER('Price History'!N72)),NOT(ISNUMBER('Price History'!N71)),'Price History'!N71=0),"",'Price History'!N72/'Price History'!N71-1),"")</f>
        <v>-1.28810373186935E-2</v>
      </c>
      <c r="O71" s="76">
        <f>IFERROR(IF(OR(NOT(ISNUMBER('Price History'!O72)),NOT(ISNUMBER('Price History'!O71)),'Price History'!O71=0),"",'Price History'!O72/'Price History'!O71-1),"")</f>
        <v>-2.085505735140758E-2</v>
      </c>
      <c r="P71" s="76" t="str">
        <f>IFERROR(IF(OR(NOT(ISNUMBER('Price History'!P72)),NOT(ISNUMBER('Price History'!P71)),'Price History'!P71=0),"",'Price History'!P72/'Price History'!P71-1),"")</f>
        <v/>
      </c>
      <c r="Q71" s="76">
        <f>IFERROR(IF(OR(NOT(ISNUMBER('Price History'!Q72)),NOT(ISNUMBER('Price History'!Q71)),'Price History'!Q71=0),"",'Price History'!Q72/'Price History'!Q71-1),"")</f>
        <v>1.0366826156299913E-2</v>
      </c>
      <c r="R71" s="76">
        <f>IFERROR(IF(OR(NOT(ISNUMBER('Price History'!R72)),NOT(ISNUMBER('Price History'!R71)),'Price History'!R71=0),"",'Price History'!R72/'Price History'!R71-1),"")</f>
        <v>9.2835873182692819E-3</v>
      </c>
      <c r="S71" s="76">
        <f>IFERROR(IF(OR(NOT(ISNUMBER('Price History'!S72)),NOT(ISNUMBER('Price History'!S71)),'Price History'!S71=0),"",'Price History'!S72/'Price History'!S71-1),"")</f>
        <v>1.931219663327477E-2</v>
      </c>
      <c r="T71" s="76">
        <f>IFERROR(IF(OR(NOT(ISNUMBER('Price History'!T72)),NOT(ISNUMBER('Price History'!T71)),'Price History'!T71=0),"",'Price History'!T72/'Price History'!T71-1),"")</f>
        <v>-8.1944823818635992E-4</v>
      </c>
      <c r="U71" s="76" t="str">
        <f>IFERROR(IF(OR(NOT(ISNUMBER('Price History'!U72)),NOT(ISNUMBER('Price History'!U71)),'Price History'!U71=0),"",'Price History'!U72/'Price History'!U71-1),"")</f>
        <v/>
      </c>
      <c r="W71" s="77">
        <f>'Price History'!B3+('Price History'!B158-'Price History'!B3)*0.441558441558442</f>
        <v>394.51025974025964</v>
      </c>
      <c r="X71" s="77">
        <f>'Price History'!C3+('Price History'!C158-'Price History'!C3)*0.441558441558442</f>
        <v>104.06129870129875</v>
      </c>
      <c r="Y71" s="77">
        <f>'Price History'!D3+('Price History'!D158-'Price History'!D3)*0.441558441558442</f>
        <v>1088.8641558441564</v>
      </c>
      <c r="Z71" s="77">
        <f>'Price History'!E3+('Price History'!E158-'Price History'!E3)*0.441558441558442</f>
        <v>218.22935064935075</v>
      </c>
      <c r="AA71" s="77">
        <f>'Price History'!F3+('Price History'!F158-'Price History'!F3)*0.441558441558442</f>
        <v>104.97168831168838</v>
      </c>
      <c r="AB71" s="77">
        <f>'Price History'!G3+('Price History'!G158-'Price History'!G3)*0.441558441558442</f>
        <v>107.47506493506498</v>
      </c>
      <c r="AC71" s="77">
        <f>'Price History'!H3+('Price History'!H158-'Price History'!H3)*0.441558441558442</f>
        <v>399.36272727272757</v>
      </c>
      <c r="AD71" s="77">
        <f>'Price History'!I3+('Price History'!I158-'Price History'!I3)*0.441558441558442</f>
        <v>111.45519480519488</v>
      </c>
      <c r="AE71" s="77">
        <f>'Price History'!J3+('Price History'!J158-'Price History'!J3)*0.441558441558442</f>
        <v>132.82688311688312</v>
      </c>
      <c r="AF71" s="77">
        <f>'Price History'!K3+('Price History'!K158-'Price History'!K3)*0.441558441558442</f>
        <v>62.943766233766283</v>
      </c>
      <c r="AG71" s="77">
        <f>'Price History'!L3+('Price History'!L158-'Price History'!L3)*0.441558441558442</f>
        <v>229.87103896103906</v>
      </c>
      <c r="AH71" s="77">
        <f>'Price History'!M3+('Price History'!M158-'Price History'!M3)*0.441558441558442</f>
        <v>125.38064935064943</v>
      </c>
      <c r="AI71" s="77">
        <f>'Price History'!N3+('Price History'!N158-'Price History'!N3)*0.441558441558442</f>
        <v>406.04389610389615</v>
      </c>
      <c r="AJ71" s="77">
        <f>'Price History'!O3+('Price History'!O158-'Price History'!O3)*0.441558441558442</f>
        <v>101.5853246753247</v>
      </c>
      <c r="AK71" s="77">
        <f>'Price History'!Q3+('Price History'!Q151-'Price History'!Q3)*0.441558441558442</f>
        <v>58.057402597402607</v>
      </c>
      <c r="AL71" s="77">
        <f>'Price History'!R3+('Price History'!R158-'Price History'!R3)*0.441558441558442</f>
        <v>52.425454545454549</v>
      </c>
      <c r="AM71" s="77">
        <f>'Price History'!S3+('Price History'!S158-'Price History'!S3)*0.441558441558442</f>
        <v>96.200519480519517</v>
      </c>
      <c r="AN71" s="77">
        <f>'Price History'!T3+('Price History'!T158-'Price History'!T3)*0.441558441558442</f>
        <v>36.990779220779231</v>
      </c>
    </row>
    <row r="72" spans="1:40" ht="15" customHeight="1" x14ac:dyDescent="0.2">
      <c r="A72" s="55">
        <f>IF('Price History'!A73="","",'Price History'!A73)</f>
        <v>45639</v>
      </c>
      <c r="B72" s="76">
        <f>IFERROR(IF(OR(NOT(ISNUMBER('Price History'!B73)),NOT(ISNUMBER('Price History'!B72)),'Price History'!B72=0),"",'Price History'!B73/'Price History'!B72-1),"")</f>
        <v>-0.15782335069444453</v>
      </c>
      <c r="C72" s="76">
        <f>IFERROR(IF(OR(NOT(ISNUMBER('Price History'!C73)),NOT(ISNUMBER('Price History'!C72)),'Price History'!C72=0),"",'Price History'!C73/'Price History'!C72-1),"")</f>
        <v>3.8060046189376529E-2</v>
      </c>
      <c r="D72" s="76">
        <f>IFERROR(IF(OR(NOT(ISNUMBER('Price History'!D73)),NOT(ISNUMBER('Price History'!D72)),'Price History'!D72=0),"",'Price History'!D73/'Price History'!D72-1),"")</f>
        <v>1.3540579423961141E-2</v>
      </c>
      <c r="E72" s="76">
        <f>IFERROR(IF(OR(NOT(ISNUMBER('Price History'!E73)),NOT(ISNUMBER('Price History'!E72)),'Price History'!E72=0),"",'Price History'!E73/'Price History'!E72-1),"")</f>
        <v>0.2521584136356041</v>
      </c>
      <c r="F72" s="76">
        <f>IFERROR(IF(OR(NOT(ISNUMBER('Price History'!F73)),NOT(ISNUMBER('Price History'!F72)),'Price History'!F72=0),"",'Price History'!F73/'Price History'!F72-1),"")</f>
        <v>6.5638332786348563E-3</v>
      </c>
      <c r="G72" s="76">
        <f>IFERROR(IF(OR(NOT(ISNUMBER('Price History'!G73)),NOT(ISNUMBER('Price History'!G72)),'Price History'!G72=0),"",'Price History'!G73/'Price History'!G72-1),"")</f>
        <v>8.4837266697517233E-3</v>
      </c>
      <c r="H72" s="76">
        <f>IFERROR(IF(OR(NOT(ISNUMBER('Price History'!H73)),NOT(ISNUMBER('Price History'!H72)),'Price History'!H72=0),"",'Price History'!H73/'Price History'!H72-1),"")</f>
        <v>1.3146189581891843E-2</v>
      </c>
      <c r="I72" s="76">
        <f>IFERROR(IF(OR(NOT(ISNUMBER('Price History'!I73)),NOT(ISNUMBER('Price History'!I72)),'Price History'!I72=0),"",'Price History'!I73/'Price History'!I72-1),"")</f>
        <v>-5.7497893850042114E-2</v>
      </c>
      <c r="J72" s="76">
        <f>IFERROR(IF(OR(NOT(ISNUMBER('Price History'!J73)),NOT(ISNUMBER('Price History'!J72)),'Price History'!J72=0),"",'Price History'!J73/'Price History'!J72-1),"")</f>
        <v>-7.7678571428572152E-3</v>
      </c>
      <c r="K72" s="76">
        <f>IFERROR(IF(OR(NOT(ISNUMBER('Price History'!K73)),NOT(ISNUMBER('Price History'!K72)),'Price History'!K72=0),"",'Price History'!K73/'Price History'!K72-1),"")</f>
        <v>-3.5368090123134577E-3</v>
      </c>
      <c r="L72" s="76">
        <f>IFERROR(IF(OR(NOT(ISNUMBER('Price History'!L73)),NOT(ISNUMBER('Price History'!L72)),'Price History'!L72=0),"",'Price History'!L73/'Price History'!L72-1),"")</f>
        <v>-9.9990148753817953E-3</v>
      </c>
      <c r="M72" s="76">
        <f>IFERROR(IF(OR(NOT(ISNUMBER('Price History'!M73)),NOT(ISNUMBER('Price History'!M72)),'Price History'!M72=0),"",'Price History'!M73/'Price History'!M72-1),"")</f>
        <v>-6.0291370937616717E-2</v>
      </c>
      <c r="N72" s="76">
        <f>IFERROR(IF(OR(NOT(ISNUMBER('Price History'!N73)),NOT(ISNUMBER('Price History'!N72)),'Price History'!N72=0),"",'Price History'!N73/'Price History'!N72-1),"")</f>
        <v>3.5273750270503612E-3</v>
      </c>
      <c r="O72" s="76">
        <f>IFERROR(IF(OR(NOT(ISNUMBER('Price History'!O73)),NOT(ISNUMBER('Price History'!O72)),'Price History'!O72=0),"",'Price History'!O73/'Price History'!O72-1),"")</f>
        <v>-1.2392293542453303E-2</v>
      </c>
      <c r="P72" s="76" t="str">
        <f>IFERROR(IF(OR(NOT(ISNUMBER('Price History'!P73)),NOT(ISNUMBER('Price History'!P72)),'Price History'!P72=0),"",'Price History'!P73/'Price History'!P72-1),"")</f>
        <v/>
      </c>
      <c r="Q72" s="76">
        <f>IFERROR(IF(OR(NOT(ISNUMBER('Price History'!Q73)),NOT(ISNUMBER('Price History'!Q72)),'Price History'!Q72=0),"",'Price History'!Q73/'Price History'!Q72-1),"")</f>
        <v>-8.6819258089977369E-3</v>
      </c>
      <c r="R72" s="76">
        <f>IFERROR(IF(OR(NOT(ISNUMBER('Price History'!R73)),NOT(ISNUMBER('Price History'!R72)),'Price History'!R72=0),"",'Price History'!R73/'Price History'!R72-1),"")</f>
        <v>3.9916695591808438E-3</v>
      </c>
      <c r="S72" s="76">
        <f>IFERROR(IF(OR(NOT(ISNUMBER('Price History'!S73)),NOT(ISNUMBER('Price History'!S72)),'Price History'!S72=0),"",'Price History'!S73/'Price History'!S72-1),"")</f>
        <v>-9.4224924012158429E-3</v>
      </c>
      <c r="T72" s="76">
        <f>IFERROR(IF(OR(NOT(ISNUMBER('Price History'!T73)),NOT(ISNUMBER('Price History'!T72)),'Price History'!T72=0),"",'Price History'!T73/'Price History'!T72-1),"")</f>
        <v>-4.401312192454887E-2</v>
      </c>
      <c r="U72" s="76" t="str">
        <f>IFERROR(IF(OR(NOT(ISNUMBER('Price History'!U73)),NOT(ISNUMBER('Price History'!U72)),'Price History'!U72=0),"",'Price History'!U73/'Price History'!U72-1),"")</f>
        <v/>
      </c>
      <c r="W72" s="77">
        <f>'Price History'!B3+('Price History'!B158-'Price History'!B3)*0.448051948051948</f>
        <v>392.83467532467535</v>
      </c>
      <c r="X72" s="77">
        <f>'Price History'!C3+('Price History'!C158-'Price History'!C3)*0.448051948051948</f>
        <v>104.94837662337662</v>
      </c>
      <c r="Y72" s="77">
        <f>'Price History'!D3+('Price History'!D158-'Price History'!D3)*0.448051948051948</f>
        <v>1095.144805194805</v>
      </c>
      <c r="Z72" s="77">
        <f>'Price History'!E3+('Price History'!E158-'Price History'!E3)*0.448051948051948</f>
        <v>220.21831168831164</v>
      </c>
      <c r="AA72" s="77">
        <f>'Price History'!F3+('Price History'!F158-'Price History'!F3)*0.448051948051948</f>
        <v>105.9703896103896</v>
      </c>
      <c r="AB72" s="77">
        <f>'Price History'!G3+('Price History'!G158-'Price History'!G3)*0.448051948051948</f>
        <v>108.35116883116882</v>
      </c>
      <c r="AC72" s="77">
        <f>'Price History'!H3+('Price History'!H158-'Price History'!H3)*0.448051948051948</f>
        <v>404.28909090909082</v>
      </c>
      <c r="AD72" s="77">
        <f>'Price History'!I3+('Price History'!I158-'Price History'!I3)*0.448051948051948</f>
        <v>112.49350649350649</v>
      </c>
      <c r="AE72" s="77">
        <f>'Price History'!J3+('Price History'!J158-'Price History'!J3)*0.448051948051948</f>
        <v>132.9638961038961</v>
      </c>
      <c r="AF72" s="77">
        <f>'Price History'!K3+('Price History'!K158-'Price History'!K3)*0.448051948051948</f>
        <v>63.642792207792198</v>
      </c>
      <c r="AG72" s="77">
        <f>'Price History'!L3+('Price History'!L158-'Price History'!L3)*0.448051948051948</f>
        <v>231.89870129870127</v>
      </c>
      <c r="AH72" s="77">
        <f>'Price History'!M3+('Price History'!M158-'Price History'!M3)*0.448051948051948</f>
        <v>126.73168831168829</v>
      </c>
      <c r="AI72" s="77">
        <f>'Price History'!N3+('Price History'!N158-'Price History'!N3)*0.448051948051948</f>
        <v>406.87012987012986</v>
      </c>
      <c r="AJ72" s="77">
        <f>'Price History'!O3+('Price History'!O158-'Price History'!O3)*0.448051948051948</f>
        <v>101.86084415584415</v>
      </c>
      <c r="AK72" s="77">
        <f>'Price History'!Q3+('Price History'!Q151-'Price History'!Q3)*0.448051948051948</f>
        <v>58.178246753246754</v>
      </c>
      <c r="AL72" s="77">
        <f>'Price History'!R3+('Price History'!R158-'Price History'!R3)*0.448051948051948</f>
        <v>52.493181818181817</v>
      </c>
      <c r="AM72" s="77">
        <f>'Price History'!S3+('Price History'!S158-'Price History'!S3)*0.448051948051948</f>
        <v>96.754350649350641</v>
      </c>
      <c r="AN72" s="77">
        <f>'Price History'!T3+('Price History'!T158-'Price History'!T3)*0.448051948051948</f>
        <v>37.139025974025969</v>
      </c>
    </row>
    <row r="73" spans="1:40" ht="15" customHeight="1" x14ac:dyDescent="0.2">
      <c r="A73" s="55">
        <f>IF('Price History'!A74="","",'Price History'!A74)</f>
        <v>45646</v>
      </c>
      <c r="B73" s="76">
        <f>IFERROR(IF(OR(NOT(ISNUMBER('Price History'!B74)),NOT(ISNUMBER('Price History'!B73)),'Price History'!B73=0),"",'Price History'!B74/'Price History'!B73-1),"")</f>
        <v>-3.9768945006334655E-2</v>
      </c>
      <c r="C73" s="76">
        <f>IFERROR(IF(OR(NOT(ISNUMBER('Price History'!C74)),NOT(ISNUMBER('Price History'!C73)),'Price History'!C73=0),"",'Price History'!C74/'Price History'!C73-1),"")</f>
        <v>3.9156358458662943E-3</v>
      </c>
      <c r="D73" s="76">
        <f>IFERROR(IF(OR(NOT(ISNUMBER('Price History'!D74)),NOT(ISNUMBER('Price History'!D73)),'Price History'!D73=0),"",'Price History'!D74/'Price History'!D73-1),"")</f>
        <v>-1.7952072142280784E-2</v>
      </c>
      <c r="E73" s="76">
        <f>IFERROR(IF(OR(NOT(ISNUMBER('Price History'!E74)),NOT(ISNUMBER('Price History'!E73)),'Price History'!E73=0),"",'Price History'!E74/'Price History'!E73-1),"")</f>
        <v>-1.7838078291815052E-2</v>
      </c>
      <c r="F73" s="76">
        <f>IFERROR(IF(OR(NOT(ISNUMBER('Price History'!F74)),NOT(ISNUMBER('Price History'!F73)),'Price History'!F73=0),"",'Price History'!F74/'Price History'!F73-1),"")</f>
        <v>-1.5650472774698554E-2</v>
      </c>
      <c r="G73" s="76">
        <f>IFERROR(IF(OR(NOT(ISNUMBER('Price History'!G74)),NOT(ISNUMBER('Price History'!G73)),'Price History'!G73=0),"",'Price History'!G74/'Price History'!G73-1),"")</f>
        <v>-3.7320281431630464E-2</v>
      </c>
      <c r="H73" s="76">
        <f>IFERROR(IF(OR(NOT(ISNUMBER('Price History'!H74)),NOT(ISNUMBER('Price History'!H73)),'Price History'!H73=0),"",'Price History'!H74/'Price History'!H73-1),"")</f>
        <v>-0.12078048780487805</v>
      </c>
      <c r="I73" s="76">
        <f>IFERROR(IF(OR(NOT(ISNUMBER('Price History'!I74)),NOT(ISNUMBER('Price History'!I73)),'Price History'!I73=0),"",'Price History'!I74/'Price History'!I73-1),"")</f>
        <v>3.3519553072625108E-3</v>
      </c>
      <c r="J73" s="76">
        <f>IFERROR(IF(OR(NOT(ISNUMBER('Price History'!J74)),NOT(ISNUMBER('Price History'!J73)),'Price History'!J73=0),"",'Price History'!J74/'Price History'!J73-1),"")</f>
        <v>-7.0278052731035712E-2</v>
      </c>
      <c r="K73" s="76">
        <f>IFERROR(IF(OR(NOT(ISNUMBER('Price History'!K74)),NOT(ISNUMBER('Price History'!K73)),'Price History'!K73=0),"",'Price History'!K74/'Price History'!K73-1),"")</f>
        <v>5.889312475351649E-2</v>
      </c>
      <c r="L73" s="76">
        <f>IFERROR(IF(OR(NOT(ISNUMBER('Price History'!L74)),NOT(ISNUMBER('Price History'!L73)),'Price History'!L73=0),"",'Price History'!L74/'Price History'!L73-1),"")</f>
        <v>-1.8806905816209807E-2</v>
      </c>
      <c r="M73" s="76">
        <f>IFERROR(IF(OR(NOT(ISNUMBER('Price History'!M74)),NOT(ISNUMBER('Price History'!M73)),'Price History'!M73=0),"",'Price History'!M74/'Price History'!M73-1),"")</f>
        <v>-4.5635236126570167E-2</v>
      </c>
      <c r="N73" s="76">
        <f>IFERROR(IF(OR(NOT(ISNUMBER('Price History'!N74)),NOT(ISNUMBER('Price History'!N73)),'Price History'!N73=0),"",'Price History'!N74/'Price History'!N73-1),"")</f>
        <v>-0.14331615379639018</v>
      </c>
      <c r="O73" s="76">
        <f>IFERROR(IF(OR(NOT(ISNUMBER('Price History'!O74)),NOT(ISNUMBER('Price History'!O73)),'Price History'!O73=0),"",'Price History'!O74/'Price History'!O73-1),"")</f>
        <v>-5.7837466915008351E-2</v>
      </c>
      <c r="P73" s="76" t="str">
        <f>IFERROR(IF(OR(NOT(ISNUMBER('Price History'!P74)),NOT(ISNUMBER('Price History'!P73)),'Price History'!P73=0),"",'Price History'!P74/'Price History'!P73-1),"")</f>
        <v/>
      </c>
      <c r="Q73" s="76">
        <f>IFERROR(IF(OR(NOT(ISNUMBER('Price History'!Q74)),NOT(ISNUMBER('Price History'!Q73)),'Price History'!Q73=0),"",'Price History'!Q74/'Price History'!Q73-1),"")</f>
        <v>-6.3694267515923553E-4</v>
      </c>
      <c r="R73" s="76">
        <f>IFERROR(IF(OR(NOT(ISNUMBER('Price History'!R74)),NOT(ISNUMBER('Price History'!R73)),'Price History'!R73=0),"",'Price History'!R74/'Price History'!R73-1),"")</f>
        <v>-1.1235955056179803E-2</v>
      </c>
      <c r="S73" s="76">
        <f>IFERROR(IF(OR(NOT(ISNUMBER('Price History'!S74)),NOT(ISNUMBER('Price History'!S73)),'Price History'!S73=0),"",'Price History'!S74/'Price History'!S73-1),"")</f>
        <v>-2.2399509051856392E-2</v>
      </c>
      <c r="T73" s="76">
        <f>IFERROR(IF(OR(NOT(ISNUMBER('Price History'!T74)),NOT(ISNUMBER('Price History'!T73)),'Price History'!T73=0),"",'Price History'!T74/'Price History'!T73-1),"")</f>
        <v>-3.059765513297108E-2</v>
      </c>
      <c r="U73" s="76" t="str">
        <f>IFERROR(IF(OR(NOT(ISNUMBER('Price History'!U74)),NOT(ISNUMBER('Price History'!U73)),'Price History'!U73=0),"",'Price History'!U74/'Price History'!U73-1),"")</f>
        <v/>
      </c>
      <c r="W73" s="77">
        <f>'Price History'!B3+('Price History'!B158-'Price History'!B3)*0.454545454545455</f>
        <v>391.15909090909082</v>
      </c>
      <c r="X73" s="77">
        <f>'Price History'!C3+('Price History'!C158-'Price History'!C3)*0.454545454545455</f>
        <v>105.83545454545461</v>
      </c>
      <c r="Y73" s="77">
        <f>'Price History'!D3+('Price History'!D158-'Price History'!D3)*0.454545454545455</f>
        <v>1101.4254545454551</v>
      </c>
      <c r="Z73" s="77">
        <f>'Price History'!E3+('Price History'!E158-'Price History'!E3)*0.454545454545455</f>
        <v>222.20727272727282</v>
      </c>
      <c r="AA73" s="77">
        <f>'Price History'!F3+('Price History'!F158-'Price History'!F3)*0.454545454545455</f>
        <v>106.96909090909098</v>
      </c>
      <c r="AB73" s="77">
        <f>'Price History'!G3+('Price History'!G158-'Price History'!G3)*0.454545454545455</f>
        <v>109.22727272727278</v>
      </c>
      <c r="AC73" s="77">
        <f>'Price History'!H3+('Price History'!H158-'Price History'!H3)*0.454545454545455</f>
        <v>409.21545454545486</v>
      </c>
      <c r="AD73" s="77">
        <f>'Price History'!I3+('Price History'!I158-'Price History'!I3)*0.454545454545455</f>
        <v>113.53181818181827</v>
      </c>
      <c r="AE73" s="77">
        <f>'Price History'!J3+('Price History'!J158-'Price History'!J3)*0.454545454545455</f>
        <v>133.10090909090911</v>
      </c>
      <c r="AF73" s="77">
        <f>'Price History'!K3+('Price History'!K158-'Price History'!K3)*0.454545454545455</f>
        <v>64.341818181818226</v>
      </c>
      <c r="AG73" s="77">
        <f>'Price History'!L3+('Price History'!L158-'Price History'!L3)*0.454545454545455</f>
        <v>233.92636363636376</v>
      </c>
      <c r="AH73" s="77">
        <f>'Price History'!M3+('Price History'!M158-'Price History'!M3)*0.454545454545455</f>
        <v>128.08272727272737</v>
      </c>
      <c r="AI73" s="77">
        <f>'Price History'!N3+('Price History'!N158-'Price History'!N3)*0.454545454545455</f>
        <v>407.69636363636369</v>
      </c>
      <c r="AJ73" s="77">
        <f>'Price History'!O3+('Price History'!O158-'Price History'!O3)*0.454545454545455</f>
        <v>102.13636363636365</v>
      </c>
      <c r="AK73" s="77">
        <f>'Price History'!Q3+('Price History'!Q151-'Price History'!Q3)*0.454545454545455</f>
        <v>58.299090909090921</v>
      </c>
      <c r="AL73" s="77">
        <f>'Price History'!R3+('Price History'!R158-'Price History'!R3)*0.454545454545455</f>
        <v>52.560909090909092</v>
      </c>
      <c r="AM73" s="77">
        <f>'Price History'!S3+('Price History'!S158-'Price History'!S3)*0.454545454545455</f>
        <v>97.308181818181865</v>
      </c>
      <c r="AN73" s="77">
        <f>'Price History'!T3+('Price History'!T158-'Price History'!T3)*0.454545454545455</f>
        <v>37.287272727272736</v>
      </c>
    </row>
    <row r="74" spans="1:40" ht="15" customHeight="1" x14ac:dyDescent="0.2">
      <c r="A74" s="55">
        <f>IF('Price History'!A75="","",'Price History'!A75)</f>
        <v>45653</v>
      </c>
      <c r="B74" s="76">
        <f>IFERROR(IF(OR(NOT(ISNUMBER('Price History'!B75)),NOT(ISNUMBER('Price History'!B74)),'Price History'!B74=0),"",'Price History'!B75/'Price History'!B74-1),"")</f>
        <v>-1.5430373236129391E-3</v>
      </c>
      <c r="C74" s="76">
        <f>IFERROR(IF(OR(NOT(ISNUMBER('Price History'!C75)),NOT(ISNUMBER('Price History'!C74)),'Price History'!C74=0),"",'Price History'!C75/'Price History'!C74-1),"")</f>
        <v>1.9501817214786499E-3</v>
      </c>
      <c r="D74" s="76">
        <f>IFERROR(IF(OR(NOT(ISNUMBER('Price History'!D75)),NOT(ISNUMBER('Price History'!D74)),'Price History'!D74=0),"",'Price History'!D75/'Price History'!D74-1),"")</f>
        <v>1.1209046593356975E-2</v>
      </c>
      <c r="E74" s="76">
        <f>IFERROR(IF(OR(NOT(ISNUMBER('Price History'!E75)),NOT(ISNUMBER('Price History'!E74)),'Price History'!E74=0),"",'Price History'!E75/'Price History'!E74-1),"")</f>
        <v>9.4931835680963861E-2</v>
      </c>
      <c r="F74" s="76">
        <f>IFERROR(IF(OR(NOT(ISNUMBER('Price History'!F75)),NOT(ISNUMBER('Price History'!F74)),'Price History'!F74=0),"",'Price History'!F75/'Price History'!F74-1),"")</f>
        <v>-2.0094954179087909E-2</v>
      </c>
      <c r="G74" s="76">
        <f>IFERROR(IF(OR(NOT(ISNUMBER('Price History'!G75)),NOT(ISNUMBER('Price History'!G74)),'Price History'!G74=0),"",'Price History'!G75/'Price History'!G74-1),"")</f>
        <v>2.4467747060692879E-2</v>
      </c>
      <c r="H74" s="76">
        <f>IFERROR(IF(OR(NOT(ISNUMBER('Price History'!H75)),NOT(ISNUMBER('Price History'!H74)),'Price History'!H74=0),"",'Price History'!H75/'Price History'!H74-1),"")</f>
        <v>-1.6533510874389812E-2</v>
      </c>
      <c r="I74" s="76">
        <f>IFERROR(IF(OR(NOT(ISNUMBER('Price History'!I75)),NOT(ISNUMBER('Price History'!I74)),'Price History'!I74=0),"",'Price History'!I75/'Price History'!I74-1),"")</f>
        <v>1.714922048997769E-2</v>
      </c>
      <c r="J74" s="76">
        <f>IFERROR(IF(OR(NOT(ISNUMBER('Price History'!J75)),NOT(ISNUMBER('Price History'!J74)),'Price History'!J74=0),"",'Price History'!J75/'Price History'!J74-1),"")</f>
        <v>1.8583042973286945E-2</v>
      </c>
      <c r="K74" s="76">
        <f>IFERROR(IF(OR(NOT(ISNUMBER('Price History'!K75)),NOT(ISNUMBER('Price History'!K74)),'Price History'!K74=0),"",'Price History'!K75/'Price History'!K74-1),"")</f>
        <v>-1.8249534450651805E-2</v>
      </c>
      <c r="L74" s="76">
        <f>IFERROR(IF(OR(NOT(ISNUMBER('Price History'!L75)),NOT(ISNUMBER('Price History'!L74)),'Price History'!L74=0),"",'Price History'!L75/'Price History'!L74-1),"")</f>
        <v>2.2412656558997934E-2</v>
      </c>
      <c r="M74" s="76">
        <f>IFERROR(IF(OR(NOT(ISNUMBER('Price History'!M75)),NOT(ISNUMBER('Price History'!M74)),'Price History'!M74=0),"",'Price History'!M75/'Price History'!M74-1),"")</f>
        <v>-4.1069643452182669E-2</v>
      </c>
      <c r="N74" s="76">
        <f>IFERROR(IF(OR(NOT(ISNUMBER('Price History'!N75)),NOT(ISNUMBER('Price History'!N74)),'Price History'!N74=0),"",'Price History'!N75/'Price History'!N74-1),"")</f>
        <v>2.8922395348251806E-2</v>
      </c>
      <c r="O74" s="76">
        <f>IFERROR(IF(OR(NOT(ISNUMBER('Price History'!O75)),NOT(ISNUMBER('Price History'!O74)),'Price History'!O74=0),"",'Price History'!O75/'Price History'!O74-1),"")</f>
        <v>3.9538029341379399E-3</v>
      </c>
      <c r="P74" s="76" t="str">
        <f>IFERROR(IF(OR(NOT(ISNUMBER('Price History'!P75)),NOT(ISNUMBER('Price History'!P74)),'Price History'!P74=0),"",'Price History'!P75/'Price History'!P74-1),"")</f>
        <v/>
      </c>
      <c r="Q74" s="76">
        <f>IFERROR(IF(OR(NOT(ISNUMBER('Price History'!Q75)),NOT(ISNUMBER('Price History'!Q74)),'Price History'!Q74=0),"",'Price History'!Q75/'Price History'!Q74-1),"")</f>
        <v>1.051625239005749E-2</v>
      </c>
      <c r="R74" s="76">
        <f>IFERROR(IF(OR(NOT(ISNUMBER('Price History'!R75)),NOT(ISNUMBER('Price History'!R74)),'Price History'!R74=0),"",'Price History'!R75/'Price History'!R74-1),"")</f>
        <v>9.4405594405593263E-3</v>
      </c>
      <c r="S74" s="76">
        <f>IFERROR(IF(OR(NOT(ISNUMBER('Price History'!S75)),NOT(ISNUMBER('Price History'!S74)),'Price History'!S74=0),"",'Price History'!S75/'Price History'!S74-1),"")</f>
        <v>1.0567064239380697E-2</v>
      </c>
      <c r="T74" s="76">
        <f>IFERROR(IF(OR(NOT(ISNUMBER('Price History'!T75)),NOT(ISNUMBER('Price History'!T74)),'Price History'!T74=0),"",'Price History'!T75/'Price History'!T74-1),"")</f>
        <v>9.1445427728613637E-3</v>
      </c>
      <c r="U74" s="76" t="str">
        <f>IFERROR(IF(OR(NOT(ISNUMBER('Price History'!U75)),NOT(ISNUMBER('Price History'!U74)),'Price History'!U74=0),"",'Price History'!U75/'Price History'!U74-1),"")</f>
        <v/>
      </c>
      <c r="W74" s="77">
        <f>'Price History'!B3+('Price History'!B158-'Price History'!B3)*0.461038961038961</f>
        <v>389.48350649350652</v>
      </c>
      <c r="X74" s="77">
        <f>'Price History'!C3+('Price History'!C158-'Price History'!C3)*0.461038961038961</f>
        <v>106.72253246753246</v>
      </c>
      <c r="Y74" s="77">
        <f>'Price History'!D3+('Price History'!D158-'Price History'!D3)*0.461038961038961</f>
        <v>1107.7061038961037</v>
      </c>
      <c r="Z74" s="77">
        <f>'Price History'!E3+('Price History'!E158-'Price History'!E3)*0.461038961038961</f>
        <v>224.19623376623372</v>
      </c>
      <c r="AA74" s="77">
        <f>'Price History'!F3+('Price History'!F158-'Price History'!F3)*0.461038961038961</f>
        <v>107.96779220779221</v>
      </c>
      <c r="AB74" s="77">
        <f>'Price History'!G3+('Price History'!G158-'Price History'!G3)*0.461038961038961</f>
        <v>110.10337662337662</v>
      </c>
      <c r="AC74" s="77">
        <f>'Price History'!H3+('Price History'!H158-'Price History'!H3)*0.461038961038961</f>
        <v>414.14181818181817</v>
      </c>
      <c r="AD74" s="77">
        <f>'Price History'!I3+('Price History'!I158-'Price History'!I3)*0.461038961038961</f>
        <v>114.57012987012988</v>
      </c>
      <c r="AE74" s="77">
        <f>'Price History'!J3+('Price History'!J158-'Price History'!J3)*0.461038961038961</f>
        <v>133.23792207792209</v>
      </c>
      <c r="AF74" s="77">
        <f>'Price History'!K3+('Price History'!K158-'Price History'!K3)*0.461038961038961</f>
        <v>65.040844155844155</v>
      </c>
      <c r="AG74" s="77">
        <f>'Price History'!L3+('Price History'!L158-'Price History'!L3)*0.461038961038961</f>
        <v>235.95402597402597</v>
      </c>
      <c r="AH74" s="77">
        <f>'Price History'!M3+('Price History'!M158-'Price History'!M3)*0.461038961038961</f>
        <v>129.43376623376622</v>
      </c>
      <c r="AI74" s="77">
        <f>'Price History'!N3+('Price History'!N158-'Price History'!N3)*0.461038961038961</f>
        <v>408.5225974025974</v>
      </c>
      <c r="AJ74" s="77">
        <f>'Price History'!O3+('Price History'!O158-'Price History'!O3)*0.461038961038961</f>
        <v>102.41188311688312</v>
      </c>
      <c r="AK74" s="77">
        <f>'Price History'!Q3+('Price History'!Q151-'Price History'!Q3)*0.461038961038961</f>
        <v>58.419935064935068</v>
      </c>
      <c r="AL74" s="77">
        <f>'Price History'!R3+('Price History'!R158-'Price History'!R3)*0.461038961038961</f>
        <v>52.62863636363636</v>
      </c>
      <c r="AM74" s="77">
        <f>'Price History'!S3+('Price History'!S158-'Price History'!S3)*0.461038961038961</f>
        <v>97.862012987013003</v>
      </c>
      <c r="AN74" s="77">
        <f>'Price History'!T3+('Price History'!T158-'Price History'!T3)*0.461038961038961</f>
        <v>37.435519480519481</v>
      </c>
    </row>
    <row r="75" spans="1:40" ht="15" customHeight="1" x14ac:dyDescent="0.2">
      <c r="A75" s="55">
        <f>IF('Price History'!A76="","",'Price History'!A76)</f>
        <v>45660</v>
      </c>
      <c r="B75" s="76">
        <f>IFERROR(IF(OR(NOT(ISNUMBER('Price History'!B76)),NOT(ISNUMBER('Price History'!B75)),'Price History'!B75=0),"",'Price History'!B76/'Price History'!B75-1),"")</f>
        <v>-3.5634294929224208E-2</v>
      </c>
      <c r="C75" s="76">
        <f>IFERROR(IF(OR(NOT(ISNUMBER('Price History'!C76)),NOT(ISNUMBER('Price History'!C75)),'Price History'!C75=0),"",'Price History'!C76/'Price History'!C75-1),"")</f>
        <v>1.9198442891267931E-2</v>
      </c>
      <c r="D75" s="76">
        <f>IFERROR(IF(OR(NOT(ISNUMBER('Price History'!D76)),NOT(ISNUMBER('Price History'!D75)),'Price History'!D75=0),"",'Price History'!D76/'Price History'!D75-1),"")</f>
        <v>1.0790509956697392E-3</v>
      </c>
      <c r="E75" s="76">
        <f>IFERROR(IF(OR(NOT(ISNUMBER('Price History'!E76)),NOT(ISNUMBER('Price History'!E75)),'Price History'!E75=0),"",'Price History'!E76/'Price History'!E75-1),"")</f>
        <v>-3.8055842812823149E-2</v>
      </c>
      <c r="F75" s="76">
        <f>IFERROR(IF(OR(NOT(ISNUMBER('Price History'!F76)),NOT(ISNUMBER('Price History'!F75)),'Price History'!F75=0),"",'Price History'!F76/'Price History'!F75-1),"")</f>
        <v>1.1380281690140936E-2</v>
      </c>
      <c r="G75" s="76">
        <f>IFERROR(IF(OR(NOT(ISNUMBER('Price History'!G76)),NOT(ISNUMBER('Price History'!G75)),'Price History'!G75=0),"",'Price History'!G76/'Price History'!G75-1),"")</f>
        <v>1.8920595533498785E-2</v>
      </c>
      <c r="H75" s="76">
        <f>IFERROR(IF(OR(NOT(ISNUMBER('Price History'!H76)),NOT(ISNUMBER('Price History'!H75)),'Price History'!H75=0),"",'Price History'!H76/'Price History'!H75-1),"")</f>
        <v>1.3990748053706481E-2</v>
      </c>
      <c r="I75" s="76">
        <f>IFERROR(IF(OR(NOT(ISNUMBER('Price History'!I76)),NOT(ISNUMBER('Price History'!I75)),'Price History'!I75=0),"",'Price History'!I76/'Price History'!I75-1),"")</f>
        <v>5.4448580395591639E-2</v>
      </c>
      <c r="J75" s="76">
        <f>IFERROR(IF(OR(NOT(ISNUMBER('Price History'!J76)),NOT(ISNUMBER('Price History'!J75)),'Price History'!J75=0),"",'Price History'!J76/'Price History'!J75-1),"")</f>
        <v>3.7058152793614241E-3</v>
      </c>
      <c r="K75" s="76">
        <f>IFERROR(IF(OR(NOT(ISNUMBER('Price History'!K76)),NOT(ISNUMBER('Price History'!K75)),'Price History'!K75=0),"",'Price History'!K76/'Price History'!K75-1),"")</f>
        <v>1.0242792109256493E-2</v>
      </c>
      <c r="L75" s="76">
        <f>IFERROR(IF(OR(NOT(ISNUMBER('Price History'!L76)),NOT(ISNUMBER('Price History'!L75)),'Price History'!L75=0),"",'Price History'!L76/'Price History'!L75-1),"")</f>
        <v>3.4617864405098508E-2</v>
      </c>
      <c r="M75" s="76">
        <f>IFERROR(IF(OR(NOT(ISNUMBER('Price History'!M76)),NOT(ISNUMBER('Price History'!M75)),'Price History'!M75=0),"",'Price History'!M76/'Price History'!M75-1),"")</f>
        <v>9.1738337242637469E-2</v>
      </c>
      <c r="N75" s="76">
        <f>IFERROR(IF(OR(NOT(ISNUMBER('Price History'!N76)),NOT(ISNUMBER('Price History'!N75)),'Price History'!N75=0),"",'Price History'!N76/'Price History'!N75-1),"")</f>
        <v>-4.0365984930031962E-3</v>
      </c>
      <c r="O75" s="76">
        <f>IFERROR(IF(OR(NOT(ISNUMBER('Price History'!O76)),NOT(ISNUMBER('Price History'!O75)),'Price History'!O75=0),"",'Price History'!O76/'Price History'!O75-1),"")</f>
        <v>7.7728261996061754E-3</v>
      </c>
      <c r="P75" s="76" t="str">
        <f>IFERROR(IF(OR(NOT(ISNUMBER('Price History'!P76)),NOT(ISNUMBER('Price History'!P75)),'Price History'!P75=0),"",'Price History'!P76/'Price History'!P75-1),"")</f>
        <v/>
      </c>
      <c r="Q75" s="76">
        <f>IFERROR(IF(OR(NOT(ISNUMBER('Price History'!Q76)),NOT(ISNUMBER('Price History'!Q75)),'Price History'!Q75=0),"",'Price History'!Q76/'Price History'!Q75-1),"")</f>
        <v>-8.9877010406811397E-3</v>
      </c>
      <c r="R75" s="76">
        <f>IFERROR(IF(OR(NOT(ISNUMBER('Price History'!R76)),NOT(ISNUMBER('Price History'!R75)),'Price History'!R75=0),"",'Price History'!R76/'Price History'!R75-1),"")</f>
        <v>-1.1430550744717771E-2</v>
      </c>
      <c r="S75" s="76">
        <f>IFERROR(IF(OR(NOT(ISNUMBER('Price History'!S76)),NOT(ISNUMBER('Price History'!S75)),'Price History'!S75=0),"",'Price History'!S76/'Price History'!S75-1),"")</f>
        <v>3.1059115850502472E-3</v>
      </c>
      <c r="T75" s="76">
        <f>IFERROR(IF(OR(NOT(ISNUMBER('Price History'!T76)),NOT(ISNUMBER('Price History'!T75)),'Price History'!T75=0),"",'Price History'!T76/'Price History'!T75-1),"")</f>
        <v>7.6001169248756106E-3</v>
      </c>
      <c r="U75" s="76" t="str">
        <f>IFERROR(IF(OR(NOT(ISNUMBER('Price History'!U76)),NOT(ISNUMBER('Price History'!U75)),'Price History'!U75=0),"",'Price History'!U76/'Price History'!U75-1),"")</f>
        <v/>
      </c>
      <c r="W75" s="77">
        <f>'Price History'!B3+('Price History'!B158-'Price History'!B3)*0.467532467532468</f>
        <v>387.80792207792194</v>
      </c>
      <c r="X75" s="77">
        <f>'Price History'!C3+('Price History'!C158-'Price History'!C3)*0.467532467532468</f>
        <v>107.60961038961045</v>
      </c>
      <c r="Y75" s="77">
        <f>'Price History'!D3+('Price History'!D158-'Price History'!D3)*0.467532467532468</f>
        <v>1113.9867532467538</v>
      </c>
      <c r="Z75" s="77">
        <f>'Price History'!E3+('Price History'!E158-'Price History'!E3)*0.467532467532468</f>
        <v>226.18519480519495</v>
      </c>
      <c r="AA75" s="77">
        <f>'Price History'!F3+('Price History'!F158-'Price History'!F3)*0.467532467532468</f>
        <v>108.96649350649359</v>
      </c>
      <c r="AB75" s="77">
        <f>'Price History'!G3+('Price History'!G158-'Price History'!G3)*0.467532467532468</f>
        <v>110.97948051948057</v>
      </c>
      <c r="AC75" s="77">
        <f>'Price History'!H3+('Price History'!H158-'Price History'!H3)*0.467532467532468</f>
        <v>419.06818181818215</v>
      </c>
      <c r="AD75" s="77">
        <f>'Price History'!I3+('Price History'!I158-'Price History'!I3)*0.467532467532468</f>
        <v>115.60844155844165</v>
      </c>
      <c r="AE75" s="77">
        <f>'Price History'!J3+('Price History'!J158-'Price History'!J3)*0.467532467532468</f>
        <v>133.37493506493507</v>
      </c>
      <c r="AF75" s="77">
        <f>'Price History'!K3+('Price History'!K158-'Price History'!K3)*0.467532467532468</f>
        <v>65.739870129870184</v>
      </c>
      <c r="AG75" s="77">
        <f>'Price History'!L3+('Price History'!L158-'Price History'!L3)*0.467532467532468</f>
        <v>237.98168831168846</v>
      </c>
      <c r="AH75" s="77">
        <f>'Price History'!M3+('Price History'!M158-'Price History'!M3)*0.467532467532468</f>
        <v>130.7848051948053</v>
      </c>
      <c r="AI75" s="77">
        <f>'Price History'!N3+('Price History'!N158-'Price History'!N3)*0.467532467532468</f>
        <v>409.34883116883123</v>
      </c>
      <c r="AJ75" s="77">
        <f>'Price History'!O3+('Price History'!O158-'Price History'!O3)*0.467532467532468</f>
        <v>102.68740259740261</v>
      </c>
      <c r="AK75" s="77">
        <f>'Price History'!Q3+('Price History'!Q151-'Price History'!Q3)*0.467532467532468</f>
        <v>58.540779220779235</v>
      </c>
      <c r="AL75" s="77">
        <f>'Price History'!R3+('Price History'!R158-'Price History'!R3)*0.467532467532468</f>
        <v>52.696363636363643</v>
      </c>
      <c r="AM75" s="77">
        <f>'Price History'!S3+('Price History'!S158-'Price History'!S3)*0.467532467532468</f>
        <v>98.415844155844212</v>
      </c>
      <c r="AN75" s="77">
        <f>'Price History'!T3+('Price History'!T158-'Price History'!T3)*0.467532467532468</f>
        <v>37.583766233766248</v>
      </c>
    </row>
    <row r="76" spans="1:40" ht="15" customHeight="1" x14ac:dyDescent="0.2">
      <c r="A76" s="55">
        <f>IF('Price History'!A77="","",'Price History'!A77)</f>
        <v>45667</v>
      </c>
      <c r="B76" s="76">
        <f>IFERROR(IF(OR(NOT(ISNUMBER('Price History'!B77)),NOT(ISNUMBER('Price History'!B76)),'Price History'!B76=0),"",'Price History'!B77/'Price History'!B76-1),"")</f>
        <v>-5.7249692268388386E-2</v>
      </c>
      <c r="C76" s="76">
        <f>IFERROR(IF(OR(NOT(ISNUMBER('Price History'!C77)),NOT(ISNUMBER('Price History'!C76)),'Price History'!C76=0),"",'Price History'!C77/'Price History'!C76-1),"")</f>
        <v>-7.4652777777777235E-3</v>
      </c>
      <c r="D76" s="76">
        <f>IFERROR(IF(OR(NOT(ISNUMBER('Price History'!D77)),NOT(ISNUMBER('Price History'!D76)),'Price History'!D76=0),"",'Price History'!D77/'Price History'!D76-1),"")</f>
        <v>3.450641133322141E-2</v>
      </c>
      <c r="E76" s="76">
        <f>IFERROR(IF(OR(NOT(ISNUMBER('Price History'!E77)),NOT(ISNUMBER('Price History'!E76)),'Price History'!E76=0),"",'Price History'!E77/'Price History'!E76-1),"")</f>
        <v>-3.5433240163405766E-2</v>
      </c>
      <c r="F76" s="76">
        <f>IFERROR(IF(OR(NOT(ISNUMBER('Price History'!F77)),NOT(ISNUMBER('Price History'!F76)),'Price History'!F76=0),"",'Price History'!F77/'Price History'!F76-1),"")</f>
        <v>-2.840909090909105E-2</v>
      </c>
      <c r="G76" s="76">
        <f>IFERROR(IF(OR(NOT(ISNUMBER('Price History'!G77)),NOT(ISNUMBER('Price History'!G76)),'Price History'!G76=0),"",'Price History'!G77/'Price History'!G76-1),"")</f>
        <v>3.9726027397260166E-2</v>
      </c>
      <c r="H76" s="76">
        <f>IFERROR(IF(OR(NOT(ISNUMBER('Price History'!H77)),NOT(ISNUMBER('Price History'!H76)),'Price History'!H76=0),"",'Price History'!H77/'Price History'!H76-1),"")</f>
        <v>0.10537442973183486</v>
      </c>
      <c r="I76" s="76">
        <f>IFERROR(IF(OR(NOT(ISNUMBER('Price History'!I77)),NOT(ISNUMBER('Price History'!I76)),'Price History'!I76=0),"",'Price History'!I77/'Price History'!I76-1),"")</f>
        <v>-5.9251055582473899E-2</v>
      </c>
      <c r="J76" s="76">
        <f>IFERROR(IF(OR(NOT(ISNUMBER('Price History'!J77)),NOT(ISNUMBER('Price History'!J76)),'Price History'!J76=0),"",'Price History'!J77/'Price History'!J76-1),"")</f>
        <v>-1.9312695257029167E-2</v>
      </c>
      <c r="K76" s="76">
        <f>IFERROR(IF(OR(NOT(ISNUMBER('Price History'!K77)),NOT(ISNUMBER('Price History'!K76)),'Price History'!K76=0),"",'Price History'!K77/'Price History'!K76-1),"")</f>
        <v>-0.15809237701840029</v>
      </c>
      <c r="L76" s="76">
        <f>IFERROR(IF(OR(NOT(ISNUMBER('Price History'!L77)),NOT(ISNUMBER('Price History'!L76)),'Price History'!L76=0),"",'Price History'!L77/'Price History'!L76-1),"")</f>
        <v>-1.1504721729543865E-3</v>
      </c>
      <c r="M76" s="76">
        <f>IFERROR(IF(OR(NOT(ISNUMBER('Price History'!M77)),NOT(ISNUMBER('Price History'!M76)),'Price History'!M76=0),"",'Price History'!M77/'Price History'!M76-1),"")</f>
        <v>2.5940956473303078E-2</v>
      </c>
      <c r="N76" s="76">
        <f>IFERROR(IF(OR(NOT(ISNUMBER('Price History'!N77)),NOT(ISNUMBER('Price History'!N76)),'Price History'!N76=0),"",'Price History'!N77/'Price History'!N76-1),"")</f>
        <v>6.0180295251897054E-3</v>
      </c>
      <c r="O76" s="76">
        <f>IFERROR(IF(OR(NOT(ISNUMBER('Price History'!O77)),NOT(ISNUMBER('Price History'!O76)),'Price History'!O76=0),"",'Price History'!O77/'Price History'!O76-1),"")</f>
        <v>-2.6223776223776141E-2</v>
      </c>
      <c r="P76" s="76" t="str">
        <f>IFERROR(IF(OR(NOT(ISNUMBER('Price History'!P77)),NOT(ISNUMBER('Price History'!P76)),'Price History'!P76=0),"",'Price History'!P77/'Price History'!P76-1),"")</f>
        <v/>
      </c>
      <c r="Q76" s="76">
        <f>IFERROR(IF(OR(NOT(ISNUMBER('Price History'!Q77)),NOT(ISNUMBER('Price History'!Q76)),'Price History'!Q76=0),"",'Price History'!Q77/'Price History'!Q76-1),"")</f>
        <v>-6.364359586316648E-3</v>
      </c>
      <c r="R76" s="76">
        <f>IFERROR(IF(OR(NOT(ISNUMBER('Price History'!R77)),NOT(ISNUMBER('Price History'!R76)),'Price History'!R76=0),"",'Price History'!R77/'Price History'!R76-1),"")</f>
        <v>-1.927119831814994E-2</v>
      </c>
      <c r="S76" s="76">
        <f>IFERROR(IF(OR(NOT(ISNUMBER('Price History'!S77)),NOT(ISNUMBER('Price History'!S76)),'Price History'!S76=0),"",'Price History'!S77/'Price History'!S76-1),"")</f>
        <v>-1.3520487150376792E-2</v>
      </c>
      <c r="T76" s="76">
        <f>IFERROR(IF(OR(NOT(ISNUMBER('Price History'!T77)),NOT(ISNUMBER('Price History'!T76)),'Price History'!T76=0),"",'Price History'!T77/'Price History'!T76-1),"")</f>
        <v>-2.9010733971568392E-4</v>
      </c>
      <c r="U76" s="76" t="str">
        <f>IFERROR(IF(OR(NOT(ISNUMBER('Price History'!U77)),NOT(ISNUMBER('Price History'!U76)),'Price History'!U76=0),"",'Price History'!U77/'Price History'!U76-1),"")</f>
        <v/>
      </c>
      <c r="W76" s="77">
        <f>'Price History'!B3+('Price History'!B158-'Price History'!B3)*0.474025974025974</f>
        <v>386.1323376623377</v>
      </c>
      <c r="X76" s="77">
        <f>'Price History'!C3+('Price History'!C158-'Price History'!C3)*0.474025974025974</f>
        <v>108.4966883116883</v>
      </c>
      <c r="Y76" s="77">
        <f>'Price History'!D3+('Price History'!D158-'Price History'!D3)*0.474025974025974</f>
        <v>1120.2674025974025</v>
      </c>
      <c r="Z76" s="77">
        <f>'Price History'!E3+('Price History'!E158-'Price History'!E3)*0.474025974025974</f>
        <v>228.17415584415585</v>
      </c>
      <c r="AA76" s="77">
        <f>'Price History'!F3+('Price History'!F158-'Price History'!F3)*0.474025974025974</f>
        <v>109.96519480519481</v>
      </c>
      <c r="AB76" s="77">
        <f>'Price History'!G3+('Price History'!G158-'Price History'!G3)*0.474025974025974</f>
        <v>111.85558441558442</v>
      </c>
      <c r="AC76" s="77">
        <f>'Price History'!H3+('Price History'!H158-'Price History'!H3)*0.474025974025974</f>
        <v>423.99454545454546</v>
      </c>
      <c r="AD76" s="77">
        <f>'Price History'!I3+('Price History'!I158-'Price History'!I3)*0.474025974025974</f>
        <v>116.64675324675326</v>
      </c>
      <c r="AE76" s="77">
        <f>'Price History'!J3+('Price History'!J158-'Price History'!J3)*0.474025974025974</f>
        <v>133.51194805194805</v>
      </c>
      <c r="AF76" s="77">
        <f>'Price History'!K3+('Price History'!K158-'Price History'!K3)*0.474025974025974</f>
        <v>66.438896103896113</v>
      </c>
      <c r="AG76" s="77">
        <f>'Price History'!L3+('Price History'!L158-'Price History'!L3)*0.474025974025974</f>
        <v>240.00935064935067</v>
      </c>
      <c r="AH76" s="77">
        <f>'Price History'!M3+('Price History'!M158-'Price History'!M3)*0.474025974025974</f>
        <v>132.13584415584415</v>
      </c>
      <c r="AI76" s="77">
        <f>'Price History'!N3+('Price History'!N158-'Price History'!N3)*0.474025974025974</f>
        <v>410.17506493506494</v>
      </c>
      <c r="AJ76" s="77">
        <f>'Price History'!O3+('Price History'!O158-'Price History'!O3)*0.474025974025974</f>
        <v>102.96292207792207</v>
      </c>
      <c r="AK76" s="77">
        <f>'Price History'!Q3+('Price History'!Q151-'Price History'!Q3)*0.474025974025974</f>
        <v>58.661623376623382</v>
      </c>
      <c r="AL76" s="77">
        <f>'Price History'!R3+('Price History'!R158-'Price History'!R3)*0.474025974025974</f>
        <v>52.76409090909091</v>
      </c>
      <c r="AM76" s="77">
        <f>'Price History'!S3+('Price History'!S158-'Price History'!S3)*0.474025974025974</f>
        <v>98.969675324675336</v>
      </c>
      <c r="AN76" s="77">
        <f>'Price History'!T3+('Price History'!T158-'Price History'!T3)*0.474025974025974</f>
        <v>37.732012987012986</v>
      </c>
    </row>
    <row r="77" spans="1:40" ht="15" customHeight="1" x14ac:dyDescent="0.2">
      <c r="A77" s="55">
        <f>IF('Price History'!A78="","",'Price History'!A78)</f>
        <v>45674</v>
      </c>
      <c r="B77" s="76">
        <f>IFERROR(IF(OR(NOT(ISNUMBER('Price History'!B78)),NOT(ISNUMBER('Price History'!B77)),'Price History'!B77=0),"",'Price History'!B78/'Price History'!B77-1),"")</f>
        <v>5.9297398502167864E-2</v>
      </c>
      <c r="C77" s="76">
        <f>IFERROR(IF(OR(NOT(ISNUMBER('Price History'!C78)),NOT(ISNUMBER('Price History'!C77)),'Price History'!C77=0),"",'Price History'!C78/'Price History'!C77-1),"")</f>
        <v>4.9064194507608905E-2</v>
      </c>
      <c r="D77" s="76">
        <f>IFERROR(IF(OR(NOT(ISNUMBER('Price History'!D78)),NOT(ISNUMBER('Price History'!D77)),'Price History'!D77=0),"",'Price History'!D78/'Price History'!D77-1),"")</f>
        <v>2.3436759989716061E-2</v>
      </c>
      <c r="E77" s="76">
        <f>IFERROR(IF(OR(NOT(ISNUMBER('Price History'!E78)),NOT(ISNUMBER('Price History'!E77)),'Price History'!E77=0),"",'Price History'!E78/'Price History'!E77-1),"")</f>
        <v>5.8535063082341354E-2</v>
      </c>
      <c r="F77" s="76">
        <f>IFERROR(IF(OR(NOT(ISNUMBER('Price History'!F78)),NOT(ISNUMBER('Price History'!F77)),'Price History'!F77=0),"",'Price History'!F78/'Price History'!F77-1),"")</f>
        <v>2.3391812865497075E-2</v>
      </c>
      <c r="G77" s="76">
        <f>IFERROR(IF(OR(NOT(ISNUMBER('Price History'!G78)),NOT(ISNUMBER('Price History'!G77)),'Price History'!G77=0),"",'Price History'!G78/'Price History'!G77-1),"")</f>
        <v>0.1089152393500219</v>
      </c>
      <c r="H77" s="76">
        <f>IFERROR(IF(OR(NOT(ISNUMBER('Price History'!H78)),NOT(ISNUMBER('Price History'!H77)),'Price History'!H77=0),"",'Price History'!H78/'Price History'!H77-1),"")</f>
        <v>6.4525870746929614E-2</v>
      </c>
      <c r="I77" s="76">
        <f>IFERROR(IF(OR(NOT(ISNUMBER('Price History'!I78)),NOT(ISNUMBER('Price History'!I77)),'Price History'!I77=0),"",'Price History'!I78/'Price History'!I77-1),"")</f>
        <v>1.3244058568170125E-2</v>
      </c>
      <c r="J77" s="76">
        <f>IFERROR(IF(OR(NOT(ISNUMBER('Price History'!J78)),NOT(ISNUMBER('Price History'!J77)),'Price History'!J77=0),"",'Price History'!J78/'Price History'!J77-1),"")</f>
        <v>5.6858770151559046E-2</v>
      </c>
      <c r="K77" s="76">
        <f>IFERROR(IF(OR(NOT(ISNUMBER('Price History'!K78)),NOT(ISNUMBER('Price History'!K77)),'Price History'!K77=0),"",'Price History'!K78/'Price History'!K77-1),"")</f>
        <v>6.7053226286053924E-2</v>
      </c>
      <c r="L77" s="76">
        <f>IFERROR(IF(OR(NOT(ISNUMBER('Price History'!L78)),NOT(ISNUMBER('Price History'!L77)),'Price History'!L77=0),"",'Price History'!L78/'Price History'!L77-1),"")</f>
        <v>1.502135624130152E-2</v>
      </c>
      <c r="M77" s="76">
        <f>IFERROR(IF(OR(NOT(ISNUMBER('Price History'!M78)),NOT(ISNUMBER('Price History'!M77)),'Price History'!M77=0),"",'Price History'!M78/'Price History'!M77-1),"")</f>
        <v>5.3905219886760225E-2</v>
      </c>
      <c r="N77" s="76">
        <f>IFERROR(IF(OR(NOT(ISNUMBER('Price History'!N78)),NOT(ISNUMBER('Price History'!N77)),'Price History'!N77=0),"",'Price History'!N78/'Price History'!N77-1),"")</f>
        <v>3.0374059966793654E-2</v>
      </c>
      <c r="O77" s="76">
        <f>IFERROR(IF(OR(NOT(ISNUMBER('Price History'!O78)),NOT(ISNUMBER('Price History'!O77)),'Price History'!O77=0),"",'Price History'!O78/'Price History'!O77-1),"")</f>
        <v>4.8896398774949779E-2</v>
      </c>
      <c r="P77" s="76" t="str">
        <f>IFERROR(IF(OR(NOT(ISNUMBER('Price History'!P78)),NOT(ISNUMBER('Price History'!P77)),'Price History'!P77=0),"",'Price History'!P78/'Price History'!P77-1),"")</f>
        <v/>
      </c>
      <c r="Q77" s="76">
        <f>IFERROR(IF(OR(NOT(ISNUMBER('Price History'!Q78)),NOT(ISNUMBER('Price History'!Q77)),'Price History'!Q77=0),"",'Price History'!Q78/'Price History'!Q77-1),"")</f>
        <v>-1.7453963170536491E-2</v>
      </c>
      <c r="R77" s="76">
        <f>IFERROR(IF(OR(NOT(ISNUMBER('Price History'!R78)),NOT(ISNUMBER('Price History'!R77)),'Price History'!R77=0),"",'Price History'!R78/'Price History'!R77-1),"")</f>
        <v>2.3043944265809246E-2</v>
      </c>
      <c r="S77" s="76">
        <f>IFERROR(IF(OR(NOT(ISNUMBER('Price History'!S78)),NOT(ISNUMBER('Price History'!S77)),'Price History'!S77=0),"",'Price History'!S78/'Price History'!S77-1),"")</f>
        <v>3.2119690311780857E-2</v>
      </c>
      <c r="T77" s="76">
        <f>IFERROR(IF(OR(NOT(ISNUMBER('Price History'!T78)),NOT(ISNUMBER('Price History'!T77)),'Price History'!T77=0),"",'Price History'!T78/'Price History'!T77-1),"")</f>
        <v>3.859547301218802E-2</v>
      </c>
      <c r="U77" s="76" t="str">
        <f>IFERROR(IF(OR(NOT(ISNUMBER('Price History'!U78)),NOT(ISNUMBER('Price History'!U77)),'Price History'!U77=0),"",'Price History'!U78/'Price History'!U77-1),"")</f>
        <v/>
      </c>
      <c r="W77" s="77">
        <f>'Price History'!B3+('Price History'!B158-'Price History'!B3)*0.480519480519481</f>
        <v>384.45675324675312</v>
      </c>
      <c r="X77" s="77">
        <f>'Price History'!C3+('Price History'!C158-'Price History'!C3)*0.480519480519481</f>
        <v>109.38376623376629</v>
      </c>
      <c r="Y77" s="77">
        <f>'Price History'!D3+('Price History'!D158-'Price History'!D3)*0.480519480519481</f>
        <v>1126.5480519480525</v>
      </c>
      <c r="Z77" s="77">
        <f>'Price History'!E3+('Price History'!E158-'Price History'!E3)*0.480519480519481</f>
        <v>230.16311688311703</v>
      </c>
      <c r="AA77" s="77">
        <f>'Price History'!F3+('Price History'!F158-'Price History'!F3)*0.480519480519481</f>
        <v>110.96389610389619</v>
      </c>
      <c r="AB77" s="77">
        <f>'Price History'!G3+('Price History'!G158-'Price History'!G3)*0.480519480519481</f>
        <v>112.73168831168837</v>
      </c>
      <c r="AC77" s="77">
        <f>'Price History'!H3+('Price History'!H158-'Price History'!H3)*0.480519480519481</f>
        <v>428.92090909090945</v>
      </c>
      <c r="AD77" s="77">
        <f>'Price History'!I3+('Price History'!I158-'Price History'!I3)*0.480519480519481</f>
        <v>117.68506493506501</v>
      </c>
      <c r="AE77" s="77">
        <f>'Price History'!J3+('Price History'!J158-'Price History'!J3)*0.480519480519481</f>
        <v>133.64896103896106</v>
      </c>
      <c r="AF77" s="77">
        <f>'Price History'!K3+('Price History'!K158-'Price History'!K3)*0.480519480519481</f>
        <v>67.137922077922127</v>
      </c>
      <c r="AG77" s="77">
        <f>'Price History'!L3+('Price History'!L158-'Price History'!L3)*0.480519480519481</f>
        <v>242.03701298701316</v>
      </c>
      <c r="AH77" s="77">
        <f>'Price History'!M3+('Price History'!M158-'Price History'!M3)*0.480519480519481</f>
        <v>133.48688311688321</v>
      </c>
      <c r="AI77" s="77">
        <f>'Price History'!N3+('Price History'!N158-'Price History'!N3)*0.480519480519481</f>
        <v>411.00129870129877</v>
      </c>
      <c r="AJ77" s="77">
        <f>'Price History'!O3+('Price History'!O158-'Price History'!O3)*0.480519480519481</f>
        <v>103.23844155844158</v>
      </c>
      <c r="AK77" s="77">
        <f>'Price History'!Q3+('Price History'!Q151-'Price History'!Q3)*0.480519480519481</f>
        <v>58.782467532467543</v>
      </c>
      <c r="AL77" s="77">
        <f>'Price History'!R3+('Price History'!R158-'Price History'!R3)*0.480519480519481</f>
        <v>52.831818181818186</v>
      </c>
      <c r="AM77" s="77">
        <f>'Price History'!S3+('Price History'!S158-'Price History'!S3)*0.480519480519481</f>
        <v>99.523506493506545</v>
      </c>
      <c r="AN77" s="77">
        <f>'Price History'!T3+('Price History'!T158-'Price History'!T3)*0.480519480519481</f>
        <v>37.880259740259753</v>
      </c>
    </row>
    <row r="78" spans="1:40" ht="15" customHeight="1" x14ac:dyDescent="0.2">
      <c r="A78" s="55">
        <f>IF('Price History'!A79="","",'Price History'!A79)</f>
        <v>45681</v>
      </c>
      <c r="B78" s="76">
        <f>IFERROR(IF(OR(NOT(ISNUMBER('Price History'!B79)),NOT(ISNUMBER('Price History'!B78)),'Price History'!B78=0),"",'Price History'!B79/'Price History'!B78-1),"")</f>
        <v>1.2535175236633389E-2</v>
      </c>
      <c r="C78" s="76">
        <f>IFERROR(IF(OR(NOT(ISNUMBER('Price History'!C79)),NOT(ISNUMBER('Price History'!C78)),'Price History'!C78=0),"",'Price History'!C79/'Price History'!C78-1),"")</f>
        <v>7.6865360566902741E-2</v>
      </c>
      <c r="D78" s="76">
        <f>IFERROR(IF(OR(NOT(ISNUMBER('Price History'!D79)),NOT(ISNUMBER('Price History'!D78)),'Price History'!D78=0),"",'Price History'!D79/'Price History'!D78-1),"")</f>
        <v>-3.1837954332103791E-2</v>
      </c>
      <c r="E78" s="76">
        <f>IFERROR(IF(OR(NOT(ISNUMBER('Price History'!E79)),NOT(ISNUMBER('Price History'!E78)),'Price History'!E78=0),"",'Price History'!E79/'Price History'!E78-1),"")</f>
        <v>3.0576145552560607E-2</v>
      </c>
      <c r="F78" s="76">
        <f>IFERROR(IF(OR(NOT(ISNUMBER('Price History'!F79)),NOT(ISNUMBER('Price History'!F78)),'Price History'!F78=0),"",'Price History'!F79/'Price History'!F78-1),"")</f>
        <v>5.0196078431372637E-2</v>
      </c>
      <c r="G78" s="76">
        <f>IFERROR(IF(OR(NOT(ISNUMBER('Price History'!G79)),NOT(ISNUMBER('Price History'!G78)),'Price History'!G78=0),"",'Price History'!G79/'Price History'!G78-1),"")</f>
        <v>-1.0165016501650137E-2</v>
      </c>
      <c r="H78" s="76">
        <f>IFERROR(IF(OR(NOT(ISNUMBER('Price History'!H79)),NOT(ISNUMBER('Price History'!H78)),'Price History'!H78=0),"",'Price History'!H79/'Price History'!H78-1),"")</f>
        <v>-2.4208037825059092E-2</v>
      </c>
      <c r="I78" s="76">
        <f>IFERROR(IF(OR(NOT(ISNUMBER('Price History'!I79)),NOT(ISNUMBER('Price History'!I78)),'Price History'!I78=0),"",'Price History'!I79/'Price History'!I78-1),"")</f>
        <v>3.5654636555079389E-2</v>
      </c>
      <c r="J78" s="76">
        <f>IFERROR(IF(OR(NOT(ISNUMBER('Price History'!J79)),NOT(ISNUMBER('Price History'!J78)),'Price History'!J78=0),"",'Price History'!J79/'Price History'!J78-1),"")</f>
        <v>8.6317135549872193E-2</v>
      </c>
      <c r="K78" s="76">
        <f>IFERROR(IF(OR(NOT(ISNUMBER('Price History'!K79)),NOT(ISNUMBER('Price History'!K78)),'Price History'!K78=0),"",'Price History'!K79/'Price History'!K78-1),"")</f>
        <v>0.10045980214574346</v>
      </c>
      <c r="L78" s="76">
        <f>IFERROR(IF(OR(NOT(ISNUMBER('Price History'!L79)),NOT(ISNUMBER('Price History'!L78)),'Price History'!L78=0),"",'Price History'!L79/'Price History'!L78-1),"")</f>
        <v>4.9078014184397167E-2</v>
      </c>
      <c r="M78" s="76">
        <f>IFERROR(IF(OR(NOT(ISNUMBER('Price History'!M79)),NOT(ISNUMBER('Price History'!M78)),'Price History'!M78=0),"",'Price History'!M79/'Price History'!M78-1),"")</f>
        <v>7.6832499264056553E-2</v>
      </c>
      <c r="N78" s="76">
        <f>IFERROR(IF(OR(NOT(ISNUMBER('Price History'!N79)),NOT(ISNUMBER('Price History'!N78)),'Price History'!N78=0),"",'Price History'!N79/'Price History'!N78-1),"")</f>
        <v>4.1753554502369727E-2</v>
      </c>
      <c r="O78" s="76">
        <f>IFERROR(IF(OR(NOT(ISNUMBER('Price History'!O79)),NOT(ISNUMBER('Price History'!O78)),'Price History'!O78=0),"",'Price History'!O79/'Price History'!O78-1),"")</f>
        <v>5.0342327829238087E-3</v>
      </c>
      <c r="P78" s="76" t="str">
        <f>IFERROR(IF(OR(NOT(ISNUMBER('Price History'!P79)),NOT(ISNUMBER('Price History'!P78)),'Price History'!P78=0),"",'Price History'!P79/'Price History'!P78-1),"")</f>
        <v/>
      </c>
      <c r="Q78" s="76">
        <f>IFERROR(IF(OR(NOT(ISNUMBER('Price History'!Q79)),NOT(ISNUMBER('Price History'!Q78)),'Price History'!Q78=0),"",'Price History'!Q79/'Price History'!Q78-1),"")</f>
        <v>-1.4178617992177234E-2</v>
      </c>
      <c r="R78" s="76">
        <f>IFERROR(IF(OR(NOT(ISNUMBER('Price History'!R79)),NOT(ISNUMBER('Price History'!R78)),'Price History'!R78=0),"",'Price History'!R79/'Price History'!R78-1),"")</f>
        <v>1.396891915488041E-2</v>
      </c>
      <c r="S78" s="76">
        <f>IFERROR(IF(OR(NOT(ISNUMBER('Price History'!S79)),NOT(ISNUMBER('Price History'!S78)),'Price History'!S78=0),"",'Price History'!S79/'Price History'!S78-1),"")</f>
        <v>2.716675114039524E-2</v>
      </c>
      <c r="T78" s="76">
        <f>IFERROR(IF(OR(NOT(ISNUMBER('Price History'!T79)),NOT(ISNUMBER('Price History'!T78)),'Price History'!T78=0),"",'Price History'!T79/'Price History'!T78-1),"")</f>
        <v>2.5146689019279744E-3</v>
      </c>
      <c r="U78" s="76" t="str">
        <f>IFERROR(IF(OR(NOT(ISNUMBER('Price History'!U79)),NOT(ISNUMBER('Price History'!U78)),'Price History'!U78=0),"",'Price History'!U79/'Price History'!U78-1),"")</f>
        <v/>
      </c>
      <c r="W78" s="77">
        <f>'Price History'!B3+('Price History'!B158-'Price History'!B3)*0.487012987012987</f>
        <v>382.78116883116883</v>
      </c>
      <c r="X78" s="77">
        <f>'Price History'!C3+('Price History'!C158-'Price History'!C3)*0.487012987012987</f>
        <v>110.27084415584415</v>
      </c>
      <c r="Y78" s="77">
        <f>'Price History'!D3+('Price History'!D158-'Price History'!D3)*0.487012987012987</f>
        <v>1132.8287012987012</v>
      </c>
      <c r="Z78" s="77">
        <f>'Price History'!E3+('Price History'!E158-'Price History'!E3)*0.487012987012987</f>
        <v>232.15207792207792</v>
      </c>
      <c r="AA78" s="77">
        <f>'Price History'!F3+('Price History'!F158-'Price History'!F3)*0.487012987012987</f>
        <v>111.96259740259741</v>
      </c>
      <c r="AB78" s="77">
        <f>'Price History'!G3+('Price History'!G158-'Price History'!G3)*0.487012987012987</f>
        <v>113.60779220779219</v>
      </c>
      <c r="AC78" s="77">
        <f>'Price History'!H3+('Price History'!H158-'Price History'!H3)*0.487012987012987</f>
        <v>433.8472727272727</v>
      </c>
      <c r="AD78" s="77">
        <f>'Price History'!I3+('Price History'!I158-'Price History'!I3)*0.487012987012987</f>
        <v>118.72337662337662</v>
      </c>
      <c r="AE78" s="77">
        <f>'Price History'!J3+('Price History'!J158-'Price History'!J3)*0.487012987012987</f>
        <v>133.78597402597404</v>
      </c>
      <c r="AF78" s="77">
        <f>'Price History'!K3+('Price History'!K158-'Price History'!K3)*0.487012987012987</f>
        <v>67.836948051948056</v>
      </c>
      <c r="AG78" s="77">
        <f>'Price History'!L3+('Price History'!L158-'Price History'!L3)*0.487012987012987</f>
        <v>244.06467532467531</v>
      </c>
      <c r="AH78" s="77">
        <f>'Price History'!M3+('Price History'!M158-'Price History'!M3)*0.487012987012987</f>
        <v>134.83792207792209</v>
      </c>
      <c r="AI78" s="77">
        <f>'Price History'!N3+('Price History'!N158-'Price History'!N3)*0.487012987012987</f>
        <v>411.82753246753248</v>
      </c>
      <c r="AJ78" s="77">
        <f>'Price History'!O3+('Price History'!O158-'Price History'!O3)*0.487012987012987</f>
        <v>103.51396103896104</v>
      </c>
      <c r="AK78" s="77">
        <f>'Price History'!Q3+('Price History'!Q151-'Price History'!Q3)*0.487012987012987</f>
        <v>58.903311688311689</v>
      </c>
      <c r="AL78" s="77">
        <f>'Price History'!R3+('Price History'!R158-'Price History'!R3)*0.487012987012987</f>
        <v>52.899545454545454</v>
      </c>
      <c r="AM78" s="77">
        <f>'Price History'!S3+('Price History'!S158-'Price History'!S3)*0.487012987012987</f>
        <v>100.07733766233767</v>
      </c>
      <c r="AN78" s="77">
        <f>'Price History'!T3+('Price History'!T158-'Price History'!T3)*0.487012987012987</f>
        <v>38.028506493506498</v>
      </c>
    </row>
    <row r="79" spans="1:40" ht="15" customHeight="1" x14ac:dyDescent="0.2">
      <c r="A79" s="55">
        <f>IF('Price History'!A80="","",'Price History'!A80)</f>
        <v>45688</v>
      </c>
      <c r="B79" s="76">
        <f>IFERROR(IF(OR(NOT(ISNUMBER('Price History'!B80)),NOT(ISNUMBER('Price History'!B79)),'Price History'!B79=0),"",'Price History'!B80/'Price History'!B79-1),"")</f>
        <v>4.7544673618447053E-3</v>
      </c>
      <c r="C79" s="76">
        <f>IFERROR(IF(OR(NOT(ISNUMBER('Price History'!C80)),NOT(ISNUMBER('Price History'!C79)),'Price History'!C79=0),"",'Price History'!C80/'Price History'!C79-1),"")</f>
        <v>-0.10791979561817744</v>
      </c>
      <c r="D79" s="76">
        <f>IFERROR(IF(OR(NOT(ISNUMBER('Price History'!D80)),NOT(ISNUMBER('Price History'!D79)),'Price History'!D79=0),"",'Price History'!D80/'Price History'!D79-1),"")</f>
        <v>9.6415158757254815E-3</v>
      </c>
      <c r="E79" s="76">
        <f>IFERROR(IF(OR(NOT(ISNUMBER('Price History'!E80)),NOT(ISNUMBER('Price History'!E79)),'Price History'!E79=0),"",'Price History'!E80/'Price History'!E79-1),"")</f>
        <v>-9.5749897834082498E-2</v>
      </c>
      <c r="F79" s="76">
        <f>IFERROR(IF(OR(NOT(ISNUMBER('Price History'!F80)),NOT(ISNUMBER('Price History'!F79)),'Price History'!F79=0),"",'Price History'!F80/'Price History'!F79-1),"")</f>
        <v>6.1773178278032637E-2</v>
      </c>
      <c r="G79" s="76">
        <f>IFERROR(IF(OR(NOT(ISNUMBER('Price History'!G80)),NOT(ISNUMBER('Price History'!G79)),'Price History'!G79=0),"",'Price History'!G80/'Price History'!G79-1),"")</f>
        <v>-1.5470792211256468E-2</v>
      </c>
      <c r="H79" s="76">
        <f>IFERROR(IF(OR(NOT(ISNUMBER('Price History'!H80)),NOT(ISNUMBER('Price History'!H79)),'Price History'!H79=0),"",'Price History'!H80/'Price History'!H79-1),"")</f>
        <v>-0.11580579513518752</v>
      </c>
      <c r="I79" s="76">
        <f>IFERROR(IF(OR(NOT(ISNUMBER('Price History'!I80)),NOT(ISNUMBER('Price History'!I79)),'Price History'!I79=0),"",'Price History'!I80/'Price History'!I79-1),"")</f>
        <v>-0.15811246669471335</v>
      </c>
      <c r="J79" s="76">
        <f>IFERROR(IF(OR(NOT(ISNUMBER('Price History'!J80)),NOT(ISNUMBER('Price History'!J79)),'Price History'!J79=0),"",'Price History'!J80/'Price History'!J79-1),"")</f>
        <v>2.6906583704700004E-3</v>
      </c>
      <c r="K79" s="76">
        <f>IFERROR(IF(OR(NOT(ISNUMBER('Price History'!K80)),NOT(ISNUMBER('Price History'!K79)),'Price History'!K79=0),"",'Price History'!K80/'Price History'!K79-1),"")</f>
        <v>4.4441630792605658E-2</v>
      </c>
      <c r="L79" s="76">
        <f>IFERROR(IF(OR(NOT(ISNUMBER('Price History'!L80)),NOT(ISNUMBER('Price History'!L79)),'Price History'!L79=0),"",'Price History'!L80/'Price History'!L79-1),"")</f>
        <v>-5.6607175049576353E-2</v>
      </c>
      <c r="M79" s="76">
        <f>IFERROR(IF(OR(NOT(ISNUMBER('Price History'!M80)),NOT(ISNUMBER('Price History'!M79)),'Price History'!M79=0),"",'Price History'!M80/'Price History'!M79-1),"")</f>
        <v>-0.20024603608529246</v>
      </c>
      <c r="N79" s="76">
        <f>IFERROR(IF(OR(NOT(ISNUMBER('Price History'!N80)),NOT(ISNUMBER('Price History'!N79)),'Price History'!N79=0),"",'Price History'!N80/'Price History'!N79-1),"")</f>
        <v>5.0179700650561765E-2</v>
      </c>
      <c r="O79" s="76">
        <f>IFERROR(IF(OR(NOT(ISNUMBER('Price History'!O80)),NOT(ISNUMBER('Price History'!O79)),'Price History'!O79=0),"",'Price History'!O80/'Price History'!O79-1),"")</f>
        <v>-1.5127229012221854E-2</v>
      </c>
      <c r="P79" s="76" t="str">
        <f>IFERROR(IF(OR(NOT(ISNUMBER('Price History'!P80)),NOT(ISNUMBER('Price History'!P79)),'Price History'!P79=0),"",'Price History'!P80/'Price History'!P79-1),"")</f>
        <v/>
      </c>
      <c r="Q79" s="76">
        <f>IFERROR(IF(OR(NOT(ISNUMBER('Price History'!Q80)),NOT(ISNUMBER('Price History'!Q79)),'Price History'!Q79=0),"",'Price History'!Q80/'Price History'!Q79-1),"")</f>
        <v>-2.1491155562903819E-3</v>
      </c>
      <c r="R79" s="76">
        <f>IFERROR(IF(OR(NOT(ISNUMBER('Price History'!R80)),NOT(ISNUMBER('Price History'!R79)),'Price History'!R79=0),"",'Price History'!R80/'Price History'!R79-1),"")</f>
        <v>-1.0332357499569511E-2</v>
      </c>
      <c r="S79" s="76">
        <f>IFERROR(IF(OR(NOT(ISNUMBER('Price History'!S80)),NOT(ISNUMBER('Price History'!S79)),'Price History'!S79=0),"",'Price History'!S80/'Price History'!S79-1),"")</f>
        <v>-1.2730681930326559E-2</v>
      </c>
      <c r="T79" s="76">
        <f>IFERROR(IF(OR(NOT(ISNUMBER('Price History'!T80)),NOT(ISNUMBER('Price History'!T79)),'Price History'!T79=0),"",'Price History'!T80/'Price History'!T79-1),"")</f>
        <v>-1.0312151616499565E-2</v>
      </c>
      <c r="U79" s="76" t="str">
        <f>IFERROR(IF(OR(NOT(ISNUMBER('Price History'!U80)),NOT(ISNUMBER('Price History'!U79)),'Price History'!U79=0),"",'Price History'!U80/'Price History'!U79-1),"")</f>
        <v/>
      </c>
      <c r="W79" s="77">
        <f>'Price History'!B3+('Price History'!B158-'Price History'!B3)*0.493506493506494</f>
        <v>381.1055844155843</v>
      </c>
      <c r="X79" s="77">
        <f>'Price History'!C3+('Price History'!C158-'Price History'!C3)*0.493506493506494</f>
        <v>111.15792207792214</v>
      </c>
      <c r="Y79" s="77">
        <f>'Price History'!D3+('Price History'!D158-'Price History'!D3)*0.493506493506494</f>
        <v>1139.1093506493512</v>
      </c>
      <c r="Z79" s="77">
        <f>'Price History'!E3+('Price History'!E158-'Price History'!E3)*0.493506493506494</f>
        <v>234.1410389610391</v>
      </c>
      <c r="AA79" s="77">
        <f>'Price History'!F3+('Price History'!F158-'Price History'!F3)*0.493506493506494</f>
        <v>112.96129870129879</v>
      </c>
      <c r="AB79" s="77">
        <f>'Price History'!G3+('Price History'!G158-'Price History'!G3)*0.493506493506494</f>
        <v>114.48389610389617</v>
      </c>
      <c r="AC79" s="77">
        <f>'Price History'!H3+('Price History'!H158-'Price History'!H3)*0.493506493506494</f>
        <v>438.77363636363674</v>
      </c>
      <c r="AD79" s="77">
        <f>'Price History'!I3+('Price History'!I158-'Price History'!I3)*0.493506493506494</f>
        <v>119.7616883116884</v>
      </c>
      <c r="AE79" s="77">
        <f>'Price History'!J3+('Price History'!J158-'Price History'!J3)*0.493506493506494</f>
        <v>133.92298701298702</v>
      </c>
      <c r="AF79" s="77">
        <f>'Price History'!K3+('Price History'!K158-'Price History'!K3)*0.493506493506494</f>
        <v>68.535974025974085</v>
      </c>
      <c r="AG79" s="77">
        <f>'Price History'!L3+('Price History'!L158-'Price History'!L3)*0.493506493506494</f>
        <v>246.0923376623378</v>
      </c>
      <c r="AH79" s="77">
        <f>'Price History'!M3+('Price History'!M158-'Price History'!M3)*0.493506493506494</f>
        <v>136.18896103896114</v>
      </c>
      <c r="AI79" s="77">
        <f>'Price History'!N3+('Price History'!N158-'Price History'!N3)*0.493506493506494</f>
        <v>412.65376623376631</v>
      </c>
      <c r="AJ79" s="77">
        <f>'Price History'!O3+('Price History'!O158-'Price History'!O3)*0.493506493506494</f>
        <v>103.78948051948053</v>
      </c>
      <c r="AK79" s="77">
        <f>'Price History'!Q3+('Price History'!Q151-'Price History'!Q3)*0.493506493506494</f>
        <v>59.024155844155857</v>
      </c>
      <c r="AL79" s="77">
        <f>'Price History'!R3+('Price History'!R158-'Price History'!R3)*0.493506493506494</f>
        <v>52.967272727272729</v>
      </c>
      <c r="AM79" s="77">
        <f>'Price History'!S3+('Price History'!S158-'Price History'!S3)*0.493506493506494</f>
        <v>100.63116883116888</v>
      </c>
      <c r="AN79" s="77">
        <f>'Price History'!T3+('Price History'!T158-'Price History'!T3)*0.493506493506494</f>
        <v>38.176753246753258</v>
      </c>
    </row>
    <row r="80" spans="1:40" ht="15" customHeight="1" x14ac:dyDescent="0.2">
      <c r="A80" s="55">
        <f>IF('Price History'!A81="","",'Price History'!A81)</f>
        <v>45695</v>
      </c>
      <c r="B80" s="76">
        <f>IFERROR(IF(OR(NOT(ISNUMBER('Price History'!B81)),NOT(ISNUMBER('Price History'!B80)),'Price History'!B80=0),"",'Price History'!B81/'Price History'!B80-1),"")</f>
        <v>-1.0012572865470304E-2</v>
      </c>
      <c r="C80" s="76">
        <f>IFERROR(IF(OR(NOT(ISNUMBER('Price History'!C81)),NOT(ISNUMBER('Price History'!C80)),'Price History'!C80=0),"",'Price History'!C81/'Price History'!C80-1),"")</f>
        <v>2.8117677688102027E-2</v>
      </c>
      <c r="D80" s="76">
        <f>IFERROR(IF(OR(NOT(ISNUMBER('Price History'!D81)),NOT(ISNUMBER('Price History'!D80)),'Price History'!D80=0),"",'Price History'!D81/'Price History'!D80-1),"")</f>
        <v>-1.5703831951414005E-2</v>
      </c>
      <c r="E80" s="76">
        <f>IFERROR(IF(OR(NOT(ISNUMBER('Price History'!E81)),NOT(ISNUMBER('Price History'!E80)),'Price History'!E80=0),"",'Price History'!E81/'Price History'!E80-1),"")</f>
        <v>1.6269715731911161E-2</v>
      </c>
      <c r="F80" s="76">
        <f>IFERROR(IF(OR(NOT(ISNUMBER('Price History'!F81)),NOT(ISNUMBER('Price History'!F80)),'Price History'!F80=0),"",'Price History'!F81/'Price History'!F80-1),"")</f>
        <v>5.9083601286173737E-2</v>
      </c>
      <c r="G80" s="76">
        <f>IFERROR(IF(OR(NOT(ISNUMBER('Price History'!G81)),NOT(ISNUMBER('Price History'!G80)),'Price History'!G80=0),"",'Price History'!G81/'Price History'!G80-1),"")</f>
        <v>1.2869141154158825E-2</v>
      </c>
      <c r="H80" s="76">
        <f>IFERROR(IF(OR(NOT(ISNUMBER('Price History'!H81)),NOT(ISNUMBER('Price History'!H80)),'Price History'!H80=0),"",'Price History'!H81/'Price History'!H80-1),"")</f>
        <v>1.1617711530030661E-2</v>
      </c>
      <c r="I80" s="76">
        <f>IFERROR(IF(OR(NOT(ISNUMBER('Price History'!I81)),NOT(ISNUMBER('Price History'!I80)),'Price History'!I80=0),"",'Price History'!I81/'Price History'!I80-1),"")</f>
        <v>8.1369201299242189E-2</v>
      </c>
      <c r="J80" s="76">
        <f>IFERROR(IF(OR(NOT(ISNUMBER('Price History'!J81)),NOT(ISNUMBER('Price History'!J80)),'Price History'!J80=0),"",'Price History'!J81/'Price History'!J80-1),"")</f>
        <v>-1.5932914046121627E-2</v>
      </c>
      <c r="K80" s="76">
        <f>IFERROR(IF(OR(NOT(ISNUMBER('Price History'!K81)),NOT(ISNUMBER('Price History'!K80)),'Price History'!K80=0),"",'Price History'!K81/'Price History'!K80-1),"")</f>
        <v>0.34379924839374465</v>
      </c>
      <c r="L80" s="76">
        <f>IFERROR(IF(OR(NOT(ISNUMBER('Price History'!L81)),NOT(ISNUMBER('Price History'!L80)),'Price History'!L80=0),"",'Price History'!L81/'Price History'!L80-1),"")</f>
        <v>-1.528759793617418E-2</v>
      </c>
      <c r="M80" s="76">
        <f>IFERROR(IF(OR(NOT(ISNUMBER('Price History'!M81)),NOT(ISNUMBER('Price History'!M80)),'Price History'!M80=0),"",'Price History'!M81/'Price History'!M80-1),"")</f>
        <v>3.7258588275508542E-2</v>
      </c>
      <c r="N80" s="76">
        <f>IFERROR(IF(OR(NOT(ISNUMBER('Price History'!N81)),NOT(ISNUMBER('Price History'!N80)),'Price History'!N80=0),"",'Price History'!N81/'Price History'!N80-1),"")</f>
        <v>1.6548258534049509E-2</v>
      </c>
      <c r="O80" s="76">
        <f>IFERROR(IF(OR(NOT(ISNUMBER('Price History'!O81)),NOT(ISNUMBER('Price History'!O80)),'Price History'!O80=0),"",'Price History'!O81/'Price History'!O80-1),"")</f>
        <v>-1.1595971925541626E-2</v>
      </c>
      <c r="P80" s="76" t="str">
        <f>IFERROR(IF(OR(NOT(ISNUMBER('Price History'!P81)),NOT(ISNUMBER('Price History'!P80)),'Price History'!P80=0),"",'Price History'!P81/'Price History'!P80-1),"")</f>
        <v/>
      </c>
      <c r="Q80" s="76">
        <f>IFERROR(IF(OR(NOT(ISNUMBER('Price History'!Q81)),NOT(ISNUMBER('Price History'!Q80)),'Price History'!Q80=0),"",'Price History'!Q81/'Price History'!Q80-1),"")</f>
        <v>-1.2922465208747513E-2</v>
      </c>
      <c r="R80" s="76">
        <f>IFERROR(IF(OR(NOT(ISNUMBER('Price History'!R81)),NOT(ISNUMBER('Price History'!R80)),'Price History'!R80=0),"",'Price History'!R81/'Price History'!R80-1),"")</f>
        <v>-5.2201148425264909E-3</v>
      </c>
      <c r="S80" s="76">
        <f>IFERROR(IF(OR(NOT(ISNUMBER('Price History'!S81)),NOT(ISNUMBER('Price History'!S80)),'Price History'!S80=0),"",'Price History'!S81/'Price History'!S80-1),"")</f>
        <v>1.9892043182726749E-2</v>
      </c>
      <c r="T80" s="76">
        <f>IFERROR(IF(OR(NOT(ISNUMBER('Price History'!T81)),NOT(ISNUMBER('Price History'!T80)),'Price History'!T80=0),"",'Price History'!T81/'Price History'!T80-1),"")</f>
        <v>-8.7299352295127086E-3</v>
      </c>
      <c r="U80" s="76" t="str">
        <f>IFERROR(IF(OR(NOT(ISNUMBER('Price History'!U81)),NOT(ISNUMBER('Price History'!U80)),'Price History'!U80=0),"",'Price History'!U81/'Price History'!U80-1),"")</f>
        <v/>
      </c>
      <c r="W80" s="77">
        <f>'Price History'!B3+('Price History'!B158-'Price History'!B3)*0.5</f>
        <v>379.43</v>
      </c>
      <c r="X80" s="77">
        <f>'Price History'!C3+('Price History'!C158-'Price History'!C3)*0.5</f>
        <v>112.04499999999999</v>
      </c>
      <c r="Y80" s="77">
        <f>'Price History'!D3+('Price History'!D158-'Price History'!D3)*0.5</f>
        <v>1145.3899999999999</v>
      </c>
      <c r="Z80" s="77">
        <f>'Price History'!E3+('Price History'!E158-'Price History'!E3)*0.5</f>
        <v>236.13</v>
      </c>
      <c r="AA80" s="77">
        <f>'Price History'!F3+('Price History'!F158-'Price History'!F3)*0.5</f>
        <v>113.96000000000001</v>
      </c>
      <c r="AB80" s="77">
        <f>'Price History'!G3+('Price History'!G158-'Price History'!G3)*0.5</f>
        <v>115.35999999999999</v>
      </c>
      <c r="AC80" s="77">
        <f>'Price History'!H3+('Price History'!H158-'Price History'!H3)*0.5</f>
        <v>443.7</v>
      </c>
      <c r="AD80" s="77">
        <f>'Price History'!I3+('Price History'!I158-'Price History'!I3)*0.5</f>
        <v>120.80000000000001</v>
      </c>
      <c r="AE80" s="77">
        <f>'Price History'!J3+('Price History'!J158-'Price History'!J3)*0.5</f>
        <v>134.06</v>
      </c>
      <c r="AF80" s="77">
        <f>'Price History'!K3+('Price History'!K158-'Price History'!K3)*0.5</f>
        <v>69.234999999999999</v>
      </c>
      <c r="AG80" s="77">
        <f>'Price History'!L3+('Price History'!L158-'Price History'!L3)*0.5</f>
        <v>248.12</v>
      </c>
      <c r="AH80" s="77">
        <f>'Price History'!M3+('Price History'!M158-'Price History'!M3)*0.5</f>
        <v>137.54</v>
      </c>
      <c r="AI80" s="77">
        <f>'Price History'!N3+('Price History'!N158-'Price History'!N3)*0.5</f>
        <v>413.48</v>
      </c>
      <c r="AJ80" s="77">
        <f>'Price History'!O3+('Price History'!O158-'Price History'!O3)*0.5</f>
        <v>104.065</v>
      </c>
      <c r="AK80" s="77">
        <f>'Price History'!Q3+('Price History'!Q151-'Price History'!Q3)*0.5</f>
        <v>59.145000000000003</v>
      </c>
      <c r="AL80" s="77">
        <f>'Price History'!R3+('Price History'!R158-'Price History'!R3)*0.5</f>
        <v>53.034999999999997</v>
      </c>
      <c r="AM80" s="77">
        <f>'Price History'!S3+('Price History'!S158-'Price History'!S3)*0.5</f>
        <v>101.185</v>
      </c>
      <c r="AN80" s="77">
        <f>'Price History'!T3+('Price History'!T158-'Price History'!T3)*0.5</f>
        <v>38.325000000000003</v>
      </c>
    </row>
    <row r="81" spans="1:40" ht="15" customHeight="1" x14ac:dyDescent="0.2">
      <c r="A81" s="55">
        <f>IF('Price History'!A82="","",'Price History'!A82)</f>
        <v>45702</v>
      </c>
      <c r="B81" s="76">
        <f>IFERROR(IF(OR(NOT(ISNUMBER('Price History'!B82)),NOT(ISNUMBER('Price History'!B81)),'Price History'!B81=0),"",'Price History'!B82/'Price History'!B81-1),"")</f>
        <v>6.2553397834068436E-2</v>
      </c>
      <c r="C81" s="76">
        <f>IFERROR(IF(OR(NOT(ISNUMBER('Price History'!C82)),NOT(ISNUMBER('Price History'!C81)),'Price History'!C81=0),"",'Price History'!C82/'Price History'!C81-1),"")</f>
        <v>-9.7915083987507368E-2</v>
      </c>
      <c r="D81" s="76">
        <f>IFERROR(IF(OR(NOT(ISNUMBER('Price History'!D82)),NOT(ISNUMBER('Price History'!D81)),'Price History'!D81=0),"",'Price History'!D82/'Price History'!D81-1),"")</f>
        <v>3.27744949841966E-2</v>
      </c>
      <c r="E81" s="76">
        <f>IFERROR(IF(OR(NOT(ISNUMBER('Price History'!E82)),NOT(ISNUMBER('Price History'!E81)),'Price History'!E81=0),"",'Price History'!E82/'Price History'!E81-1),"")</f>
        <v>3.6332102992840287E-2</v>
      </c>
      <c r="F81" s="76">
        <f>IFERROR(IF(OR(NOT(ISNUMBER('Price History'!F82)),NOT(ISNUMBER('Price History'!F81)),'Price History'!F81=0),"",'Price History'!F82/'Price History'!F81-1),"")</f>
        <v>7.1537001897533203E-2</v>
      </c>
      <c r="G81" s="76">
        <f>IFERROR(IF(OR(NOT(ISNUMBER('Price History'!G82)),NOT(ISNUMBER('Price History'!G81)),'Price History'!G81=0),"",'Price History'!G82/'Price History'!G81-1),"")</f>
        <v>4.0123044001605379E-3</v>
      </c>
      <c r="H81" s="76">
        <f>IFERROR(IF(OR(NOT(ISNUMBER('Price History'!H82)),NOT(ISNUMBER('Price History'!H81)),'Price History'!H81=0),"",'Price History'!H82/'Price History'!H81-1),"")</f>
        <v>7.8223185265438699E-2</v>
      </c>
      <c r="I81" s="76">
        <f>IFERROR(IF(OR(NOT(ISNUMBER('Price History'!I82)),NOT(ISNUMBER('Price History'!I81)),'Price History'!I81=0),"",'Price History'!I82/'Price History'!I81-1),"")</f>
        <v>6.9393099199014152E-2</v>
      </c>
      <c r="J81" s="76">
        <f>IFERROR(IF(OR(NOT(ISNUMBER('Price History'!J82)),NOT(ISNUMBER('Price History'!J81)),'Price History'!J81=0),"",'Price History'!J82/'Price History'!J81-1),"")</f>
        <v>2.9825308904985137E-2</v>
      </c>
      <c r="K81" s="76">
        <f>IFERROR(IF(OR(NOT(ISNUMBER('Price History'!K82)),NOT(ISNUMBER('Price History'!K81)),'Price History'!K81=0),"",'Price History'!K82/'Price History'!K81-1),"")</f>
        <v>7.4966170500676554E-2</v>
      </c>
      <c r="L81" s="76">
        <f>IFERROR(IF(OR(NOT(ISNUMBER('Price History'!L82)),NOT(ISNUMBER('Price History'!L81)),'Price History'!L81=0),"",'Price History'!L82/'Price History'!L81-1),"")</f>
        <v>-1.0770424995148464E-2</v>
      </c>
      <c r="M81" s="76">
        <f>IFERROR(IF(OR(NOT(ISNUMBER('Price History'!M82)),NOT(ISNUMBER('Price History'!M81)),'Price History'!M81=0),"",'Price History'!M82/'Price History'!M81-1),"")</f>
        <v>-0.10982039874773442</v>
      </c>
      <c r="N81" s="76">
        <f>IFERROR(IF(OR(NOT(ISNUMBER('Price History'!N82)),NOT(ISNUMBER('Price History'!N81)),'Price History'!N81=0),"",'Price History'!N82/'Price History'!N81-1),"")</f>
        <v>-2.1989261058552811E-2</v>
      </c>
      <c r="O81" s="76">
        <f>IFERROR(IF(OR(NOT(ISNUMBER('Price History'!O82)),NOT(ISNUMBER('Price History'!O81)),'Price History'!O81=0),"",'Price History'!O82/'Price History'!O81-1),"")</f>
        <v>3.087372645878439E-3</v>
      </c>
      <c r="P81" s="76" t="str">
        <f>IFERROR(IF(OR(NOT(ISNUMBER('Price History'!P82)),NOT(ISNUMBER('Price History'!P81)),'Price History'!P81=0),"",'Price History'!P82/'Price History'!P81-1),"")</f>
        <v/>
      </c>
      <c r="Q81" s="76">
        <f>IFERROR(IF(OR(NOT(ISNUMBER('Price History'!Q82)),NOT(ISNUMBER('Price History'!Q81)),'Price History'!Q81=0),"",'Price History'!Q82/'Price History'!Q81-1),"")</f>
        <v>-3.8771399798590012E-2</v>
      </c>
      <c r="R81" s="76">
        <f>IFERROR(IF(OR(NOT(ISNUMBER('Price History'!R82)),NOT(ISNUMBER('Price History'!R81)),'Price History'!R81=0),"",'Price History'!R82/'Price History'!R81-1),"")</f>
        <v>1.92408605912191E-2</v>
      </c>
      <c r="S81" s="76">
        <f>IFERROR(IF(OR(NOT(ISNUMBER('Price History'!S82)),NOT(ISNUMBER('Price History'!S81)),'Price History'!S81=0),"",'Price History'!S82/'Price History'!S81-1),"")</f>
        <v>1.009507007742827E-2</v>
      </c>
      <c r="T81" s="76">
        <f>IFERROR(IF(OR(NOT(ISNUMBER('Price History'!T82)),NOT(ISNUMBER('Price History'!T81)),'Price History'!T81=0),"",'Price History'!T82/'Price History'!T81-1),"")</f>
        <v>1.1647727272727115E-2</v>
      </c>
      <c r="U81" s="76" t="str">
        <f>IFERROR(IF(OR(NOT(ISNUMBER('Price History'!U82)),NOT(ISNUMBER('Price History'!U81)),'Price History'!U81=0),"",'Price History'!U82/'Price History'!U81-1),"")</f>
        <v/>
      </c>
      <c r="W81" s="77">
        <f>'Price History'!B3+('Price History'!B158-'Price History'!B3)*0.506493506493506</f>
        <v>377.75441558441571</v>
      </c>
      <c r="X81" s="77">
        <f>'Price History'!C3+('Price History'!C158-'Price History'!C3)*0.506493506493506</f>
        <v>112.93207792207784</v>
      </c>
      <c r="Y81" s="77">
        <f>'Price History'!D3+('Price History'!D158-'Price History'!D3)*0.506493506493506</f>
        <v>1151.6706493506488</v>
      </c>
      <c r="Z81" s="77">
        <f>'Price History'!E3+('Price History'!E158-'Price History'!E3)*0.506493506493506</f>
        <v>238.11896103896089</v>
      </c>
      <c r="AA81" s="77">
        <f>'Price History'!F3+('Price History'!F158-'Price History'!F3)*0.506493506493506</f>
        <v>114.95870129870123</v>
      </c>
      <c r="AB81" s="77">
        <f>'Price History'!G3+('Price History'!G158-'Price History'!G3)*0.506493506493506</f>
        <v>116.23610389610383</v>
      </c>
      <c r="AC81" s="77">
        <f>'Price History'!H3+('Price History'!H158-'Price History'!H3)*0.506493506493506</f>
        <v>448.62636363636324</v>
      </c>
      <c r="AD81" s="77">
        <f>'Price History'!I3+('Price History'!I158-'Price History'!I3)*0.506493506493506</f>
        <v>121.83831168831162</v>
      </c>
      <c r="AE81" s="77">
        <f>'Price History'!J3+('Price History'!J158-'Price History'!J3)*0.506493506493506</f>
        <v>134.19701298701298</v>
      </c>
      <c r="AF81" s="77">
        <f>'Price History'!K3+('Price History'!K158-'Price History'!K3)*0.506493506493506</f>
        <v>69.934025974025928</v>
      </c>
      <c r="AG81" s="77">
        <f>'Price History'!L3+('Price History'!L158-'Price History'!L3)*0.506493506493506</f>
        <v>250.14766233766215</v>
      </c>
      <c r="AH81" s="77">
        <f>'Price History'!M3+('Price History'!M158-'Price History'!M3)*0.506493506493506</f>
        <v>138.89103896103884</v>
      </c>
      <c r="AI81" s="77">
        <f>'Price History'!N3+('Price History'!N158-'Price History'!N3)*0.506493506493506</f>
        <v>414.30623376623373</v>
      </c>
      <c r="AJ81" s="77">
        <f>'Price History'!O3+('Price History'!O158-'Price History'!O3)*0.506493506493506</f>
        <v>104.34051948051946</v>
      </c>
      <c r="AK81" s="77">
        <f>'Price History'!Q3+('Price History'!Q151-'Price History'!Q3)*0.506493506493506</f>
        <v>59.26584415584415</v>
      </c>
      <c r="AL81" s="77">
        <f>'Price History'!R3+('Price History'!R158-'Price History'!R3)*0.506493506493506</f>
        <v>53.102727272727265</v>
      </c>
      <c r="AM81" s="77">
        <f>'Price History'!S3+('Price History'!S158-'Price History'!S3)*0.506493506493506</f>
        <v>101.73883116883113</v>
      </c>
      <c r="AN81" s="77">
        <f>'Price History'!T3+('Price History'!T158-'Price History'!T3)*0.506493506493506</f>
        <v>38.473246753246741</v>
      </c>
    </row>
    <row r="82" spans="1:40" ht="15" customHeight="1" x14ac:dyDescent="0.2">
      <c r="A82" s="55">
        <f>IF('Price History'!A83="","",'Price History'!A83)</f>
        <v>45709</v>
      </c>
      <c r="B82" s="76">
        <f>IFERROR(IF(OR(NOT(ISNUMBER('Price History'!B83)),NOT(ISNUMBER('Price History'!B82)),'Price History'!B82=0),"",'Price History'!B83/'Price History'!B82-1),"")</f>
        <v>-3.4422809457580028E-2</v>
      </c>
      <c r="C82" s="76">
        <f>IFERROR(IF(OR(NOT(ISNUMBER('Price History'!C83)),NOT(ISNUMBER('Price History'!C82)),'Price History'!C82=0),"",'Price History'!C83/'Price History'!C82-1),"")</f>
        <v>-8.0190886123327476E-2</v>
      </c>
      <c r="D82" s="76">
        <f>IFERROR(IF(OR(NOT(ISNUMBER('Price History'!D83)),NOT(ISNUMBER('Price History'!D82)),'Price History'!D82=0),"",'Price History'!D83/'Price History'!D82-1),"")</f>
        <v>-1.9080566828554191E-2</v>
      </c>
      <c r="E82" s="76">
        <f>IFERROR(IF(OR(NOT(ISNUMBER('Price History'!E83)),NOT(ISNUMBER('Price History'!E82)),'Price History'!E82=0),"",'Price History'!E83/'Price History'!E82-1),"")</f>
        <v>-6.1706144867833879E-2</v>
      </c>
      <c r="F82" s="76">
        <f>IFERROR(IF(OR(NOT(ISNUMBER('Price History'!F83)),NOT(ISNUMBER('Price History'!F82)),'Price History'!F82=0),"",'Price History'!F83/'Price History'!F82-1),"")</f>
        <v>-9.9787497786435253E-2</v>
      </c>
      <c r="G82" s="76">
        <f>IFERROR(IF(OR(NOT(ISNUMBER('Price History'!G83)),NOT(ISNUMBER('Price History'!G82)),'Price History'!G82=0),"",'Price History'!G83/'Price History'!G82-1),"")</f>
        <v>4.7955241774346735E-3</v>
      </c>
      <c r="H82" s="76">
        <f>IFERROR(IF(OR(NOT(ISNUMBER('Price History'!H83)),NOT(ISNUMBER('Price History'!H82)),'Price History'!H82=0),"",'Price History'!H83/'Price History'!H82-1),"")</f>
        <v>-6.8327974276526371E-3</v>
      </c>
      <c r="I82" s="76">
        <f>IFERROR(IF(OR(NOT(ISNUMBER('Price History'!I83)),NOT(ISNUMBER('Price History'!I82)),'Price History'!I82=0),"",'Price History'!I83/'Price History'!I82-1),"")</f>
        <v>-3.1832913215700254E-2</v>
      </c>
      <c r="J82" s="76">
        <f>IFERROR(IF(OR(NOT(ISNUMBER('Price History'!J83)),NOT(ISNUMBER('Price History'!J82)),'Price History'!J82=0),"",'Price History'!J83/'Price History'!J82-1),"")</f>
        <v>9.9296648738111948E-4</v>
      </c>
      <c r="K82" s="76">
        <f>IFERROR(IF(OR(NOT(ISNUMBER('Price History'!K83)),NOT(ISNUMBER('Price History'!K82)),'Price History'!K82=0),"",'Price History'!K83/'Price History'!K82-1),"")</f>
        <v>-0.14946290701577714</v>
      </c>
      <c r="L82" s="76">
        <f>IFERROR(IF(OR(NOT(ISNUMBER('Price History'!L83)),NOT(ISNUMBER('Price History'!L82)),'Price History'!L82=0),"",'Price History'!L83/'Price History'!L82-1),"")</f>
        <v>-2.7758705247670434E-2</v>
      </c>
      <c r="M82" s="76">
        <f>IFERROR(IF(OR(NOT(ISNUMBER('Price History'!M83)),NOT(ISNUMBER('Price History'!M82)),'Price History'!M82=0),"",'Price History'!M83/'Price History'!M82-1),"")</f>
        <v>-0.1116149930587691</v>
      </c>
      <c r="N82" s="76">
        <f>IFERROR(IF(OR(NOT(ISNUMBER('Price History'!N83)),NOT(ISNUMBER('Price History'!N82)),'Price History'!N82=0),"",'Price History'!N83/'Price History'!N82-1),"")</f>
        <v>5.4989106753812633E-2</v>
      </c>
      <c r="O82" s="76">
        <f>IFERROR(IF(OR(NOT(ISNUMBER('Price History'!O83)),NOT(ISNUMBER('Price History'!O82)),'Price History'!O82=0),"",'Price History'!O83/'Price History'!O82-1),"")</f>
        <v>-3.6524058684723526E-2</v>
      </c>
      <c r="P82" s="76" t="str">
        <f>IFERROR(IF(OR(NOT(ISNUMBER('Price History'!P83)),NOT(ISNUMBER('Price History'!P82)),'Price History'!P82=0),"",'Price History'!P83/'Price History'!P82-1),"")</f>
        <v/>
      </c>
      <c r="Q82" s="76">
        <f>IFERROR(IF(OR(NOT(ISNUMBER('Price History'!Q83)),NOT(ISNUMBER('Price History'!Q82)),'Price History'!Q82=0),"",'Price History'!Q83/'Price History'!Q82-1),"")</f>
        <v>1.8858040859088598E-2</v>
      </c>
      <c r="R82" s="76">
        <f>IFERROR(IF(OR(NOT(ISNUMBER('Price History'!R83)),NOT(ISNUMBER('Price History'!R82)),'Price History'!R82=0),"",'Price History'!R83/'Price History'!R82-1),"")</f>
        <v>-1.2013042732109236E-2</v>
      </c>
      <c r="S82" s="76">
        <f>IFERROR(IF(OR(NOT(ISNUMBER('Price History'!S83)),NOT(ISNUMBER('Price History'!S82)),'Price History'!S82=0),"",'Price History'!S83/'Price History'!S82-1),"")</f>
        <v>-3.0564719580826738E-2</v>
      </c>
      <c r="T82" s="76">
        <f>IFERROR(IF(OR(NOT(ISNUMBER('Price History'!T83)),NOT(ISNUMBER('Price History'!T82)),'Price History'!T82=0),"",'Price History'!T83/'Price History'!T82-1),"")</f>
        <v>-3.3698399326030914E-3</v>
      </c>
      <c r="U82" s="76" t="str">
        <f>IFERROR(IF(OR(NOT(ISNUMBER('Price History'!U83)),NOT(ISNUMBER('Price History'!U82)),'Price History'!U82=0),"",'Price History'!U83/'Price History'!U82-1),"")</f>
        <v/>
      </c>
      <c r="W82" s="77">
        <f>'Price History'!B3+('Price History'!B158-'Price History'!B3)*0.512987012987013</f>
        <v>376.07883116883119</v>
      </c>
      <c r="X82" s="77">
        <f>'Price History'!C3+('Price History'!C158-'Price History'!C3)*0.512987012987013</f>
        <v>113.81915584415583</v>
      </c>
      <c r="Y82" s="77">
        <f>'Price History'!D3+('Price History'!D158-'Price History'!D3)*0.512987012987013</f>
        <v>1157.9512987012986</v>
      </c>
      <c r="Z82" s="77">
        <f>'Price History'!E3+('Price History'!E158-'Price History'!E3)*0.512987012987013</f>
        <v>240.10792207792207</v>
      </c>
      <c r="AA82" s="77">
        <f>'Price History'!F3+('Price History'!F158-'Price History'!F3)*0.512987012987013</f>
        <v>115.95740259740261</v>
      </c>
      <c r="AB82" s="77">
        <f>'Price History'!G3+('Price History'!G158-'Price History'!G3)*0.512987012987013</f>
        <v>117.11220779220778</v>
      </c>
      <c r="AC82" s="77">
        <f>'Price History'!H3+('Price History'!H158-'Price History'!H3)*0.512987012987013</f>
        <v>453.55272727272728</v>
      </c>
      <c r="AD82" s="77">
        <f>'Price History'!I3+('Price History'!I158-'Price History'!I3)*0.512987012987013</f>
        <v>122.87662337662337</v>
      </c>
      <c r="AE82" s="77">
        <f>'Price History'!J3+('Price History'!J158-'Price History'!J3)*0.512987012987013</f>
        <v>134.33402597402599</v>
      </c>
      <c r="AF82" s="77">
        <f>'Price History'!K3+('Price History'!K158-'Price History'!K3)*0.512987012987013</f>
        <v>70.633051948051957</v>
      </c>
      <c r="AG82" s="77">
        <f>'Price History'!L3+('Price History'!L158-'Price History'!L3)*0.512987012987013</f>
        <v>252.17532467532465</v>
      </c>
      <c r="AH82" s="77">
        <f>'Price History'!M3+('Price History'!M158-'Price History'!M3)*0.512987012987013</f>
        <v>140.24207792207793</v>
      </c>
      <c r="AI82" s="77">
        <f>'Price History'!N3+('Price History'!N158-'Price History'!N3)*0.512987012987013</f>
        <v>415.13246753246756</v>
      </c>
      <c r="AJ82" s="77">
        <f>'Price History'!O3+('Price History'!O158-'Price History'!O3)*0.512987012987013</f>
        <v>104.61603896103895</v>
      </c>
      <c r="AK82" s="77">
        <f>'Price History'!Q3+('Price History'!Q151-'Price History'!Q3)*0.512987012987013</f>
        <v>59.386688311688317</v>
      </c>
      <c r="AL82" s="77">
        <f>'Price History'!R3+('Price History'!R158-'Price History'!R3)*0.512987012987013</f>
        <v>53.170454545454547</v>
      </c>
      <c r="AM82" s="77">
        <f>'Price History'!S3+('Price History'!S158-'Price History'!S3)*0.512987012987013</f>
        <v>102.29266233766235</v>
      </c>
      <c r="AN82" s="77">
        <f>'Price History'!T3+('Price History'!T158-'Price History'!T3)*0.512987012987013</f>
        <v>38.621493506493508</v>
      </c>
    </row>
    <row r="83" spans="1:40" ht="15" customHeight="1" x14ac:dyDescent="0.2">
      <c r="A83" s="55">
        <f>IF('Price History'!A84="","",'Price History'!A84)</f>
        <v>45716</v>
      </c>
      <c r="B83" s="76">
        <f>IFERROR(IF(OR(NOT(ISNUMBER('Price History'!B84)),NOT(ISNUMBER('Price History'!B83)),'Price History'!B83=0),"",'Price History'!B84/'Price History'!B83-1),"")</f>
        <v>-1.2963629816348576E-2</v>
      </c>
      <c r="C83" s="76">
        <f>IFERROR(IF(OR(NOT(ISNUMBER('Price History'!C84)),NOT(ISNUMBER('Price History'!C83)),'Price History'!C83=0),"",'Price History'!C84/'Price History'!C83-1),"")</f>
        <v>-5.3407934893184184E-2</v>
      </c>
      <c r="D83" s="76">
        <f>IFERROR(IF(OR(NOT(ISNUMBER('Price History'!D84)),NOT(ISNUMBER('Price History'!D83)),'Price History'!D83=0),"",'Price History'!D84/'Price History'!D83-1),"")</f>
        <v>-3.8157377138128834E-2</v>
      </c>
      <c r="E83" s="76">
        <f>IFERROR(IF(OR(NOT(ISNUMBER('Price History'!E84)),NOT(ISNUMBER('Price History'!E83)),'Price History'!E83=0),"",'Price History'!E84/'Price History'!E83-1),"")</f>
        <v>-8.794475441324423E-2</v>
      </c>
      <c r="F83" s="76">
        <f>IFERROR(IF(OR(NOT(ISNUMBER('Price History'!F84)),NOT(ISNUMBER('Price History'!F83)),'Price History'!F83=0),"",'Price History'!F84/'Price History'!F83-1),"")</f>
        <v>-4.1801908134159516E-2</v>
      </c>
      <c r="G83" s="76">
        <f>IFERROR(IF(OR(NOT(ISNUMBER('Price History'!G84)),NOT(ISNUMBER('Price History'!G83)),'Price History'!G83=0),"",'Price History'!G84/'Price History'!G83-1),"")</f>
        <v>-6.0320827257059673E-2</v>
      </c>
      <c r="H83" s="76">
        <f>IFERROR(IF(OR(NOT(ISNUMBER('Price History'!H84)),NOT(ISNUMBER('Price History'!H83)),'Price History'!H83=0),"",'Price History'!H84/'Price History'!H83-1),"")</f>
        <v>-5.2711452853095975E-2</v>
      </c>
      <c r="I83" s="76">
        <f>IFERROR(IF(OR(NOT(ISNUMBER('Price History'!I84)),NOT(ISNUMBER('Price History'!I83)),'Price History'!I83=0),"",'Price History'!I84/'Price History'!I83-1),"")</f>
        <v>-7.0743137692479419E-2</v>
      </c>
      <c r="J83" s="76">
        <f>IFERROR(IF(OR(NOT(ISNUMBER('Price History'!J84)),NOT(ISNUMBER('Price History'!J83)),'Price History'!J83=0),"",'Price History'!J84/'Price History'!J83-1),"")</f>
        <v>2.4386211457386064E-2</v>
      </c>
      <c r="K83" s="76">
        <f>IFERROR(IF(OR(NOT(ISNUMBER('Price History'!K84)),NOT(ISNUMBER('Price History'!K83)),'Price History'!K83=0),"",'Price History'!K84/'Price History'!K83-1),"")</f>
        <v>-0.16211149481993092</v>
      </c>
      <c r="L83" s="76">
        <f>IFERROR(IF(OR(NOT(ISNUMBER('Price History'!L84)),NOT(ISNUMBER('Price History'!L83)),'Price History'!L83=0),"",'Price History'!L84/'Price History'!L83-1),"")</f>
        <v>-8.9336158192090398E-2</v>
      </c>
      <c r="M83" s="76">
        <f>IFERROR(IF(OR(NOT(ISNUMBER('Price History'!M84)),NOT(ISNUMBER('Price History'!M83)),'Price History'!M83=0),"",'Price History'!M84/'Price History'!M83-1),"")</f>
        <v>-8.5425565163037565E-3</v>
      </c>
      <c r="N83" s="76">
        <f>IFERROR(IF(OR(NOT(ISNUMBER('Price History'!N84)),NOT(ISNUMBER('Price History'!N83)),'Price History'!N83=0),"",'Price History'!N84/'Price History'!N83-1),"")</f>
        <v>-9.1896580208160605E-3</v>
      </c>
      <c r="O83" s="76">
        <f>IFERROR(IF(OR(NOT(ISNUMBER('Price History'!O84)),NOT(ISNUMBER('Price History'!O83)),'Price History'!O83=0),"",'Price History'!O84/'Price History'!O83-1),"")</f>
        <v>-1.1287402832499183E-2</v>
      </c>
      <c r="P83" s="76" t="str">
        <f>IFERROR(IF(OR(NOT(ISNUMBER('Price History'!P84)),NOT(ISNUMBER('Price History'!P83)),'Price History'!P83=0),"",'Price History'!P84/'Price History'!P83-1),"")</f>
        <v/>
      </c>
      <c r="Q83" s="76">
        <f>IFERROR(IF(OR(NOT(ISNUMBER('Price History'!Q84)),NOT(ISNUMBER('Price History'!Q83)),'Price History'!Q83=0),"",'Price History'!Q84/'Price History'!Q83-1),"")</f>
        <v>-5.9982862039417162E-3</v>
      </c>
      <c r="R83" s="76">
        <f>IFERROR(IF(OR(NOT(ISNUMBER('Price History'!R84)),NOT(ISNUMBER('Price History'!R83)),'Price History'!R83=0),"",'Price History'!R84/'Price History'!R83-1),"")</f>
        <v>-2.7618551328817187E-2</v>
      </c>
      <c r="S83" s="76">
        <f>IFERROR(IF(OR(NOT(ISNUMBER('Price History'!S84)),NOT(ISNUMBER('Price History'!S83)),'Price History'!S83=0),"",'Price History'!S84/'Price History'!S83-1),"")</f>
        <v>-1.1009908918026001E-3</v>
      </c>
      <c r="T83" s="76">
        <f>IFERROR(IF(OR(NOT(ISNUMBER('Price History'!T84)),NOT(ISNUMBER('Price History'!T83)),'Price History'!T83=0),"",'Price History'!T84/'Price History'!T83-1),"")</f>
        <v>-4.7900817131586448E-3</v>
      </c>
      <c r="U83" s="76" t="str">
        <f>IFERROR(IF(OR(NOT(ISNUMBER('Price History'!U84)),NOT(ISNUMBER('Price History'!U83)),'Price History'!U83=0),"",'Price History'!U84/'Price History'!U83-1),"")</f>
        <v/>
      </c>
      <c r="W83" s="77">
        <f>'Price History'!B3+('Price History'!B158-'Price History'!B3)*0.519480519480519</f>
        <v>374.40324675324689</v>
      </c>
      <c r="X83" s="77">
        <f>'Price History'!C3+('Price History'!C158-'Price History'!C3)*0.519480519480519</f>
        <v>114.70623376623368</v>
      </c>
      <c r="Y83" s="77">
        <f>'Price History'!D3+('Price History'!D158-'Price History'!D3)*0.519480519480519</f>
        <v>1164.2319480519475</v>
      </c>
      <c r="Z83" s="77">
        <f>'Price History'!E3+('Price History'!E158-'Price History'!E3)*0.519480519480519</f>
        <v>242.09688311688296</v>
      </c>
      <c r="AA83" s="77">
        <f>'Price History'!F3+('Price History'!F158-'Price History'!F3)*0.519480519480519</f>
        <v>116.95610389610383</v>
      </c>
      <c r="AB83" s="77">
        <f>'Price History'!G3+('Price History'!G158-'Price History'!G3)*0.519480519480519</f>
        <v>117.98831168831163</v>
      </c>
      <c r="AC83" s="77">
        <f>'Price History'!H3+('Price History'!H158-'Price History'!H3)*0.519480519480519</f>
        <v>458.47909090909053</v>
      </c>
      <c r="AD83" s="77">
        <f>'Price History'!I3+('Price History'!I158-'Price History'!I3)*0.519480519480519</f>
        <v>123.91493506493498</v>
      </c>
      <c r="AE83" s="77">
        <f>'Price History'!J3+('Price History'!J158-'Price History'!J3)*0.519480519480519</f>
        <v>134.47103896103897</v>
      </c>
      <c r="AF83" s="77">
        <f>'Price History'!K3+('Price History'!K158-'Price History'!K3)*0.519480519480519</f>
        <v>71.332077922077872</v>
      </c>
      <c r="AG83" s="77">
        <f>'Price History'!L3+('Price History'!L158-'Price History'!L3)*0.519480519480519</f>
        <v>254.20298701298685</v>
      </c>
      <c r="AH83" s="77">
        <f>'Price History'!M3+('Price History'!M158-'Price History'!M3)*0.519480519480519</f>
        <v>141.59311688311678</v>
      </c>
      <c r="AI83" s="77">
        <f>'Price History'!N3+('Price History'!N158-'Price History'!N3)*0.519480519480519</f>
        <v>415.95870129870127</v>
      </c>
      <c r="AJ83" s="77">
        <f>'Price History'!O3+('Price History'!O158-'Price History'!O3)*0.519480519480519</f>
        <v>104.89155844155842</v>
      </c>
      <c r="AK83" s="77">
        <f>'Price History'!Q3+('Price History'!Q151-'Price History'!Q3)*0.519480519480519</f>
        <v>59.507532467532464</v>
      </c>
      <c r="AL83" s="77">
        <f>'Price History'!R3+('Price History'!R158-'Price History'!R3)*0.519480519480519</f>
        <v>53.238181818181815</v>
      </c>
      <c r="AM83" s="77">
        <f>'Price History'!S3+('Price History'!S158-'Price History'!S3)*0.519480519480519</f>
        <v>102.84649350649347</v>
      </c>
      <c r="AN83" s="77">
        <f>'Price History'!T3+('Price History'!T158-'Price History'!T3)*0.519480519480519</f>
        <v>38.769740259740246</v>
      </c>
    </row>
    <row r="84" spans="1:40" ht="15" customHeight="1" x14ac:dyDescent="0.2">
      <c r="A84" s="55">
        <f>IF('Price History'!A85="","",'Price History'!A85)</f>
        <v>45723</v>
      </c>
      <c r="B84" s="76">
        <f>IFERROR(IF(OR(NOT(ISNUMBER('Price History'!B85)),NOT(ISNUMBER('Price History'!B84)),'Price History'!B84=0),"",'Price History'!B85/'Price History'!B84-1),"")</f>
        <v>2.4717256475738747E-2</v>
      </c>
      <c r="C84" s="76">
        <f>IFERROR(IF(OR(NOT(ISNUMBER('Price History'!C85)),NOT(ISNUMBER('Price History'!C84)),'Price History'!C84=0),"",'Price History'!C85/'Price History'!C84-1),"")</f>
        <v>-0.10413756045137024</v>
      </c>
      <c r="D84" s="76">
        <f>IFERROR(IF(OR(NOT(ISNUMBER('Price History'!D85)),NOT(ISNUMBER('Price History'!D84)),'Price History'!D84=0),"",'Price History'!D85/'Price History'!D84-1),"")</f>
        <v>3.2633835392339439E-2</v>
      </c>
      <c r="E84" s="76">
        <f>IFERROR(IF(OR(NOT(ISNUMBER('Price History'!E85)),NOT(ISNUMBER('Price History'!E84)),'Price History'!E84=0),"",'Price History'!E85/'Price History'!E84-1),"")</f>
        <v>-2.2413879556736682E-2</v>
      </c>
      <c r="F84" s="76">
        <f>IFERROR(IF(OR(NOT(ISNUMBER('Price History'!F85)),NOT(ISNUMBER('Price History'!F84)),'Price History'!F84=0),"",'Price History'!F85/'Price History'!F84-1),"")</f>
        <v>-0.14411825087251084</v>
      </c>
      <c r="G84" s="76">
        <f>IFERROR(IF(OR(NOT(ISNUMBER('Price History'!G85)),NOT(ISNUMBER('Price History'!G84)),'Price History'!G84=0),"",'Price History'!G85/'Price History'!G84-1),"")</f>
        <v>3.5270880361173429E-3</v>
      </c>
      <c r="H84" s="76">
        <f>IFERROR(IF(OR(NOT(ISNUMBER('Price History'!H85)),NOT(ISNUMBER('Price History'!H84)),'Price History'!H84=0),"",'Price History'!H85/'Price History'!H84-1),"")</f>
        <v>-7.1558261241055909E-3</v>
      </c>
      <c r="I84" s="76">
        <f>IFERROR(IF(OR(NOT(ISNUMBER('Price History'!I85)),NOT(ISNUMBER('Price History'!I84)),'Price History'!I84=0),"",'Price History'!I85/'Price History'!I84-1),"")</f>
        <v>-9.7902657700928652E-2</v>
      </c>
      <c r="J84" s="76">
        <f>IFERROR(IF(OR(NOT(ISNUMBER('Price History'!J85)),NOT(ISNUMBER('Price History'!J84)),'Price History'!J84=0),"",'Price History'!J85/'Price History'!J84-1),"")</f>
        <v>-3.2359586830213116E-2</v>
      </c>
      <c r="K84" s="76">
        <f>IFERROR(IF(OR(NOT(ISNUMBER('Price History'!K85)),NOT(ISNUMBER('Price History'!K84)),'Price History'!K84=0),"",'Price History'!K85/'Price History'!K84-1),"")</f>
        <v>-1.1775788977863577E-4</v>
      </c>
      <c r="L84" s="76">
        <f>IFERROR(IF(OR(NOT(ISNUMBER('Price History'!L85)),NOT(ISNUMBER('Price History'!L84)),'Price History'!L84=0),"",'Price History'!L85/'Price History'!L84-1),"")</f>
        <v>-1.8999612252811215E-2</v>
      </c>
      <c r="M84" s="76">
        <f>IFERROR(IF(OR(NOT(ISNUMBER('Price History'!M85)),NOT(ISNUMBER('Price History'!M84)),'Price History'!M84=0),"",'Price History'!M85/'Price History'!M84-1),"")</f>
        <v>-0.10644110539035401</v>
      </c>
      <c r="N84" s="76">
        <f>IFERROR(IF(OR(NOT(ISNUMBER('Price History'!N85)),NOT(ISNUMBER('Price History'!N84)),'Price History'!N84=0),"",'Price History'!N85/'Price History'!N84-1),"")</f>
        <v>1.7716084120135811E-2</v>
      </c>
      <c r="O84" s="76">
        <f>IFERROR(IF(OR(NOT(ISNUMBER('Price History'!O85)),NOT(ISNUMBER('Price History'!O84)),'Price History'!O84=0),"",'Price History'!O85/'Price History'!O84-1),"")</f>
        <v>-4.4911147011308383E-2</v>
      </c>
      <c r="P84" s="76" t="str">
        <f>IFERROR(IF(OR(NOT(ISNUMBER('Price History'!P85)),NOT(ISNUMBER('Price History'!P84)),'Price History'!P84=0),"",'Price History'!P85/'Price History'!P84-1),"")</f>
        <v/>
      </c>
      <c r="Q84" s="76">
        <f>IFERROR(IF(OR(NOT(ISNUMBER('Price History'!Q85)),NOT(ISNUMBER('Price History'!Q84)),'Price History'!Q84=0),"",'Price History'!Q85/'Price History'!Q84-1),"")</f>
        <v>1.7758620689655169E-2</v>
      </c>
      <c r="R84" s="76">
        <f>IFERROR(IF(OR(NOT(ISNUMBER('Price History'!R85)),NOT(ISNUMBER('Price History'!R84)),'Price History'!R84=0),"",'Price History'!R85/'Price History'!R84-1),"")</f>
        <v>-3.9657020364415874E-2</v>
      </c>
      <c r="S84" s="76">
        <f>IFERROR(IF(OR(NOT(ISNUMBER('Price History'!S85)),NOT(ISNUMBER('Price History'!S84)),'Price History'!S84=0),"",'Price History'!S85/'Price History'!S84-1),"")</f>
        <v>-5.270541082164315E-2</v>
      </c>
      <c r="T84" s="76">
        <f>IFERROR(IF(OR(NOT(ISNUMBER('Price History'!T85)),NOT(ISNUMBER('Price History'!T84)),'Price History'!T84=0),"",'Price History'!T85/'Price History'!T84-1),"")</f>
        <v>-1.4439411098527644E-2</v>
      </c>
      <c r="U84" s="76" t="str">
        <f>IFERROR(IF(OR(NOT(ISNUMBER('Price History'!U85)),NOT(ISNUMBER('Price History'!U84)),'Price History'!U84=0),"",'Price History'!U85/'Price History'!U84-1),"")</f>
        <v/>
      </c>
      <c r="W84" s="77">
        <f>'Price History'!B3+('Price History'!B158-'Price History'!B3)*0.525974025974026</f>
        <v>372.72766233766231</v>
      </c>
      <c r="X84" s="77">
        <f>'Price History'!C3+('Price History'!C158-'Price History'!C3)*0.525974025974026</f>
        <v>115.59331168831167</v>
      </c>
      <c r="Y84" s="77">
        <f>'Price History'!D3+('Price History'!D158-'Price History'!D3)*0.525974025974026</f>
        <v>1170.5125974025973</v>
      </c>
      <c r="Z84" s="77">
        <f>'Price History'!E3+('Price History'!E158-'Price History'!E3)*0.525974025974026</f>
        <v>244.08584415584414</v>
      </c>
      <c r="AA84" s="77">
        <f>'Price History'!F3+('Price History'!F158-'Price History'!F3)*0.525974025974026</f>
        <v>117.9548051948052</v>
      </c>
      <c r="AB84" s="77">
        <f>'Price History'!G3+('Price History'!G158-'Price History'!G3)*0.525974025974026</f>
        <v>118.86441558441558</v>
      </c>
      <c r="AC84" s="77">
        <f>'Price History'!H3+('Price History'!H158-'Price History'!H3)*0.525974025974026</f>
        <v>463.40545454545452</v>
      </c>
      <c r="AD84" s="77">
        <f>'Price History'!I3+('Price History'!I158-'Price History'!I3)*0.525974025974026</f>
        <v>124.95324675324676</v>
      </c>
      <c r="AE84" s="77">
        <f>'Price History'!J3+('Price History'!J158-'Price History'!J3)*0.525974025974026</f>
        <v>134.60805194805195</v>
      </c>
      <c r="AF84" s="77">
        <f>'Price History'!K3+('Price History'!K158-'Price History'!K3)*0.525974025974026</f>
        <v>72.0311038961039</v>
      </c>
      <c r="AG84" s="77">
        <f>'Price History'!L3+('Price History'!L158-'Price History'!L3)*0.525974025974026</f>
        <v>256.23064935064934</v>
      </c>
      <c r="AH84" s="77">
        <f>'Price History'!M3+('Price History'!M158-'Price History'!M3)*0.525974025974026</f>
        <v>142.94415584415586</v>
      </c>
      <c r="AI84" s="77">
        <f>'Price History'!N3+('Price History'!N158-'Price History'!N3)*0.525974025974026</f>
        <v>416.7849350649351</v>
      </c>
      <c r="AJ84" s="77">
        <f>'Price History'!O3+('Price History'!O158-'Price History'!O3)*0.525974025974026</f>
        <v>105.16707792207792</v>
      </c>
      <c r="AK84" s="77">
        <f>'Price History'!Q3+('Price History'!Q151-'Price History'!Q3)*0.525974025974026</f>
        <v>59.628376623376624</v>
      </c>
      <c r="AL84" s="77">
        <f>'Price History'!R3+('Price History'!R158-'Price History'!R3)*0.525974025974026</f>
        <v>53.30590909090909</v>
      </c>
      <c r="AM84" s="77">
        <f>'Price History'!S3+('Price History'!S158-'Price History'!S3)*0.525974025974026</f>
        <v>103.40032467532468</v>
      </c>
      <c r="AN84" s="77">
        <f>'Price History'!T3+('Price History'!T158-'Price History'!T3)*0.525974025974026</f>
        <v>38.917987012987012</v>
      </c>
    </row>
    <row r="85" spans="1:40" ht="15" customHeight="1" x14ac:dyDescent="0.2">
      <c r="A85" s="55">
        <f>IF('Price History'!A86="","",'Price History'!A86)</f>
        <v>45730</v>
      </c>
      <c r="B85" s="76">
        <f>IFERROR(IF(OR(NOT(ISNUMBER('Price History'!B86)),NOT(ISNUMBER('Price History'!B85)),'Price History'!B85=0),"",'Price History'!B86/'Price History'!B85-1),"")</f>
        <v>-0.12162883845126826</v>
      </c>
      <c r="C85" s="76">
        <f>IFERROR(IF(OR(NOT(ISNUMBER('Price History'!C86)),NOT(ISNUMBER('Price History'!C85)),'Price History'!C85=0),"",'Price History'!C86/'Price History'!C85-1),"")</f>
        <v>1.7994241842611558E-3</v>
      </c>
      <c r="D85" s="76">
        <f>IFERROR(IF(OR(NOT(ISNUMBER('Price History'!D86)),NOT(ISNUMBER('Price History'!D85)),'Price History'!D85=0),"",'Price History'!D86/'Price History'!D85-1),"")</f>
        <v>-2.4883231815574613E-2</v>
      </c>
      <c r="E85" s="76">
        <f>IFERROR(IF(OR(NOT(ISNUMBER('Price History'!E86)),NOT(ISNUMBER('Price History'!E85)),'Price History'!E85=0),"",'Price History'!E86/'Price History'!E85-1),"")</f>
        <v>2.9749692244562809E-3</v>
      </c>
      <c r="F85" s="76">
        <f>IFERROR(IF(OR(NOT(ISNUMBER('Price History'!F86)),NOT(ISNUMBER('Price History'!F85)),'Price History'!F85=0),"",'Price History'!F86/'Price History'!F85-1),"")</f>
        <v>6.0566082993523729E-2</v>
      </c>
      <c r="G85" s="76">
        <f>IFERROR(IF(OR(NOT(ISNUMBER('Price History'!G86)),NOT(ISNUMBER('Price History'!G85)),'Price History'!G85=0),"",'Price History'!G86/'Price History'!G85-1),"")</f>
        <v>2.389990158863986E-3</v>
      </c>
      <c r="H85" s="76">
        <f>IFERROR(IF(OR(NOT(ISNUMBER('Price History'!H86)),NOT(ISNUMBER('Price History'!H85)),'Price History'!H85=0),"",'Price History'!H86/'Price History'!H85-1),"")</f>
        <v>8.4229776247848775E-2</v>
      </c>
      <c r="I85" s="76">
        <f>IFERROR(IF(OR(NOT(ISNUMBER('Price History'!I86)),NOT(ISNUMBER('Price History'!I85)),'Price History'!I85=0),"",'Price History'!I86/'Price History'!I85-1),"")</f>
        <v>7.9687638654716508E-2</v>
      </c>
      <c r="J85" s="76">
        <f>IFERROR(IF(OR(NOT(ISNUMBER('Price History'!J86)),NOT(ISNUMBER('Price History'!J85)),'Price History'!J85=0),"",'Price History'!J86/'Price History'!J85-1),"")</f>
        <v>-6.6883495955299743E-2</v>
      </c>
      <c r="K85" s="76">
        <f>IFERROR(IF(OR(NOT(ISNUMBER('Price History'!K86)),NOT(ISNUMBER('Price History'!K85)),'Price History'!K85=0),"",'Price History'!K86/'Price History'!K85-1),"")</f>
        <v>1.5663643858202736E-2</v>
      </c>
      <c r="L85" s="76">
        <f>IFERROR(IF(OR(NOT(ISNUMBER('Price History'!L86)),NOT(ISNUMBER('Price History'!L85)),'Price History'!L85=0),"",'Price History'!L86/'Price History'!L85-1),"")</f>
        <v>-1.6996047430829941E-2</v>
      </c>
      <c r="M85" s="76">
        <f>IFERROR(IF(OR(NOT(ISNUMBER('Price History'!M86)),NOT(ISNUMBER('Price History'!M85)),'Price History'!M85=0),"",'Price History'!M86/'Price History'!M85-1),"")</f>
        <v>2.833960489181564E-2</v>
      </c>
      <c r="N85" s="76">
        <f>IFERROR(IF(OR(NOT(ISNUMBER('Price History'!N86)),NOT(ISNUMBER('Price History'!N85)),'Price History'!N85=0),"",'Price History'!N86/'Price History'!N85-1),"")</f>
        <v>3.3750435192201333E-2</v>
      </c>
      <c r="O85" s="76">
        <f>IFERROR(IF(OR(NOT(ISNUMBER('Price History'!O86)),NOT(ISNUMBER('Price History'!O85)),'Price History'!O85=0),"",'Price History'!O86/'Price History'!O85-1),"")</f>
        <v>-1.8718989625620353E-2</v>
      </c>
      <c r="P85" s="76" t="str">
        <f>IFERROR(IF(OR(NOT(ISNUMBER('Price History'!P86)),NOT(ISNUMBER('Price History'!P85)),'Price History'!P85=0),"",'Price History'!P86/'Price History'!P85-1),"")</f>
        <v/>
      </c>
      <c r="Q85" s="76">
        <f>IFERROR(IF(OR(NOT(ISNUMBER('Price History'!Q86)),NOT(ISNUMBER('Price History'!Q85)),'Price History'!Q85=0),"",'Price History'!Q86/'Price History'!Q85-1),"")</f>
        <v>1.6262917160765777E-2</v>
      </c>
      <c r="R85" s="76">
        <f>IFERROR(IF(OR(NOT(ISNUMBER('Price History'!R86)),NOT(ISNUMBER('Price History'!R85)),'Price History'!R85=0),"",'Price History'!R86/'Price History'!R85-1),"")</f>
        <v>-2.1391369047619069E-2</v>
      </c>
      <c r="S85" s="76">
        <f>IFERROR(IF(OR(NOT(ISNUMBER('Price History'!S86)),NOT(ISNUMBER('Price History'!S85)),'Price History'!S85=0),"",'Price History'!S86/'Price History'!S85-1),"")</f>
        <v>-7.1927226570764891E-3</v>
      </c>
      <c r="T85" s="76">
        <f>IFERROR(IF(OR(NOT(ISNUMBER('Price History'!T86)),NOT(ISNUMBER('Price History'!T85)),'Price History'!T85=0),"",'Price History'!T86/'Price History'!T85-1),"")</f>
        <v>-2.0683711577133002E-2</v>
      </c>
      <c r="U85" s="76" t="str">
        <f>IFERROR(IF(OR(NOT(ISNUMBER('Price History'!U86)),NOT(ISNUMBER('Price History'!U85)),'Price History'!U85=0),"",'Price History'!U86/'Price History'!U85-1),"")</f>
        <v/>
      </c>
      <c r="W85" s="77">
        <f>'Price History'!B3+('Price History'!B158-'Price History'!B3)*0.532467532467532</f>
        <v>371.05207792207807</v>
      </c>
      <c r="X85" s="77">
        <f>'Price History'!C3+('Price History'!C158-'Price History'!C3)*0.532467532467532</f>
        <v>116.48038961038955</v>
      </c>
      <c r="Y85" s="77">
        <f>'Price History'!D3+('Price History'!D158-'Price History'!D3)*0.532467532467532</f>
        <v>1176.7932467532464</v>
      </c>
      <c r="Z85" s="77">
        <f>'Price History'!E3+('Price History'!E158-'Price History'!E3)*0.532467532467532</f>
        <v>246.07480519480504</v>
      </c>
      <c r="AA85" s="77">
        <f>'Price History'!F3+('Price History'!F158-'Price History'!F3)*0.532467532467532</f>
        <v>118.95350649350642</v>
      </c>
      <c r="AB85" s="77">
        <f>'Price History'!G3+('Price History'!G158-'Price History'!G3)*0.532467532467532</f>
        <v>119.7405194805194</v>
      </c>
      <c r="AC85" s="77">
        <f>'Price History'!H3+('Price History'!H158-'Price History'!H3)*0.532467532467532</f>
        <v>468.33181818181782</v>
      </c>
      <c r="AD85" s="77">
        <f>'Price History'!I3+('Price History'!I158-'Price History'!I3)*0.532467532467532</f>
        <v>125.99155844155837</v>
      </c>
      <c r="AE85" s="77">
        <f>'Price History'!J3+('Price History'!J158-'Price History'!J3)*0.532467532467532</f>
        <v>134.74506493506493</v>
      </c>
      <c r="AF85" s="77">
        <f>'Price History'!K3+('Price History'!K158-'Price History'!K3)*0.532467532467532</f>
        <v>72.730129870129815</v>
      </c>
      <c r="AG85" s="77">
        <f>'Price History'!L3+('Price History'!L158-'Price History'!L3)*0.532467532467532</f>
        <v>258.25831168831155</v>
      </c>
      <c r="AH85" s="77">
        <f>'Price History'!M3+('Price History'!M158-'Price History'!M3)*0.532467532467532</f>
        <v>144.29519480519471</v>
      </c>
      <c r="AI85" s="77">
        <f>'Price History'!N3+('Price History'!N158-'Price History'!N3)*0.532467532467532</f>
        <v>417.61116883116881</v>
      </c>
      <c r="AJ85" s="77">
        <f>'Price History'!O3+('Price History'!O158-'Price History'!O3)*0.532467532467532</f>
        <v>105.44259740259739</v>
      </c>
      <c r="AK85" s="77">
        <f>'Price History'!Q3+('Price History'!Q151-'Price History'!Q3)*0.532467532467532</f>
        <v>59.749220779220771</v>
      </c>
      <c r="AL85" s="77">
        <f>'Price History'!R3+('Price History'!R158-'Price History'!R3)*0.532467532467532</f>
        <v>53.373636363636358</v>
      </c>
      <c r="AM85" s="77">
        <f>'Price History'!S3+('Price History'!S158-'Price History'!S3)*0.532467532467532</f>
        <v>103.95415584415582</v>
      </c>
      <c r="AN85" s="77">
        <f>'Price History'!T3+('Price History'!T158-'Price History'!T3)*0.532467532467532</f>
        <v>39.066233766233758</v>
      </c>
    </row>
    <row r="86" spans="1:40" ht="15" customHeight="1" x14ac:dyDescent="0.2">
      <c r="A86" s="55">
        <f>IF('Price History'!A87="","",'Price History'!A87)</f>
        <v>45737</v>
      </c>
      <c r="B86" s="76">
        <f>IFERROR(IF(OR(NOT(ISNUMBER('Price History'!B87)),NOT(ISNUMBER('Price History'!B86)),'Price History'!B86=0),"",'Price History'!B87/'Price History'!B86-1),"")</f>
        <v>-1.8949181739879473E-2</v>
      </c>
      <c r="C86" s="76">
        <f>IFERROR(IF(OR(NOT(ISNUMBER('Price History'!C87)),NOT(ISNUMBER('Price History'!C86)),'Price History'!C86=0),"",'Price History'!C87/'Price History'!C86-1),"")</f>
        <v>-4.5503532511077527E-3</v>
      </c>
      <c r="D86" s="76">
        <f>IFERROR(IF(OR(NOT(ISNUMBER('Price History'!D87)),NOT(ISNUMBER('Price History'!D86)),'Price History'!D86=0),"",'Price History'!D87/'Price History'!D86-1),"")</f>
        <v>3.1092436974791138E-3</v>
      </c>
      <c r="E86" s="76">
        <f>IFERROR(IF(OR(NOT(ISNUMBER('Price History'!E87)),NOT(ISNUMBER('Price History'!E86)),'Price History'!E86=0),"",'Price History'!E87/'Price History'!E86-1),"")</f>
        <v>-1.984248747059425E-2</v>
      </c>
      <c r="F86" s="76">
        <f>IFERROR(IF(OR(NOT(ISNUMBER('Price History'!F87)),NOT(ISNUMBER('Price History'!F86)),'Price History'!F86=0),"",'Price History'!F87/'Price History'!F86-1),"")</f>
        <v>2.4086848354630819E-2</v>
      </c>
      <c r="G86" s="76">
        <f>IFERROR(IF(OR(NOT(ISNUMBER('Price History'!G87)),NOT(ISNUMBER('Price History'!G86)),'Price History'!G86=0),"",'Price History'!G87/'Price History'!G86-1),"")</f>
        <v>-9.1164095371667475E-3</v>
      </c>
      <c r="H86" s="76">
        <f>IFERROR(IF(OR(NOT(ISNUMBER('Price History'!H87)),NOT(ISNUMBER('Price History'!H86)),'Price History'!H86=0),"",'Price History'!H87/'Price History'!H86-1),"")</f>
        <v>-6.0224228594106588E-2</v>
      </c>
      <c r="I86" s="76">
        <f>IFERROR(IF(OR(NOT(ISNUMBER('Price History'!I87)),NOT(ISNUMBER('Price History'!I86)),'Price History'!I86=0),"",'Price History'!I87/'Price History'!I86-1),"")</f>
        <v>-3.2629243034437372E-2</v>
      </c>
      <c r="J86" s="76">
        <f>IFERROR(IF(OR(NOT(ISNUMBER('Price History'!J87)),NOT(ISNUMBER('Price History'!J86)),'Price History'!J86=0),"",'Price History'!J87/'Price History'!J86-1),"")</f>
        <v>-3.1012601662346984E-2</v>
      </c>
      <c r="K86" s="76">
        <f>IFERROR(IF(OR(NOT(ISNUMBER('Price History'!K87)),NOT(ISNUMBER('Price History'!K86)),'Price History'!K86=0),"",'Price History'!K87/'Price History'!K86-1),"")</f>
        <v>5.4730983302411884E-2</v>
      </c>
      <c r="L86" s="76">
        <f>IFERROR(IF(OR(NOT(ISNUMBER('Price History'!L87)),NOT(ISNUMBER('Price History'!L86)),'Price History'!L86=0),"",'Price History'!L87/'Price History'!L86-1),"")</f>
        <v>1.5164570049974069E-2</v>
      </c>
      <c r="M86" s="76">
        <f>IFERROR(IF(OR(NOT(ISNUMBER('Price History'!M87)),NOT(ISNUMBER('Price History'!M86)),'Price History'!M86=0),"",'Price History'!M87/'Price History'!M86-1),"")</f>
        <v>1.3493424814179367E-2</v>
      </c>
      <c r="N86" s="76">
        <f>IFERROR(IF(OR(NOT(ISNUMBER('Price History'!N87)),NOT(ISNUMBER('Price History'!N86)),'Price History'!N86=0),"",'Price History'!N87/'Price History'!N86-1),"")</f>
        <v>-3.1103274758801369E-3</v>
      </c>
      <c r="O86" s="76">
        <f>IFERROR(IF(OR(NOT(ISNUMBER('Price History'!O87)),NOT(ISNUMBER('Price History'!O86)),'Price History'!O86=0),"",'Price History'!O87/'Price History'!O86-1),"")</f>
        <v>9.6529533440588011E-3</v>
      </c>
      <c r="P86" s="76" t="str">
        <f>IFERROR(IF(OR(NOT(ISNUMBER('Price History'!P87)),NOT(ISNUMBER('Price History'!P86)),'Price History'!P86=0),"",'Price History'!P87/'Price History'!P86-1),"")</f>
        <v/>
      </c>
      <c r="Q86" s="76">
        <f>IFERROR(IF(OR(NOT(ISNUMBER('Price History'!Q87)),NOT(ISNUMBER('Price History'!Q86)),'Price History'!Q86=0),"",'Price History'!Q87/'Price History'!Q86-1),"")</f>
        <v>-2.5004167361226681E-3</v>
      </c>
      <c r="R86" s="76">
        <f>IFERROR(IF(OR(NOT(ISNUMBER('Price History'!R87)),NOT(ISNUMBER('Price History'!R86)),'Price History'!R86=0),"",'Price History'!R87/'Price History'!R86-1),"")</f>
        <v>3.6114807070899424E-3</v>
      </c>
      <c r="S86" s="76">
        <f>IFERROR(IF(OR(NOT(ISNUMBER('Price History'!S87)),NOT(ISNUMBER('Price History'!S86)),'Price History'!S86=0),"",'Price History'!S87/'Price History'!S86-1),"")</f>
        <v>3.8354996803751096E-3</v>
      </c>
      <c r="T86" s="76">
        <f>IFERROR(IF(OR(NOT(ISNUMBER('Price History'!T87)),NOT(ISNUMBER('Price History'!T86)),'Price History'!T86=0),"",'Price History'!T87/'Price History'!T86-1),"")</f>
        <v>1.7013787034320771E-2</v>
      </c>
      <c r="U86" s="76" t="str">
        <f>IFERROR(IF(OR(NOT(ISNUMBER('Price History'!U87)),NOT(ISNUMBER('Price History'!U86)),'Price History'!U86=0),"",'Price History'!U87/'Price History'!U86-1),"")</f>
        <v/>
      </c>
      <c r="W86" s="77">
        <f>'Price History'!B3+('Price History'!B158-'Price History'!B3)*0.538961038961039</f>
        <v>369.37649350649349</v>
      </c>
      <c r="X86" s="77">
        <f>'Price History'!C3+('Price History'!C158-'Price History'!C3)*0.538961038961039</f>
        <v>117.36746753246751</v>
      </c>
      <c r="Y86" s="77">
        <f>'Price History'!D3+('Price History'!D158-'Price History'!D3)*0.538961038961039</f>
        <v>1183.073896103896</v>
      </c>
      <c r="Z86" s="77">
        <f>'Price History'!E3+('Price History'!E158-'Price History'!E3)*0.538961038961039</f>
        <v>248.06376623376622</v>
      </c>
      <c r="AA86" s="77">
        <f>'Price History'!F3+('Price History'!F158-'Price History'!F3)*0.538961038961039</f>
        <v>119.9522077922078</v>
      </c>
      <c r="AB86" s="77">
        <f>'Price History'!G3+('Price History'!G158-'Price History'!G3)*0.538961038961039</f>
        <v>120.61662337662338</v>
      </c>
      <c r="AC86" s="77">
        <f>'Price History'!H3+('Price History'!H158-'Price History'!H3)*0.538961038961039</f>
        <v>473.25818181818181</v>
      </c>
      <c r="AD86" s="77">
        <f>'Price History'!I3+('Price History'!I158-'Price History'!I3)*0.538961038961039</f>
        <v>127.02987012987015</v>
      </c>
      <c r="AE86" s="77">
        <f>'Price History'!J3+('Price History'!J158-'Price History'!J3)*0.538961038961039</f>
        <v>134.88207792207794</v>
      </c>
      <c r="AF86" s="77">
        <f>'Price History'!K3+('Price History'!K158-'Price History'!K3)*0.538961038961039</f>
        <v>73.429155844155844</v>
      </c>
      <c r="AG86" s="77">
        <f>'Price History'!L3+('Price History'!L158-'Price History'!L3)*0.538961038961039</f>
        <v>260.28597402597404</v>
      </c>
      <c r="AH86" s="77">
        <f>'Price History'!M3+('Price History'!M158-'Price History'!M3)*0.538961038961039</f>
        <v>145.64623376623376</v>
      </c>
      <c r="AI86" s="77">
        <f>'Price History'!N3+('Price History'!N158-'Price History'!N3)*0.538961038961039</f>
        <v>418.43740259740264</v>
      </c>
      <c r="AJ86" s="77">
        <f>'Price History'!O3+('Price History'!O158-'Price History'!O3)*0.538961038961039</f>
        <v>105.71811688311688</v>
      </c>
      <c r="AK86" s="77">
        <f>'Price History'!Q3+('Price History'!Q151-'Price History'!Q3)*0.538961038961039</f>
        <v>59.870064935064939</v>
      </c>
      <c r="AL86" s="77">
        <f>'Price History'!R3+('Price History'!R158-'Price History'!R3)*0.538961038961039</f>
        <v>53.441363636363633</v>
      </c>
      <c r="AM86" s="77">
        <f>'Price History'!S3+('Price History'!S158-'Price History'!S3)*0.538961038961039</f>
        <v>104.50798701298703</v>
      </c>
      <c r="AN86" s="77">
        <f>'Price History'!T3+('Price History'!T158-'Price History'!T3)*0.538961038961039</f>
        <v>39.214480519480517</v>
      </c>
    </row>
    <row r="87" spans="1:40" ht="15" customHeight="1" x14ac:dyDescent="0.2">
      <c r="A87" s="55">
        <f>IF('Price History'!A88="","",'Price History'!A88)</f>
        <v>45744</v>
      </c>
      <c r="B87" s="76">
        <f>IFERROR(IF(OR(NOT(ISNUMBER('Price History'!B88)),NOT(ISNUMBER('Price History'!B87)),'Price History'!B87=0),"",'Price History'!B88/'Price History'!B87-1),"")</f>
        <v>-4.0024789547075112E-3</v>
      </c>
      <c r="C87" s="76">
        <f>IFERROR(IF(OR(NOT(ISNUMBER('Price History'!C88)),NOT(ISNUMBER('Price History'!C87)),'Price History'!C87=0),"",'Price History'!C88/'Price History'!C87-1),"")</f>
        <v>-6.2432334897149055E-2</v>
      </c>
      <c r="D87" s="76">
        <f>IFERROR(IF(OR(NOT(ISNUMBER('Price History'!D88)),NOT(ISNUMBER('Price History'!D87)),'Price History'!D87=0),"",'Price History'!D88/'Price History'!D87-1),"")</f>
        <v>-5.8138560777414749E-2</v>
      </c>
      <c r="E87" s="76">
        <f>IFERROR(IF(OR(NOT(ISNUMBER('Price History'!E88)),NOT(ISNUMBER('Price History'!E87)),'Price History'!E87=0),"",'Price History'!E88/'Price History'!E87-1),"")</f>
        <v>-0.11760409057706356</v>
      </c>
      <c r="F87" s="76">
        <f>IFERROR(IF(OR(NOT(ISNUMBER('Price History'!F88)),NOT(ISNUMBER('Price History'!F87)),'Price History'!F87=0),"",'Price History'!F88/'Price History'!F87-1),"")</f>
        <v>-1.4134275618374548E-2</v>
      </c>
      <c r="G87" s="76">
        <f>IFERROR(IF(OR(NOT(ISNUMBER('Price History'!G88)),NOT(ISNUMBER('Price History'!G87)),'Price History'!G87=0),"",'Price History'!G88/'Price History'!G87-1),"")</f>
        <v>-4.6567586694975294E-2</v>
      </c>
      <c r="H87" s="76">
        <f>IFERROR(IF(OR(NOT(ISNUMBER('Price History'!H88)),NOT(ISNUMBER('Price History'!H87)),'Price History'!H87=0),"",'Price History'!H88/'Price History'!H87-1),"")</f>
        <v>-6.6300675675675658E-2</v>
      </c>
      <c r="I87" s="76">
        <f>IFERROR(IF(OR(NOT(ISNUMBER('Price History'!I88)),NOT(ISNUMBER('Price History'!I87)),'Price History'!I87=0),"",'Price History'!I88/'Price History'!I87-1),"")</f>
        <v>-6.8224299065420602E-2</v>
      </c>
      <c r="J87" s="76">
        <f>IFERROR(IF(OR(NOT(ISNUMBER('Price History'!J88)),NOT(ISNUMBER('Price History'!J87)),'Price History'!J87=0),"",'Price History'!J88/'Price History'!J87-1),"")</f>
        <v>1.8723482752259768E-2</v>
      </c>
      <c r="K87" s="76">
        <f>IFERROR(IF(OR(NOT(ISNUMBER('Price History'!K88)),NOT(ISNUMBER('Price History'!K87)),'Price History'!K87=0),"",'Price History'!K88/'Price History'!K87-1),"")</f>
        <v>-5.6178540017590151E-2</v>
      </c>
      <c r="L87" s="76">
        <f>IFERROR(IF(OR(NOT(ISNUMBER('Price History'!L88)),NOT(ISNUMBER('Price History'!L87)),'Price History'!L87=0),"",'Price History'!L88/'Price History'!L87-1),"")</f>
        <v>-6.4957845300741224E-2</v>
      </c>
      <c r="M87" s="76">
        <f>IFERROR(IF(OR(NOT(ISNUMBER('Price History'!M88)),NOT(ISNUMBER('Price History'!M87)),'Price History'!M87=0),"",'Price History'!M88/'Price History'!M87-1),"")</f>
        <v>-0.16224754597765989</v>
      </c>
      <c r="N87" s="76">
        <f>IFERROR(IF(OR(NOT(ISNUMBER('Price History'!N88)),NOT(ISNUMBER('Price History'!N87)),'Price History'!N87=0),"",'Price History'!N88/'Price History'!N87-1),"")</f>
        <v>-2.0886327503974567E-2</v>
      </c>
      <c r="O87" s="76">
        <f>IFERROR(IF(OR(NOT(ISNUMBER('Price History'!O88)),NOT(ISNUMBER('Price History'!O87)),'Price History'!O87=0),"",'Price History'!O88/'Price History'!O87-1),"")</f>
        <v>-8.4224903255177841E-3</v>
      </c>
      <c r="P87" s="76" t="str">
        <f>IFERROR(IF(OR(NOT(ISNUMBER('Price History'!P88)),NOT(ISNUMBER('Price History'!P87)),'Price History'!P87=0),"",'Price History'!P88/'Price History'!P87-1),"")</f>
        <v/>
      </c>
      <c r="Q87" s="76">
        <f>IFERROR(IF(OR(NOT(ISNUMBER('Price History'!Q88)),NOT(ISNUMBER('Price History'!Q87)),'Price History'!Q87=0),"",'Price History'!Q88/'Price History'!Q87-1),"")</f>
        <v>2.9411764705882248E-2</v>
      </c>
      <c r="R87" s="76">
        <f>IFERROR(IF(OR(NOT(ISNUMBER('Price History'!R88)),NOT(ISNUMBER('Price History'!R87)),'Price History'!R87=0),"",'Price History'!R88/'Price History'!R87-1),"")</f>
        <v>-1.8749999999999933E-2</v>
      </c>
      <c r="S87" s="76">
        <f>IFERROR(IF(OR(NOT(ISNUMBER('Price History'!S88)),NOT(ISNUMBER('Price History'!S87)),'Price History'!S87=0),"",'Price History'!S88/'Price History'!S87-1),"")</f>
        <v>-2.1545319465081758E-2</v>
      </c>
      <c r="T87" s="76">
        <f>IFERROR(IF(OR(NOT(ISNUMBER('Price History'!T88)),NOT(ISNUMBER('Price History'!T87)),'Price History'!T87=0),"",'Price History'!T88/'Price History'!T87-1),"")</f>
        <v>-1.6440726853187204E-2</v>
      </c>
      <c r="U87" s="76" t="str">
        <f>IFERROR(IF(OR(NOT(ISNUMBER('Price History'!U88)),NOT(ISNUMBER('Price History'!U87)),'Price History'!U87=0),"",'Price History'!U88/'Price History'!U87-1),"")</f>
        <v/>
      </c>
      <c r="W87" s="77">
        <f>'Price History'!B3+('Price History'!B158-'Price History'!B3)*0.545454545454545</f>
        <v>367.70090909090925</v>
      </c>
      <c r="X87" s="77">
        <f>'Price History'!C3+('Price History'!C158-'Price History'!C3)*0.545454545454545</f>
        <v>118.25454545454539</v>
      </c>
      <c r="Y87" s="77">
        <f>'Price History'!D3+('Price History'!D158-'Price History'!D3)*0.545454545454545</f>
        <v>1189.3545454545451</v>
      </c>
      <c r="Z87" s="77">
        <f>'Price History'!E3+('Price History'!E158-'Price History'!E3)*0.545454545454545</f>
        <v>250.05272727272711</v>
      </c>
      <c r="AA87" s="77">
        <f>'Price History'!F3+('Price History'!F158-'Price History'!F3)*0.545454545454545</f>
        <v>120.95090909090902</v>
      </c>
      <c r="AB87" s="77">
        <f>'Price History'!G3+('Price History'!G158-'Price History'!G3)*0.545454545454545</f>
        <v>121.49272727272719</v>
      </c>
      <c r="AC87" s="77">
        <f>'Price History'!H3+('Price History'!H158-'Price History'!H3)*0.545454545454545</f>
        <v>478.18454545454506</v>
      </c>
      <c r="AD87" s="77">
        <f>'Price History'!I3+('Price History'!I158-'Price History'!I3)*0.545454545454545</f>
        <v>128.06818181818176</v>
      </c>
      <c r="AE87" s="77">
        <f>'Price History'!J3+('Price History'!J158-'Price History'!J3)*0.545454545454545</f>
        <v>135.01909090909092</v>
      </c>
      <c r="AF87" s="77">
        <f>'Price History'!K3+('Price History'!K158-'Price History'!K3)*0.545454545454545</f>
        <v>74.128181818181773</v>
      </c>
      <c r="AG87" s="77">
        <f>'Price History'!L3+('Price History'!L158-'Price History'!L3)*0.545454545454545</f>
        <v>262.31363636363619</v>
      </c>
      <c r="AH87" s="77">
        <f>'Price History'!M3+('Price History'!M158-'Price History'!M3)*0.545454545454545</f>
        <v>146.99727272727262</v>
      </c>
      <c r="AI87" s="77">
        <f>'Price History'!N3+('Price History'!N158-'Price History'!N3)*0.545454545454545</f>
        <v>419.26363636363635</v>
      </c>
      <c r="AJ87" s="77">
        <f>'Price History'!O3+('Price History'!O158-'Price History'!O3)*0.545454545454545</f>
        <v>105.99363636363634</v>
      </c>
      <c r="AK87" s="77">
        <f>'Price History'!Q3+('Price History'!Q151-'Price History'!Q3)*0.545454545454545</f>
        <v>59.990909090909085</v>
      </c>
      <c r="AL87" s="77">
        <f>'Price History'!R3+('Price History'!R158-'Price History'!R3)*0.545454545454545</f>
        <v>53.509090909090901</v>
      </c>
      <c r="AM87" s="77">
        <f>'Price History'!S3+('Price History'!S158-'Price History'!S3)*0.545454545454545</f>
        <v>105.06181818181815</v>
      </c>
      <c r="AN87" s="77">
        <f>'Price History'!T3+('Price History'!T158-'Price History'!T3)*0.545454545454545</f>
        <v>39.362727272727263</v>
      </c>
    </row>
    <row r="88" spans="1:40" ht="15" customHeight="1" x14ac:dyDescent="0.2">
      <c r="A88" s="55">
        <f>IF('Price History'!A89="","",'Price History'!A89)</f>
        <v>45751</v>
      </c>
      <c r="B88" s="76">
        <f>IFERROR(IF(OR(NOT(ISNUMBER('Price History'!B89)),NOT(ISNUMBER('Price History'!B88)),'Price History'!B88=0),"",'Price History'!B89/'Price History'!B88-1),"")</f>
        <v>-9.4993648077571158E-2</v>
      </c>
      <c r="C88" s="76">
        <f>IFERROR(IF(OR(NOT(ISNUMBER('Price History'!C89)),NOT(ISNUMBER('Price History'!C88)),'Price History'!C88=0),"",'Price History'!C89/'Price History'!C88-1),"")</f>
        <v>-0.17410828842699499</v>
      </c>
      <c r="D88" s="76">
        <f>IFERROR(IF(OR(NOT(ISNUMBER('Price History'!D89)),NOT(ISNUMBER('Price History'!D88)),'Price History'!D88=0),"",'Price History'!D89/'Price History'!D88-1),"")</f>
        <v>-0.10233033887752396</v>
      </c>
      <c r="E88" s="76">
        <f>IFERROR(IF(OR(NOT(ISNUMBER('Price History'!E89)),NOT(ISNUMBER('Price History'!E88)),'Price History'!E88=0),"",'Price History'!E89/'Price History'!E88-1),"")</f>
        <v>-0.13499290444654688</v>
      </c>
      <c r="F88" s="76">
        <f>IFERROR(IF(OR(NOT(ISNUMBER('Price History'!F89)),NOT(ISNUMBER('Price History'!F88)),'Price History'!F88=0),"",'Price History'!F89/'Price History'!F88-1),"")</f>
        <v>-9.9350358422939156E-2</v>
      </c>
      <c r="G88" s="76">
        <f>IFERROR(IF(OR(NOT(ISNUMBER('Price History'!G89)),NOT(ISNUMBER('Price History'!G88)),'Price History'!G88=0),"",'Price History'!G89/'Price History'!G88-1),"")</f>
        <v>-0.14415083135391926</v>
      </c>
      <c r="H88" s="76">
        <f>IFERROR(IF(OR(NOT(ISNUMBER('Price History'!H89)),NOT(ISNUMBER('Price History'!H88)),'Price History'!H88=0),"",'Price History'!H89/'Price History'!H88-1),"")</f>
        <v>-0.26820443238353686</v>
      </c>
      <c r="I88" s="76">
        <f>IFERROR(IF(OR(NOT(ISNUMBER('Price History'!I89)),NOT(ISNUMBER('Price History'!I88)),'Price History'!I88=0),"",'Price History'!I89/'Price History'!I88-1),"")</f>
        <v>-0.14005653323607181</v>
      </c>
      <c r="J88" s="76">
        <f>IFERROR(IF(OR(NOT(ISNUMBER('Price History'!J89)),NOT(ISNUMBER('Price History'!J88)),'Price History'!J88=0),"",'Price History'!J89/'Price History'!J88-1),"")</f>
        <v>-0.11063829787234036</v>
      </c>
      <c r="K88" s="76">
        <f>IFERROR(IF(OR(NOT(ISNUMBER('Price History'!K89)),NOT(ISNUMBER('Price History'!K88)),'Price History'!K88=0),"",'Price History'!K89/'Price History'!K88-1),"")</f>
        <v>-0.13791496796738489</v>
      </c>
      <c r="L88" s="76">
        <f>IFERROR(IF(OR(NOT(ISNUMBER('Price History'!L89)),NOT(ISNUMBER('Price History'!L88)),'Price History'!L88=0),"",'Price History'!L89/'Price History'!L88-1),"")</f>
        <v>-0.11164901664145233</v>
      </c>
      <c r="M88" s="76">
        <f>IFERROR(IF(OR(NOT(ISNUMBER('Price History'!M89)),NOT(ISNUMBER('Price History'!M88)),'Price History'!M88=0),"",'Price History'!M89/'Price History'!M88-1),"")</f>
        <v>-0.19986531986531986</v>
      </c>
      <c r="N88" s="76">
        <f>IFERROR(IF(OR(NOT(ISNUMBER('Price History'!N89)),NOT(ISNUMBER('Price History'!N88)),'Price History'!N88=0),"",'Price History'!N89/'Price History'!N88-1),"")</f>
        <v>-3.6676206133674283E-2</v>
      </c>
      <c r="O88" s="76">
        <f>IFERROR(IF(OR(NOT(ISNUMBER('Price History'!O89)),NOT(ISNUMBER('Price History'!O88)),'Price History'!O88=0),"",'Price History'!O89/'Price History'!O88-1),"")</f>
        <v>-0.10468319559228656</v>
      </c>
      <c r="P88" s="76" t="str">
        <f>IFERROR(IF(OR(NOT(ISNUMBER('Price History'!P89)),NOT(ISNUMBER('Price History'!P88)),'Price History'!P88=0),"",'Price History'!P89/'Price History'!P88-1),"")</f>
        <v/>
      </c>
      <c r="Q88" s="76">
        <f>IFERROR(IF(OR(NOT(ISNUMBER('Price History'!Q89)),NOT(ISNUMBER('Price History'!Q88)),'Price History'!Q88=0),"",'Price History'!Q89/'Price History'!Q88-1),"")</f>
        <v>-1.6558441558441661E-2</v>
      </c>
      <c r="R88" s="76">
        <f>IFERROR(IF(OR(NOT(ISNUMBER('Price History'!R89)),NOT(ISNUMBER('Price History'!R88)),'Price History'!R88=0),"",'Price History'!R89/'Price History'!R88-1),"")</f>
        <v>-0.10055973750241265</v>
      </c>
      <c r="S88" s="76">
        <f>IFERROR(IF(OR(NOT(ISNUMBER('Price History'!S89)),NOT(ISNUMBER('Price History'!S88)),'Price History'!S88=0),"",'Price History'!S89/'Price History'!S88-1),"")</f>
        <v>-0.1070615034168565</v>
      </c>
      <c r="T88" s="76">
        <f>IFERROR(IF(OR(NOT(ISNUMBER('Price History'!T89)),NOT(ISNUMBER('Price History'!T88)),'Price History'!T88=0),"",'Price History'!T89/'Price History'!T88-1),"")</f>
        <v>-9.2375366568914985E-2</v>
      </c>
      <c r="U88" s="76" t="str">
        <f>IFERROR(IF(OR(NOT(ISNUMBER('Price History'!U89)),NOT(ISNUMBER('Price History'!U88)),'Price History'!U88=0),"",'Price History'!U89/'Price History'!U88-1),"")</f>
        <v/>
      </c>
      <c r="W88" s="77">
        <f>'Price History'!B3+('Price History'!B158-'Price History'!B3)*0.551948051948052</f>
        <v>366.02532467532467</v>
      </c>
      <c r="X88" s="77">
        <f>'Price History'!C3+('Price History'!C158-'Price History'!C3)*0.551948051948052</f>
        <v>119.14162337662339</v>
      </c>
      <c r="Y88" s="77">
        <f>'Price History'!D3+('Price History'!D158-'Price History'!D3)*0.551948051948052</f>
        <v>1195.6351948051947</v>
      </c>
      <c r="Z88" s="77">
        <f>'Price History'!E3+('Price History'!E158-'Price History'!E3)*0.551948051948052</f>
        <v>252.04168831168829</v>
      </c>
      <c r="AA88" s="77">
        <f>'Price History'!F3+('Price History'!F158-'Price History'!F3)*0.551948051948052</f>
        <v>121.9496103896104</v>
      </c>
      <c r="AB88" s="77">
        <f>'Price History'!G3+('Price History'!G158-'Price History'!G3)*0.551948051948052</f>
        <v>122.36883116883115</v>
      </c>
      <c r="AC88" s="77">
        <f>'Price History'!H3+('Price History'!H158-'Price History'!H3)*0.551948051948052</f>
        <v>483.1109090909091</v>
      </c>
      <c r="AD88" s="77">
        <f>'Price History'!I3+('Price History'!I158-'Price History'!I3)*0.551948051948052</f>
        <v>129.10649350649351</v>
      </c>
      <c r="AE88" s="77">
        <f>'Price History'!J3+('Price History'!J158-'Price History'!J3)*0.551948051948052</f>
        <v>135.1561038961039</v>
      </c>
      <c r="AF88" s="77">
        <f>'Price History'!K3+('Price History'!K158-'Price History'!K3)*0.551948051948052</f>
        <v>74.827207792207801</v>
      </c>
      <c r="AG88" s="77">
        <f>'Price History'!L3+('Price History'!L158-'Price History'!L3)*0.551948051948052</f>
        <v>264.34129870129868</v>
      </c>
      <c r="AH88" s="77">
        <f>'Price History'!M3+('Price History'!M158-'Price History'!M3)*0.551948051948052</f>
        <v>148.3483116883117</v>
      </c>
      <c r="AI88" s="77">
        <f>'Price History'!N3+('Price History'!N158-'Price History'!N3)*0.551948051948052</f>
        <v>420.08987012987018</v>
      </c>
      <c r="AJ88" s="77">
        <f>'Price History'!O3+('Price History'!O158-'Price History'!O3)*0.551948051948052</f>
        <v>106.26915584415585</v>
      </c>
      <c r="AK88" s="77">
        <f>'Price History'!Q3+('Price History'!Q151-'Price History'!Q3)*0.551948051948052</f>
        <v>60.111753246753253</v>
      </c>
      <c r="AL88" s="77">
        <f>'Price History'!R3+('Price History'!R158-'Price History'!R3)*0.551948051948052</f>
        <v>53.576818181818183</v>
      </c>
      <c r="AM88" s="77">
        <f>'Price History'!S3+('Price History'!S158-'Price History'!S3)*0.551948051948052</f>
        <v>105.61564935064936</v>
      </c>
      <c r="AN88" s="77">
        <f>'Price History'!T3+('Price History'!T158-'Price History'!T3)*0.551948051948052</f>
        <v>39.510974025974029</v>
      </c>
    </row>
    <row r="89" spans="1:40" ht="15" customHeight="1" x14ac:dyDescent="0.2">
      <c r="A89" s="55">
        <f>IF('Price History'!A90="","",'Price History'!A90)</f>
        <v>45758</v>
      </c>
      <c r="B89" s="76">
        <f>IFERROR(IF(OR(NOT(ISNUMBER('Price History'!B90)),NOT(ISNUMBER('Price History'!B89)),'Price History'!B89=0),"",'Price History'!B90/'Price History'!B89-1),"")</f>
        <v>9.7401667287364546E-3</v>
      </c>
      <c r="C89" s="76">
        <f>IFERROR(IF(OR(NOT(ISNUMBER('Price History'!C90)),NOT(ISNUMBER('Price History'!C89)),'Price History'!C89=0),"",'Price History'!C90/'Price History'!C89-1),"")</f>
        <v>0.12894205375174761</v>
      </c>
      <c r="D89" s="76">
        <f>IFERROR(IF(OR(NOT(ISNUMBER('Price History'!D90)),NOT(ISNUMBER('Price History'!D89)),'Price History'!D89=0),"",'Price History'!D90/'Price History'!D89-1),"")</f>
        <v>0.10446701345883902</v>
      </c>
      <c r="E89" s="76">
        <f>IFERROR(IF(OR(NOT(ISNUMBER('Price History'!E90)),NOT(ISNUMBER('Price History'!E89)),'Price History'!E89=0),"",'Price History'!E90/'Price History'!E89-1),"")</f>
        <v>0.24369403240139453</v>
      </c>
      <c r="F89" s="76">
        <f>IFERROR(IF(OR(NOT(ISNUMBER('Price History'!F90)),NOT(ISNUMBER('Price History'!F89)),'Price History'!F89=0),"",'Price History'!F90/'Price History'!F89-1),"")</f>
        <v>0.17497823653774414</v>
      </c>
      <c r="G89" s="76">
        <f>IFERROR(IF(OR(NOT(ISNUMBER('Price History'!G90)),NOT(ISNUMBER('Price History'!G89)),'Price History'!G89=0),"",'Price History'!G90/'Price History'!G89-1),"")</f>
        <v>0.16253252385082395</v>
      </c>
      <c r="H89" s="76">
        <f>IFERROR(IF(OR(NOT(ISNUMBER('Price History'!H90)),NOT(ISNUMBER('Price History'!H89)),'Price History'!H89=0),"",'Price History'!H90/'Price History'!H89-1),"")</f>
        <v>7.4629171817057971E-2</v>
      </c>
      <c r="I89" s="76">
        <f>IFERROR(IF(OR(NOT(ISNUMBER('Price History'!I90)),NOT(ISNUMBER('Price History'!I89)),'Price History'!I89=0),"",'Price History'!I90/'Price History'!I89-1),"")</f>
        <v>0.17622733538331037</v>
      </c>
      <c r="J89" s="76">
        <f>IFERROR(IF(OR(NOT(ISNUMBER('Price History'!J90)),NOT(ISNUMBER('Price History'!J89)),'Price History'!J89=0),"",'Price History'!J90/'Price History'!J89-1),"")</f>
        <v>-2.0360378703043858E-2</v>
      </c>
      <c r="K89" s="76">
        <f>IFERROR(IF(OR(NOT(ISNUMBER('Price History'!K90)),NOT(ISNUMBER('Price History'!K89)),'Price History'!K89=0),"",'Price History'!K90/'Price History'!K89-1),"")</f>
        <v>0.19645993784623683</v>
      </c>
      <c r="L89" s="76">
        <f>IFERROR(IF(OR(NOT(ISNUMBER('Price History'!L90)),NOT(ISNUMBER('Price History'!L89)),'Price History'!L89=0),"",'Price History'!L90/'Price History'!L89-1),"")</f>
        <v>7.0027247956403249E-2</v>
      </c>
      <c r="M89" s="76">
        <f>IFERROR(IF(OR(NOT(ISNUMBER('Price History'!M90)),NOT(ISNUMBER('Price History'!M89)),'Price History'!M89=0),"",'Price History'!M90/'Price History'!M89-1),"")</f>
        <v>0.17168826796835557</v>
      </c>
      <c r="N89" s="76">
        <f>IFERROR(IF(OR(NOT(ISNUMBER('Price History'!N90)),NOT(ISNUMBER('Price History'!N89)),'Price History'!N89=0),"",'Price History'!N90/'Price History'!N89-1),"")</f>
        <v>2.022670768193513E-2</v>
      </c>
      <c r="O89" s="76">
        <f>IFERROR(IF(OR(NOT(ISNUMBER('Price History'!O90)),NOT(ISNUMBER('Price History'!O89)),'Price History'!O89=0),"",'Price History'!O90/'Price History'!O89-1),"")</f>
        <v>1.2564102564102564E-2</v>
      </c>
      <c r="P89" s="76" t="str">
        <f>IFERROR(IF(OR(NOT(ISNUMBER('Price History'!P90)),NOT(ISNUMBER('Price History'!P89)),'Price History'!P89=0),"",'Price History'!P90/'Price History'!P89-1),"")</f>
        <v/>
      </c>
      <c r="Q89" s="76">
        <f>IFERROR(IF(OR(NOT(ISNUMBER('Price History'!Q90)),NOT(ISNUMBER('Price History'!Q89)),'Price History'!Q89=0),"",'Price History'!Q90/'Price History'!Q89-1),"")</f>
        <v>1.0894684714427338E-2</v>
      </c>
      <c r="R89" s="76">
        <f>IFERROR(IF(OR(NOT(ISNUMBER('Price History'!R90)),NOT(ISNUMBER('Price History'!R89)),'Price History'!R89=0),"",'Price History'!R90/'Price History'!R89-1),"")</f>
        <v>6.3090128755364683E-2</v>
      </c>
      <c r="S89" s="76">
        <f>IFERROR(IF(OR(NOT(ISNUMBER('Price History'!S90)),NOT(ISNUMBER('Price History'!S89)),'Price History'!S89=0),"",'Price History'!S90/'Price History'!S89-1),"")</f>
        <v>9.1107871720116584E-2</v>
      </c>
      <c r="T89" s="76">
        <f>IFERROR(IF(OR(NOT(ISNUMBER('Price History'!T90)),NOT(ISNUMBER('Price History'!T89)),'Price History'!T89=0),"",'Price History'!T90/'Price History'!T89-1),"")</f>
        <v>1.9709208400646272E-2</v>
      </c>
      <c r="U89" s="76" t="str">
        <f>IFERROR(IF(OR(NOT(ISNUMBER('Price History'!U90)),NOT(ISNUMBER('Price History'!U89)),'Price History'!U89=0),"",'Price History'!U90/'Price History'!U89-1),"")</f>
        <v/>
      </c>
      <c r="W89" s="77">
        <f>'Price History'!B3+('Price History'!B158-'Price History'!B3)*0.558441558441558</f>
        <v>364.34974025974043</v>
      </c>
      <c r="X89" s="77">
        <f>'Price History'!C3+('Price History'!C158-'Price History'!C3)*0.558441558441558</f>
        <v>120.02870129870124</v>
      </c>
      <c r="Y89" s="77">
        <f>'Price History'!D3+('Price History'!D158-'Price History'!D3)*0.558441558441558</f>
        <v>1201.9158441558438</v>
      </c>
      <c r="Z89" s="77">
        <f>'Price History'!E3+('Price History'!E158-'Price History'!E3)*0.558441558441558</f>
        <v>254.03064935064918</v>
      </c>
      <c r="AA89" s="77">
        <f>'Price History'!F3+('Price History'!F158-'Price History'!F3)*0.558441558441558</f>
        <v>122.94831168831162</v>
      </c>
      <c r="AB89" s="77">
        <f>'Price History'!G3+('Price History'!G158-'Price History'!G3)*0.558441558441558</f>
        <v>123.24493506493499</v>
      </c>
      <c r="AC89" s="77">
        <f>'Price History'!H3+('Price History'!H158-'Price History'!H3)*0.558441558441558</f>
        <v>488.03727272727235</v>
      </c>
      <c r="AD89" s="77">
        <f>'Price History'!I3+('Price History'!I158-'Price History'!I3)*0.558441558441558</f>
        <v>130.14480519480512</v>
      </c>
      <c r="AE89" s="77">
        <f>'Price History'!J3+('Price History'!J158-'Price History'!J3)*0.558441558441558</f>
        <v>135.29311688311688</v>
      </c>
      <c r="AF89" s="77">
        <f>'Price History'!K3+('Price History'!K158-'Price History'!K3)*0.558441558441558</f>
        <v>75.526233766233716</v>
      </c>
      <c r="AG89" s="77">
        <f>'Price History'!L3+('Price History'!L158-'Price History'!L3)*0.558441558441558</f>
        <v>266.36896103896089</v>
      </c>
      <c r="AH89" s="77">
        <f>'Price History'!M3+('Price History'!M158-'Price History'!M3)*0.558441558441558</f>
        <v>149.69935064935055</v>
      </c>
      <c r="AI89" s="77">
        <f>'Price History'!N3+('Price History'!N158-'Price History'!N3)*0.558441558441558</f>
        <v>420.91610389610383</v>
      </c>
      <c r="AJ89" s="77">
        <f>'Price History'!O3+('Price History'!O158-'Price History'!O3)*0.558441558441558</f>
        <v>106.5446753246753</v>
      </c>
      <c r="AK89" s="77">
        <f>'Price History'!Q3+('Price History'!Q151-'Price History'!Q3)*0.558441558441558</f>
        <v>60.232597402597399</v>
      </c>
      <c r="AL89" s="77">
        <f>'Price History'!R3+('Price History'!R158-'Price History'!R3)*0.558441558441558</f>
        <v>53.644545454545451</v>
      </c>
      <c r="AM89" s="77">
        <f>'Price History'!S3+('Price History'!S158-'Price History'!S3)*0.558441558441558</f>
        <v>106.16948051948049</v>
      </c>
      <c r="AN89" s="77">
        <f>'Price History'!T3+('Price History'!T158-'Price History'!T3)*0.558441558441558</f>
        <v>39.659220779220767</v>
      </c>
    </row>
    <row r="90" spans="1:40" ht="15" customHeight="1" x14ac:dyDescent="0.2">
      <c r="A90" s="55">
        <f>IF('Price History'!A91="","",'Price History'!A91)</f>
        <v>45764</v>
      </c>
      <c r="B90" s="76">
        <f>IFERROR(IF(OR(NOT(ISNUMBER('Price History'!B91)),NOT(ISNUMBER('Price History'!B90)),'Price History'!B90=0),"",'Price History'!B91/'Price History'!B90-1),"")</f>
        <v>-1.0412233665276549E-2</v>
      </c>
      <c r="C90" s="76">
        <f>IFERROR(IF(OR(NOT(ISNUMBER('Price History'!C91)),NOT(ISNUMBER('Price History'!C90)),'Price History'!C90=0),"",'Price History'!C91/'Price History'!C90-1),"")</f>
        <v>-2.0228429888537236E-2</v>
      </c>
      <c r="D90" s="76">
        <f>IFERROR(IF(OR(NOT(ISNUMBER('Price History'!D91)),NOT(ISNUMBER('Price History'!D90)),'Price History'!D90=0),"",'Price History'!D91/'Price History'!D90-1),"")</f>
        <v>-4.2837278150745339E-2</v>
      </c>
      <c r="E90" s="76">
        <f>IFERROR(IF(OR(NOT(ISNUMBER('Price History'!E91)),NOT(ISNUMBER('Price History'!E90)),'Price History'!E90=0),"",'Price History'!E91/'Price History'!E90-1),"")</f>
        <v>-6.018467626690116E-2</v>
      </c>
      <c r="F90" s="76">
        <f>IFERROR(IF(OR(NOT(ISNUMBER('Price History'!F91)),NOT(ISNUMBER('Price History'!F90)),'Price History'!F90=0),"",'Price History'!F91/'Price History'!F90-1),"")</f>
        <v>-6.0330228619814852E-3</v>
      </c>
      <c r="G90" s="76">
        <f>IFERROR(IF(OR(NOT(ISNUMBER('Price History'!G91)),NOT(ISNUMBER('Price History'!G90)),'Price History'!G90=0),"",'Price History'!G91/'Price History'!G90-1),"")</f>
        <v>-5.3416890480453616E-2</v>
      </c>
      <c r="H90" s="76">
        <f>IFERROR(IF(OR(NOT(ISNUMBER('Price History'!H91)),NOT(ISNUMBER('Price History'!H90)),'Price History'!H90=0),"",'Price History'!H91/'Price History'!H90-1),"")</f>
        <v>-1.0783608914450071E-2</v>
      </c>
      <c r="I90" s="76">
        <f>IFERROR(IF(OR(NOT(ISNUMBER('Price History'!I91)),NOT(ISNUMBER('Price History'!I90)),'Price History'!I90=0),"",'Price History'!I91/'Price History'!I90-1),"")</f>
        <v>-8.5098710898765084E-2</v>
      </c>
      <c r="J90" s="76">
        <f>IFERROR(IF(OR(NOT(ISNUMBER('Price History'!J91)),NOT(ISNUMBER('Price History'!J90)),'Price History'!J90=0),"",'Price History'!J91/'Price History'!J90-1),"")</f>
        <v>6.0999688246908379E-2</v>
      </c>
      <c r="K90" s="76">
        <f>IFERROR(IF(OR(NOT(ISNUMBER('Price History'!K91)),NOT(ISNUMBER('Price History'!K90)),'Price History'!K90=0),"",'Price History'!K91/'Price History'!K90-1),"")</f>
        <v>5.9062676453980778E-2</v>
      </c>
      <c r="L90" s="76">
        <f>IFERROR(IF(OR(NOT(ISNUMBER('Price History'!L91)),NOT(ISNUMBER('Price History'!L90)),'Price History'!L90=0),"",'Price History'!L91/'Price History'!L90-1),"")</f>
        <v>-3.3995416348357566E-2</v>
      </c>
      <c r="M90" s="76">
        <f>IFERROR(IF(OR(NOT(ISNUMBER('Price History'!M91)),NOT(ISNUMBER('Price History'!M90)),'Price History'!M90=0),"",'Price History'!M91/'Price History'!M90-1),"")</f>
        <v>5.1716707369630743E-2</v>
      </c>
      <c r="N90" s="76">
        <f>IFERROR(IF(OR(NOT(ISNUMBER('Price History'!N91)),NOT(ISNUMBER('Price History'!N90)),'Price History'!N90=0),"",'Price History'!N91/'Price History'!N90-1),"")</f>
        <v>1.0078063690058148E-2</v>
      </c>
      <c r="O90" s="76">
        <f>IFERROR(IF(OR(NOT(ISNUMBER('Price History'!O91)),NOT(ISNUMBER('Price History'!O90)),'Price History'!O90=0),"",'Price History'!O91/'Price History'!O90-1),"")</f>
        <v>1.8612306913142529E-2</v>
      </c>
      <c r="P90" s="76" t="str">
        <f>IFERROR(IF(OR(NOT(ISNUMBER('Price History'!P91)),NOT(ISNUMBER('Price History'!P90)),'Price History'!P90=0),"",'Price History'!P91/'Price History'!P90-1),"")</f>
        <v/>
      </c>
      <c r="Q90" s="76">
        <f>IFERROR(IF(OR(NOT(ISNUMBER('Price History'!Q91)),NOT(ISNUMBER('Price History'!Q90)),'Price History'!Q90=0),"",'Price History'!Q91/'Price History'!Q90-1),"")</f>
        <v>9.6342259960808807E-3</v>
      </c>
      <c r="R90" s="76">
        <f>IFERROR(IF(OR(NOT(ISNUMBER('Price History'!R91)),NOT(ISNUMBER('Price History'!R90)),'Price History'!R90=0),"",'Price History'!R91/'Price History'!R90-1),"")</f>
        <v>-1.614856681469512E-2</v>
      </c>
      <c r="S90" s="76">
        <f>IFERROR(IF(OR(NOT(ISNUMBER('Price History'!S91)),NOT(ISNUMBER('Price History'!S90)),'Price History'!S90=0),"",'Price History'!S91/'Price History'!S90-1),"")</f>
        <v>-1.7368069472277758E-2</v>
      </c>
      <c r="T90" s="76">
        <f>IFERROR(IF(OR(NOT(ISNUMBER('Price History'!T91)),NOT(ISNUMBER('Price History'!T90)),'Price History'!T90=0),"",'Price History'!T91/'Price History'!T90-1),"")</f>
        <v>6.9708491761724112E-3</v>
      </c>
      <c r="U90" s="76" t="str">
        <f>IFERROR(IF(OR(NOT(ISNUMBER('Price History'!U91)),NOT(ISNUMBER('Price History'!U90)),'Price History'!U90=0),"",'Price History'!U91/'Price History'!U90-1),"")</f>
        <v/>
      </c>
      <c r="W90" s="77">
        <f>'Price History'!B3+('Price History'!B158-'Price History'!B3)*0.564935064935065</f>
        <v>362.67415584415585</v>
      </c>
      <c r="X90" s="77">
        <f>'Price History'!C3+('Price History'!C158-'Price History'!C3)*0.564935064935065</f>
        <v>120.91577922077923</v>
      </c>
      <c r="Y90" s="77">
        <f>'Price History'!D3+('Price History'!D158-'Price History'!D3)*0.564935064935065</f>
        <v>1208.1964935064934</v>
      </c>
      <c r="Z90" s="77">
        <f>'Price History'!E3+('Price History'!E158-'Price History'!E3)*0.564935064935065</f>
        <v>256.01961038961036</v>
      </c>
      <c r="AA90" s="77">
        <f>'Price History'!F3+('Price History'!F158-'Price History'!F3)*0.564935064935065</f>
        <v>123.947012987013</v>
      </c>
      <c r="AB90" s="77">
        <f>'Price History'!G3+('Price History'!G158-'Price History'!G3)*0.564935064935065</f>
        <v>124.12103896103895</v>
      </c>
      <c r="AC90" s="77">
        <f>'Price History'!H3+('Price History'!H158-'Price History'!H3)*0.564935064935065</f>
        <v>492.96363636363634</v>
      </c>
      <c r="AD90" s="77">
        <f>'Price History'!I3+('Price History'!I158-'Price History'!I3)*0.564935064935065</f>
        <v>131.1831168831169</v>
      </c>
      <c r="AE90" s="77">
        <f>'Price History'!J3+('Price History'!J158-'Price History'!J3)*0.564935064935065</f>
        <v>135.43012987012989</v>
      </c>
      <c r="AF90" s="77">
        <f>'Price History'!K3+('Price History'!K158-'Price History'!K3)*0.564935064935065</f>
        <v>76.225259740259744</v>
      </c>
      <c r="AG90" s="77">
        <f>'Price History'!L3+('Price History'!L158-'Price History'!L3)*0.564935064935065</f>
        <v>268.39662337662338</v>
      </c>
      <c r="AH90" s="77">
        <f>'Price History'!M3+('Price History'!M158-'Price History'!M3)*0.564935064935065</f>
        <v>151.0503896103896</v>
      </c>
      <c r="AI90" s="77">
        <f>'Price History'!N3+('Price History'!N158-'Price History'!N3)*0.564935064935065</f>
        <v>421.74233766233772</v>
      </c>
      <c r="AJ90" s="77">
        <f>'Price History'!O3+('Price History'!O158-'Price History'!O3)*0.564935064935065</f>
        <v>106.8201948051948</v>
      </c>
      <c r="AK90" s="77">
        <f>'Price History'!Q3+('Price History'!Q151-'Price History'!Q3)*0.564935064935065</f>
        <v>60.35344155844156</v>
      </c>
      <c r="AL90" s="77">
        <f>'Price History'!R3+('Price History'!R158-'Price History'!R3)*0.564935064935065</f>
        <v>53.712272727272726</v>
      </c>
      <c r="AM90" s="77">
        <f>'Price History'!S3+('Price History'!S158-'Price History'!S3)*0.564935064935065</f>
        <v>106.7233116883117</v>
      </c>
      <c r="AN90" s="77">
        <f>'Price History'!T3+('Price History'!T158-'Price History'!T3)*0.564935064935065</f>
        <v>39.807467532467534</v>
      </c>
    </row>
    <row r="91" spans="1:40" ht="15" customHeight="1" x14ac:dyDescent="0.2">
      <c r="A91" s="55">
        <f>IF('Price History'!A92="","",'Price History'!A92)</f>
        <v>45772</v>
      </c>
      <c r="B91" s="76">
        <f>IFERROR(IF(OR(NOT(ISNUMBER('Price History'!B92)),NOT(ISNUMBER('Price History'!B91)),'Price History'!B91=0),"",'Price History'!B92/'Price History'!B91-1),"")</f>
        <v>5.4243119266055073E-2</v>
      </c>
      <c r="C91" s="76">
        <f>IFERROR(IF(OR(NOT(ISNUMBER('Price History'!C92)),NOT(ISNUMBER('Price History'!C91)),'Price History'!C91=0),"",'Price History'!C92/'Price History'!C91-1),"")</f>
        <v>9.4241573033707837E-2</v>
      </c>
      <c r="D91" s="76">
        <f>IFERROR(IF(OR(NOT(ISNUMBER('Price History'!D92)),NOT(ISNUMBER('Price History'!D91)),'Price History'!D91=0),"",'Price History'!D92/'Price History'!D91-1),"")</f>
        <v>5.7969882529367744E-2</v>
      </c>
      <c r="E91" s="76">
        <f>IFERROR(IF(OR(NOT(ISNUMBER('Price History'!E92)),NOT(ISNUMBER('Price History'!E91)),'Price History'!E91=0),"",'Price History'!E92/'Price History'!E91-1),"")</f>
        <v>0.12468565413182042</v>
      </c>
      <c r="F91" s="76">
        <f>IFERROR(IF(OR(NOT(ISNUMBER('Price History'!F92)),NOT(ISNUMBER('Price History'!F91)),'Price History'!F91=0),"",'Price History'!F92/'Price History'!F91-1),"")</f>
        <v>0.13108295176232576</v>
      </c>
      <c r="G91" s="76">
        <f>IFERROR(IF(OR(NOT(ISNUMBER('Price History'!G92)),NOT(ISNUMBER('Price History'!G91)),'Price History'!G91=0),"",'Price History'!G92/'Price History'!G91-1),"")</f>
        <v>9.4892812105926705E-2</v>
      </c>
      <c r="H91" s="76">
        <f>IFERROR(IF(OR(NOT(ISNUMBER('Price History'!H92)),NOT(ISNUMBER('Price History'!H91)),'Price History'!H91=0),"",'Price History'!H92/'Price History'!H91-1),"")</f>
        <v>0.15959302325581404</v>
      </c>
      <c r="I91" s="76">
        <f>IFERROR(IF(OR(NOT(ISNUMBER('Price History'!I92)),NOT(ISNUMBER('Price History'!I91)),'Price History'!I91=0),"",'Price History'!I92/'Price History'!I91-1),"")</f>
        <v>9.3802345058626502E-2</v>
      </c>
      <c r="J91" s="76">
        <f>IFERROR(IF(OR(NOT(ISNUMBER('Price History'!J92)),NOT(ISNUMBER('Price History'!J91)),'Price History'!J91=0),"",'Price History'!J92/'Price History'!J91-1),"")</f>
        <v>1.3712047012732764E-3</v>
      </c>
      <c r="K91" s="76">
        <f>IFERROR(IF(OR(NOT(ISNUMBER('Price History'!K92)),NOT(ISNUMBER('Price History'!K91)),'Price History'!K91=0),"",'Price History'!K92/'Price History'!K91-1),"")</f>
        <v>0.20260183407976107</v>
      </c>
      <c r="L91" s="76">
        <f>IFERROR(IF(OR(NOT(ISNUMBER('Price History'!L92)),NOT(ISNUMBER('Price History'!L91)),'Price History'!L91=0),"",'Price History'!L92/'Price History'!L91-1),"")</f>
        <v>8.804534071437975E-2</v>
      </c>
      <c r="M91" s="76">
        <f>IFERROR(IF(OR(NOT(ISNUMBER('Price History'!M92)),NOT(ISNUMBER('Price History'!M91)),'Price History'!M91=0),"",'Price History'!M92/'Price History'!M91-1),"")</f>
        <v>0.18767927878705115</v>
      </c>
      <c r="N91" s="76">
        <f>IFERROR(IF(OR(NOT(ISNUMBER('Price History'!N92)),NOT(ISNUMBER('Price History'!N91)),'Price History'!N91=0),"",'Price History'!N92/'Price History'!N91-1),"")</f>
        <v>9.6912696790021347E-3</v>
      </c>
      <c r="O91" s="76">
        <f>IFERROR(IF(OR(NOT(ISNUMBER('Price History'!O92)),NOT(ISNUMBER('Price History'!O91)),'Price History'!O91=0),"",'Price History'!O92/'Price History'!O91-1),"")</f>
        <v>2.80919825978867E-2</v>
      </c>
      <c r="P91" s="76" t="str">
        <f>IFERROR(IF(OR(NOT(ISNUMBER('Price History'!P92)),NOT(ISNUMBER('Price History'!P91)),'Price History'!P91=0),"",'Price History'!P92/'Price History'!P91-1),"")</f>
        <v/>
      </c>
      <c r="Q91" s="76">
        <f>IFERROR(IF(OR(NOT(ISNUMBER('Price History'!Q92)),NOT(ISNUMBER('Price History'!Q91)),'Price History'!Q91=0),"",'Price History'!Q92/'Price History'!Q91-1),"")</f>
        <v>-1.6173378618788981E-4</v>
      </c>
      <c r="R91" s="76">
        <f>IFERROR(IF(OR(NOT(ISNUMBER('Price History'!R92)),NOT(ISNUMBER('Price History'!R91)),'Price History'!R91=0),"",'Price History'!R92/'Price History'!R91-1),"")</f>
        <v>4.8215018465326276E-2</v>
      </c>
      <c r="S91" s="76">
        <f>IFERROR(IF(OR(NOT(ISNUMBER('Price History'!S92)),NOT(ISNUMBER('Price History'!S91)),'Price History'!S91=0),"",'Price History'!S92/'Price History'!S91-1),"")</f>
        <v>6.5261726716519197E-2</v>
      </c>
      <c r="T91" s="76">
        <f>IFERROR(IF(OR(NOT(ISNUMBER('Price History'!T92)),NOT(ISNUMBER('Price History'!T91)),'Price History'!T91=0),"",'Price History'!T92/'Price History'!T91-1),"")</f>
        <v>3.3039647577092435E-2</v>
      </c>
      <c r="U91" s="76" t="str">
        <f>IFERROR(IF(OR(NOT(ISNUMBER('Price History'!U92)),NOT(ISNUMBER('Price History'!U91)),'Price History'!U91=0),"",'Price History'!U92/'Price History'!U91-1),"")</f>
        <v/>
      </c>
      <c r="W91" s="77">
        <f>'Price History'!B3+('Price History'!B158-'Price History'!B3)*0.571428571428571</f>
        <v>360.99857142857155</v>
      </c>
      <c r="X91" s="77">
        <f>'Price History'!C3+('Price History'!C158-'Price History'!C3)*0.571428571428571</f>
        <v>121.80285714285708</v>
      </c>
      <c r="Y91" s="77">
        <f>'Price History'!D3+('Price History'!D158-'Price History'!D3)*0.571428571428571</f>
        <v>1214.4771428571426</v>
      </c>
      <c r="Z91" s="77">
        <f>'Price History'!E3+('Price History'!E158-'Price History'!E3)*0.571428571428571</f>
        <v>258.00857142857126</v>
      </c>
      <c r="AA91" s="77">
        <f>'Price History'!F3+('Price History'!F158-'Price History'!F3)*0.571428571428571</f>
        <v>124.94571428571422</v>
      </c>
      <c r="AB91" s="77">
        <f>'Price History'!G3+('Price History'!G158-'Price History'!G3)*0.571428571428571</f>
        <v>124.99714285714279</v>
      </c>
      <c r="AC91" s="77">
        <f>'Price History'!H3+('Price History'!H158-'Price History'!H3)*0.571428571428571</f>
        <v>497.88999999999965</v>
      </c>
      <c r="AD91" s="77">
        <f>'Price History'!I3+('Price History'!I158-'Price History'!I3)*0.571428571428571</f>
        <v>132.2214285714285</v>
      </c>
      <c r="AE91" s="77">
        <f>'Price History'!J3+('Price History'!J158-'Price History'!J3)*0.571428571428571</f>
        <v>135.56714285714287</v>
      </c>
      <c r="AF91" s="77">
        <f>'Price History'!K3+('Price History'!K158-'Price History'!K3)*0.571428571428571</f>
        <v>76.924285714285674</v>
      </c>
      <c r="AG91" s="77">
        <f>'Price History'!L3+('Price History'!L158-'Price History'!L3)*0.571428571428571</f>
        <v>270.42428571428553</v>
      </c>
      <c r="AH91" s="77">
        <f>'Price History'!M3+('Price History'!M158-'Price History'!M3)*0.571428571428571</f>
        <v>152.40142857142848</v>
      </c>
      <c r="AI91" s="77">
        <f>'Price History'!N3+('Price History'!N158-'Price History'!N3)*0.571428571428571</f>
        <v>422.56857142857137</v>
      </c>
      <c r="AJ91" s="77">
        <f>'Price History'!O3+('Price History'!O158-'Price History'!O3)*0.571428571428571</f>
        <v>107.09571428571427</v>
      </c>
      <c r="AK91" s="77">
        <f>'Price History'!Q3+('Price History'!Q151-'Price History'!Q3)*0.571428571428571</f>
        <v>60.474285714285706</v>
      </c>
      <c r="AL91" s="77">
        <f>'Price History'!R3+('Price History'!R158-'Price History'!R3)*0.571428571428571</f>
        <v>53.779999999999994</v>
      </c>
      <c r="AM91" s="77">
        <f>'Price History'!S3+('Price History'!S158-'Price History'!S3)*0.571428571428571</f>
        <v>107.27714285714282</v>
      </c>
      <c r="AN91" s="77">
        <f>'Price History'!T3+('Price History'!T158-'Price History'!T3)*0.571428571428571</f>
        <v>39.955714285714279</v>
      </c>
    </row>
    <row r="92" spans="1:40" ht="15" customHeight="1" x14ac:dyDescent="0.2">
      <c r="A92" s="55">
        <f>IF('Price History'!A93="","",'Price History'!A93)</f>
        <v>45779</v>
      </c>
      <c r="B92" s="76">
        <f>IFERROR(IF(OR(NOT(ISNUMBER('Price History'!B93)),NOT(ISNUMBER('Price History'!B92)),'Price History'!B92=0),"",'Price History'!B93/'Price History'!B92-1),"")</f>
        <v>3.5760905036440693E-2</v>
      </c>
      <c r="C92" s="76">
        <f>IFERROR(IF(OR(NOT(ISNUMBER('Price History'!C93)),NOT(ISNUMBER('Price History'!C92)),'Price History'!C92=0),"",'Price History'!C93/'Price History'!C92-1),"")</f>
        <v>0.16827108201771268</v>
      </c>
      <c r="D92" s="76">
        <f>IFERROR(IF(OR(NOT(ISNUMBER('Price History'!D93)),NOT(ISNUMBER('Price History'!D92)),'Price History'!D92=0),"",'Price History'!D93/'Price History'!D92-1),"")</f>
        <v>1.9283299127379028E-2</v>
      </c>
      <c r="E92" s="76">
        <f>IFERROR(IF(OR(NOT(ISNUMBER('Price History'!E93)),NOT(ISNUMBER('Price History'!E92)),'Price History'!E92=0),"",'Price History'!E93/'Price History'!E92-1),"")</f>
        <v>5.8915293016483794E-2</v>
      </c>
      <c r="F92" s="76">
        <f>IFERROR(IF(OR(NOT(ISNUMBER('Price History'!F93)),NOT(ISNUMBER('Price History'!F92)),'Price History'!F92=0),"",'Price History'!F93/'Price History'!F92-1),"")</f>
        <v>3.699868198079459E-2</v>
      </c>
      <c r="G92" s="76">
        <f>IFERROR(IF(OR(NOT(ISNUMBER('Price History'!G93)),NOT(ISNUMBER('Price History'!G92)),'Price History'!G92=0),"",'Price History'!G93/'Price History'!G92-1),"")</f>
        <v>5.1828390440540328E-3</v>
      </c>
      <c r="H92" s="76">
        <f>IFERROR(IF(OR(NOT(ISNUMBER('Price History'!H93)),NOT(ISNUMBER('Price History'!H92)),'Price History'!H92=0),"",'Price History'!H93/'Price History'!H92-1),"")</f>
        <v>1.1782401604412129E-2</v>
      </c>
      <c r="I92" s="76">
        <f>IFERROR(IF(OR(NOT(ISNUMBER('Price History'!I93)),NOT(ISNUMBER('Price History'!I92)),'Price History'!I92=0),"",'Price History'!I93/'Price History'!I92-1),"")</f>
        <v>3.1438609134312179E-2</v>
      </c>
      <c r="J92" s="76">
        <f>IFERROR(IF(OR(NOT(ISNUMBER('Price History'!J93)),NOT(ISNUMBER('Price History'!J92)),'Price History'!J92=0),"",'Price History'!J93/'Price History'!J92-1),"")</f>
        <v>3.1005477308294171E-2</v>
      </c>
      <c r="K92" s="76">
        <f>IFERROR(IF(OR(NOT(ISNUMBER('Price History'!K93)),NOT(ISNUMBER('Price History'!K92)),'Price History'!K92=0),"",'Price History'!K93/'Price History'!K92-1),"")</f>
        <v>0.10196843411952483</v>
      </c>
      <c r="L92" s="76">
        <f>IFERROR(IF(OR(NOT(ISNUMBER('Price History'!L93)),NOT(ISNUMBER('Price History'!L92)),'Price History'!L92=0),"",'Price History'!L93/'Price History'!L92-1),"")</f>
        <v>8.5887341005451256E-2</v>
      </c>
      <c r="M92" s="76">
        <f>IFERROR(IF(OR(NOT(ISNUMBER('Price History'!M93)),NOT(ISNUMBER('Price History'!M92)),'Price History'!M92=0),"",'Price History'!M93/'Price History'!M92-1),"")</f>
        <v>9.2581943645773324E-2</v>
      </c>
      <c r="N92" s="76">
        <f>IFERROR(IF(OR(NOT(ISNUMBER('Price History'!N93)),NOT(ISNUMBER('Price History'!N92)),'Price History'!N92=0),"",'Price History'!N93/'Price History'!N92-1),"")</f>
        <v>1.4802365138506302E-2</v>
      </c>
      <c r="O92" s="76">
        <f>IFERROR(IF(OR(NOT(ISNUMBER('Price History'!O93)),NOT(ISNUMBER('Price History'!O92)),'Price History'!O92=0),"",'Price History'!O93/'Price History'!O92-1),"")</f>
        <v>3.3974126465965426E-2</v>
      </c>
      <c r="P92" s="76" t="str">
        <f>IFERROR(IF(OR(NOT(ISNUMBER('Price History'!P93)),NOT(ISNUMBER('Price History'!P92)),'Price History'!P92=0),"",'Price History'!P93/'Price History'!P92-1),"")</f>
        <v/>
      </c>
      <c r="Q92" s="76">
        <f>IFERROR(IF(OR(NOT(ISNUMBER('Price History'!Q93)),NOT(ISNUMBER('Price History'!Q92)),'Price History'!Q92=0),"",'Price History'!Q93/'Price History'!Q92-1),"")</f>
        <v>8.0879974118408526E-4</v>
      </c>
      <c r="R92" s="76">
        <f>IFERROR(IF(OR(NOT(ISNUMBER('Price History'!R93)),NOT(ISNUMBER('Price History'!R92)),'Price History'!R92=0),"",'Price History'!R93/'Price History'!R92-1),"")</f>
        <v>7.8293208064199593E-3</v>
      </c>
      <c r="S92" s="76">
        <f>IFERROR(IF(OR(NOT(ISNUMBER('Price History'!S93)),NOT(ISNUMBER('Price History'!S92)),'Price History'!S92=0),"",'Price History'!S93/'Price History'!S92-1),"")</f>
        <v>4.0204211869814932E-2</v>
      </c>
      <c r="T92" s="76">
        <f>IFERROR(IF(OR(NOT(ISNUMBER('Price History'!T93)),NOT(ISNUMBER('Price History'!T92)),'Price History'!T92=0),"",'Price History'!T93/'Price History'!T92-1),"")</f>
        <v>1.9189765458422325E-2</v>
      </c>
      <c r="U92" s="76" t="str">
        <f>IFERROR(IF(OR(NOT(ISNUMBER('Price History'!U93)),NOT(ISNUMBER('Price History'!U92)),'Price History'!U92=0),"",'Price History'!U93/'Price History'!U92-1),"")</f>
        <v/>
      </c>
      <c r="W92" s="77">
        <f>'Price History'!B3+('Price History'!B158-'Price History'!B3)*0.577922077922078</f>
        <v>359.32298701298703</v>
      </c>
      <c r="X92" s="77">
        <f>'Price History'!C3+('Price History'!C158-'Price History'!C3)*0.577922077922078</f>
        <v>122.68993506493507</v>
      </c>
      <c r="Y92" s="77">
        <f>'Price History'!D3+('Price History'!D158-'Price History'!D3)*0.577922077922078</f>
        <v>1220.7577922077921</v>
      </c>
      <c r="Z92" s="77">
        <f>'Price History'!E3+('Price History'!E158-'Price History'!E3)*0.577922077922078</f>
        <v>259.99753246753244</v>
      </c>
      <c r="AA92" s="77">
        <f>'Price History'!F3+('Price History'!F158-'Price History'!F3)*0.577922077922078</f>
        <v>125.94441558441559</v>
      </c>
      <c r="AB92" s="77">
        <f>'Price History'!G3+('Price History'!G158-'Price History'!G3)*0.577922077922078</f>
        <v>125.87324675324675</v>
      </c>
      <c r="AC92" s="77">
        <f>'Price History'!H3+('Price History'!H158-'Price History'!H3)*0.577922077922078</f>
        <v>502.81636363636363</v>
      </c>
      <c r="AD92" s="77">
        <f>'Price History'!I3+('Price History'!I158-'Price History'!I3)*0.577922077922078</f>
        <v>133.25974025974025</v>
      </c>
      <c r="AE92" s="77">
        <f>'Price History'!J3+('Price History'!J158-'Price History'!J3)*0.577922077922078</f>
        <v>135.70415584415585</v>
      </c>
      <c r="AF92" s="77">
        <f>'Price History'!K3+('Price History'!K158-'Price History'!K3)*0.577922077922078</f>
        <v>77.623311688311688</v>
      </c>
      <c r="AG92" s="77">
        <f>'Price History'!L3+('Price History'!L158-'Price History'!L3)*0.577922077922078</f>
        <v>272.45194805194802</v>
      </c>
      <c r="AH92" s="77">
        <f>'Price History'!M3+('Price History'!M158-'Price History'!M3)*0.577922077922078</f>
        <v>153.75246753246753</v>
      </c>
      <c r="AI92" s="77">
        <f>'Price History'!N3+('Price History'!N158-'Price History'!N3)*0.577922077922078</f>
        <v>423.3948051948052</v>
      </c>
      <c r="AJ92" s="77">
        <f>'Price History'!O3+('Price History'!O158-'Price History'!O3)*0.577922077922078</f>
        <v>107.37123376623376</v>
      </c>
      <c r="AK92" s="77">
        <f>'Price History'!Q3+('Price History'!Q151-'Price History'!Q3)*0.577922077922078</f>
        <v>60.595129870129874</v>
      </c>
      <c r="AL92" s="77">
        <f>'Price History'!R3+('Price History'!R158-'Price History'!R3)*0.577922077922078</f>
        <v>53.847727272727276</v>
      </c>
      <c r="AM92" s="77">
        <f>'Price History'!S3+('Price History'!S158-'Price History'!S3)*0.577922077922078</f>
        <v>107.83097402597403</v>
      </c>
      <c r="AN92" s="77">
        <f>'Price History'!T3+('Price History'!T158-'Price History'!T3)*0.577922077922078</f>
        <v>40.103961038961039</v>
      </c>
    </row>
    <row r="93" spans="1:40" ht="15" customHeight="1" x14ac:dyDescent="0.2">
      <c r="A93" s="55">
        <f>IF('Price History'!A94="","",'Price History'!A94)</f>
        <v>45786</v>
      </c>
      <c r="B93" s="76">
        <f>IFERROR(IF(OR(NOT(ISNUMBER('Price History'!B94)),NOT(ISNUMBER('Price History'!B93)),'Price History'!B93=0),"",'Price History'!B94/'Price History'!B93-1),"")</f>
        <v>6.3276183474676451E-3</v>
      </c>
      <c r="C93" s="76">
        <f>IFERROR(IF(OR(NOT(ISNUMBER('Price History'!C94)),NOT(ISNUMBER('Price History'!C93)),'Price History'!C93=0),"",'Price History'!C94/'Price History'!C93-1),"")</f>
        <v>-4.9439683586025018E-2</v>
      </c>
      <c r="D93" s="76">
        <f>IFERROR(IF(OR(NOT(ISNUMBER('Price History'!D94)),NOT(ISNUMBER('Price History'!D93)),'Price History'!D93=0),"",'Price History'!D94/'Price History'!D93-1),"")</f>
        <v>2.3003491083974259E-2</v>
      </c>
      <c r="E93" s="76">
        <f>IFERROR(IF(OR(NOT(ISNUMBER('Price History'!E94)),NOT(ISNUMBER('Price History'!E93)),'Price History'!E93=0),"",'Price History'!E94/'Price History'!E93-1),"")</f>
        <v>2.2392457277548683E-2</v>
      </c>
      <c r="F93" s="76">
        <f>IFERROR(IF(OR(NOT(ISNUMBER('Price History'!F94)),NOT(ISNUMBER('Price History'!F93)),'Price History'!F93=0),"",'Price History'!F94/'Price History'!F93-1),"")</f>
        <v>-6.8179754879709509E-2</v>
      </c>
      <c r="G93" s="76">
        <f>IFERROR(IF(OR(NOT(ISNUMBER('Price History'!G94)),NOT(ISNUMBER('Price History'!G93)),'Price History'!G93=0),"",'Price History'!G94/'Price History'!G93-1),"")</f>
        <v>4.2967631051276101E-3</v>
      </c>
      <c r="H93" s="76">
        <f>IFERROR(IF(OR(NOT(ISNUMBER('Price History'!H94)),NOT(ISNUMBER('Price History'!H93)),'Price History'!H93=0),"",'Price History'!H94/'Price History'!H93-1),"")</f>
        <v>6.3676907829534279E-2</v>
      </c>
      <c r="I93" s="76">
        <f>IFERROR(IF(OR(NOT(ISNUMBER('Price History'!I94)),NOT(ISNUMBER('Price History'!I93)),'Price History'!I93=0),"",'Price History'!I94/'Price History'!I93-1),"")</f>
        <v>1.8777292576419358E-2</v>
      </c>
      <c r="J93" s="76">
        <f>IFERROR(IF(OR(NOT(ISNUMBER('Price History'!J94)),NOT(ISNUMBER('Price History'!J93)),'Price History'!J93=0),"",'Price History'!J94/'Price History'!J93-1),"")</f>
        <v>1.4230148942225629E-2</v>
      </c>
      <c r="K93" s="76">
        <f>IFERROR(IF(OR(NOT(ISNUMBER('Price History'!K94)),NOT(ISNUMBER('Price History'!K93)),'Price History'!K93=0),"",'Price History'!K94/'Price History'!K93-1),"")</f>
        <v>-5.6163501770196356E-2</v>
      </c>
      <c r="L93" s="76">
        <f>IFERROR(IF(OR(NOT(ISNUMBER('Price History'!L94)),NOT(ISNUMBER('Price History'!L93)),'Price History'!L93=0),"",'Price History'!L94/'Price History'!L93-1),"")</f>
        <v>-1.53949129852744E-2</v>
      </c>
      <c r="M93" s="76">
        <f>IFERROR(IF(OR(NOT(ISNUMBER('Price History'!M94)),NOT(ISNUMBER('Price History'!M93)),'Price History'!M93=0),"",'Price History'!M94/'Price History'!M93-1),"")</f>
        <v>-9.8947368421052895E-3</v>
      </c>
      <c r="N93" s="76">
        <f>IFERROR(IF(OR(NOT(ISNUMBER('Price History'!N94)),NOT(ISNUMBER('Price History'!N93)),'Price History'!N93=0),"",'Price History'!N94/'Price History'!N93-1),"")</f>
        <v>-0.15197046792377522</v>
      </c>
      <c r="O93" s="76">
        <f>IFERROR(IF(OR(NOT(ISNUMBER('Price History'!O94)),NOT(ISNUMBER('Price History'!O93)),'Price History'!O93=0),"",'Price History'!O94/'Price History'!O93-1),"")</f>
        <v>1.1576239476146055E-2</v>
      </c>
      <c r="P93" s="76" t="str">
        <f>IFERROR(IF(OR(NOT(ISNUMBER('Price History'!P94)),NOT(ISNUMBER('Price History'!P93)),'Price History'!P93=0),"",'Price History'!P94/'Price History'!P93-1),"")</f>
        <v/>
      </c>
      <c r="Q93" s="76">
        <f>IFERROR(IF(OR(NOT(ISNUMBER('Price History'!Q94)),NOT(ISNUMBER('Price History'!Q93)),'Price History'!Q93=0),"",'Price History'!Q94/'Price History'!Q93-1),"")</f>
        <v>1.0829157911750542E-2</v>
      </c>
      <c r="R93" s="76">
        <f>IFERROR(IF(OR(NOT(ISNUMBER('Price History'!R94)),NOT(ISNUMBER('Price History'!R93)),'Price History'!R93=0),"",'Price History'!R94/'Price History'!R93-1),"")</f>
        <v>2.7189745581666092E-3</v>
      </c>
      <c r="S93" s="76">
        <f>IFERROR(IF(OR(NOT(ISNUMBER('Price History'!S94)),NOT(ISNUMBER('Price History'!S93)),'Price History'!S93=0),"",'Price History'!S94/'Price History'!S93-1),"")</f>
        <v>6.952965235173858E-3</v>
      </c>
      <c r="T93" s="76">
        <f>IFERROR(IF(OR(NOT(ISNUMBER('Price History'!T94)),NOT(ISNUMBER('Price History'!T93)),'Price History'!T93=0),"",'Price History'!T94/'Price History'!T93-1),"")</f>
        <v>-1.7931858936043321E-3</v>
      </c>
      <c r="U93" s="76" t="str">
        <f>IFERROR(IF(OR(NOT(ISNUMBER('Price History'!U94)),NOT(ISNUMBER('Price History'!U93)),'Price History'!U93=0),"",'Price History'!U94/'Price History'!U93-1),"")</f>
        <v/>
      </c>
      <c r="W93" s="77">
        <f>'Price History'!B3+('Price History'!B158-'Price History'!B3)*0.584415584415584</f>
        <v>357.64740259740267</v>
      </c>
      <c r="X93" s="77">
        <f>'Price History'!C3+('Price History'!C158-'Price History'!C3)*0.584415584415584</f>
        <v>123.57701298701292</v>
      </c>
      <c r="Y93" s="77">
        <f>'Price History'!D3+('Price History'!D158-'Price History'!D3)*0.584415584415584</f>
        <v>1227.0384415584413</v>
      </c>
      <c r="Z93" s="77">
        <f>'Price History'!E3+('Price History'!E158-'Price History'!E3)*0.584415584415584</f>
        <v>261.98649350649339</v>
      </c>
      <c r="AA93" s="77">
        <f>'Price History'!F3+('Price History'!F158-'Price History'!F3)*0.584415584415584</f>
        <v>126.94311688311684</v>
      </c>
      <c r="AB93" s="77">
        <f>'Price History'!G3+('Price History'!G158-'Price History'!G3)*0.584415584415584</f>
        <v>126.74935064935059</v>
      </c>
      <c r="AC93" s="77">
        <f>'Price History'!H3+('Price History'!H158-'Price History'!H3)*0.584415584415584</f>
        <v>507.742727272727</v>
      </c>
      <c r="AD93" s="77">
        <f>'Price History'!I3+('Price History'!I158-'Price History'!I3)*0.584415584415584</f>
        <v>134.29805194805189</v>
      </c>
      <c r="AE93" s="77">
        <f>'Price History'!J3+('Price History'!J158-'Price History'!J3)*0.584415584415584</f>
        <v>135.84116883116883</v>
      </c>
      <c r="AF93" s="77">
        <f>'Price History'!K3+('Price History'!K158-'Price History'!K3)*0.584415584415584</f>
        <v>78.322337662337631</v>
      </c>
      <c r="AG93" s="77">
        <f>'Price History'!L3+('Price History'!L158-'Price History'!L3)*0.584415584415584</f>
        <v>274.47961038961029</v>
      </c>
      <c r="AH93" s="77">
        <f>'Price History'!M3+('Price History'!M158-'Price History'!M3)*0.584415584415584</f>
        <v>155.10350649350642</v>
      </c>
      <c r="AI93" s="77">
        <f>'Price History'!N3+('Price History'!N158-'Price History'!N3)*0.584415584415584</f>
        <v>424.22103896103891</v>
      </c>
      <c r="AJ93" s="77">
        <f>'Price History'!O3+('Price History'!O158-'Price History'!O3)*0.584415584415584</f>
        <v>107.64675324675324</v>
      </c>
      <c r="AK93" s="77">
        <f>'Price History'!Q3+('Price History'!Q151-'Price History'!Q3)*0.584415584415584</f>
        <v>60.71597402597402</v>
      </c>
      <c r="AL93" s="77">
        <f>'Price History'!R3+('Price History'!R158-'Price History'!R3)*0.584415584415584</f>
        <v>53.915454545454544</v>
      </c>
      <c r="AM93" s="77">
        <f>'Price History'!S3+('Price History'!S158-'Price History'!S3)*0.584415584415584</f>
        <v>108.38480519480518</v>
      </c>
      <c r="AN93" s="77">
        <f>'Price History'!T3+('Price History'!T158-'Price History'!T3)*0.584415584415584</f>
        <v>40.252207792207784</v>
      </c>
    </row>
    <row r="94" spans="1:40" ht="15" customHeight="1" x14ac:dyDescent="0.2">
      <c r="A94" s="55">
        <f>IF('Price History'!A95="","",'Price History'!A95)</f>
        <v>45793</v>
      </c>
      <c r="B94" s="76">
        <f>IFERROR(IF(OR(NOT(ISNUMBER('Price History'!B95)),NOT(ISNUMBER('Price History'!B94)),'Price History'!B94=0),"",'Price History'!B95/'Price History'!B94-1),"")</f>
        <v>8.8316635357962969E-2</v>
      </c>
      <c r="C94" s="76">
        <f>IFERROR(IF(OR(NOT(ISNUMBER('Price History'!C95)),NOT(ISNUMBER('Price History'!C94)),'Price History'!C94=0),"",'Price History'!C95/'Price History'!C94-1),"")</f>
        <v>0.11442441054091557</v>
      </c>
      <c r="D94" s="76">
        <f>IFERROR(IF(OR(NOT(ISNUMBER('Price History'!D95)),NOT(ISNUMBER('Price History'!D94)),'Price History'!D94=0),"",'Price History'!D95/'Price History'!D94-1),"")</f>
        <v>5.9316633862448898E-2</v>
      </c>
      <c r="E94" s="76">
        <f>IFERROR(IF(OR(NOT(ISNUMBER('Price History'!E95)),NOT(ISNUMBER('Price History'!E94)),'Price History'!E94=0),"",'Price History'!E95/'Price History'!E94-1),"")</f>
        <v>9.8030739673391043E-2</v>
      </c>
      <c r="F94" s="76">
        <f>IFERROR(IF(OR(NOT(ISNUMBER('Price History'!F95)),NOT(ISNUMBER('Price History'!F94)),'Price History'!F94=0),"",'Price History'!F95/'Price History'!F94-1),"")</f>
        <v>6.9953234606391135E-2</v>
      </c>
      <c r="G94" s="76">
        <f>IFERROR(IF(OR(NOT(ISNUMBER('Price History'!G95)),NOT(ISNUMBER('Price History'!G94)),'Price History'!G94=0),"",'Price History'!G95/'Price History'!G94-1),"")</f>
        <v>0.1283513976041073</v>
      </c>
      <c r="H94" s="76">
        <f>IFERROR(IF(OR(NOT(ISNUMBER('Price History'!H95)),NOT(ISNUMBER('Price History'!H94)),'Price History'!H94=0),"",'Price History'!H95/'Price History'!H94-1),"")</f>
        <v>0.14139296529233647</v>
      </c>
      <c r="I94" s="76">
        <f>IFERROR(IF(OR(NOT(ISNUMBER('Price History'!I95)),NOT(ISNUMBER('Price History'!I94)),'Price History'!I94=0),"",'Price History'!I95/'Price History'!I94-1),"")</f>
        <v>0.16073724817831114</v>
      </c>
      <c r="J94" s="76">
        <f>IFERROR(IF(OR(NOT(ISNUMBER('Price History'!J95)),NOT(ISNUMBER('Price History'!J94)),'Price History'!J94=0),"",'Price History'!J95/'Price History'!J94-1),"")</f>
        <v>3.4047329529510728E-2</v>
      </c>
      <c r="K94" s="76">
        <f>IFERROR(IF(OR(NOT(ISNUMBER('Price History'!K95)),NOT(ISNUMBER('Price History'!K94)),'Price History'!K94=0),"",'Price History'!K95/'Price History'!K94-1),"")</f>
        <v>0.10417732310315442</v>
      </c>
      <c r="L94" s="76">
        <f>IFERROR(IF(OR(NOT(ISNUMBER('Price History'!L95)),NOT(ISNUMBER('Price History'!L94)),'Price History'!L94=0),"",'Price History'!L95/'Price History'!L94-1),"")</f>
        <v>0.10027192386131878</v>
      </c>
      <c r="M94" s="76">
        <f>IFERROR(IF(OR(NOT(ISNUMBER('Price History'!M95)),NOT(ISNUMBER('Price History'!M94)),'Price History'!M94=0),"",'Price History'!M95/'Price History'!M94-1),"")</f>
        <v>0.12736551137571772</v>
      </c>
      <c r="N94" s="76">
        <f>IFERROR(IF(OR(NOT(ISNUMBER('Price History'!N95)),NOT(ISNUMBER('Price History'!N94)),'Price History'!N94=0),"",'Price History'!N95/'Price History'!N94-1),"")</f>
        <v>3.2141932751358793E-2</v>
      </c>
      <c r="O94" s="76">
        <f>IFERROR(IF(OR(NOT(ISNUMBER('Price History'!O95)),NOT(ISNUMBER('Price History'!O94)),'Price History'!O94=0),"",'Price History'!O95/'Price History'!O94-1),"")</f>
        <v>4.8896081377875378E-2</v>
      </c>
      <c r="P94" s="76" t="str">
        <f>IFERROR(IF(OR(NOT(ISNUMBER('Price History'!P95)),NOT(ISNUMBER('Price History'!P94)),'Price History'!P94=0),"",'Price History'!P95/'Price History'!P94-1),"")</f>
        <v/>
      </c>
      <c r="Q94" s="76">
        <f>IFERROR(IF(OR(NOT(ISNUMBER('Price History'!Q95)),NOT(ISNUMBER('Price History'!Q94)),'Price History'!Q94=0),"",'Price History'!Q95/'Price History'!Q94-1),"")</f>
        <v>6.5558042852575937E-3</v>
      </c>
      <c r="R94" s="76">
        <f>IFERROR(IF(OR(NOT(ISNUMBER('Price History'!R95)),NOT(ISNUMBER('Price History'!R94)),'Price History'!R94=0),"",'Price History'!R95/'Price History'!R94-1),"")</f>
        <v>1.7238039899283297E-2</v>
      </c>
      <c r="S94" s="76">
        <f>IFERROR(IF(OR(NOT(ISNUMBER('Price History'!S95)),NOT(ISNUMBER('Price History'!S94)),'Price History'!S94=0),"",'Price History'!S95/'Price History'!S94-1),"")</f>
        <v>6.8237205523964173E-2</v>
      </c>
      <c r="T94" s="76">
        <f>IFERROR(IF(OR(NOT(ISNUMBER('Price History'!T95)),NOT(ISNUMBER('Price History'!T94)),'Price History'!T94=0),"",'Price History'!T95/'Price History'!T94-1),"")</f>
        <v>4.3113772455090071E-2</v>
      </c>
      <c r="U94" s="76" t="str">
        <f>IFERROR(IF(OR(NOT(ISNUMBER('Price History'!U95)),NOT(ISNUMBER('Price History'!U94)),'Price History'!U94=0),"",'Price History'!U95/'Price History'!U94-1),"")</f>
        <v/>
      </c>
      <c r="W94" s="77">
        <f>'Price History'!B3+('Price History'!B158-'Price History'!B3)*0.590909090909091</f>
        <v>355.97181818181815</v>
      </c>
      <c r="X94" s="77">
        <f>'Price History'!C3+('Price History'!C158-'Price History'!C3)*0.590909090909091</f>
        <v>124.46409090909091</v>
      </c>
      <c r="Y94" s="77">
        <f>'Price History'!D3+('Price History'!D158-'Price History'!D3)*0.590909090909091</f>
        <v>1233.3190909090911</v>
      </c>
      <c r="Z94" s="77">
        <f>'Price History'!E3+('Price History'!E158-'Price History'!E3)*0.590909090909091</f>
        <v>263.97545454545457</v>
      </c>
      <c r="AA94" s="77">
        <f>'Price History'!F3+('Price History'!F158-'Price History'!F3)*0.590909090909091</f>
        <v>127.94181818181821</v>
      </c>
      <c r="AB94" s="77">
        <f>'Price History'!G3+('Price History'!G158-'Price History'!G3)*0.590909090909091</f>
        <v>127.62545454545455</v>
      </c>
      <c r="AC94" s="77">
        <f>'Price History'!H3+('Price History'!H158-'Price History'!H3)*0.590909090909091</f>
        <v>512.66909090909098</v>
      </c>
      <c r="AD94" s="77">
        <f>'Price History'!I3+('Price History'!I158-'Price History'!I3)*0.590909090909091</f>
        <v>135.33636363636367</v>
      </c>
      <c r="AE94" s="77">
        <f>'Price History'!J3+('Price History'!J158-'Price History'!J3)*0.590909090909091</f>
        <v>135.97818181818184</v>
      </c>
      <c r="AF94" s="77">
        <f>'Price History'!K3+('Price History'!K158-'Price History'!K3)*0.590909090909091</f>
        <v>79.02136363636366</v>
      </c>
      <c r="AG94" s="77">
        <f>'Price History'!L3+('Price History'!L158-'Price History'!L3)*0.590909090909091</f>
        <v>276.50727272727278</v>
      </c>
      <c r="AH94" s="77">
        <f>'Price History'!M3+('Price History'!M158-'Price History'!M3)*0.590909090909091</f>
        <v>156.4545454545455</v>
      </c>
      <c r="AI94" s="77">
        <f>'Price History'!N3+('Price History'!N158-'Price History'!N3)*0.590909090909091</f>
        <v>425.0472727272728</v>
      </c>
      <c r="AJ94" s="77">
        <f>'Price History'!O3+('Price History'!O158-'Price History'!O3)*0.590909090909091</f>
        <v>107.92227272727273</v>
      </c>
      <c r="AK94" s="77">
        <f>'Price History'!Q3+('Price History'!Q151-'Price History'!Q3)*0.590909090909091</f>
        <v>60.836818181818188</v>
      </c>
      <c r="AL94" s="77">
        <f>'Price History'!R3+('Price History'!R158-'Price History'!R3)*0.590909090909091</f>
        <v>53.983181818181819</v>
      </c>
      <c r="AM94" s="77">
        <f>'Price History'!S3+('Price History'!S158-'Price History'!S3)*0.590909090909091</f>
        <v>108.93863636363639</v>
      </c>
      <c r="AN94" s="77">
        <f>'Price History'!T3+('Price History'!T158-'Price History'!T3)*0.590909090909091</f>
        <v>40.400454545454551</v>
      </c>
    </row>
    <row r="95" spans="1:40" ht="15" customHeight="1" x14ac:dyDescent="0.2">
      <c r="A95" s="55">
        <f>IF('Price History'!A96="","",'Price History'!A96)</f>
        <v>45800</v>
      </c>
      <c r="B95" s="76">
        <f>IFERROR(IF(OR(NOT(ISNUMBER('Price History'!B96)),NOT(ISNUMBER('Price History'!B95)),'Price History'!B95=0),"",'Price History'!B96/'Price History'!B95-1),"")</f>
        <v>-2.2630834512022635E-2</v>
      </c>
      <c r="C95" s="76">
        <f>IFERROR(IF(OR(NOT(ISNUMBER('Price History'!C96)),NOT(ISNUMBER('Price History'!C95)),'Price History'!C95=0),"",'Price History'!C96/'Price History'!C95-1),"")</f>
        <v>-5.4138145612943389E-2</v>
      </c>
      <c r="D95" s="76">
        <f>IFERROR(IF(OR(NOT(ISNUMBER('Price History'!D96)),NOT(ISNUMBER('Price History'!D95)),'Price History'!D95=0),"",'Price History'!D96/'Price History'!D95-1),"")</f>
        <v>-2.0866194359042911E-2</v>
      </c>
      <c r="E95" s="76">
        <f>IFERROR(IF(OR(NOT(ISNUMBER('Price History'!E96)),NOT(ISNUMBER('Price History'!E95)),'Price History'!E95=0),"",'Price History'!E96/'Price History'!E95-1),"")</f>
        <v>4.8116880276438678E-4</v>
      </c>
      <c r="F95" s="76">
        <f>IFERROR(IF(OR(NOT(ISNUMBER('Price History'!F96)),NOT(ISNUMBER('Price History'!F95)),'Price History'!F95=0),"",'Price History'!F96/'Price History'!F95-1),"")</f>
        <v>3.7151702786377916E-2</v>
      </c>
      <c r="G95" s="76">
        <f>IFERROR(IF(OR(NOT(ISNUMBER('Price History'!G96)),NOT(ISNUMBER('Price History'!G95)),'Price History'!G95=0),"",'Price History'!G96/'Price History'!G95-1),"")</f>
        <v>-4.2972699696663397E-2</v>
      </c>
      <c r="H95" s="76">
        <f>IFERROR(IF(OR(NOT(ISNUMBER('Price History'!H96)),NOT(ISNUMBER('Price History'!H95)),'Price History'!H95=0),"",'Price History'!H96/'Price History'!H95-1),"")</f>
        <v>-4.7244897959183629E-2</v>
      </c>
      <c r="I95" s="76">
        <f>IFERROR(IF(OR(NOT(ISNUMBER('Price History'!I96)),NOT(ISNUMBER('Price History'!I95)),'Price History'!I95=0),"",'Price History'!I96/'Price History'!I95-1),"")</f>
        <v>-3.0354505169867152E-2</v>
      </c>
      <c r="J95" s="76">
        <f>IFERROR(IF(OR(NOT(ISNUMBER('Price History'!J96)),NOT(ISNUMBER('Price History'!J95)),'Price History'!J95=0),"",'Price History'!J96/'Price History'!J95-1),"")</f>
        <v>-5.8887381275440909E-2</v>
      </c>
      <c r="K95" s="76">
        <f>IFERROR(IF(OR(NOT(ISNUMBER('Price History'!K96)),NOT(ISNUMBER('Price History'!K95)),'Price History'!K95=0),"",'Price History'!K96/'Price History'!K95-1),"")</f>
        <v>-4.7946263125386079E-2</v>
      </c>
      <c r="L95" s="76">
        <f>IFERROR(IF(OR(NOT(ISNUMBER('Price History'!L96)),NOT(ISNUMBER('Price History'!L95)),'Price History'!L95=0),"",'Price History'!L96/'Price History'!L95-1),"")</f>
        <v>-1.1533312738132073E-2</v>
      </c>
      <c r="M95" s="76">
        <f>IFERROR(IF(OR(NOT(ISNUMBER('Price History'!M96)),NOT(ISNUMBER('Price History'!M95)),'Price History'!M95=0),"",'Price History'!M96/'Price History'!M95-1),"")</f>
        <v>-1.791776688042257E-2</v>
      </c>
      <c r="N95" s="76">
        <f>IFERROR(IF(OR(NOT(ISNUMBER('Price History'!N96)),NOT(ISNUMBER('Price History'!N95)),'Price History'!N95=0),"",'Price History'!N96/'Price History'!N95-1),"")</f>
        <v>-6.041262965918115E-3</v>
      </c>
      <c r="O95" s="76">
        <f>IFERROR(IF(OR(NOT(ISNUMBER('Price History'!O96)),NOT(ISNUMBER('Price History'!O95)),'Price History'!O95=0),"",'Price History'!O96/'Price History'!O95-1),"")</f>
        <v>-4.0004408199250552E-2</v>
      </c>
      <c r="P95" s="76" t="str">
        <f>IFERROR(IF(OR(NOT(ISNUMBER('Price History'!P96)),NOT(ISNUMBER('Price History'!P95)),'Price History'!P95=0),"",'Price History'!P96/'Price History'!P95-1),"")</f>
        <v/>
      </c>
      <c r="Q95" s="76">
        <f>IFERROR(IF(OR(NOT(ISNUMBER('Price History'!Q96)),NOT(ISNUMBER('Price History'!Q95)),'Price History'!Q95=0),"",'Price History'!Q96/'Price History'!Q95-1),"")</f>
        <v>1.5885623510722979E-3</v>
      </c>
      <c r="R95" s="76">
        <f>IFERROR(IF(OR(NOT(ISNUMBER('Price History'!R96)),NOT(ISNUMBER('Price History'!R95)),'Price History'!R95=0),"",'Price History'!R96/'Price History'!R95-1),"")</f>
        <v>-9.1393754760091817E-3</v>
      </c>
      <c r="S95" s="76">
        <f>IFERROR(IF(OR(NOT(ISNUMBER('Price History'!S96)),NOT(ISNUMBER('Price History'!S95)),'Price History'!S95=0),"",'Price History'!S96/'Price History'!S95-1),"")</f>
        <v>-2.2338403041825217E-2</v>
      </c>
      <c r="T95" s="76">
        <f>IFERROR(IF(OR(NOT(ISNUMBER('Price History'!T96)),NOT(ISNUMBER('Price History'!T95)),'Price History'!T95=0),"",'Price History'!T96/'Price History'!T95-1),"")</f>
        <v>-3.4730195177956391E-2</v>
      </c>
      <c r="U95" s="76" t="str">
        <f>IFERROR(IF(OR(NOT(ISNUMBER('Price History'!U96)),NOT(ISNUMBER('Price History'!U95)),'Price History'!U95=0),"",'Price History'!U96/'Price History'!U95-1),"")</f>
        <v/>
      </c>
      <c r="W95" s="77">
        <f>'Price History'!B3+('Price History'!B158-'Price History'!B3)*0.597402597402597</f>
        <v>354.29623376623385</v>
      </c>
      <c r="X95" s="77">
        <f>'Price History'!C3+('Price History'!C158-'Price History'!C3)*0.597402597402597</f>
        <v>125.35116883116876</v>
      </c>
      <c r="Y95" s="77">
        <f>'Price History'!D3+('Price History'!D158-'Price History'!D3)*0.597402597402597</f>
        <v>1239.59974025974</v>
      </c>
      <c r="Z95" s="77">
        <f>'Price History'!E3+('Price History'!E158-'Price History'!E3)*0.597402597402597</f>
        <v>265.96441558441546</v>
      </c>
      <c r="AA95" s="77">
        <f>'Price History'!F3+('Price History'!F158-'Price History'!F3)*0.597402597402597</f>
        <v>128.94051948051944</v>
      </c>
      <c r="AB95" s="77">
        <f>'Price History'!G3+('Price History'!G158-'Price History'!G3)*0.597402597402597</f>
        <v>128.50155844155839</v>
      </c>
      <c r="AC95" s="77">
        <f>'Price History'!H3+('Price History'!H158-'Price History'!H3)*0.597402597402597</f>
        <v>517.59545454545423</v>
      </c>
      <c r="AD95" s="77">
        <f>'Price History'!I3+('Price History'!I158-'Price History'!I3)*0.597402597402597</f>
        <v>136.37467532467528</v>
      </c>
      <c r="AE95" s="77">
        <f>'Price History'!J3+('Price History'!J158-'Price History'!J3)*0.597402597402597</f>
        <v>136.11519480519482</v>
      </c>
      <c r="AF95" s="77">
        <f>'Price History'!K3+('Price History'!K158-'Price History'!K3)*0.597402597402597</f>
        <v>79.720389610389574</v>
      </c>
      <c r="AG95" s="77">
        <f>'Price History'!L3+('Price History'!L158-'Price History'!L3)*0.597402597402597</f>
        <v>278.53493506493493</v>
      </c>
      <c r="AH95" s="77">
        <f>'Price History'!M3+('Price History'!M158-'Price History'!M3)*0.597402597402597</f>
        <v>157.80558441558435</v>
      </c>
      <c r="AI95" s="77">
        <f>'Price History'!N3+('Price History'!N158-'Price History'!N3)*0.597402597402597</f>
        <v>425.87350649350645</v>
      </c>
      <c r="AJ95" s="77">
        <f>'Price History'!O3+('Price History'!O158-'Price History'!O3)*0.597402597402597</f>
        <v>108.19779220779219</v>
      </c>
      <c r="AK95" s="77">
        <f>'Price History'!Q3+('Price History'!Q151-'Price History'!Q3)*0.597402597402597</f>
        <v>60.957662337662335</v>
      </c>
      <c r="AL95" s="77">
        <f>'Price History'!R3+('Price History'!R158-'Price History'!R3)*0.597402597402597</f>
        <v>54.050909090909087</v>
      </c>
      <c r="AM95" s="77">
        <f>'Price History'!S3+('Price History'!S158-'Price History'!S3)*0.597402597402597</f>
        <v>109.49246753246751</v>
      </c>
      <c r="AN95" s="77">
        <f>'Price History'!T3+('Price History'!T158-'Price History'!T3)*0.597402597402597</f>
        <v>40.548701298701289</v>
      </c>
    </row>
    <row r="96" spans="1:40" ht="15" customHeight="1" x14ac:dyDescent="0.2">
      <c r="A96" s="55">
        <f>IF('Price History'!A97="","",'Price History'!A97)</f>
        <v>45807</v>
      </c>
      <c r="B96" s="76">
        <f>IFERROR(IF(OR(NOT(ISNUMBER('Price History'!B97)),NOT(ISNUMBER('Price History'!B96)),'Price History'!B96=0),"",'Price History'!B97/'Price History'!B96-1),"")</f>
        <v>1.8151046137997007E-2</v>
      </c>
      <c r="C96" s="76">
        <f>IFERROR(IF(OR(NOT(ISNUMBER('Price History'!C97)),NOT(ISNUMBER('Price History'!C96)),'Price History'!C96=0),"",'Price History'!C97/'Price History'!C96-1),"")</f>
        <v>-5.0000000000000044E-2</v>
      </c>
      <c r="D96" s="76">
        <f>IFERROR(IF(OR(NOT(ISNUMBER('Price History'!D97)),NOT(ISNUMBER('Price History'!D96)),'Price History'!D96=0),"",'Price History'!D97/'Price History'!D96-1),"")</f>
        <v>5.8430831820228679E-3</v>
      </c>
      <c r="E96" s="76">
        <f>IFERROR(IF(OR(NOT(ISNUMBER('Price History'!E97)),NOT(ISNUMBER('Price History'!E96)),'Price History'!E96=0),"",'Price History'!E97/'Price History'!E96-1),"")</f>
        <v>5.8368310598111206E-2</v>
      </c>
      <c r="F96" s="76">
        <f>IFERROR(IF(OR(NOT(ISNUMBER('Price History'!F97)),NOT(ISNUMBER('Price History'!F96)),'Price History'!F96=0),"",'Price History'!F97/'Price History'!F96-1),"")</f>
        <v>3.4591747146619722E-2</v>
      </c>
      <c r="G96" s="76">
        <f>IFERROR(IF(OR(NOT(ISNUMBER('Price History'!G97)),NOT(ISNUMBER('Price History'!G96)),'Price History'!G96=0),"",'Price History'!G97/'Price History'!G96-1),"")</f>
        <v>-3.961965134706702E-4</v>
      </c>
      <c r="H96" s="76">
        <f>IFERROR(IF(OR(NOT(ISNUMBER('Price History'!H97)),NOT(ISNUMBER('Price History'!H96)),'Price History'!H96=0),"",'Price History'!H97/'Price History'!H96-1),"")</f>
        <v>1.1673985220091998E-2</v>
      </c>
      <c r="I96" s="76">
        <f>IFERROR(IF(OR(NOT(ISNUMBER('Price History'!I97)),NOT(ISNUMBER('Price History'!I96)),'Price History'!I96=0),"",'Price History'!I97/'Price History'!I96-1),"")</f>
        <v>2.924822911112801E-2</v>
      </c>
      <c r="J96" s="76">
        <f>IFERROR(IF(OR(NOT(ISNUMBER('Price History'!J97)),NOT(ISNUMBER('Price History'!J96)),'Price History'!J96=0),"",'Price History'!J97/'Price History'!J96-1),"")</f>
        <v>4.3829296424451991E-2</v>
      </c>
      <c r="K96" s="76">
        <f>IFERROR(IF(OR(NOT(ISNUMBER('Price History'!K97)),NOT(ISNUMBER('Price History'!K96)),'Price History'!K96=0),"",'Price History'!K97/'Price History'!K96-1),"")</f>
        <v>6.8688670829616383E-2</v>
      </c>
      <c r="L96" s="76">
        <f>IFERROR(IF(OR(NOT(ISNUMBER('Price History'!L97)),NOT(ISNUMBER('Price History'!L96)),'Price History'!L96=0),"",'Price History'!L97/'Price History'!L96-1),"")</f>
        <v>6.9798937389311533E-3</v>
      </c>
      <c r="M96" s="76">
        <f>IFERROR(IF(OR(NOT(ISNUMBER('Price History'!M97)),NOT(ISNUMBER('Price History'!M96)),'Price History'!M96=0),"",'Price History'!M97/'Price History'!M96-1),"")</f>
        <v>3.6393316689072419E-2</v>
      </c>
      <c r="N96" s="76">
        <f>IFERROR(IF(OR(NOT(ISNUMBER('Price History'!N97)),NOT(ISNUMBER('Price History'!N96)),'Price History'!N96=0),"",'Price History'!N97/'Price History'!N96-1),"")</f>
        <v>1.3876146788990962E-2</v>
      </c>
      <c r="O96" s="76">
        <f>IFERROR(IF(OR(NOT(ISNUMBER('Price History'!O97)),NOT(ISNUMBER('Price History'!O96)),'Price History'!O96=0),"",'Price History'!O97/'Price History'!O96-1),"")</f>
        <v>1.1709333027206892E-2</v>
      </c>
      <c r="P96" s="76" t="str">
        <f>IFERROR(IF(OR(NOT(ISNUMBER('Price History'!P97)),NOT(ISNUMBER('Price History'!P96)),'Price History'!P96=0),"",'Price History'!P97/'Price History'!P96-1),"")</f>
        <v/>
      </c>
      <c r="Q96" s="76">
        <f>IFERROR(IF(OR(NOT(ISNUMBER('Price History'!Q97)),NOT(ISNUMBER('Price History'!Q96)),'Price History'!Q96=0),"",'Price History'!Q97/'Price History'!Q96-1),"")</f>
        <v>3.4892942109436831E-3</v>
      </c>
      <c r="R96" s="76">
        <f>IFERROR(IF(OR(NOT(ISNUMBER('Price History'!R97)),NOT(ISNUMBER('Price History'!R96)),'Price History'!R96=0),"",'Price History'!R97/'Price History'!R96-1),"")</f>
        <v>1.1337432744043197E-2</v>
      </c>
      <c r="S96" s="76">
        <f>IFERROR(IF(OR(NOT(ISNUMBER('Price History'!S97)),NOT(ISNUMBER('Price History'!S96)),'Price History'!S96=0),"",'Price History'!S97/'Price History'!S96-1),"")</f>
        <v>2.4307243558580494E-2</v>
      </c>
      <c r="T96" s="76">
        <f>IFERROR(IF(OR(NOT(ISNUMBER('Price History'!T97)),NOT(ISNUMBER('Price History'!T96)),'Price History'!T96=0),"",'Price History'!T97/'Price History'!T96-1),"")</f>
        <v>7.7311923877489974E-3</v>
      </c>
      <c r="U96" s="76" t="str">
        <f>IFERROR(IF(OR(NOT(ISNUMBER('Price History'!U97)),NOT(ISNUMBER('Price History'!U96)),'Price History'!U96=0),"",'Price History'!U97/'Price History'!U96-1),"")</f>
        <v/>
      </c>
      <c r="W96" s="77">
        <f>'Price History'!B3+('Price History'!B158-'Price History'!B3)*0.603896103896104</f>
        <v>352.62064935064933</v>
      </c>
      <c r="X96" s="77">
        <f>'Price History'!C3+('Price History'!C158-'Price History'!C3)*0.603896103896104</f>
        <v>126.23824675324676</v>
      </c>
      <c r="Y96" s="77">
        <f>'Price History'!D3+('Price History'!D158-'Price History'!D3)*0.603896103896104</f>
        <v>1245.8803896103898</v>
      </c>
      <c r="Z96" s="77">
        <f>'Price History'!E3+('Price History'!E158-'Price History'!E3)*0.603896103896104</f>
        <v>267.95337662337664</v>
      </c>
      <c r="AA96" s="77">
        <f>'Price History'!F3+('Price History'!F158-'Price History'!F3)*0.603896103896104</f>
        <v>129.93922077922082</v>
      </c>
      <c r="AB96" s="77">
        <f>'Price History'!G3+('Price History'!G158-'Price History'!G3)*0.603896103896104</f>
        <v>129.37766233766234</v>
      </c>
      <c r="AC96" s="77">
        <f>'Price History'!H3+('Price History'!H158-'Price History'!H3)*0.603896103896104</f>
        <v>522.52181818181828</v>
      </c>
      <c r="AD96" s="77">
        <f>'Price History'!I3+('Price History'!I158-'Price History'!I3)*0.603896103896104</f>
        <v>137.41298701298703</v>
      </c>
      <c r="AE96" s="77">
        <f>'Price History'!J3+('Price History'!J158-'Price History'!J3)*0.603896103896104</f>
        <v>136.2522077922078</v>
      </c>
      <c r="AF96" s="77">
        <f>'Price History'!K3+('Price History'!K158-'Price History'!K3)*0.603896103896104</f>
        <v>80.419415584415603</v>
      </c>
      <c r="AG96" s="77">
        <f>'Price History'!L3+('Price History'!L158-'Price History'!L3)*0.603896103896104</f>
        <v>280.56259740259742</v>
      </c>
      <c r="AH96" s="77">
        <f>'Price History'!M3+('Price History'!M158-'Price History'!M3)*0.603896103896104</f>
        <v>159.1566233766234</v>
      </c>
      <c r="AI96" s="77">
        <f>'Price History'!N3+('Price History'!N158-'Price History'!N3)*0.603896103896104</f>
        <v>426.69974025974028</v>
      </c>
      <c r="AJ96" s="77">
        <f>'Price History'!O3+('Price History'!O158-'Price History'!O3)*0.603896103896104</f>
        <v>108.4733116883117</v>
      </c>
      <c r="AK96" s="77">
        <f>'Price History'!Q3+('Price History'!Q151-'Price History'!Q3)*0.603896103896104</f>
        <v>61.078506493506495</v>
      </c>
      <c r="AL96" s="77">
        <f>'Price History'!R3+('Price History'!R158-'Price History'!R3)*0.603896103896104</f>
        <v>54.118636363636362</v>
      </c>
      <c r="AM96" s="77">
        <f>'Price History'!S3+('Price History'!S158-'Price History'!S3)*0.603896103896104</f>
        <v>110.04629870129872</v>
      </c>
      <c r="AN96" s="77">
        <f>'Price History'!T3+('Price History'!T158-'Price History'!T3)*0.603896103896104</f>
        <v>40.696948051948056</v>
      </c>
    </row>
    <row r="97" spans="1:40" ht="15" customHeight="1" x14ac:dyDescent="0.2">
      <c r="A97" s="55">
        <f>IF('Price History'!A98="","",'Price History'!A98)</f>
        <v>45814</v>
      </c>
      <c r="B97" s="76">
        <f>IFERROR(IF(OR(NOT(ISNUMBER('Price History'!B98)),NOT(ISNUMBER('Price History'!B97)),'Price History'!B97=0),"",'Price History'!B98/'Price History'!B97-1),"")</f>
        <v>4.4086824544076197E-3</v>
      </c>
      <c r="C97" s="76">
        <f>IFERROR(IF(OR(NOT(ISNUMBER('Price History'!C98)),NOT(ISNUMBER('Price History'!C97)),'Price History'!C97=0),"",'Price History'!C98/'Price History'!C97-1),"")</f>
        <v>0.12246075715604809</v>
      </c>
      <c r="D97" s="76">
        <f>IFERROR(IF(OR(NOT(ISNUMBER('Price History'!D98)),NOT(ISNUMBER('Price History'!D97)),'Price History'!D97=0),"",'Price History'!D98/'Price History'!D97-1),"")</f>
        <v>2.2055729739267393E-2</v>
      </c>
      <c r="E97" s="76">
        <f>IFERROR(IF(OR(NOT(ISNUMBER('Price History'!E98)),NOT(ISNUMBER('Price History'!E97)),'Price History'!E97=0),"",'Price History'!E98/'Price History'!E97-1),"")</f>
        <v>2.0076837278473203E-2</v>
      </c>
      <c r="F97" s="76">
        <f>IFERROR(IF(OR(NOT(ISNUMBER('Price History'!F98)),NOT(ISNUMBER('Price History'!F97)),'Price History'!F97=0),"",'Price History'!F98/'Price History'!F97-1),"")</f>
        <v>-6.2797012898846427E-3</v>
      </c>
      <c r="G97" s="76">
        <f>IFERROR(IF(OR(NOT(ISNUMBER('Price History'!G98)),NOT(ISNUMBER('Price History'!G97)),'Price History'!G97=0),"",'Price History'!G98/'Price History'!G97-1),"")</f>
        <v>6.7512220901043696E-2</v>
      </c>
      <c r="H97" s="76">
        <f>IFERROR(IF(OR(NOT(ISNUMBER('Price History'!H98)),NOT(ISNUMBER('Price History'!H97)),'Price History'!H97=0),"",'Price History'!H98/'Price History'!H97-1),"")</f>
        <v>0.14926953207706983</v>
      </c>
      <c r="I97" s="76">
        <f>IFERROR(IF(OR(NOT(ISNUMBER('Price History'!I98)),NOT(ISNUMBER('Price History'!I97)),'Price History'!I97=0),"",'Price History'!I98/'Price History'!I97-1),"")</f>
        <v>4.8767853178420806E-2</v>
      </c>
      <c r="J97" s="76">
        <f>IFERROR(IF(OR(NOT(ISNUMBER('Price History'!J98)),NOT(ISNUMBER('Price History'!J97)),'Price History'!J97=0),"",'Price History'!J98/'Price History'!J97-1),"")</f>
        <v>1.7495395948434744E-3</v>
      </c>
      <c r="K97" s="76">
        <f>IFERROR(IF(OR(NOT(ISNUMBER('Price History'!K98)),NOT(ISNUMBER('Price History'!K97)),'Price History'!K97=0),"",'Price History'!K98/'Price History'!K97-1),"")</f>
        <v>-3.0808923964182777E-2</v>
      </c>
      <c r="L97" s="76">
        <f>IFERROR(IF(OR(NOT(ISNUMBER('Price History'!L98)),NOT(ISNUMBER('Price History'!L97)),'Price History'!L97=0),"",'Price History'!L98/'Price History'!L97-1),"")</f>
        <v>6.1349058555762559E-2</v>
      </c>
      <c r="M97" s="76">
        <f>IFERROR(IF(OR(NOT(ISNUMBER('Price History'!M98)),NOT(ISNUMBER('Price History'!M97)),'Price History'!M97=0),"",'Price History'!M98/'Price History'!M97-1),"")</f>
        <v>6.8840915408134862E-2</v>
      </c>
      <c r="N97" s="76">
        <f>IFERROR(IF(OR(NOT(ISNUMBER('Price History'!N98)),NOT(ISNUMBER('Price History'!N97)),'Price History'!N97=0),"",'Price History'!N98/'Price History'!N97-1),"")</f>
        <v>1.9115484673679406E-2</v>
      </c>
      <c r="O97" s="76">
        <f>IFERROR(IF(OR(NOT(ISNUMBER('Price History'!O98)),NOT(ISNUMBER('Price History'!O97)),'Price History'!O97=0),"",'Price History'!O98/'Price History'!O97-1),"")</f>
        <v>1.8495404516055913E-2</v>
      </c>
      <c r="P97" s="76" t="str">
        <f>IFERROR(IF(OR(NOT(ISNUMBER('Price History'!P98)),NOT(ISNUMBER('Price History'!P97)),'Price History'!P97=0),"",'Price History'!P98/'Price History'!P97-1),"")</f>
        <v/>
      </c>
      <c r="Q97" s="76">
        <f>IFERROR(IF(OR(NOT(ISNUMBER('Price History'!Q98)),NOT(ISNUMBER('Price History'!Q97)),'Price History'!Q97=0),"",'Price History'!Q98/'Price History'!Q97-1),"")</f>
        <v>2.2127390548443149E-3</v>
      </c>
      <c r="R97" s="76">
        <f>IFERROR(IF(OR(NOT(ISNUMBER('Price History'!R98)),NOT(ISNUMBER('Price History'!R97)),'Price History'!R97=0),"",'Price History'!R98/'Price History'!R97-1),"")</f>
        <v>1.3300399011970665E-3</v>
      </c>
      <c r="S97" s="76">
        <f>IFERROR(IF(OR(NOT(ISNUMBER('Price History'!S98)),NOT(ISNUMBER('Price History'!S97)),'Price History'!S97=0),"",'Price History'!S98/'Price History'!S97-1),"")</f>
        <v>1.4902705268153849E-2</v>
      </c>
      <c r="T97" s="76">
        <f>IFERROR(IF(OR(NOT(ISNUMBER('Price History'!T98)),NOT(ISNUMBER('Price History'!T97)),'Price History'!T97=0),"",'Price History'!T98/'Price History'!T97-1),"")</f>
        <v>2.3605783416936976E-2</v>
      </c>
      <c r="U97" s="76" t="str">
        <f>IFERROR(IF(OR(NOT(ISNUMBER('Price History'!U98)),NOT(ISNUMBER('Price History'!U97)),'Price History'!U97=0),"",'Price History'!U98/'Price History'!U97-1),"")</f>
        <v/>
      </c>
      <c r="W97" s="77">
        <f>'Price History'!B3+('Price History'!B158-'Price History'!B3)*0.61038961038961</f>
        <v>350.94506493506503</v>
      </c>
      <c r="X97" s="77">
        <f>'Price History'!C3+('Price History'!C158-'Price History'!C3)*0.61038961038961</f>
        <v>127.12532467532463</v>
      </c>
      <c r="Y97" s="77">
        <f>'Price History'!D3+('Price History'!D158-'Price History'!D3)*0.61038961038961</f>
        <v>1252.1610389610387</v>
      </c>
      <c r="Z97" s="77">
        <f>'Price History'!E3+('Price History'!E158-'Price History'!E3)*0.61038961038961</f>
        <v>269.94233766233754</v>
      </c>
      <c r="AA97" s="77">
        <f>'Price History'!F3+('Price History'!F158-'Price History'!F3)*0.61038961038961</f>
        <v>130.93792207792205</v>
      </c>
      <c r="AB97" s="77">
        <f>'Price History'!G3+('Price History'!G158-'Price History'!G3)*0.61038961038961</f>
        <v>130.25376623376619</v>
      </c>
      <c r="AC97" s="77">
        <f>'Price History'!H3+('Price History'!H158-'Price History'!H3)*0.61038961038961</f>
        <v>527.44818181818152</v>
      </c>
      <c r="AD97" s="77">
        <f>'Price History'!I3+('Price History'!I158-'Price History'!I3)*0.61038961038961</f>
        <v>138.45129870129864</v>
      </c>
      <c r="AE97" s="77">
        <f>'Price History'!J3+('Price History'!J158-'Price History'!J3)*0.61038961038961</f>
        <v>136.38922077922078</v>
      </c>
      <c r="AF97" s="77">
        <f>'Price History'!K3+('Price History'!K158-'Price History'!K3)*0.61038961038961</f>
        <v>81.118441558441518</v>
      </c>
      <c r="AG97" s="77">
        <f>'Price History'!L3+('Price History'!L158-'Price History'!L3)*0.61038961038961</f>
        <v>282.59025974025963</v>
      </c>
      <c r="AH97" s="77">
        <f>'Price History'!M3+('Price History'!M158-'Price History'!M3)*0.61038961038961</f>
        <v>160.50766233766225</v>
      </c>
      <c r="AI97" s="77">
        <f>'Price History'!N3+('Price History'!N158-'Price History'!N3)*0.61038961038961</f>
        <v>427.52597402597399</v>
      </c>
      <c r="AJ97" s="77">
        <f>'Price History'!O3+('Price History'!O158-'Price History'!O3)*0.61038961038961</f>
        <v>108.74883116883115</v>
      </c>
      <c r="AK97" s="77">
        <f>'Price History'!Q3+('Price History'!Q151-'Price History'!Q3)*0.61038961038961</f>
        <v>61.199350649350649</v>
      </c>
      <c r="AL97" s="77">
        <f>'Price History'!R3+('Price History'!R158-'Price History'!R3)*0.61038961038961</f>
        <v>54.18636363636363</v>
      </c>
      <c r="AM97" s="77">
        <f>'Price History'!S3+('Price History'!S158-'Price History'!S3)*0.61038961038961</f>
        <v>110.60012987012985</v>
      </c>
      <c r="AN97" s="77">
        <f>'Price History'!T3+('Price History'!T158-'Price History'!T3)*0.61038961038961</f>
        <v>40.845194805194801</v>
      </c>
    </row>
    <row r="98" spans="1:40" ht="15" customHeight="1" x14ac:dyDescent="0.2">
      <c r="A98" s="55">
        <f>IF('Price History'!A99="","",'Price History'!A99)</f>
        <v>45821</v>
      </c>
      <c r="B98" s="76">
        <f>IFERROR(IF(OR(NOT(ISNUMBER('Price History'!B99)),NOT(ISNUMBER('Price History'!B98)),'Price History'!B98=0),"",'Price History'!B99/'Price History'!B98-1),"")</f>
        <v>-6.0539192171159995E-2</v>
      </c>
      <c r="C98" s="76">
        <f>IFERROR(IF(OR(NOT(ISNUMBER('Price History'!C99)),NOT(ISNUMBER('Price History'!C98)),'Price History'!C98=0),"",'Price History'!C99/'Price History'!C98-1),"")</f>
        <v>-5.0385604113110549E-2</v>
      </c>
      <c r="D98" s="76">
        <f>IFERROR(IF(OR(NOT(ISNUMBER('Price History'!D99)),NOT(ISNUMBER('Price History'!D98)),'Price History'!D98=0),"",'Price History'!D99/'Price History'!D98-1),"")</f>
        <v>1.0597328092215363E-2</v>
      </c>
      <c r="E98" s="76">
        <f>IFERROR(IF(OR(NOT(ISNUMBER('Price History'!E99)),NOT(ISNUMBER('Price History'!E98)),'Price History'!E98=0),"",'Price History'!E99/'Price History'!E98-1),"")</f>
        <v>7.1680233264486137E-3</v>
      </c>
      <c r="F98" s="76">
        <f>IFERROR(IF(OR(NOT(ISNUMBER('Price History'!F99)),NOT(ISNUMBER('Price History'!F98)),'Price History'!F98=0),"",'Price History'!F99/'Price History'!F98-1),"")</f>
        <v>2.6131511528608042E-2</v>
      </c>
      <c r="G98" s="76">
        <f>IFERROR(IF(OR(NOT(ISNUMBER('Price History'!G99)),NOT(ISNUMBER('Price History'!G98)),'Price History'!G98=0),"",'Price History'!G99/'Price History'!G98-1),"")</f>
        <v>7.3886138613861396E-2</v>
      </c>
      <c r="H98" s="76">
        <f>IFERROR(IF(OR(NOT(ISNUMBER('Price History'!H99)),NOT(ISNUMBER('Price History'!H98)),'Price History'!H98=0),"",'Price History'!H99/'Price History'!H98-1),"")</f>
        <v>6.4848931466469972E-2</v>
      </c>
      <c r="I98" s="76">
        <f>IFERROR(IF(OR(NOT(ISNUMBER('Price History'!I99)),NOT(ISNUMBER('Price History'!I98)),'Price History'!I98=0),"",'Price History'!I99/'Price History'!I98-1),"")</f>
        <v>1.7640417725091062E-3</v>
      </c>
      <c r="J98" s="76">
        <f>IFERROR(IF(OR(NOT(ISNUMBER('Price History'!J99)),NOT(ISNUMBER('Price History'!J98)),'Price History'!J98=0),"",'Price History'!J99/'Price History'!J98-1),"")</f>
        <v>-1.3879952201489187E-2</v>
      </c>
      <c r="K98" s="76">
        <f>IFERROR(IF(OR(NOT(ISNUMBER('Price History'!K99)),NOT(ISNUMBER('Price History'!K98)),'Price History'!K98=0),"",'Price History'!K99/'Price History'!K98-1),"")</f>
        <v>7.5790792358283898E-2</v>
      </c>
      <c r="L98" s="76">
        <f>IFERROR(IF(OR(NOT(ISNUMBER('Price History'!L99)),NOT(ISNUMBER('Price History'!L98)),'Price History'!L98=0),"",'Price History'!L99/'Price History'!L98-1),"")</f>
        <v>2.8852714689540759E-2</v>
      </c>
      <c r="M98" s="76">
        <f>IFERROR(IF(OR(NOT(ISNUMBER('Price History'!M99)),NOT(ISNUMBER('Price History'!M98)),'Price History'!M98=0),"",'Price History'!M99/'Price History'!M98-1),"")</f>
        <v>-3.8054785020804394E-2</v>
      </c>
      <c r="N98" s="76">
        <f>IFERROR(IF(OR(NOT(ISNUMBER('Price History'!N99)),NOT(ISNUMBER('Price History'!N98)),'Price History'!N98=0),"",'Price History'!N99/'Price History'!N98-1),"")</f>
        <v>1.0987791342952358E-2</v>
      </c>
      <c r="O98" s="76">
        <f>IFERROR(IF(OR(NOT(ISNUMBER('Price History'!O99)),NOT(ISNUMBER('Price History'!O98)),'Price History'!O98=0),"",'Price History'!O99/'Price History'!O98-1),"")</f>
        <v>-6.0160427807487427E-3</v>
      </c>
      <c r="P98" s="76" t="str">
        <f>IFERROR(IF(OR(NOT(ISNUMBER('Price History'!P99)),NOT(ISNUMBER('Price History'!P98)),'Price History'!P98=0),"",'Price History'!P99/'Price History'!P98-1),"")</f>
        <v/>
      </c>
      <c r="Q98" s="76">
        <f>IFERROR(IF(OR(NOT(ISNUMBER('Price History'!Q99)),NOT(ISNUMBER('Price History'!Q98)),'Price History'!Q98=0),"",'Price History'!Q99/'Price History'!Q98-1),"")</f>
        <v>-1.0408452925406042E-2</v>
      </c>
      <c r="R98" s="76">
        <f>IFERROR(IF(OR(NOT(ISNUMBER('Price History'!R99)),NOT(ISNUMBER('Price History'!R98)),'Price History'!R98=0),"",'Price History'!R99/'Price History'!R98-1),"")</f>
        <v>-2.0872865275142205E-3</v>
      </c>
      <c r="S98" s="76">
        <f>IFERROR(IF(OR(NOT(ISNUMBER('Price History'!S99)),NOT(ISNUMBER('Price History'!S98)),'Price History'!S98=0),"",'Price History'!S99/'Price History'!S98-1),"")</f>
        <v>-7.108118219229409E-3</v>
      </c>
      <c r="T98" s="76">
        <f>IFERROR(IF(OR(NOT(ISNUMBER('Price History'!T99)),NOT(ISNUMBER('Price History'!T98)),'Price History'!T98=0),"",'Price History'!T99/'Price History'!T98-1),"")</f>
        <v>1.0954165465552057E-2</v>
      </c>
      <c r="U98" s="76" t="str">
        <f>IFERROR(IF(OR(NOT(ISNUMBER('Price History'!U99)),NOT(ISNUMBER('Price History'!U98)),'Price History'!U98=0),"",'Price History'!U99/'Price History'!U98-1),"")</f>
        <v/>
      </c>
      <c r="W98" s="77">
        <f>'Price History'!B3+('Price History'!B158-'Price History'!B3)*0.616883116883117</f>
        <v>349.26948051948045</v>
      </c>
      <c r="X98" s="77">
        <f>'Price History'!C3+('Price History'!C158-'Price History'!C3)*0.616883116883117</f>
        <v>128.0124025974026</v>
      </c>
      <c r="Y98" s="77">
        <f>'Price History'!D3+('Price History'!D158-'Price History'!D3)*0.616883116883117</f>
        <v>1258.4416883116885</v>
      </c>
      <c r="Z98" s="77">
        <f>'Price History'!E3+('Price History'!E158-'Price History'!E3)*0.616883116883117</f>
        <v>271.93129870129872</v>
      </c>
      <c r="AA98" s="77">
        <f>'Price History'!F3+('Price History'!F158-'Price History'!F3)*0.616883116883117</f>
        <v>131.9366233766234</v>
      </c>
      <c r="AB98" s="77">
        <f>'Price History'!G3+('Price History'!G158-'Price History'!G3)*0.616883116883117</f>
        <v>131.12987012987014</v>
      </c>
      <c r="AC98" s="77">
        <f>'Price History'!H3+('Price History'!H158-'Price History'!H3)*0.616883116883117</f>
        <v>532.37454545454557</v>
      </c>
      <c r="AD98" s="77">
        <f>'Price History'!I3+('Price History'!I158-'Price History'!I3)*0.616883116883117</f>
        <v>139.48961038961042</v>
      </c>
      <c r="AE98" s="77">
        <f>'Price History'!J3+('Price History'!J158-'Price History'!J3)*0.616883116883117</f>
        <v>136.52623376623379</v>
      </c>
      <c r="AF98" s="77">
        <f>'Price History'!K3+('Price History'!K158-'Price History'!K3)*0.616883116883117</f>
        <v>81.817467532467546</v>
      </c>
      <c r="AG98" s="77">
        <f>'Price History'!L3+('Price History'!L158-'Price History'!L3)*0.616883116883117</f>
        <v>284.61792207792212</v>
      </c>
      <c r="AH98" s="77">
        <f>'Price History'!M3+('Price History'!M158-'Price History'!M3)*0.616883116883117</f>
        <v>161.85870129870133</v>
      </c>
      <c r="AI98" s="77">
        <f>'Price History'!N3+('Price History'!N158-'Price History'!N3)*0.616883116883117</f>
        <v>428.35220779220782</v>
      </c>
      <c r="AJ98" s="77">
        <f>'Price History'!O3+('Price History'!O158-'Price History'!O3)*0.616883116883117</f>
        <v>109.02435064935065</v>
      </c>
      <c r="AK98" s="77">
        <f>'Price History'!Q3+('Price History'!Q151-'Price History'!Q3)*0.616883116883117</f>
        <v>61.320194805194809</v>
      </c>
      <c r="AL98" s="77">
        <f>'Price History'!R3+('Price History'!R158-'Price History'!R3)*0.616883116883117</f>
        <v>54.254090909090912</v>
      </c>
      <c r="AM98" s="77">
        <f>'Price History'!S3+('Price History'!S158-'Price History'!S3)*0.616883116883117</f>
        <v>111.15396103896106</v>
      </c>
      <c r="AN98" s="77">
        <f>'Price History'!T3+('Price History'!T158-'Price History'!T3)*0.616883116883117</f>
        <v>40.99344155844156</v>
      </c>
    </row>
    <row r="99" spans="1:40" ht="15" customHeight="1" x14ac:dyDescent="0.2">
      <c r="A99" s="55">
        <f>IF('Price History'!A100="","",'Price History'!A100)</f>
        <v>45828</v>
      </c>
      <c r="B99" s="76">
        <f>IFERROR(IF(OR(NOT(ISNUMBER('Price History'!B100)),NOT(ISNUMBER('Price History'!B99)),'Price History'!B99=0),"",'Price History'!B100/'Price History'!B99-1),"")</f>
        <v>-3.7683823529411686E-2</v>
      </c>
      <c r="C99" s="76">
        <f>IFERROR(IF(OR(NOT(ISNUMBER('Price History'!C100)),NOT(ISNUMBER('Price History'!C99)),'Price History'!C99=0),"",'Price History'!C100/'Price History'!C99-1),"")</f>
        <v>-6.6053059014618221E-2</v>
      </c>
      <c r="D99" s="76">
        <f>IFERROR(IF(OR(NOT(ISNUMBER('Price History'!D100)),NOT(ISNUMBER('Price History'!D99)),'Price History'!D99=0),"",'Price History'!D100/'Price History'!D99-1),"")</f>
        <v>-5.8738501971090651E-3</v>
      </c>
      <c r="E99" s="76">
        <f>IFERROR(IF(OR(NOT(ISNUMBER('Price History'!E100)),NOT(ISNUMBER('Price History'!E99)),'Price History'!E99=0),"",'Price History'!E100/'Price History'!E99-1),"")</f>
        <v>5.1869722557298381E-3</v>
      </c>
      <c r="F99" s="76">
        <f>IFERROR(IF(OR(NOT(ISNUMBER('Price History'!F100)),NOT(ISNUMBER('Price History'!F99)),'Price History'!F99=0),"",'Price History'!F100/'Price History'!F99-1),"")</f>
        <v>-8.9880159786950298E-3</v>
      </c>
      <c r="G99" s="76">
        <f>IFERROR(IF(OR(NOT(ISNUMBER('Price History'!G100)),NOT(ISNUMBER('Price History'!G99)),'Price History'!G99=0),"",'Price History'!G100/'Price History'!G99-1),"")</f>
        <v>-2.0398755330183205E-2</v>
      </c>
      <c r="H99" s="76">
        <f>IFERROR(IF(OR(NOT(ISNUMBER('Price History'!H100)),NOT(ISNUMBER('Price History'!H99)),'Price History'!H99=0),"",'Price History'!H100/'Price History'!H99-1),"")</f>
        <v>6.9204152249134898E-2</v>
      </c>
      <c r="I99" s="76">
        <f>IFERROR(IF(OR(NOT(ISNUMBER('Price History'!I100)),NOT(ISNUMBER('Price History'!I99)),'Price History'!I99=0),"",'Price History'!I100/'Price History'!I99-1),"")</f>
        <v>1.3242234274846831E-2</v>
      </c>
      <c r="J99" s="76">
        <f>IFERROR(IF(OR(NOT(ISNUMBER('Price History'!J100)),NOT(ISNUMBER('Price History'!J99)),'Price History'!J99=0),"",'Price History'!J100/'Price History'!J99-1),"")</f>
        <v>-1.4821029082774051E-2</v>
      </c>
      <c r="K99" s="76">
        <f>IFERROR(IF(OR(NOT(ISNUMBER('Price History'!K100)),NOT(ISNUMBER('Price History'!K99)),'Price History'!K99=0),"",'Price History'!K100/'Price History'!K99-1),"")</f>
        <v>-7.2780203784561515E-4</v>
      </c>
      <c r="L99" s="76">
        <f>IFERROR(IF(OR(NOT(ISNUMBER('Price History'!L100)),NOT(ISNUMBER('Price History'!L99)),'Price History'!L99=0),"",'Price History'!L100/'Price History'!L99-1),"")</f>
        <v>-7.531975367124577E-3</v>
      </c>
      <c r="M99" s="76">
        <f>IFERROR(IF(OR(NOT(ISNUMBER('Price History'!M100)),NOT(ISNUMBER('Price History'!M99)),'Price History'!M99=0),"",'Price History'!M100/'Price History'!M99-1),"")</f>
        <v>6.8216635126610914E-2</v>
      </c>
      <c r="N99" s="76">
        <f>IFERROR(IF(OR(NOT(ISNUMBER('Price History'!N100)),NOT(ISNUMBER('Price History'!N99)),'Price History'!N99=0),"",'Price History'!N100/'Price History'!N99-1),"")</f>
        <v>-3.2012295531891555E-2</v>
      </c>
      <c r="O99" s="76">
        <f>IFERROR(IF(OR(NOT(ISNUMBER('Price History'!O100)),NOT(ISNUMBER('Price History'!O99)),'Price History'!O99=0),"",'Price History'!O100/'Price History'!O99-1),"")</f>
        <v>1.6812373907195699E-3</v>
      </c>
      <c r="P99" s="76" t="str">
        <f>IFERROR(IF(OR(NOT(ISNUMBER('Price History'!P100)),NOT(ISNUMBER('Price History'!P99)),'Price History'!P99=0),"",'Price History'!P100/'Price History'!P99-1),"")</f>
        <v/>
      </c>
      <c r="Q99" s="76">
        <f>IFERROR(IF(OR(NOT(ISNUMBER('Price History'!Q100)),NOT(ISNUMBER('Price History'!Q99)),'Price History'!Q99=0),"",'Price History'!Q100/'Price History'!Q99-1),"")</f>
        <v>1.1474103585657369E-2</v>
      </c>
      <c r="R99" s="76">
        <f>IFERROR(IF(OR(NOT(ISNUMBER('Price History'!R100)),NOT(ISNUMBER('Price History'!R99)),'Price History'!R99=0),"",'Price History'!R100/'Price History'!R99-1),"")</f>
        <v>3.0424034987639459E-3</v>
      </c>
      <c r="S99" s="76">
        <f>IFERROR(IF(OR(NOT(ISNUMBER('Price History'!S100)),NOT(ISNUMBER('Price History'!S99)),'Price History'!S99=0),"",'Price History'!S100/'Price History'!S99-1),"")</f>
        <v>7.0648078372268497E-3</v>
      </c>
      <c r="T99" s="76">
        <f>IFERROR(IF(OR(NOT(ISNUMBER('Price History'!T100)),NOT(ISNUMBER('Price History'!T99)),'Price History'!T99=0),"",'Price History'!T100/'Price History'!T99-1),"")</f>
        <v>-1.1405759908753588E-3</v>
      </c>
      <c r="U99" s="76" t="str">
        <f>IFERROR(IF(OR(NOT(ISNUMBER('Price History'!U100)),NOT(ISNUMBER('Price History'!U99)),'Price History'!U99=0),"",'Price History'!U100/'Price History'!U99-1),"")</f>
        <v/>
      </c>
      <c r="W99" s="77">
        <f>'Price History'!B3+('Price History'!B158-'Price History'!B3)*0.623376623376623</f>
        <v>347.59389610389621</v>
      </c>
      <c r="X99" s="77">
        <f>'Price History'!C3+('Price History'!C158-'Price History'!C3)*0.623376623376623</f>
        <v>128.89948051948048</v>
      </c>
      <c r="Y99" s="77">
        <f>'Price History'!D3+('Price History'!D158-'Price History'!D3)*0.623376623376623</f>
        <v>1264.7223376623374</v>
      </c>
      <c r="Z99" s="77">
        <f>'Price History'!E3+('Price History'!E158-'Price History'!E3)*0.623376623376623</f>
        <v>273.92025974025961</v>
      </c>
      <c r="AA99" s="77">
        <f>'Price History'!F3+('Price History'!F158-'Price History'!F3)*0.623376623376623</f>
        <v>132.93532467532464</v>
      </c>
      <c r="AB99" s="77">
        <f>'Price History'!G3+('Price History'!G158-'Price History'!G3)*0.623376623376623</f>
        <v>132.00597402597398</v>
      </c>
      <c r="AC99" s="77">
        <f>'Price History'!H3+('Price History'!H158-'Price History'!H3)*0.623376623376623</f>
        <v>537.30090909090882</v>
      </c>
      <c r="AD99" s="77">
        <f>'Price History'!I3+('Price History'!I158-'Price History'!I3)*0.623376623376623</f>
        <v>140.52792207792203</v>
      </c>
      <c r="AE99" s="77">
        <f>'Price History'!J3+('Price History'!J158-'Price History'!J3)*0.623376623376623</f>
        <v>136.66324675324677</v>
      </c>
      <c r="AF99" s="77">
        <f>'Price History'!K3+('Price History'!K158-'Price History'!K3)*0.623376623376623</f>
        <v>82.516493506493475</v>
      </c>
      <c r="AG99" s="77">
        <f>'Price History'!L3+('Price History'!L158-'Price History'!L3)*0.623376623376623</f>
        <v>286.64558441558432</v>
      </c>
      <c r="AH99" s="77">
        <f>'Price History'!M3+('Price History'!M158-'Price History'!M3)*0.623376623376623</f>
        <v>163.20974025974019</v>
      </c>
      <c r="AI99" s="77">
        <f>'Price History'!N3+('Price History'!N158-'Price History'!N3)*0.623376623376623</f>
        <v>429.17844155844153</v>
      </c>
      <c r="AJ99" s="77">
        <f>'Price History'!O3+('Price History'!O158-'Price History'!O3)*0.623376623376623</f>
        <v>109.29987012987011</v>
      </c>
      <c r="AK99" s="77">
        <f>'Price History'!Q3+('Price History'!Q151-'Price History'!Q3)*0.623376623376623</f>
        <v>61.441038961038956</v>
      </c>
      <c r="AL99" s="77">
        <f>'Price History'!R3+('Price History'!R158-'Price History'!R3)*0.623376623376623</f>
        <v>54.32181818181818</v>
      </c>
      <c r="AM99" s="77">
        <f>'Price History'!S3+('Price History'!S158-'Price History'!S3)*0.623376623376623</f>
        <v>111.70779220779218</v>
      </c>
      <c r="AN99" s="77">
        <f>'Price History'!T3+('Price History'!T158-'Price History'!T3)*0.623376623376623</f>
        <v>41.141688311688306</v>
      </c>
    </row>
    <row r="100" spans="1:40" ht="15" customHeight="1" x14ac:dyDescent="0.2">
      <c r="A100" s="55">
        <f>IF('Price History'!A101="","",'Price History'!A101)</f>
        <v>45835</v>
      </c>
      <c r="B100" s="76">
        <f>IFERROR(IF(OR(NOT(ISNUMBER('Price History'!B101)),NOT(ISNUMBER('Price History'!B100)),'Price History'!B100=0),"",'Price History'!B101/'Price History'!B100-1),"")</f>
        <v>2.3638968481375366E-2</v>
      </c>
      <c r="C100" s="76">
        <f>IFERROR(IF(OR(NOT(ISNUMBER('Price History'!C101)),NOT(ISNUMBER('Price History'!C100)),'Price History'!C100=0),"",'Price History'!C101/'Price History'!C100-1),"")</f>
        <v>0.15234782608695663</v>
      </c>
      <c r="D100" s="76">
        <f>IFERROR(IF(OR(NOT(ISNUMBER('Price History'!D101)),NOT(ISNUMBER('Price History'!D100)),'Price History'!D100=0),"",'Price History'!D101/'Price History'!D100-1),"")</f>
        <v>5.210632757458411E-2</v>
      </c>
      <c r="E100" s="76">
        <f>IFERROR(IF(OR(NOT(ISNUMBER('Price History'!E101)),NOT(ISNUMBER('Price History'!E100)),'Price History'!E100=0),"",'Price History'!E101/'Price History'!E100-1),"")</f>
        <v>7.7443097723909116E-2</v>
      </c>
      <c r="F100" s="76">
        <f>IFERROR(IF(OR(NOT(ISNUMBER('Price History'!F101)),NOT(ISNUMBER('Price History'!F100)),'Price History'!F100=0),"",'Price History'!F101/'Price History'!F100-1),"")</f>
        <v>4.8286865972455573E-2</v>
      </c>
      <c r="G100" s="76">
        <f>IFERROR(IF(OR(NOT(ISNUMBER('Price History'!G101)),NOT(ISNUMBER('Price History'!G100)),'Price History'!G100=0),"",'Price History'!G101/'Price History'!G100-1),"")</f>
        <v>4.6941176470588264E-2</v>
      </c>
      <c r="H100" s="76">
        <f>IFERROR(IF(OR(NOT(ISNUMBER('Price History'!H101)),NOT(ISNUMBER('Price History'!H100)),'Price History'!H100=0),"",'Price History'!H101/'Price History'!H100-1),"")</f>
        <v>9.3851132686084693E-3</v>
      </c>
      <c r="I100" s="76">
        <f>IFERROR(IF(OR(NOT(ISNUMBER('Price History'!I101)),NOT(ISNUMBER('Price History'!I100)),'Price History'!I100=0),"",'Price History'!I101/'Price History'!I100-1),"")</f>
        <v>9.6628432394855857E-2</v>
      </c>
      <c r="J100" s="76">
        <f>IFERROR(IF(OR(NOT(ISNUMBER('Price History'!J101)),NOT(ISNUMBER('Price History'!J100)),'Price History'!J100=0),"",'Price History'!J101/'Price History'!J100-1),"")</f>
        <v>-6.6231431545082931E-4</v>
      </c>
      <c r="K100" s="76">
        <f>IFERROR(IF(OR(NOT(ISNUMBER('Price History'!K101)),NOT(ISNUMBER('Price History'!K100)),'Price History'!K100=0),"",'Price History'!K101/'Price History'!K100-1),"")</f>
        <v>-4.7778587035688269E-2</v>
      </c>
      <c r="L100" s="76">
        <f>IFERROR(IF(OR(NOT(ISNUMBER('Price History'!L101)),NOT(ISNUMBER('Price History'!L100)),'Price History'!L100=0),"",'Price History'!L101/'Price History'!L100-1),"")</f>
        <v>9.0974177843539783E-2</v>
      </c>
      <c r="M100" s="76">
        <f>IFERROR(IF(OR(NOT(ISNUMBER('Price History'!M101)),NOT(ISNUMBER('Price History'!M100)),'Price History'!M100=0),"",'Price History'!M101/'Price History'!M100-1),"")</f>
        <v>7.2718069849839528E-2</v>
      </c>
      <c r="N100" s="76">
        <f>IFERROR(IF(OR(NOT(ISNUMBER('Price History'!N101)),NOT(ISNUMBER('Price History'!N100)),'Price History'!N100=0),"",'Price History'!N101/'Price History'!N100-1),"")</f>
        <v>9.7534420577494174E-4</v>
      </c>
      <c r="O100" s="76">
        <f>IFERROR(IF(OR(NOT(ISNUMBER('Price History'!O101)),NOT(ISNUMBER('Price History'!O100)),'Price History'!O100=0),"",'Price History'!O101/'Price History'!O100-1),"")</f>
        <v>2.058856439521084E-2</v>
      </c>
      <c r="P100" s="76" t="str">
        <f>IFERROR(IF(OR(NOT(ISNUMBER('Price History'!P101)),NOT(ISNUMBER('Price History'!P100)),'Price History'!P100=0),"",'Price History'!P101/'Price History'!P100-1),"")</f>
        <v/>
      </c>
      <c r="Q100" s="76">
        <f>IFERROR(IF(OR(NOT(ISNUMBER('Price History'!Q101)),NOT(ISNUMBER('Price History'!Q100)),'Price History'!Q100=0),"",'Price History'!Q101/'Price History'!Q100-1),"")</f>
        <v>7.4050732629589167E-3</v>
      </c>
      <c r="R100" s="76">
        <f>IFERROR(IF(OR(NOT(ISNUMBER('Price History'!R101)),NOT(ISNUMBER('Price History'!R100)),'Price History'!R100=0),"",'Price History'!R101/'Price History'!R100-1),"")</f>
        <v>2.8815165876777238E-2</v>
      </c>
      <c r="S100" s="76">
        <f>IFERROR(IF(OR(NOT(ISNUMBER('Price History'!S101)),NOT(ISNUMBER('Price History'!S100)),'Price History'!S100=0),"",'Price History'!S101/'Price History'!S100-1),"")</f>
        <v>4.6113553456178069E-2</v>
      </c>
      <c r="T100" s="76">
        <f>IFERROR(IF(OR(NOT(ISNUMBER('Price History'!T101)),NOT(ISNUMBER('Price History'!T100)),'Price History'!T100=0),"",'Price History'!T101/'Price History'!T100-1),"")</f>
        <v>8.5640879246360324E-3</v>
      </c>
      <c r="U100" s="76" t="str">
        <f>IFERROR(IF(OR(NOT(ISNUMBER('Price History'!U101)),NOT(ISNUMBER('Price History'!U100)),'Price History'!U100=0),"",'Price History'!U101/'Price History'!U100-1),"")</f>
        <v/>
      </c>
      <c r="W100" s="77">
        <f>'Price History'!B3+('Price History'!B158-'Price History'!B3)*0.62987012987013</f>
        <v>345.91831168831163</v>
      </c>
      <c r="X100" s="77">
        <f>'Price History'!C3+('Price History'!C158-'Price History'!C3)*0.62987012987013</f>
        <v>129.78655844155847</v>
      </c>
      <c r="Y100" s="77">
        <f>'Price History'!D3+('Price History'!D158-'Price History'!D3)*0.62987012987013</f>
        <v>1271.0029870129872</v>
      </c>
      <c r="Z100" s="77">
        <f>'Price History'!E3+('Price History'!E158-'Price History'!E3)*0.62987012987013</f>
        <v>275.90922077922079</v>
      </c>
      <c r="AA100" s="77">
        <f>'Price History'!F3+('Price History'!F158-'Price History'!F3)*0.62987012987013</f>
        <v>133.93402597402601</v>
      </c>
      <c r="AB100" s="77">
        <f>'Price History'!G3+('Price History'!G158-'Price History'!G3)*0.62987012987013</f>
        <v>132.88207792207794</v>
      </c>
      <c r="AC100" s="77">
        <f>'Price History'!H3+('Price History'!H158-'Price History'!H3)*0.62987012987013</f>
        <v>542.22727272727275</v>
      </c>
      <c r="AD100" s="77">
        <f>'Price History'!I3+('Price History'!I158-'Price History'!I3)*0.62987012987013</f>
        <v>141.56623376623381</v>
      </c>
      <c r="AE100" s="77">
        <f>'Price History'!J3+('Price History'!J158-'Price History'!J3)*0.62987012987013</f>
        <v>136.80025974025975</v>
      </c>
      <c r="AF100" s="77">
        <f>'Price History'!K3+('Price History'!K158-'Price History'!K3)*0.62987012987013</f>
        <v>83.215519480519504</v>
      </c>
      <c r="AG100" s="77">
        <f>'Price History'!L3+('Price History'!L158-'Price History'!L3)*0.62987012987013</f>
        <v>288.67324675324681</v>
      </c>
      <c r="AH100" s="77">
        <f>'Price History'!M3+('Price History'!M158-'Price History'!M3)*0.62987012987013</f>
        <v>164.56077922077924</v>
      </c>
      <c r="AI100" s="77">
        <f>'Price History'!N3+('Price History'!N158-'Price History'!N3)*0.62987012987013</f>
        <v>430.00467532467536</v>
      </c>
      <c r="AJ100" s="77">
        <f>'Price History'!O3+('Price History'!O158-'Price History'!O3)*0.62987012987013</f>
        <v>109.57538961038961</v>
      </c>
      <c r="AK100" s="77">
        <f>'Price History'!Q3+('Price History'!Q151-'Price History'!Q3)*0.62987012987013</f>
        <v>61.561883116883124</v>
      </c>
      <c r="AL100" s="77">
        <f>'Price History'!R3+('Price History'!R158-'Price History'!R3)*0.62987012987013</f>
        <v>54.389545454545456</v>
      </c>
      <c r="AM100" s="77">
        <f>'Price History'!S3+('Price History'!S158-'Price History'!S3)*0.62987012987013</f>
        <v>112.2616233766234</v>
      </c>
      <c r="AN100" s="77">
        <f>'Price History'!T3+('Price History'!T158-'Price History'!T3)*0.62987012987013</f>
        <v>41.289935064935072</v>
      </c>
    </row>
    <row r="101" spans="1:40" ht="15" customHeight="1" x14ac:dyDescent="0.2">
      <c r="A101" s="55">
        <f>IF('Price History'!A102="","",'Price History'!A102)</f>
        <v>45841</v>
      </c>
      <c r="B101" s="76">
        <f>IFERROR(IF(OR(NOT(ISNUMBER('Price History'!B102)),NOT(ISNUMBER('Price History'!B101)),'Price History'!B101=0),"",'Price History'!B102/'Price History'!B101-1),"")</f>
        <v>-1.6898634113469591E-2</v>
      </c>
      <c r="C101" s="76">
        <f>IFERROR(IF(OR(NOT(ISNUMBER('Price History'!C102)),NOT(ISNUMBER('Price History'!C101)),'Price History'!C101=0),"",'Price History'!C102/'Price History'!C101-1),"")</f>
        <v>3.1492101821108731E-2</v>
      </c>
      <c r="D101" s="76">
        <f>IFERROR(IF(OR(NOT(ISNUMBER('Price History'!D102)),NOT(ISNUMBER('Price History'!D101)),'Price History'!D101=0),"",'Price History'!D102/'Price History'!D101-1),"")</f>
        <v>-1.8217224700044499E-3</v>
      </c>
      <c r="E101" s="76">
        <f>IFERROR(IF(OR(NOT(ISNUMBER('Price History'!E102)),NOT(ISNUMBER('Price History'!E101)),'Price History'!E101=0),"",'Price History'!E102/'Price History'!E101-1),"")</f>
        <v>2.1644700204195289E-2</v>
      </c>
      <c r="F101" s="76">
        <f>IFERROR(IF(OR(NOT(ISNUMBER('Price History'!F102)),NOT(ISNUMBER('Price History'!F101)),'Price History'!F101=0),"",'Price History'!F102/'Price History'!F101-1),"")</f>
        <v>2.9640310822719007E-2</v>
      </c>
      <c r="G101" s="76">
        <f>IFERROR(IF(OR(NOT(ISNUMBER('Price History'!G102)),NOT(ISNUMBER('Price History'!G101)),'Price History'!G101=0),"",'Price History'!G102/'Price History'!G101-1),"")</f>
        <v>3.8993145297224308E-2</v>
      </c>
      <c r="H101" s="76">
        <f>IFERROR(IF(OR(NOT(ISNUMBER('Price History'!H102)),NOT(ISNUMBER('Price History'!H101)),'Price History'!H101=0),"",'Price History'!H102/'Price History'!H101-1),"")</f>
        <v>-1.9798012183392055E-2</v>
      </c>
      <c r="I101" s="76">
        <f>IFERROR(IF(OR(NOT(ISNUMBER('Price History'!I102)),NOT(ISNUMBER('Price History'!I101)),'Price History'!I101=0),"",'Price History'!I102/'Price History'!I101-1),"")</f>
        <v>1.0079239302694054E-2</v>
      </c>
      <c r="J101" s="76">
        <f>IFERROR(IF(OR(NOT(ISNUMBER('Price History'!J102)),NOT(ISNUMBER('Price History'!J101)),'Price History'!J101=0),"",'Price History'!J102/'Price History'!J101-1),"")</f>
        <v>2.2722969134633564E-2</v>
      </c>
      <c r="K101" s="76">
        <f>IFERROR(IF(OR(NOT(ISNUMBER('Price History'!K102)),NOT(ISNUMBER('Price History'!K101)),'Price History'!K101=0),"",'Price History'!K102/'Price History'!K101-1),"")</f>
        <v>2.7688542144714834E-2</v>
      </c>
      <c r="L101" s="76">
        <f>IFERROR(IF(OR(NOT(ISNUMBER('Price History'!L102)),NOT(ISNUMBER('Price History'!L101)),'Price History'!L101=0),"",'Price History'!L102/'Price History'!L101-1),"")</f>
        <v>2.725642035262732E-2</v>
      </c>
      <c r="M101" s="76">
        <f>IFERROR(IF(OR(NOT(ISNUMBER('Price History'!M102)),NOT(ISNUMBER('Price History'!M101)),'Price History'!M101=0),"",'Price History'!M102/'Price History'!M101-1),"")</f>
        <v>5.3475935828877219E-3</v>
      </c>
      <c r="N101" s="76">
        <f>IFERROR(IF(OR(NOT(ISNUMBER('Price History'!N102)),NOT(ISNUMBER('Price History'!N101)),'Price History'!N101=0),"",'Price History'!N102/'Price History'!N101-1),"")</f>
        <v>4.15137094946747E-2</v>
      </c>
      <c r="O101" s="76">
        <f>IFERROR(IF(OR(NOT(ISNUMBER('Price History'!O102)),NOT(ISNUMBER('Price History'!O101)),'Price History'!O101=0),"",'Price History'!O102/'Price History'!O101-1),"")</f>
        <v>4.1662098454116947E-2</v>
      </c>
      <c r="P101" s="76" t="str">
        <f>IFERROR(IF(OR(NOT(ISNUMBER('Price History'!P102)),NOT(ISNUMBER('Price History'!P101)),'Price History'!P101=0),"",'Price History'!P102/'Price History'!P101-1),"")</f>
        <v/>
      </c>
      <c r="Q101" s="76">
        <f>IFERROR(IF(OR(NOT(ISNUMBER('Price History'!Q102)),NOT(ISNUMBER('Price History'!Q101)),'Price History'!Q101=0),"",'Price History'!Q102/'Price History'!Q101-1),"")</f>
        <v>3.597122302158251E-3</v>
      </c>
      <c r="R101" s="76">
        <f>IFERROR(IF(OR(NOT(ISNUMBER('Price History'!R102)),NOT(ISNUMBER('Price History'!R101)),'Price History'!R101=0),"",'Price History'!R102/'Price History'!R101-1),"")</f>
        <v>-2.026902524415064E-3</v>
      </c>
      <c r="S101" s="76">
        <f>IFERROR(IF(OR(NOT(ISNUMBER('Price History'!S102)),NOT(ISNUMBER('Price History'!S101)),'Price History'!S101=0),"",'Price History'!S102/'Price History'!S101-1),"")</f>
        <v>5.9907010014306206E-3</v>
      </c>
      <c r="T101" s="76">
        <f>IFERROR(IF(OR(NOT(ISNUMBER('Price History'!T102)),NOT(ISNUMBER('Price History'!T101)),'Price History'!T101=0),"",'Price History'!T102/'Price History'!T101-1),"")</f>
        <v>1.2454005094820308E-2</v>
      </c>
      <c r="U101" s="76" t="str">
        <f>IFERROR(IF(OR(NOT(ISNUMBER('Price History'!U102)),NOT(ISNUMBER('Price History'!U101)),'Price History'!U101=0),"",'Price History'!U102/'Price History'!U101-1),"")</f>
        <v/>
      </c>
      <c r="W101" s="77">
        <f>'Price History'!B3+('Price History'!B158-'Price History'!B3)*0.636363636363636</f>
        <v>344.24272727272739</v>
      </c>
      <c r="X101" s="77">
        <f>'Price History'!C3+('Price History'!C158-'Price History'!C3)*0.636363636363636</f>
        <v>130.67363636363632</v>
      </c>
      <c r="Y101" s="77">
        <f>'Price History'!D3+('Price History'!D158-'Price History'!D3)*0.636363636363636</f>
        <v>1277.2836363636361</v>
      </c>
      <c r="Z101" s="77">
        <f>'Price History'!E3+('Price History'!E158-'Price History'!E3)*0.636363636363636</f>
        <v>277.89818181818168</v>
      </c>
      <c r="AA101" s="77">
        <f>'Price History'!F3+('Price History'!F158-'Price History'!F3)*0.636363636363636</f>
        <v>134.93272727272722</v>
      </c>
      <c r="AB101" s="77">
        <f>'Price History'!G3+('Price History'!G158-'Price History'!G3)*0.636363636363636</f>
        <v>133.75818181818175</v>
      </c>
      <c r="AC101" s="77">
        <f>'Price History'!H3+('Price History'!H158-'Price History'!H3)*0.636363636363636</f>
        <v>547.15363636363611</v>
      </c>
      <c r="AD101" s="77">
        <f>'Price History'!I3+('Price History'!I158-'Price History'!I3)*0.636363636363636</f>
        <v>142.60454545454542</v>
      </c>
      <c r="AE101" s="77">
        <f>'Price History'!J3+('Price History'!J158-'Price History'!J3)*0.636363636363636</f>
        <v>136.93727272727273</v>
      </c>
      <c r="AF101" s="77">
        <f>'Price History'!K3+('Price History'!K158-'Price History'!K3)*0.636363636363636</f>
        <v>83.914545454545419</v>
      </c>
      <c r="AG101" s="77">
        <f>'Price History'!L3+('Price History'!L158-'Price History'!L3)*0.636363636363636</f>
        <v>290.70090909090897</v>
      </c>
      <c r="AH101" s="77">
        <f>'Price History'!M3+('Price History'!M158-'Price History'!M3)*0.636363636363636</f>
        <v>165.91181818181809</v>
      </c>
      <c r="AI101" s="77">
        <f>'Price History'!N3+('Price History'!N158-'Price History'!N3)*0.636363636363636</f>
        <v>430.83090909090907</v>
      </c>
      <c r="AJ101" s="77">
        <f>'Price History'!O3+('Price History'!O158-'Price History'!O3)*0.636363636363636</f>
        <v>109.85090909090907</v>
      </c>
      <c r="AK101" s="77">
        <f>'Price History'!Q3+('Price History'!Q151-'Price History'!Q3)*0.636363636363636</f>
        <v>61.68272727272727</v>
      </c>
      <c r="AL101" s="77">
        <f>'Price History'!R3+('Price History'!R158-'Price History'!R3)*0.636363636363636</f>
        <v>54.457272727272724</v>
      </c>
      <c r="AM101" s="77">
        <f>'Price History'!S3+('Price History'!S158-'Price History'!S3)*0.636363636363636</f>
        <v>112.81545454545453</v>
      </c>
      <c r="AN101" s="77">
        <f>'Price History'!T3+('Price History'!T158-'Price History'!T3)*0.636363636363636</f>
        <v>41.43818181818181</v>
      </c>
    </row>
    <row r="102" spans="1:40" ht="15" customHeight="1" x14ac:dyDescent="0.2">
      <c r="A102" s="55">
        <f>IF('Price History'!A103="","",'Price History'!A103)</f>
        <v>45849</v>
      </c>
      <c r="B102" s="76">
        <f>IFERROR(IF(OR(NOT(ISNUMBER('Price History'!B103)),NOT(ISNUMBER('Price History'!B102)),'Price History'!B102=0),"",'Price History'!B103/'Price History'!B102-1),"")</f>
        <v>-4.207640188763806E-2</v>
      </c>
      <c r="C102" s="76">
        <f>IFERROR(IF(OR(NOT(ISNUMBER('Price History'!C103)),NOT(ISNUMBER('Price History'!C102)),'Price History'!C102=0),"",'Price History'!C103/'Price History'!C102-1),"")</f>
        <v>5.9012875536480713E-2</v>
      </c>
      <c r="D102" s="76">
        <f>IFERROR(IF(OR(NOT(ISNUMBER('Price History'!D103)),NOT(ISNUMBER('Price History'!D102)),'Price History'!D102=0),"",'Price History'!D103/'Price History'!D102-1),"")</f>
        <v>9.3517935808684616E-3</v>
      </c>
      <c r="E102" s="76">
        <f>IFERROR(IF(OR(NOT(ISNUMBER('Price History'!E103)),NOT(ISNUMBER('Price History'!E102)),'Price History'!E102=0),"",'Price History'!E103/'Price History'!E102-1),"")</f>
        <v>-2.9071880223854318E-3</v>
      </c>
      <c r="F102" s="76">
        <f>IFERROR(IF(OR(NOT(ISNUMBER('Price History'!F103)),NOT(ISNUMBER('Price History'!F102)),'Price History'!F102=0),"",'Price History'!F103/'Price History'!F102-1),"")</f>
        <v>-6.9400140045125625E-2</v>
      </c>
      <c r="G102" s="76">
        <f>IFERROR(IF(OR(NOT(ISNUMBER('Price History'!G103)),NOT(ISNUMBER('Price History'!G102)),'Price History'!G102=0),"",'Price History'!G103/'Price History'!G102-1),"")</f>
        <v>0</v>
      </c>
      <c r="H102" s="76">
        <f>IFERROR(IF(OR(NOT(ISNUMBER('Price History'!H103)),NOT(ISNUMBER('Price History'!H102)),'Price History'!H102=0),"",'Price History'!H103/'Price History'!H102-1),"")</f>
        <v>1.831711505437883E-2</v>
      </c>
      <c r="I102" s="76">
        <f>IFERROR(IF(OR(NOT(ISNUMBER('Price History'!I103)),NOT(ISNUMBER('Price History'!I102)),'Price History'!I102=0),"",'Price History'!I103/'Price History'!I102-1),"")</f>
        <v>3.5019455252918164E-2</v>
      </c>
      <c r="J102" s="76">
        <f>IFERROR(IF(OR(NOT(ISNUMBER('Price History'!J103)),NOT(ISNUMBER('Price History'!J102)),'Price History'!J102=0),"",'Price History'!J103/'Price History'!J102-1),"")</f>
        <v>1.0646176633956728E-2</v>
      </c>
      <c r="K102" s="76">
        <f>IFERROR(IF(OR(NOT(ISNUMBER('Price History'!K103)),NOT(ISNUMBER('Price History'!K102)),'Price History'!K102=0),"",'Price History'!K103/'Price History'!K102-1),"")</f>
        <v>5.760643048526326E-2</v>
      </c>
      <c r="L102" s="76">
        <f>IFERROR(IF(OR(NOT(ISNUMBER('Price History'!L103)),NOT(ISNUMBER('Price History'!L102)),'Price History'!L102=0),"",'Price History'!L103/'Price History'!L102-1),"")</f>
        <v>-1.8739352640545159E-2</v>
      </c>
      <c r="M102" s="76">
        <f>IFERROR(IF(OR(NOT(ISNUMBER('Price History'!M103)),NOT(ISNUMBER('Price History'!M102)),'Price History'!M102=0),"",'Price History'!M103/'Price History'!M102-1),"")</f>
        <v>-3.5513141426783523E-2</v>
      </c>
      <c r="N102" s="76">
        <f>IFERROR(IF(OR(NOT(ISNUMBER('Price History'!N103)),NOT(ISNUMBER('Price History'!N102)),'Price History'!N102=0),"",'Price History'!N103/'Price History'!N102-1),"")</f>
        <v>2.0081806709890904E-2</v>
      </c>
      <c r="O102" s="76">
        <f>IFERROR(IF(OR(NOT(ISNUMBER('Price History'!O103)),NOT(ISNUMBER('Price History'!O102)),'Price History'!O102=0),"",'Price History'!O103/'Price History'!O102-1),"")</f>
        <v>-1.3682770234713093E-3</v>
      </c>
      <c r="P102" s="76" t="str">
        <f>IFERROR(IF(OR(NOT(ISNUMBER('Price History'!P103)),NOT(ISNUMBER('Price History'!P102)),'Price History'!P102=0),"",'Price History'!P103/'Price History'!P102-1),"")</f>
        <v/>
      </c>
      <c r="Q102" s="76">
        <f>IFERROR(IF(OR(NOT(ISNUMBER('Price History'!Q103)),NOT(ISNUMBER('Price History'!Q102)),'Price History'!Q102=0),"",'Price History'!Q103/'Price History'!Q102-1),"")</f>
        <v>1.5583606046454257E-4</v>
      </c>
      <c r="R102" s="76">
        <f>IFERROR(IF(OR(NOT(ISNUMBER('Price History'!R103)),NOT(ISNUMBER('Price History'!R102)),'Price History'!R102=0),"",'Price History'!R103/'Price History'!R102-1),"")</f>
        <v>3.6927621861153614E-3</v>
      </c>
      <c r="S102" s="76">
        <f>IFERROR(IF(OR(NOT(ISNUMBER('Price History'!S103)),NOT(ISNUMBER('Price History'!S102)),'Price History'!S102=0),"",'Price History'!S103/'Price History'!S102-1),"")</f>
        <v>-3.0219536041241613E-3</v>
      </c>
      <c r="T102" s="76">
        <f>IFERROR(IF(OR(NOT(ISNUMBER('Price History'!T103)),NOT(ISNUMBER('Price History'!T102)),'Price History'!T102=0),"",'Price History'!T103/'Price History'!T102-1),"")</f>
        <v>1.9569471624265589E-3</v>
      </c>
      <c r="U102" s="76" t="str">
        <f>IFERROR(IF(OR(NOT(ISNUMBER('Price History'!U103)),NOT(ISNUMBER('Price History'!U102)),'Price History'!U102=0),"",'Price History'!U103/'Price History'!U102-1),"")</f>
        <v/>
      </c>
      <c r="W102" s="77">
        <f>'Price History'!B3+('Price History'!B158-'Price History'!B3)*0.642857142857143</f>
        <v>342.56714285714281</v>
      </c>
      <c r="X102" s="77">
        <f>'Price History'!C3+('Price History'!C158-'Price History'!C3)*0.642857142857143</f>
        <v>131.56071428571431</v>
      </c>
      <c r="Y102" s="77">
        <f>'Price History'!D3+('Price History'!D158-'Price History'!D3)*0.642857142857143</f>
        <v>1283.5642857142857</v>
      </c>
      <c r="Z102" s="77">
        <f>'Price History'!E3+('Price History'!E158-'Price History'!E3)*0.642857142857143</f>
        <v>279.88714285714286</v>
      </c>
      <c r="AA102" s="77">
        <f>'Price History'!F3+('Price History'!F158-'Price History'!F3)*0.642857142857143</f>
        <v>135.93142857142863</v>
      </c>
      <c r="AB102" s="77">
        <f>'Price History'!G3+('Price History'!G158-'Price History'!G3)*0.642857142857143</f>
        <v>134.63428571428574</v>
      </c>
      <c r="AC102" s="77">
        <f>'Price History'!H3+('Price History'!H158-'Price History'!H3)*0.642857142857143</f>
        <v>552.08000000000015</v>
      </c>
      <c r="AD102" s="77">
        <f>'Price History'!I3+('Price History'!I158-'Price History'!I3)*0.642857142857143</f>
        <v>143.64285714285717</v>
      </c>
      <c r="AE102" s="77">
        <f>'Price History'!J3+('Price History'!J158-'Price History'!J3)*0.642857142857143</f>
        <v>137.07428571428574</v>
      </c>
      <c r="AF102" s="77">
        <f>'Price History'!K3+('Price History'!K158-'Price History'!K3)*0.642857142857143</f>
        <v>84.613571428571447</v>
      </c>
      <c r="AG102" s="77">
        <f>'Price History'!L3+('Price History'!L158-'Price History'!L3)*0.642857142857143</f>
        <v>292.72857142857146</v>
      </c>
      <c r="AH102" s="77">
        <f>'Price History'!M3+('Price History'!M158-'Price History'!M3)*0.642857142857143</f>
        <v>167.26285714285717</v>
      </c>
      <c r="AI102" s="77">
        <f>'Price History'!N3+('Price History'!N158-'Price History'!N3)*0.642857142857143</f>
        <v>431.6571428571429</v>
      </c>
      <c r="AJ102" s="77">
        <f>'Price History'!O3+('Price History'!O158-'Price History'!O3)*0.642857142857143</f>
        <v>110.12642857142858</v>
      </c>
      <c r="AK102" s="77">
        <f>'Price History'!Q3+('Price History'!Q151-'Price History'!Q3)*0.642857142857143</f>
        <v>61.803571428571431</v>
      </c>
      <c r="AL102" s="77">
        <f>'Price History'!R3+('Price History'!R158-'Price History'!R3)*0.642857142857143</f>
        <v>54.525000000000006</v>
      </c>
      <c r="AM102" s="77">
        <f>'Price History'!S3+('Price History'!S158-'Price History'!S3)*0.642857142857143</f>
        <v>113.36928571428574</v>
      </c>
      <c r="AN102" s="77">
        <f>'Price History'!T3+('Price History'!T158-'Price History'!T3)*0.642857142857143</f>
        <v>41.586428571428577</v>
      </c>
    </row>
    <row r="103" spans="1:40" ht="15" customHeight="1" x14ac:dyDescent="0.2">
      <c r="A103" s="55">
        <f>IF('Price History'!A104="","",'Price History'!A104)</f>
        <v>45856</v>
      </c>
      <c r="B103" s="76">
        <f>IFERROR(IF(OR(NOT(ISNUMBER('Price History'!B104)),NOT(ISNUMBER('Price History'!B103)),'Price History'!B103=0),"",'Price History'!B104/'Price History'!B103-1),"")</f>
        <v>6.7152882895280541E-3</v>
      </c>
      <c r="C103" s="76">
        <f>IFERROR(IF(OR(NOT(ISNUMBER('Price History'!C104)),NOT(ISNUMBER('Price History'!C103)),'Price History'!C103=0),"",'Price History'!C104/'Price History'!C103-1),"")</f>
        <v>2.9566178502348883E-2</v>
      </c>
      <c r="D103" s="76">
        <f>IFERROR(IF(OR(NOT(ISNUMBER('Price History'!D104)),NOT(ISNUMBER('Price History'!D103)),'Price History'!D103=0),"",'Price History'!D104/'Price History'!D103-1),"")</f>
        <v>-8.3984886461411778E-2</v>
      </c>
      <c r="E103" s="76">
        <f>IFERROR(IF(OR(NOT(ISNUMBER('Price History'!E104)),NOT(ISNUMBER('Price History'!E103)),'Price History'!E103=0),"",'Price History'!E104/'Price History'!E103-1),"")</f>
        <v>3.2655441358699466E-2</v>
      </c>
      <c r="F103" s="76">
        <f>IFERROR(IF(OR(NOT(ISNUMBER('Price History'!F104)),NOT(ISNUMBER('Price History'!F103)),'Price History'!F103=0),"",'Price History'!F104/'Price History'!F103-1),"")</f>
        <v>-5.1835130841902943E-3</v>
      </c>
      <c r="G103" s="76">
        <f>IFERROR(IF(OR(NOT(ISNUMBER('Price History'!G104)),NOT(ISNUMBER('Price History'!G103)),'Price History'!G103=0),"",'Price History'!G104/'Price History'!G103-1),"")</f>
        <v>7.0300670560243805E-3</v>
      </c>
      <c r="H103" s="76">
        <f>IFERROR(IF(OR(NOT(ISNUMBER('Price History'!H104)),NOT(ISNUMBER('Price History'!H103)),'Price History'!H103=0),"",'Price History'!H104/'Price History'!H103-1),"")</f>
        <v>-8.1426162370513144E-2</v>
      </c>
      <c r="I103" s="76">
        <f>IFERROR(IF(OR(NOT(ISNUMBER('Price History'!I104)),NOT(ISNUMBER('Price History'!I103)),'Price History'!I103=0),"",'Price History'!I104/'Price History'!I103-1),"")</f>
        <v>4.5415959252971261E-2</v>
      </c>
      <c r="J103" s="76">
        <f>IFERROR(IF(OR(NOT(ISNUMBER('Price History'!J104)),NOT(ISNUMBER('Price History'!J103)),'Price History'!J103=0),"",'Price History'!J104/'Price History'!J103-1),"")</f>
        <v>-2.1892461298891663E-2</v>
      </c>
      <c r="K103" s="76">
        <f>IFERROR(IF(OR(NOT(ISNUMBER('Price History'!K104)),NOT(ISNUMBER('Price History'!K103)),'Price History'!K103=0),"",'Price History'!K104/'Price History'!K103-1),"")</f>
        <v>8.0365939479239978E-2</v>
      </c>
      <c r="L103" s="76">
        <f>IFERROR(IF(OR(NOT(ISNUMBER('Price History'!L104)),NOT(ISNUMBER('Price History'!L103)),'Price History'!L103=0),"",'Price History'!L104/'Price History'!L103-1),"")</f>
        <v>4.3402777777777679E-2</v>
      </c>
      <c r="M103" s="76">
        <f>IFERROR(IF(OR(NOT(ISNUMBER('Price History'!M104)),NOT(ISNUMBER('Price History'!M103)),'Price History'!M103=0),"",'Price History'!M104/'Price History'!M103-1),"")</f>
        <v>4.6715328467153316E-2</v>
      </c>
      <c r="N103" s="76">
        <f>IFERROR(IF(OR(NOT(ISNUMBER('Price History'!N104)),NOT(ISNUMBER('Price History'!N103)),'Price History'!N103=0),"",'Price History'!N104/'Price History'!N103-1),"")</f>
        <v>-1.9281220006398647E-2</v>
      </c>
      <c r="O103" s="76">
        <f>IFERROR(IF(OR(NOT(ISNUMBER('Price History'!O104)),NOT(ISNUMBER('Price History'!O103)),'Price History'!O103=0),"",'Price History'!O104/'Price History'!O103-1),"")</f>
        <v>-1.1698988195615545E-2</v>
      </c>
      <c r="P103" s="76" t="str">
        <f>IFERROR(IF(OR(NOT(ISNUMBER('Price History'!P104)),NOT(ISNUMBER('Price History'!P103)),'Price History'!P103=0),"",'Price History'!P104/'Price History'!P103-1),"")</f>
        <v/>
      </c>
      <c r="Q103" s="76">
        <f>IFERROR(IF(OR(NOT(ISNUMBER('Price History'!Q104)),NOT(ISNUMBER('Price History'!Q103)),'Price History'!Q103=0),"",'Price History'!Q104/'Price History'!Q103-1),"")</f>
        <v>2.1813649111870337E-3</v>
      </c>
      <c r="R103" s="76">
        <f>IFERROR(IF(OR(NOT(ISNUMBER('Price History'!R104)),NOT(ISNUMBER('Price History'!R103)),'Price History'!R103=0),"",'Price History'!R104/'Price History'!R103-1),"")</f>
        <v>6.070640176600417E-3</v>
      </c>
      <c r="S103" s="76">
        <f>IFERROR(IF(OR(NOT(ISNUMBER('Price History'!S104)),NOT(ISNUMBER('Price History'!S103)),'Price History'!S103=0),"",'Price History'!S104/'Price History'!S103-1),"")</f>
        <v>1.4798965855397972E-2</v>
      </c>
      <c r="T103" s="76">
        <f>IFERROR(IF(OR(NOT(ISNUMBER('Price History'!T104)),NOT(ISNUMBER('Price History'!T103)),'Price History'!T103=0),"",'Price History'!T104/'Price History'!T103-1),"")</f>
        <v>-2.1205357142857317E-2</v>
      </c>
      <c r="U103" s="76" t="str">
        <f>IFERROR(IF(OR(NOT(ISNUMBER('Price History'!U104)),NOT(ISNUMBER('Price History'!U103)),'Price History'!U103=0),"",'Price History'!U104/'Price History'!U103-1),"")</f>
        <v/>
      </c>
      <c r="W103" s="77">
        <f>'Price History'!B3+('Price History'!B158-'Price History'!B3)*0.649350649350649</f>
        <v>340.89155844155857</v>
      </c>
      <c r="X103" s="77">
        <f>'Price History'!C3+('Price History'!C158-'Price History'!C3)*0.649350649350649</f>
        <v>132.44779220779216</v>
      </c>
      <c r="Y103" s="77">
        <f>'Price History'!D3+('Price History'!D158-'Price History'!D3)*0.649350649350649</f>
        <v>1289.8449350649348</v>
      </c>
      <c r="Z103" s="77">
        <f>'Price History'!E3+('Price History'!E158-'Price History'!E3)*0.649350649350649</f>
        <v>281.87610389610376</v>
      </c>
      <c r="AA103" s="77">
        <f>'Price History'!F3+('Price History'!F158-'Price History'!F3)*0.649350649350649</f>
        <v>136.93012987012983</v>
      </c>
      <c r="AB103" s="77">
        <f>'Price History'!G3+('Price History'!G158-'Price History'!G3)*0.649350649350649</f>
        <v>135.51038961038955</v>
      </c>
      <c r="AC103" s="77">
        <f>'Price History'!H3+('Price History'!H158-'Price History'!H3)*0.649350649350649</f>
        <v>557.0063636363634</v>
      </c>
      <c r="AD103" s="77">
        <f>'Price History'!I3+('Price History'!I158-'Price History'!I3)*0.649350649350649</f>
        <v>144.68116883116878</v>
      </c>
      <c r="AE103" s="77">
        <f>'Price History'!J3+('Price History'!J158-'Price History'!J3)*0.649350649350649</f>
        <v>137.21129870129872</v>
      </c>
      <c r="AF103" s="77">
        <f>'Price History'!K3+('Price History'!K158-'Price History'!K3)*0.649350649350649</f>
        <v>85.312597402597362</v>
      </c>
      <c r="AG103" s="77">
        <f>'Price History'!L3+('Price History'!L158-'Price History'!L3)*0.649350649350649</f>
        <v>294.75623376623366</v>
      </c>
      <c r="AH103" s="77">
        <f>'Price History'!M3+('Price History'!M158-'Price History'!M3)*0.649350649350649</f>
        <v>168.61389610389602</v>
      </c>
      <c r="AI103" s="77">
        <f>'Price History'!N3+('Price History'!N158-'Price History'!N3)*0.649350649350649</f>
        <v>432.48337662337661</v>
      </c>
      <c r="AJ103" s="77">
        <f>'Price History'!O3+('Price History'!O158-'Price History'!O3)*0.649350649350649</f>
        <v>110.40194805194804</v>
      </c>
      <c r="AK103" s="77">
        <f>'Price History'!Q3+('Price History'!Q151-'Price History'!Q3)*0.649350649350649</f>
        <v>61.924415584415584</v>
      </c>
      <c r="AL103" s="77">
        <f>'Price History'!R3+('Price History'!R158-'Price History'!R3)*0.649350649350649</f>
        <v>54.592727272727267</v>
      </c>
      <c r="AM103" s="77">
        <f>'Price History'!S3+('Price History'!S158-'Price History'!S3)*0.649350649350649</f>
        <v>113.92311688311688</v>
      </c>
      <c r="AN103" s="77">
        <f>'Price History'!T3+('Price History'!T158-'Price History'!T3)*0.649350649350649</f>
        <v>41.734675324675322</v>
      </c>
    </row>
    <row r="104" spans="1:40" ht="15" customHeight="1" x14ac:dyDescent="0.2">
      <c r="A104" s="55">
        <f>IF('Price History'!A105="","",'Price History'!A105)</f>
        <v>45863</v>
      </c>
      <c r="B104" s="76">
        <f>IFERROR(IF(OR(NOT(ISNUMBER('Price History'!B105)),NOT(ISNUMBER('Price History'!B104)),'Price History'!B104=0),"",'Price History'!B105/'Price History'!B104-1),"")</f>
        <v>1.3532354629705479E-2</v>
      </c>
      <c r="C104" s="76">
        <f>IFERROR(IF(OR(NOT(ISNUMBER('Price History'!C105)),NOT(ISNUMBER('Price History'!C104)),'Price History'!C104=0),"",'Price History'!C105/'Price History'!C104-1),"")</f>
        <v>2.2365360529611689E-2</v>
      </c>
      <c r="D104" s="76">
        <f>IFERROR(IF(OR(NOT(ISNUMBER('Price History'!D105)),NOT(ISNUMBER('Price History'!D104)),'Price History'!D104=0),"",'Price History'!D105/'Price History'!D104-1),"")</f>
        <v>-3.1759644967192191E-2</v>
      </c>
      <c r="E104" s="76">
        <f>IFERROR(IF(OR(NOT(ISNUMBER('Price History'!E105)),NOT(ISNUMBER('Price History'!E104)),'Price History'!E104=0),"",'Price History'!E105/'Price History'!E104-1),"")</f>
        <v>2.4140608456271639E-2</v>
      </c>
      <c r="F104" s="76">
        <f>IFERROR(IF(OR(NOT(ISNUMBER('Price History'!F105)),NOT(ISNUMBER('Price History'!F104)),'Price History'!F104=0),"",'Price History'!F105/'Price History'!F104-1),"")</f>
        <v>-1.6892175813093435E-2</v>
      </c>
      <c r="G104" s="76">
        <f>IFERROR(IF(OR(NOT(ISNUMBER('Price History'!G105)),NOT(ISNUMBER('Price History'!G104)),'Price History'!G104=0),"",'Price History'!G105/'Price History'!G104-1),"")</f>
        <v>-3.114595639566109E-2</v>
      </c>
      <c r="H104" s="76">
        <f>IFERROR(IF(OR(NOT(ISNUMBER('Price History'!H105)),NOT(ISNUMBER('Price History'!H104)),'Price History'!H104=0),"",'Price History'!H105/'Price History'!H104-1),"")</f>
        <v>-2.7362531689832936E-2</v>
      </c>
      <c r="I104" s="76">
        <f>IFERROR(IF(OR(NOT(ISNUMBER('Price History'!I105)),NOT(ISNUMBER('Price History'!I104)),'Price History'!I104=0),"",'Price History'!I105/'Price History'!I104-1),"")</f>
        <v>6.3221390870600302E-3</v>
      </c>
      <c r="J104" s="76">
        <f>IFERROR(IF(OR(NOT(ISNUMBER('Price History'!J105)),NOT(ISNUMBER('Price History'!J104)),'Price History'!J104=0),"",'Price History'!J105/'Price History'!J104-1),"")</f>
        <v>3.2871324218018305E-2</v>
      </c>
      <c r="K104" s="76">
        <f>IFERROR(IF(OR(NOT(ISNUMBER('Price History'!K105)),NOT(ISNUMBER('Price History'!K104)),'Price History'!K104=0),"",'Price History'!K105/'Price History'!K104-1),"")</f>
        <v>3.4392912975508061E-2</v>
      </c>
      <c r="L104" s="76">
        <f>IFERROR(IF(OR(NOT(ISNUMBER('Price History'!L105)),NOT(ISNUMBER('Price History'!L104)),'Price History'!L104=0),"",'Price History'!L105/'Price History'!L104-1),"")</f>
        <v>2.1630615640598982E-2</v>
      </c>
      <c r="M104" s="76">
        <f>IFERROR(IF(OR(NOT(ISNUMBER('Price History'!M105)),NOT(ISNUMBER('Price History'!M104)),'Price History'!M104=0),"",'Price History'!M105/'Price History'!M104-1),"")</f>
        <v>6.5163489849682232E-2</v>
      </c>
      <c r="N104" s="76">
        <f>IFERROR(IF(OR(NOT(ISNUMBER('Price History'!N105)),NOT(ISNUMBER('Price History'!N104)),'Price History'!N104=0),"",'Price History'!N105/'Price History'!N104-1),"")</f>
        <v>2.1400143537548155E-2</v>
      </c>
      <c r="O104" s="76">
        <f>IFERROR(IF(OR(NOT(ISNUMBER('Price History'!O105)),NOT(ISNUMBER('Price History'!O104)),'Price History'!O104=0),"",'Price History'!O105/'Price History'!O104-1),"")</f>
        <v>1.471686040311404E-2</v>
      </c>
      <c r="P104" s="76" t="str">
        <f>IFERROR(IF(OR(NOT(ISNUMBER('Price History'!P105)),NOT(ISNUMBER('Price History'!P104)),'Price History'!P104=0),"",'Price History'!P105/'Price History'!P104-1),"")</f>
        <v/>
      </c>
      <c r="Q104" s="76">
        <f>IFERROR(IF(OR(NOT(ISNUMBER('Price History'!Q105)),NOT(ISNUMBER('Price History'!Q104)),'Price History'!Q104=0),"",'Price History'!Q105/'Price History'!Q104-1),"")</f>
        <v>8.5509950248758848E-3</v>
      </c>
      <c r="R104" s="76">
        <f>IFERROR(IF(OR(NOT(ISNUMBER('Price History'!R105)),NOT(ISNUMBER('Price History'!R104)),'Price History'!R104=0),"",'Price History'!R105/'Price History'!R104-1),"")</f>
        <v>7.1311025781679582E-3</v>
      </c>
      <c r="S104" s="76">
        <f>IFERROR(IF(OR(NOT(ISNUMBER('Price History'!S105)),NOT(ISNUMBER('Price History'!S104)),'Price History'!S104=0),"",'Price History'!S105/'Price History'!S104-1),"")</f>
        <v>1.0542036370025487E-2</v>
      </c>
      <c r="T104" s="76">
        <f>IFERROR(IF(OR(NOT(ISNUMBER('Price History'!T105)),NOT(ISNUMBER('Price History'!T104)),'Price History'!T104=0),"",'Price History'!T105/'Price History'!T104-1),"")</f>
        <v>2.1949828962371853E-2</v>
      </c>
      <c r="U104" s="76" t="str">
        <f>IFERROR(IF(OR(NOT(ISNUMBER('Price History'!U105)),NOT(ISNUMBER('Price History'!U104)),'Price History'!U104=0),"",'Price History'!U105/'Price History'!U104-1),"")</f>
        <v/>
      </c>
      <c r="W104" s="77">
        <f>'Price History'!B3+('Price History'!B158-'Price History'!B3)*0.655844155844156</f>
        <v>339.21597402597399</v>
      </c>
      <c r="X104" s="77">
        <f>'Price History'!C3+('Price History'!C158-'Price History'!C3)*0.655844155844156</f>
        <v>133.33487012987015</v>
      </c>
      <c r="Y104" s="77">
        <f>'Price History'!D3+('Price History'!D158-'Price History'!D3)*0.655844155844156</f>
        <v>1296.1255844155844</v>
      </c>
      <c r="Z104" s="77">
        <f>'Price History'!E3+('Price History'!E158-'Price History'!E3)*0.655844155844156</f>
        <v>283.86506493506494</v>
      </c>
      <c r="AA104" s="77">
        <f>'Price History'!F3+('Price History'!F158-'Price History'!F3)*0.655844155844156</f>
        <v>137.92883116883121</v>
      </c>
      <c r="AB104" s="77">
        <f>'Price History'!G3+('Price History'!G158-'Price History'!G3)*0.655844155844156</f>
        <v>136.38649350649351</v>
      </c>
      <c r="AC104" s="77">
        <f>'Price History'!H3+('Price History'!H158-'Price History'!H3)*0.655844155844156</f>
        <v>561.93272727272733</v>
      </c>
      <c r="AD104" s="77">
        <f>'Price History'!I3+('Price History'!I158-'Price History'!I3)*0.655844155844156</f>
        <v>145.71948051948056</v>
      </c>
      <c r="AE104" s="77">
        <f>'Price History'!J3+('Price History'!J158-'Price History'!J3)*0.655844155844156</f>
        <v>137.3483116883117</v>
      </c>
      <c r="AF104" s="77">
        <f>'Price History'!K3+('Price History'!K158-'Price History'!K3)*0.655844155844156</f>
        <v>86.01162337662339</v>
      </c>
      <c r="AG104" s="77">
        <f>'Price History'!L3+('Price History'!L158-'Price History'!L3)*0.655844155844156</f>
        <v>296.78389610389615</v>
      </c>
      <c r="AH104" s="77">
        <f>'Price History'!M3+('Price History'!M158-'Price History'!M3)*0.655844155844156</f>
        <v>169.9649350649351</v>
      </c>
      <c r="AI104" s="77">
        <f>'Price History'!N3+('Price History'!N158-'Price History'!N3)*0.655844155844156</f>
        <v>433.30961038961044</v>
      </c>
      <c r="AJ104" s="77">
        <f>'Price History'!O3+('Price History'!O158-'Price History'!O3)*0.655844155844156</f>
        <v>110.67746753246755</v>
      </c>
      <c r="AK104" s="77">
        <f>'Price History'!Q3+('Price History'!Q151-'Price History'!Q3)*0.655844155844156</f>
        <v>62.045259740259745</v>
      </c>
      <c r="AL104" s="77">
        <f>'Price History'!R3+('Price History'!R158-'Price History'!R3)*0.655844155844156</f>
        <v>54.660454545454549</v>
      </c>
      <c r="AM104" s="77">
        <f>'Price History'!S3+('Price History'!S158-'Price History'!S3)*0.655844155844156</f>
        <v>114.47694805194809</v>
      </c>
      <c r="AN104" s="77">
        <f>'Price History'!T3+('Price History'!T158-'Price History'!T3)*0.655844155844156</f>
        <v>41.882922077922082</v>
      </c>
    </row>
    <row r="105" spans="1:40" ht="15" customHeight="1" x14ac:dyDescent="0.2">
      <c r="A105" s="55">
        <f>IF('Price History'!A106="","",'Price History'!A106)</f>
        <v>45870</v>
      </c>
      <c r="B105" s="76">
        <f>IFERROR(IF(OR(NOT(ISNUMBER('Price History'!B106)),NOT(ISNUMBER('Price History'!B105)),'Price History'!B105=0),"",'Price History'!B106/'Price History'!B105-1),"")</f>
        <v>-6.187624750498999E-2</v>
      </c>
      <c r="C105" s="76">
        <f>IFERROR(IF(OR(NOT(ISNUMBER('Price History'!C106)),NOT(ISNUMBER('Price History'!C105)),'Price History'!C105=0),"",'Price History'!C106/'Price History'!C105-1),"")</f>
        <v>2.878893944697225E-2</v>
      </c>
      <c r="D105" s="76">
        <f>IFERROR(IF(OR(NOT(ISNUMBER('Price History'!D106)),NOT(ISNUMBER('Price History'!D105)),'Price History'!D105=0),"",'Price History'!D106/'Price History'!D105-1),"")</f>
        <v>-3.0130052724077205E-2</v>
      </c>
      <c r="E105" s="76">
        <f>IFERROR(IF(OR(NOT(ISNUMBER('Price History'!E106)),NOT(ISNUMBER('Price History'!E105)),'Price History'!E105=0),"",'Price History'!E106/'Price History'!E105-1),"")</f>
        <v>-5.3070507960576441E-3</v>
      </c>
      <c r="F105" s="76">
        <f>IFERROR(IF(OR(NOT(ISNUMBER('Price History'!F106)),NOT(ISNUMBER('Price History'!F105)),'Price History'!F105=0),"",'Price History'!F106/'Price History'!F105-1),"")</f>
        <v>-4.5392374764917087E-2</v>
      </c>
      <c r="G105" s="76">
        <f>IFERROR(IF(OR(NOT(ISNUMBER('Price History'!G106)),NOT(ISNUMBER('Price History'!G105)),'Price History'!G105=0),"",'Price History'!G106/'Price History'!G105-1),"")</f>
        <v>-1.7182130584192379E-2</v>
      </c>
      <c r="H105" s="76">
        <f>IFERROR(IF(OR(NOT(ISNUMBER('Price History'!H106)),NOT(ISNUMBER('Price History'!H105)),'Price History'!H105=0),"",'Price History'!H106/'Price History'!H105-1),"")</f>
        <v>-5.7343160165378437E-2</v>
      </c>
      <c r="I105" s="76">
        <f>IFERROR(IF(OR(NOT(ISNUMBER('Price History'!I106)),NOT(ISNUMBER('Price History'!I105)),'Price History'!I105=0),"",'Price History'!I106/'Price History'!I105-1),"")</f>
        <v>1.2680115273775439E-3</v>
      </c>
      <c r="J105" s="76">
        <f>IFERROR(IF(OR(NOT(ISNUMBER('Price History'!J106)),NOT(ISNUMBER('Price History'!J105)),'Price History'!J105=0),"",'Price History'!J106/'Price History'!J105-1),"")</f>
        <v>-4.8780487804878092E-2</v>
      </c>
      <c r="K105" s="76">
        <f>IFERROR(IF(OR(NOT(ISNUMBER('Price History'!K106)),NOT(ISNUMBER('Price History'!K105)),'Price History'!K105=0),"",'Price History'!K106/'Price History'!K105-1),"")</f>
        <v>-2.8526448362720447E-2</v>
      </c>
      <c r="L105" s="76">
        <f>IFERROR(IF(OR(NOT(ISNUMBER('Price History'!L106)),NOT(ISNUMBER('Price History'!L105)),'Price History'!L105=0),"",'Price History'!L106/'Price History'!L105-1),"")</f>
        <v>-4.2304560260586266E-2</v>
      </c>
      <c r="M105" s="76">
        <f>IFERROR(IF(OR(NOT(ISNUMBER('Price History'!M106)),NOT(ISNUMBER('Price History'!M105)),'Price History'!M105=0),"",'Price History'!M106/'Price History'!M105-1),"")</f>
        <v>2.9970175310976899E-2</v>
      </c>
      <c r="N105" s="76">
        <f>IFERROR(IF(OR(NOT(ISNUMBER('Price History'!N106)),NOT(ISNUMBER('Price History'!N105)),'Price History'!N105=0),"",'Price History'!N106/'Price History'!N105-1),"")</f>
        <v>-1.6011923773022407E-2</v>
      </c>
      <c r="O105" s="76">
        <f>IFERROR(IF(OR(NOT(ISNUMBER('Price History'!O106)),NOT(ISNUMBER('Price History'!O105)),'Price History'!O105=0),"",'Price History'!O106/'Price History'!O105-1),"")</f>
        <v>-5.0236468733578565E-2</v>
      </c>
      <c r="P105" s="76" t="str">
        <f>IFERROR(IF(OR(NOT(ISNUMBER('Price History'!P106)),NOT(ISNUMBER('Price History'!P105)),'Price History'!P105=0),"",'Price History'!P106/'Price History'!P105-1),"")</f>
        <v/>
      </c>
      <c r="Q105" s="76">
        <f>IFERROR(IF(OR(NOT(ISNUMBER('Price History'!Q106)),NOT(ISNUMBER('Price History'!Q105)),'Price History'!Q105=0),"",'Price History'!Q106/'Price History'!Q105-1),"")</f>
        <v>2.0040080160319551E-3</v>
      </c>
      <c r="R105" s="76">
        <f>IFERROR(IF(OR(NOT(ISNUMBER('Price History'!R106)),NOT(ISNUMBER('Price History'!R105)),'Price History'!R105=0),"",'Price History'!R106/'Price History'!R105-1),"")</f>
        <v>-2.3057371096586676E-2</v>
      </c>
      <c r="S105" s="76">
        <f>IFERROR(IF(OR(NOT(ISNUMBER('Price History'!S106)),NOT(ISNUMBER('Price History'!S105)),'Price History'!S105=0),"",'Price History'!S106/'Price History'!S105-1),"")</f>
        <v>-1.5648091802138553E-2</v>
      </c>
      <c r="T105" s="76">
        <f>IFERROR(IF(OR(NOT(ISNUMBER('Price History'!T106)),NOT(ISNUMBER('Price History'!T105)),'Price History'!T105=0),"",'Price History'!T106/'Price History'!T105-1),"")</f>
        <v>-4.1841004184100417E-2</v>
      </c>
      <c r="U105" s="76" t="str">
        <f>IFERROR(IF(OR(NOT(ISNUMBER('Price History'!U106)),NOT(ISNUMBER('Price History'!U105)),'Price History'!U105=0),"",'Price History'!U106/'Price History'!U105-1),"")</f>
        <v/>
      </c>
      <c r="W105" s="77">
        <f>'Price History'!B3+('Price History'!B158-'Price History'!B3)*0.662337662337662</f>
        <v>337.5403896103897</v>
      </c>
      <c r="X105" s="77">
        <f>'Price History'!C3+('Price History'!C158-'Price History'!C3)*0.662337662337662</f>
        <v>134.221948051948</v>
      </c>
      <c r="Y105" s="77">
        <f>'Price History'!D3+('Price History'!D158-'Price History'!D3)*0.662337662337662</f>
        <v>1302.4062337662335</v>
      </c>
      <c r="Z105" s="77">
        <f>'Price History'!E3+('Price History'!E158-'Price History'!E3)*0.662337662337662</f>
        <v>285.85402597402583</v>
      </c>
      <c r="AA105" s="77">
        <f>'Price History'!F3+('Price History'!F158-'Price History'!F3)*0.662337662337662</f>
        <v>138.92753246753244</v>
      </c>
      <c r="AB105" s="77">
        <f>'Price History'!G3+('Price History'!G158-'Price History'!G3)*0.662337662337662</f>
        <v>137.26259740259735</v>
      </c>
      <c r="AC105" s="77">
        <f>'Price History'!H3+('Price History'!H158-'Price History'!H3)*0.662337662337662</f>
        <v>566.85909090909058</v>
      </c>
      <c r="AD105" s="77">
        <f>'Price History'!I3+('Price History'!I158-'Price History'!I3)*0.662337662337662</f>
        <v>146.75779220779216</v>
      </c>
      <c r="AE105" s="77">
        <f>'Price History'!J3+('Price History'!J158-'Price History'!J3)*0.662337662337662</f>
        <v>137.48532467532468</v>
      </c>
      <c r="AF105" s="77">
        <f>'Price History'!K3+('Price History'!K158-'Price History'!K3)*0.662337662337662</f>
        <v>86.710649350649319</v>
      </c>
      <c r="AG105" s="77">
        <f>'Price History'!L3+('Price History'!L158-'Price History'!L3)*0.662337662337662</f>
        <v>298.8115584415583</v>
      </c>
      <c r="AH105" s="77">
        <f>'Price History'!M3+('Price History'!M158-'Price History'!M3)*0.662337662337662</f>
        <v>171.31597402597396</v>
      </c>
      <c r="AI105" s="77">
        <f>'Price History'!N3+('Price History'!N158-'Price History'!N3)*0.662337662337662</f>
        <v>434.13584415584415</v>
      </c>
      <c r="AJ105" s="77">
        <f>'Price History'!O3+('Price History'!O158-'Price History'!O3)*0.662337662337662</f>
        <v>110.95298701298699</v>
      </c>
      <c r="AK105" s="77">
        <f>'Price History'!Q3+('Price History'!Q151-'Price History'!Q3)*0.662337662337662</f>
        <v>62.166103896103891</v>
      </c>
      <c r="AL105" s="77">
        <f>'Price History'!R3+('Price History'!R158-'Price History'!R3)*0.662337662337662</f>
        <v>54.728181818181817</v>
      </c>
      <c r="AM105" s="77">
        <f>'Price History'!S3+('Price History'!S158-'Price History'!S3)*0.662337662337662</f>
        <v>115.03077922077921</v>
      </c>
      <c r="AN105" s="77">
        <f>'Price History'!T3+('Price History'!T158-'Price History'!T3)*0.662337662337662</f>
        <v>42.031168831168827</v>
      </c>
    </row>
    <row r="106" spans="1:40" ht="15" customHeight="1" x14ac:dyDescent="0.2">
      <c r="A106" s="55">
        <f>IF('Price History'!A107="","",'Price History'!A107)</f>
        <v>45877</v>
      </c>
      <c r="B106" s="76">
        <f>IFERROR(IF(OR(NOT(ISNUMBER('Price History'!B107)),NOT(ISNUMBER('Price History'!B106)),'Price History'!B106=0),"",'Price History'!B107/'Price History'!B106-1),"")</f>
        <v>-1.9407705577918377E-2</v>
      </c>
      <c r="C106" s="76">
        <f>IFERROR(IF(OR(NOT(ISNUMBER('Price History'!C107)),NOT(ISNUMBER('Price History'!C106)),'Price History'!C106=0),"",'Price History'!C107/'Price History'!C106-1),"")</f>
        <v>0.18380539253210859</v>
      </c>
      <c r="D106" s="76">
        <f>IFERROR(IF(OR(NOT(ISNUMBER('Price History'!D107)),NOT(ISNUMBER('Price History'!D106)),'Price History'!D106=0),"",'Price History'!D107/'Price History'!D106-1),"")</f>
        <v>4.7113739816183831E-2</v>
      </c>
      <c r="E106" s="76">
        <f>IFERROR(IF(OR(NOT(ISNUMBER('Price History'!E107)),NOT(ISNUMBER('Price History'!E106)),'Price History'!E106=0),"",'Price History'!E107/'Price History'!E106-1),"")</f>
        <v>5.6575665188470126E-2</v>
      </c>
      <c r="F106" s="76">
        <f>IFERROR(IF(OR(NOT(ISNUMBER('Price History'!F107)),NOT(ISNUMBER('Price History'!F106)),'Price History'!F106=0),"",'Price History'!F107/'Price History'!F106-1),"")</f>
        <v>-4.970000895495652E-2</v>
      </c>
      <c r="G106" s="76">
        <f>IFERROR(IF(OR(NOT(ISNUMBER('Price History'!G107)),NOT(ISNUMBER('Price History'!G106)),'Price History'!G106=0),"",'Price History'!G107/'Price History'!G106-1),"")</f>
        <v>3.1806902774644819E-2</v>
      </c>
      <c r="H106" s="76">
        <f>IFERROR(IF(OR(NOT(ISNUMBER('Price History'!H107)),NOT(ISNUMBER('Price History'!H106)),'Price History'!H106=0),"",'Price History'!H107/'Price History'!H106-1),"")</f>
        <v>0.13358123569794045</v>
      </c>
      <c r="I106" s="76">
        <f>IFERROR(IF(OR(NOT(ISNUMBER('Price History'!I107)),NOT(ISNUMBER('Price History'!I106)),'Price History'!I106=0),"",'Price History'!I107/'Price History'!I106-1),"")</f>
        <v>5.1692378540179496E-2</v>
      </c>
      <c r="J106" s="76">
        <f>IFERROR(IF(OR(NOT(ISNUMBER('Price History'!J107)),NOT(ISNUMBER('Price History'!J106)),'Price History'!J106=0),"",'Price History'!J107/'Price History'!J106-1),"")</f>
        <v>7.3396244399963617E-3</v>
      </c>
      <c r="K106" s="76">
        <f>IFERROR(IF(OR(NOT(ISNUMBER('Price History'!K107)),NOT(ISNUMBER('Price History'!K106)),'Price History'!K106=0),"",'Price History'!K107/'Price History'!K106-1),"")</f>
        <v>0.21190121216049773</v>
      </c>
      <c r="L106" s="76">
        <f>IFERROR(IF(OR(NOT(ISNUMBER('Price History'!L107)),NOT(ISNUMBER('Price History'!L106)),'Price History'!L106=0),"",'Price History'!L107/'Price History'!L106-1),"")</f>
        <v>2.8145061859614851E-2</v>
      </c>
      <c r="M106" s="76">
        <f>IFERROR(IF(OR(NOT(ISNUMBER('Price History'!M107)),NOT(ISNUMBER('Price History'!M106)),'Price History'!M106=0),"",'Price History'!M107/'Price History'!M106-1),"")</f>
        <v>-1.1723991807330969E-2</v>
      </c>
      <c r="N106" s="76">
        <f>IFERROR(IF(OR(NOT(ISNUMBER('Price History'!N107)),NOT(ISNUMBER('Price History'!N106)),'Price History'!N106=0),"",'Price History'!N107/'Price History'!N106-1),"")</f>
        <v>-0.20684655832774324</v>
      </c>
      <c r="O106" s="76">
        <f>IFERROR(IF(OR(NOT(ISNUMBER('Price History'!O107)),NOT(ISNUMBER('Price History'!O106)),'Price History'!O106=0),"",'Price History'!O107/'Price History'!O106-1),"")</f>
        <v>2.3237800154918498E-2</v>
      </c>
      <c r="P106" s="76" t="str">
        <f>IFERROR(IF(OR(NOT(ISNUMBER('Price History'!P107)),NOT(ISNUMBER('Price History'!P106)),'Price History'!P106=0),"",'Price History'!P107/'Price History'!P106-1),"")</f>
        <v/>
      </c>
      <c r="Q106" s="76">
        <f>IFERROR(IF(OR(NOT(ISNUMBER('Price History'!Q107)),NOT(ISNUMBER('Price History'!Q106)),'Price History'!Q106=0),"",'Price History'!Q107/'Price History'!Q106-1),"")</f>
        <v>-1.6923076923076597E-3</v>
      </c>
      <c r="R106" s="76">
        <f>IFERROR(IF(OR(NOT(ISNUMBER('Price History'!R107)),NOT(ISNUMBER('Price History'!R106)),'Price History'!R106=0),"",'Price History'!R107/'Price History'!R106-1),"")</f>
        <v>2.8061698569039173E-2</v>
      </c>
      <c r="S106" s="76">
        <f>IFERROR(IF(OR(NOT(ISNUMBER('Price History'!S107)),NOT(ISNUMBER('Price History'!S106)),'Price History'!S106=0),"",'Price History'!S107/'Price History'!S106-1),"")</f>
        <v>3.4973063675704186E-2</v>
      </c>
      <c r="T106" s="76">
        <f>IFERROR(IF(OR(NOT(ISNUMBER('Price History'!T107)),NOT(ISNUMBER('Price History'!T106)),'Price History'!T106=0),"",'Price History'!T107/'Price History'!T106-1),"")</f>
        <v>9.898107714701565E-3</v>
      </c>
      <c r="U106" s="76" t="str">
        <f>IFERROR(IF(OR(NOT(ISNUMBER('Price History'!U107)),NOT(ISNUMBER('Price History'!U106)),'Price History'!U106=0),"",'Price History'!U107/'Price History'!U106-1),"")</f>
        <v/>
      </c>
      <c r="W106" s="77">
        <f>'Price History'!B3+('Price History'!B158-'Price History'!B3)*0.668831168831169</f>
        <v>335.86480519480517</v>
      </c>
      <c r="X106" s="77">
        <f>'Price History'!C3+('Price History'!C158-'Price History'!C3)*0.668831168831169</f>
        <v>135.109025974026</v>
      </c>
      <c r="Y106" s="77">
        <f>'Price History'!D3+('Price History'!D158-'Price History'!D3)*0.668831168831169</f>
        <v>1308.6868831168831</v>
      </c>
      <c r="Z106" s="77">
        <f>'Price History'!E3+('Price History'!E158-'Price History'!E3)*0.668831168831169</f>
        <v>287.84298701298701</v>
      </c>
      <c r="AA106" s="77">
        <f>'Price History'!F3+('Price History'!F158-'Price History'!F3)*0.668831168831169</f>
        <v>139.92623376623379</v>
      </c>
      <c r="AB106" s="77">
        <f>'Price History'!G3+('Price History'!G158-'Price History'!G3)*0.668831168831169</f>
        <v>138.13870129870131</v>
      </c>
      <c r="AC106" s="77">
        <f>'Price History'!H3+('Price History'!H158-'Price History'!H3)*0.668831168831169</f>
        <v>571.78545454545474</v>
      </c>
      <c r="AD106" s="77">
        <f>'Price History'!I3+('Price History'!I158-'Price History'!I3)*0.668831168831169</f>
        <v>147.79610389610392</v>
      </c>
      <c r="AE106" s="77">
        <f>'Price History'!J3+('Price History'!J158-'Price History'!J3)*0.668831168831169</f>
        <v>137.62233766233769</v>
      </c>
      <c r="AF106" s="77">
        <f>'Price History'!K3+('Price History'!K158-'Price History'!K3)*0.668831168831169</f>
        <v>87.409675324675348</v>
      </c>
      <c r="AG106" s="77">
        <f>'Price History'!L3+('Price History'!L158-'Price History'!L3)*0.668831168831169</f>
        <v>300.8392207792208</v>
      </c>
      <c r="AH106" s="77">
        <f>'Price History'!M3+('Price History'!M158-'Price History'!M3)*0.668831168831169</f>
        <v>172.66701298701301</v>
      </c>
      <c r="AI106" s="77">
        <f>'Price History'!N3+('Price History'!N158-'Price History'!N3)*0.668831168831169</f>
        <v>434.96207792207798</v>
      </c>
      <c r="AJ106" s="77">
        <f>'Price History'!O3+('Price History'!O158-'Price History'!O3)*0.668831168831169</f>
        <v>111.2285064935065</v>
      </c>
      <c r="AK106" s="77">
        <f>'Price History'!Q3+('Price History'!Q151-'Price History'!Q3)*0.668831168831169</f>
        <v>62.286948051948059</v>
      </c>
      <c r="AL106" s="77">
        <f>'Price History'!R3+('Price History'!R158-'Price History'!R3)*0.668831168831169</f>
        <v>54.795909090909092</v>
      </c>
      <c r="AM106" s="77">
        <f>'Price History'!S3+('Price History'!S158-'Price History'!S3)*0.668831168831169</f>
        <v>115.58461038961042</v>
      </c>
      <c r="AN106" s="77">
        <f>'Price History'!T3+('Price History'!T158-'Price History'!T3)*0.668831168831169</f>
        <v>42.179415584415594</v>
      </c>
    </row>
    <row r="107" spans="1:40" ht="15" customHeight="1" x14ac:dyDescent="0.2">
      <c r="A107" s="55">
        <f>IF('Price History'!A108="","",'Price History'!A108)</f>
        <v>45884</v>
      </c>
      <c r="B107" s="76">
        <f>IFERROR(IF(OR(NOT(ISNUMBER('Price History'!B108)),NOT(ISNUMBER('Price History'!B107)),'Price History'!B107=0),"",'Price History'!B108/'Price History'!B107-1),"")</f>
        <v>4.0463275179592362E-2</v>
      </c>
      <c r="C107" s="76">
        <f>IFERROR(IF(OR(NOT(ISNUMBER('Price History'!C108)),NOT(ISNUMBER('Price History'!C107)),'Price History'!C107=0),"",'Price History'!C108/'Price History'!C107-1),"")</f>
        <v>-1.35076878861905E-2</v>
      </c>
      <c r="D107" s="76">
        <f>IFERROR(IF(OR(NOT(ISNUMBER('Price History'!D108)),NOT(ISNUMBER('Price History'!D107)),'Price History'!D107=0),"",'Price History'!D108/'Price History'!D107-1),"")</f>
        <v>2.7467050614685906E-2</v>
      </c>
      <c r="E107" s="76">
        <f>IFERROR(IF(OR(NOT(ISNUMBER('Price History'!E108)),NOT(ISNUMBER('Price History'!E107)),'Price History'!E107=0),"",'Price History'!E108/'Price History'!E107-1),"")</f>
        <v>4.4922451388660356E-3</v>
      </c>
      <c r="F107" s="76">
        <f>IFERROR(IF(OR(NOT(ISNUMBER('Price History'!F108)),NOT(ISNUMBER('Price History'!F107)),'Price History'!F107=0),"",'Price History'!F108/'Price History'!F107-1),"")</f>
        <v>8.1040331699961943E-3</v>
      </c>
      <c r="G107" s="76">
        <f>IFERROR(IF(OR(NOT(ISNUMBER('Price History'!G108)),NOT(ISNUMBER('Price History'!G107)),'Price History'!G107=0),"",'Price History'!G108/'Price History'!G107-1),"")</f>
        <v>-4.3616090948841335E-2</v>
      </c>
      <c r="H107" s="76">
        <f>IFERROR(IF(OR(NOT(ISNUMBER('Price History'!H108)),NOT(ISNUMBER('Price History'!H107)),'Price History'!H107=0),"",'Price History'!H108/'Price History'!H107-1),"")</f>
        <v>1.6654049962149919E-2</v>
      </c>
      <c r="I107" s="76">
        <f>IFERROR(IF(OR(NOT(ISNUMBER('Price History'!I108)),NOT(ISNUMBER('Price History'!I107)),'Price History'!I107=0),"",'Price History'!I108/'Price History'!I107-1),"")</f>
        <v>-1.2315270935960632E-2</v>
      </c>
      <c r="J107" s="76">
        <f>IFERROR(IF(OR(NOT(ISNUMBER('Price History'!J108)),NOT(ISNUMBER('Price History'!J107)),'Price History'!J107=0),"",'Price History'!J108/'Price History'!J107-1),"")</f>
        <v>8.6109008327024394E-3</v>
      </c>
      <c r="K107" s="76">
        <f>IFERROR(IF(OR(NOT(ISNUMBER('Price History'!K108)),NOT(ISNUMBER('Price History'!K107)),'Price History'!K107=0),"",'Price History'!K108/'Price History'!K107-1),"")</f>
        <v>-5.2364142062473418E-2</v>
      </c>
      <c r="L107" s="76">
        <f>IFERROR(IF(OR(NOT(ISNUMBER('Price History'!L108)),NOT(ISNUMBER('Price History'!L107)),'Price History'!L107=0),"",'Price History'!L108/'Price History'!L107-1),"")</f>
        <v>-1.2198651945581673E-2</v>
      </c>
      <c r="M107" s="76">
        <f>IFERROR(IF(OR(NOT(ISNUMBER('Price History'!M108)),NOT(ISNUMBER('Price History'!M107)),'Price History'!M107=0),"",'Price History'!M108/'Price History'!M107-1),"")</f>
        <v>-4.9024512256128139E-2</v>
      </c>
      <c r="N107" s="76">
        <f>IFERROR(IF(OR(NOT(ISNUMBER('Price History'!N108)),NOT(ISNUMBER('Price History'!N107)),'Price History'!N107=0),"",'Price History'!N108/'Price History'!N107-1),"")</f>
        <v>7.1615649042396479E-2</v>
      </c>
      <c r="O107" s="76">
        <f>IFERROR(IF(OR(NOT(ISNUMBER('Price History'!O108)),NOT(ISNUMBER('Price History'!O107)),'Price History'!O107=0),"",'Price History'!O108/'Price History'!O107-1),"")</f>
        <v>2.9847518113983007E-2</v>
      </c>
      <c r="P107" s="76" t="str">
        <f>IFERROR(IF(OR(NOT(ISNUMBER('Price History'!P108)),NOT(ISNUMBER('Price History'!P107)),'Price History'!P107=0),"",'Price History'!P108/'Price History'!P107-1),"")</f>
        <v/>
      </c>
      <c r="Q107" s="76">
        <f>IFERROR(IF(OR(NOT(ISNUMBER('Price History'!Q108)),NOT(ISNUMBER('Price History'!Q107)),'Price History'!Q107=0),"",'Price History'!Q108/'Price History'!Q107-1),"")</f>
        <v>3.2362459546924072E-3</v>
      </c>
      <c r="R107" s="76">
        <f>IFERROR(IF(OR(NOT(ISNUMBER('Price History'!R108)),NOT(ISNUMBER('Price History'!R107)),'Price History'!R107=0),"",'Price History'!R108/'Price History'!R107-1),"")</f>
        <v>8.6767895878523404E-3</v>
      </c>
      <c r="S107" s="76">
        <f>IFERROR(IF(OR(NOT(ISNUMBER('Price History'!S108)),NOT(ISNUMBER('Price History'!S107)),'Price History'!S107=0),"",'Price History'!S108/'Price History'!S107-1),"")</f>
        <v>1.0239781551326654E-3</v>
      </c>
      <c r="T107" s="76">
        <f>IFERROR(IF(OR(NOT(ISNUMBER('Price History'!T108)),NOT(ISNUMBER('Price History'!T107)),'Price History'!T107=0),"",'Price History'!T108/'Price History'!T107-1),"")</f>
        <v>3.9492649178437755E-2</v>
      </c>
      <c r="U107" s="76" t="str">
        <f>IFERROR(IF(OR(NOT(ISNUMBER('Price History'!U108)),NOT(ISNUMBER('Price History'!U107)),'Price History'!U107=0),"",'Price History'!U108/'Price History'!U107-1),"")</f>
        <v/>
      </c>
      <c r="W107" s="77">
        <f>'Price History'!B3+('Price History'!B158-'Price History'!B3)*0.675324675324675</f>
        <v>334.18922077922088</v>
      </c>
      <c r="X107" s="77">
        <f>'Price History'!C3+('Price History'!C158-'Price History'!C3)*0.675324675324675</f>
        <v>135.99610389610385</v>
      </c>
      <c r="Y107" s="77">
        <f>'Price History'!D3+('Price History'!D158-'Price History'!D3)*0.675324675324675</f>
        <v>1314.9675324675322</v>
      </c>
      <c r="Z107" s="77">
        <f>'Price History'!E3+('Price History'!E158-'Price History'!E3)*0.675324675324675</f>
        <v>289.8319480519479</v>
      </c>
      <c r="AA107" s="77">
        <f>'Price History'!F3+('Price History'!F158-'Price History'!F3)*0.675324675324675</f>
        <v>140.92493506493503</v>
      </c>
      <c r="AB107" s="77">
        <f>'Price History'!G3+('Price History'!G158-'Price History'!G3)*0.675324675324675</f>
        <v>139.01480519480515</v>
      </c>
      <c r="AC107" s="77">
        <f>'Price History'!H3+('Price History'!H158-'Price History'!H3)*0.675324675324675</f>
        <v>576.71181818181788</v>
      </c>
      <c r="AD107" s="77">
        <f>'Price History'!I3+('Price History'!I158-'Price History'!I3)*0.675324675324675</f>
        <v>148.83441558441552</v>
      </c>
      <c r="AE107" s="77">
        <f>'Price History'!J3+('Price History'!J158-'Price History'!J3)*0.675324675324675</f>
        <v>137.75935064935067</v>
      </c>
      <c r="AF107" s="77">
        <f>'Price History'!K3+('Price History'!K158-'Price History'!K3)*0.675324675324675</f>
        <v>88.108701298701263</v>
      </c>
      <c r="AG107" s="77">
        <f>'Price History'!L3+('Price History'!L158-'Price History'!L3)*0.675324675324675</f>
        <v>302.866883116883</v>
      </c>
      <c r="AH107" s="77">
        <f>'Price History'!M3+('Price History'!M158-'Price History'!M3)*0.675324675324675</f>
        <v>174.01805194805186</v>
      </c>
      <c r="AI107" s="77">
        <f>'Price History'!N3+('Price History'!N158-'Price History'!N3)*0.675324675324675</f>
        <v>435.78831168831164</v>
      </c>
      <c r="AJ107" s="77">
        <f>'Price History'!O3+('Price History'!O158-'Price History'!O3)*0.675324675324675</f>
        <v>111.50402597402595</v>
      </c>
      <c r="AK107" s="77">
        <f>'Price History'!Q3+('Price History'!Q151-'Price History'!Q3)*0.675324675324675</f>
        <v>62.407792207792205</v>
      </c>
      <c r="AL107" s="77">
        <f>'Price History'!R3+('Price History'!R158-'Price History'!R3)*0.675324675324675</f>
        <v>54.86363636363636</v>
      </c>
      <c r="AM107" s="77">
        <f>'Price History'!S3+('Price History'!S158-'Price History'!S3)*0.675324675324675</f>
        <v>116.13844155844154</v>
      </c>
      <c r="AN107" s="77">
        <f>'Price History'!T3+('Price History'!T158-'Price History'!T3)*0.675324675324675</f>
        <v>42.327662337662332</v>
      </c>
    </row>
    <row r="108" spans="1:40" ht="15" customHeight="1" x14ac:dyDescent="0.2">
      <c r="A108" s="55">
        <f>IF('Price History'!A109="","",'Price History'!A109)</f>
        <v>45891</v>
      </c>
      <c r="B108" s="76">
        <f>IFERROR(IF(OR(NOT(ISNUMBER('Price History'!B109)),NOT(ISNUMBER('Price History'!B108)),'Price History'!B108=0),"",'Price History'!B109/'Price History'!B108-1),"")</f>
        <v>2.0402987177680521E-2</v>
      </c>
      <c r="C108" s="76">
        <f>IFERROR(IF(OR(NOT(ISNUMBER('Price History'!C109)),NOT(ISNUMBER('Price History'!C108)),'Price History'!C108=0),"",'Price History'!C109/'Price History'!C108-1),"")</f>
        <v>-2.949745083758204E-2</v>
      </c>
      <c r="D108" s="76">
        <f>IFERROR(IF(OR(NOT(ISNUMBER('Price History'!D109)),NOT(ISNUMBER('Price History'!D108)),'Price History'!D108=0),"",'Price History'!D109/'Price History'!D108-1),"")</f>
        <v>1.7152635550285789E-2</v>
      </c>
      <c r="E108" s="76">
        <f>IFERROR(IF(OR(NOT(ISNUMBER('Price History'!E109)),NOT(ISNUMBER('Price History'!E108)),'Price History'!E108=0),"",'Price History'!E109/'Price History'!E108-1),"")</f>
        <v>-4.028203956388321E-2</v>
      </c>
      <c r="F108" s="76">
        <f>IFERROR(IF(OR(NOT(ISNUMBER('Price History'!F109)),NOT(ISNUMBER('Price History'!F108)),'Price History'!F108=0),"",'Price History'!F109/'Price History'!F108-1),"")</f>
        <v>-1.7199476537670622E-2</v>
      </c>
      <c r="G108" s="76">
        <f>IFERROR(IF(OR(NOT(ISNUMBER('Price History'!G109)),NOT(ISNUMBER('Price History'!G108)),'Price History'!G108=0),"",'Price History'!G109/'Price History'!G108-1),"")</f>
        <v>-5.2577437421419404E-3</v>
      </c>
      <c r="H108" s="76">
        <f>IFERROR(IF(OR(NOT(ISNUMBER('Price History'!H109)),NOT(ISNUMBER('Price History'!H108)),'Price History'!H108=0),"",'Price History'!H109/'Price History'!H108-1),"")</f>
        <v>-2.6391991395714354E-2</v>
      </c>
      <c r="I108" s="76">
        <f>IFERROR(IF(OR(NOT(ISNUMBER('Price History'!I109)),NOT(ISNUMBER('Price History'!I108)),'Price History'!I108=0),"",'Price History'!I109/'Price History'!I108-1),"")</f>
        <v>-1.3632585203657399E-2</v>
      </c>
      <c r="J108" s="76">
        <f>IFERROR(IF(OR(NOT(ISNUMBER('Price History'!J109)),NOT(ISNUMBER('Price History'!J108)),'Price History'!J108=0),"",'Price History'!J109/'Price History'!J108-1),"")</f>
        <v>5.3382118397598211E-2</v>
      </c>
      <c r="K108" s="76">
        <f>IFERROR(IF(OR(NOT(ISNUMBER('Price History'!K109)),NOT(ISNUMBER('Price History'!K108)),'Price History'!K108=0),"",'Price History'!K109/'Price History'!K108-1),"")</f>
        <v>-0.10402438336061404</v>
      </c>
      <c r="L108" s="76">
        <f>IFERROR(IF(OR(NOT(ISNUMBER('Price History'!L109)),NOT(ISNUMBER('Price History'!L108)),'Price History'!L108=0),"",'Price History'!L109/'Price History'!L108-1),"")</f>
        <v>-2.4656731413261856E-2</v>
      </c>
      <c r="M108" s="76">
        <f>IFERROR(IF(OR(NOT(ISNUMBER('Price History'!M109)),NOT(ISNUMBER('Price History'!M108)),'Price History'!M108=0),"",'Price History'!M109/'Price History'!M108-1),"")</f>
        <v>-5.3355376869316906E-2</v>
      </c>
      <c r="N108" s="76">
        <f>IFERROR(IF(OR(NOT(ISNUMBER('Price History'!N109)),NOT(ISNUMBER('Price History'!N108)),'Price History'!N108=0),"",'Price History'!N109/'Price History'!N108-1),"")</f>
        <v>5.9319229104610738E-3</v>
      </c>
      <c r="O108" s="76">
        <f>IFERROR(IF(OR(NOT(ISNUMBER('Price History'!O109)),NOT(ISNUMBER('Price History'!O108)),'Price History'!O108=0),"",'Price History'!O109/'Price History'!O108-1),"")</f>
        <v>3.9798382862543225E-2</v>
      </c>
      <c r="P108" s="76" t="str">
        <f>IFERROR(IF(OR(NOT(ISNUMBER('Price History'!P109)),NOT(ISNUMBER('Price History'!P108)),'Price History'!P108=0),"",'Price History'!P109/'Price History'!P108-1),"")</f>
        <v/>
      </c>
      <c r="Q108" s="76">
        <f>IFERROR(IF(OR(NOT(ISNUMBER('Price History'!Q109)),NOT(ISNUMBER('Price History'!Q108)),'Price History'!Q108=0),"",'Price History'!Q109/'Price History'!Q108-1),"")</f>
        <v>-1.2596006144393157E-2</v>
      </c>
      <c r="R108" s="76">
        <f>IFERROR(IF(OR(NOT(ISNUMBER('Price History'!R109)),NOT(ISNUMBER('Price History'!R108)),'Price History'!R108=0),"",'Price History'!R109/'Price History'!R108-1),"")</f>
        <v>-2.3297491039425688E-3</v>
      </c>
      <c r="S108" s="76">
        <f>IFERROR(IF(OR(NOT(ISNUMBER('Price History'!S109)),NOT(ISNUMBER('Price History'!S108)),'Price History'!S108=0),"",'Price History'!S109/'Price History'!S108-1),"")</f>
        <v>-6.8195379763020814E-3</v>
      </c>
      <c r="T108" s="76">
        <f>IFERROR(IF(OR(NOT(ISNUMBER('Price History'!T109)),NOT(ISNUMBER('Price History'!T108)),'Price History'!T108=0),"",'Price History'!T109/'Price History'!T108-1),"")</f>
        <v>2.5790349417637248E-2</v>
      </c>
      <c r="U108" s="76" t="str">
        <f>IFERROR(IF(OR(NOT(ISNUMBER('Price History'!U109)),NOT(ISNUMBER('Price History'!U108)),'Price History'!U108=0),"",'Price History'!U109/'Price History'!U108-1),"")</f>
        <v/>
      </c>
      <c r="W108" s="77">
        <f>'Price History'!B3+('Price History'!B158-'Price History'!B3)*0.681818181818182</f>
        <v>332.51363636363635</v>
      </c>
      <c r="X108" s="77">
        <f>'Price History'!C3+('Price History'!C158-'Price History'!C3)*0.681818181818182</f>
        <v>136.88318181818184</v>
      </c>
      <c r="Y108" s="77">
        <f>'Price History'!D3+('Price History'!D158-'Price History'!D3)*0.681818181818182</f>
        <v>1321.2481818181818</v>
      </c>
      <c r="Z108" s="77">
        <f>'Price History'!E3+('Price History'!E158-'Price History'!E3)*0.681818181818182</f>
        <v>291.82090909090914</v>
      </c>
      <c r="AA108" s="77">
        <f>'Price History'!F3+('Price History'!F158-'Price History'!F3)*0.681818181818182</f>
        <v>141.9236363636364</v>
      </c>
      <c r="AB108" s="77">
        <f>'Price History'!G3+('Price History'!G158-'Price History'!G3)*0.681818181818182</f>
        <v>139.8909090909091</v>
      </c>
      <c r="AC108" s="77">
        <f>'Price History'!H3+('Price History'!H158-'Price History'!H3)*0.681818181818182</f>
        <v>581.63818181818192</v>
      </c>
      <c r="AD108" s="77">
        <f>'Price History'!I3+('Price History'!I158-'Price History'!I3)*0.681818181818182</f>
        <v>149.8727272727273</v>
      </c>
      <c r="AE108" s="77">
        <f>'Price History'!J3+('Price History'!J158-'Price History'!J3)*0.681818181818182</f>
        <v>137.89636363636365</v>
      </c>
      <c r="AF108" s="77">
        <f>'Price History'!K3+('Price History'!K158-'Price History'!K3)*0.681818181818182</f>
        <v>88.807727272727291</v>
      </c>
      <c r="AG108" s="77">
        <f>'Price History'!L3+('Price History'!L158-'Price History'!L3)*0.681818181818182</f>
        <v>304.89454545454549</v>
      </c>
      <c r="AH108" s="77">
        <f>'Price History'!M3+('Price History'!M158-'Price History'!M3)*0.681818181818182</f>
        <v>175.36909090909094</v>
      </c>
      <c r="AI108" s="77">
        <f>'Price History'!N3+('Price History'!N158-'Price History'!N3)*0.681818181818182</f>
        <v>436.61454545454546</v>
      </c>
      <c r="AJ108" s="77">
        <f>'Price History'!O3+('Price History'!O158-'Price History'!O3)*0.681818181818182</f>
        <v>111.77954545454546</v>
      </c>
      <c r="AK108" s="77">
        <f>'Price History'!Q3+('Price History'!Q151-'Price History'!Q3)*0.681818181818182</f>
        <v>62.528636363636366</v>
      </c>
      <c r="AL108" s="77">
        <f>'Price History'!R3+('Price History'!R158-'Price History'!R3)*0.681818181818182</f>
        <v>54.931363636363642</v>
      </c>
      <c r="AM108" s="77">
        <f>'Price History'!S3+('Price History'!S158-'Price History'!S3)*0.681818181818182</f>
        <v>116.69227272727275</v>
      </c>
      <c r="AN108" s="77">
        <f>'Price History'!T3+('Price History'!T158-'Price History'!T3)*0.681818181818182</f>
        <v>42.475909090909099</v>
      </c>
    </row>
    <row r="109" spans="1:40" ht="15" customHeight="1" x14ac:dyDescent="0.2">
      <c r="A109" s="55">
        <f>IF('Price History'!A110="","",'Price History'!A110)</f>
        <v>45898</v>
      </c>
      <c r="B109" s="76">
        <f>IFERROR(IF(OR(NOT(ISNUMBER('Price History'!B110)),NOT(ISNUMBER('Price History'!B109)),'Price History'!B109=0),"",'Price History'!B110/'Price History'!B109-1),"")</f>
        <v>-1.4885801872462578E-2</v>
      </c>
      <c r="C109" s="76">
        <f>IFERROR(IF(OR(NOT(ISNUMBER('Price History'!C110)),NOT(ISNUMBER('Price History'!C109)),'Price History'!C109=0),"",'Price History'!C110/'Price History'!C109-1),"")</f>
        <v>2.4765478424014997E-2</v>
      </c>
      <c r="D109" s="76">
        <f>IFERROR(IF(OR(NOT(ISNUMBER('Price History'!D110)),NOT(ISNUMBER('Price History'!D109)),'Price History'!D109=0),"",'Price History'!D110/'Price History'!D109-1),"")</f>
        <v>-1.6254023765051806E-2</v>
      </c>
      <c r="E109" s="76">
        <f>IFERROR(IF(OR(NOT(ISNUMBER('Price History'!E110)),NOT(ISNUMBER('Price History'!E109)),'Price History'!E109=0),"",'Price History'!E110/'Price History'!E109-1),"")</f>
        <v>1.1530612244897931E-2</v>
      </c>
      <c r="F109" s="76">
        <f>IFERROR(IF(OR(NOT(ISNUMBER('Price History'!F110)),NOT(ISNUMBER('Price History'!F109)),'Price History'!F109=0),"",'Price History'!F110/'Price History'!F109-1),"")</f>
        <v>7.5137911356286669E-3</v>
      </c>
      <c r="G109" s="76">
        <f>IFERROR(IF(OR(NOT(ISNUMBER('Price History'!G110)),NOT(ISNUMBER('Price History'!G109)),'Price History'!G109=0),"",'Price History'!G110/'Price History'!G109-1),"")</f>
        <v>1.9533494197403467E-3</v>
      </c>
      <c r="H109" s="76">
        <f>IFERROR(IF(OR(NOT(ISNUMBER('Price History'!H110)),NOT(ISNUMBER('Price History'!H109)),'Price History'!H109=0),"",'Price History'!H110/'Price History'!H109-1),"")</f>
        <v>1.1301835486063894E-2</v>
      </c>
      <c r="I109" s="76">
        <f>IFERROR(IF(OR(NOT(ISNUMBER('Price History'!I110)),NOT(ISNUMBER('Price History'!I109)),'Price History'!I109=0),"",'Price History'!I110/'Price History'!I109-1),"")</f>
        <v>-2.1405696949266861E-2</v>
      </c>
      <c r="J109" s="76">
        <f>IFERROR(IF(OR(NOT(ISNUMBER('Price History'!J110)),NOT(ISNUMBER('Price History'!J109)),'Price History'!J109=0),"",'Price History'!J110/'Price History'!J109-1),"")</f>
        <v>1.3359458496615684E-2</v>
      </c>
      <c r="K109" s="76">
        <f>IFERROR(IF(OR(NOT(ISNUMBER('Price History'!K110)),NOT(ISNUMBER('Price History'!K109)),'Price History'!K109=0),"",'Price History'!K110/'Price History'!K109-1),"")</f>
        <v>-1.2788207131157914E-2</v>
      </c>
      <c r="L109" s="76">
        <f>IFERROR(IF(OR(NOT(ISNUMBER('Price History'!L110)),NOT(ISNUMBER('Price History'!L109)),'Price History'!L109=0),"",'Price History'!L110/'Price History'!L109-1),"")</f>
        <v>-9.0991029657925271E-3</v>
      </c>
      <c r="M109" s="76">
        <f>IFERROR(IF(OR(NOT(ISNUMBER('Price History'!M110)),NOT(ISNUMBER('Price History'!M109)),'Price History'!M109=0),"",'Price History'!M110/'Price History'!M109-1),"")</f>
        <v>1.2542668889418129E-2</v>
      </c>
      <c r="N109" s="76">
        <f>IFERROR(IF(OR(NOT(ISNUMBER('Price History'!N110)),NOT(ISNUMBER('Price History'!N109)),'Price History'!N109=0),"",'Price History'!N110/'Price History'!N109-1),"")</f>
        <v>-1.0376594452318311E-2</v>
      </c>
      <c r="O109" s="76">
        <f>IFERROR(IF(OR(NOT(ISNUMBER('Price History'!O110)),NOT(ISNUMBER('Price History'!O109)),'Price History'!O109=0),"",'Price History'!O110/'Price History'!O109-1),"")</f>
        <v>8.3821450212078208E-3</v>
      </c>
      <c r="P109" s="76" t="str">
        <f>IFERROR(IF(OR(NOT(ISNUMBER('Price History'!P110)),NOT(ISNUMBER('Price History'!P109)),'Price History'!P109=0),"",'Price History'!P110/'Price History'!P109-1),"")</f>
        <v/>
      </c>
      <c r="Q109" s="76">
        <f>IFERROR(IF(OR(NOT(ISNUMBER('Price History'!Q110)),NOT(ISNUMBER('Price History'!Q109)),'Price History'!Q109=0),"",'Price History'!Q110/'Price History'!Q109-1),"")</f>
        <v>9.8008711885499977E-3</v>
      </c>
      <c r="R109" s="76">
        <f>IFERROR(IF(OR(NOT(ISNUMBER('Price History'!R110)),NOT(ISNUMBER('Price History'!R109)),'Price History'!R109=0),"",'Price History'!R110/'Price History'!R109-1),"")</f>
        <v>1.7962996227760542E-4</v>
      </c>
      <c r="S109" s="76">
        <f>IFERROR(IF(OR(NOT(ISNUMBER('Price History'!S110)),NOT(ISNUMBER('Price History'!S109)),'Price History'!S109=0),"",'Price History'!S110/'Price History'!S109-1),"")</f>
        <v>-2.5748862758567803E-4</v>
      </c>
      <c r="T109" s="76">
        <f>IFERROR(IF(OR(NOT(ISNUMBER('Price History'!T110)),NOT(ISNUMBER('Price History'!T109)),'Price History'!T109=0),"",'Price History'!T110/'Price History'!T109-1),"")</f>
        <v>9.1916734252499577E-3</v>
      </c>
      <c r="U109" s="76" t="str">
        <f>IFERROR(IF(OR(NOT(ISNUMBER('Price History'!U110)),NOT(ISNUMBER('Price History'!U109)),'Price History'!U109=0),"",'Price History'!U110/'Price History'!U109-1),"")</f>
        <v/>
      </c>
      <c r="W109" s="77">
        <f>'Price History'!B3+('Price History'!B158-'Price History'!B3)*0.688311688311688</f>
        <v>330.83805194805205</v>
      </c>
      <c r="X109" s="77">
        <f>'Price History'!C3+('Price History'!C158-'Price History'!C3)*0.688311688311688</f>
        <v>137.77025974025969</v>
      </c>
      <c r="Y109" s="77">
        <f>'Price History'!D3+('Price History'!D158-'Price History'!D3)*0.688311688311688</f>
        <v>1327.5288311688309</v>
      </c>
      <c r="Z109" s="77">
        <f>'Price History'!E3+('Price History'!E158-'Price History'!E3)*0.688311688311688</f>
        <v>293.80987012986998</v>
      </c>
      <c r="AA109" s="77">
        <f>'Price History'!F3+('Price History'!F158-'Price History'!F3)*0.688311688311688</f>
        <v>142.92233766233761</v>
      </c>
      <c r="AB109" s="77">
        <f>'Price History'!G3+('Price History'!G158-'Price History'!G3)*0.688311688311688</f>
        <v>140.76701298701295</v>
      </c>
      <c r="AC109" s="77">
        <f>'Price History'!H3+('Price History'!H158-'Price History'!H3)*0.688311688311688</f>
        <v>586.56454545454517</v>
      </c>
      <c r="AD109" s="77">
        <f>'Price History'!I3+('Price History'!I158-'Price History'!I3)*0.688311688311688</f>
        <v>150.91103896103891</v>
      </c>
      <c r="AE109" s="77">
        <f>'Price History'!J3+('Price History'!J158-'Price History'!J3)*0.688311688311688</f>
        <v>138.03337662337663</v>
      </c>
      <c r="AF109" s="77">
        <f>'Price History'!K3+('Price History'!K158-'Price History'!K3)*0.688311688311688</f>
        <v>89.506753246753206</v>
      </c>
      <c r="AG109" s="77">
        <f>'Price History'!L3+('Price History'!L158-'Price History'!L3)*0.688311688311688</f>
        <v>306.9222077922077</v>
      </c>
      <c r="AH109" s="77">
        <f>'Price History'!M3+('Price History'!M158-'Price History'!M3)*0.688311688311688</f>
        <v>176.7201298701298</v>
      </c>
      <c r="AI109" s="77">
        <f>'Price History'!N3+('Price History'!N158-'Price History'!N3)*0.688311688311688</f>
        <v>437.44077922077918</v>
      </c>
      <c r="AJ109" s="77">
        <f>'Price History'!O3+('Price History'!O158-'Price History'!O3)*0.688311688311688</f>
        <v>112.05506493506492</v>
      </c>
      <c r="AK109" s="77">
        <f>'Price History'!Q3+('Price History'!Q151-'Price History'!Q3)*0.688311688311688</f>
        <v>62.64948051948052</v>
      </c>
      <c r="AL109" s="77">
        <f>'Price History'!R3+('Price History'!R158-'Price History'!R3)*0.688311688311688</f>
        <v>54.999090909090903</v>
      </c>
      <c r="AM109" s="77">
        <f>'Price History'!S3+('Price History'!S158-'Price History'!S3)*0.688311688311688</f>
        <v>117.24610389610388</v>
      </c>
      <c r="AN109" s="77">
        <f>'Price History'!T3+('Price History'!T158-'Price History'!T3)*0.688311688311688</f>
        <v>42.624155844155837</v>
      </c>
    </row>
    <row r="110" spans="1:40" ht="15" customHeight="1" x14ac:dyDescent="0.2">
      <c r="A110" s="55">
        <f>IF('Price History'!A111="","",'Price History'!A111)</f>
        <v>45905</v>
      </c>
      <c r="B110" s="76">
        <f>IFERROR(IF(OR(NOT(ISNUMBER('Price History'!B111)),NOT(ISNUMBER('Price History'!B110)),'Price History'!B110=0),"",'Price History'!B111/'Price History'!B110-1),"")</f>
        <v>-2.1670871881132481E-2</v>
      </c>
      <c r="C110" s="76">
        <f>IFERROR(IF(OR(NOT(ISNUMBER('Price History'!C111)),NOT(ISNUMBER('Price History'!C110)),'Price History'!C110=0),"",'Price History'!C111/'Price History'!C110-1),"")</f>
        <v>4.6136946173562565E-2</v>
      </c>
      <c r="D110" s="76">
        <f>IFERROR(IF(OR(NOT(ISNUMBER('Price History'!D111)),NOT(ISNUMBER('Price History'!D110)),'Price History'!D110=0),"",'Price History'!D111/'Price History'!D110-1),"")</f>
        <v>5.2624491664646778E-2</v>
      </c>
      <c r="E110" s="76">
        <f>IFERROR(IF(OR(NOT(ISNUMBER('Price History'!E111)),NOT(ISNUMBER('Price History'!E110)),'Price History'!E110=0),"",'Price History'!E111/'Price History'!E110-1),"")</f>
        <v>0.12609704428528201</v>
      </c>
      <c r="F110" s="76">
        <f>IFERROR(IF(OR(NOT(ISNUMBER('Price History'!F111)),NOT(ISNUMBER('Price History'!F110)),'Price History'!F110=0),"",'Price History'!F111/'Price History'!F110-1),"")</f>
        <v>-1.43490984612481E-2</v>
      </c>
      <c r="G110" s="76">
        <f>IFERROR(IF(OR(NOT(ISNUMBER('Price History'!G111)),NOT(ISNUMBER('Price History'!G110)),'Price History'!G110=0),"",'Price History'!G111/'Price History'!G110-1),"")</f>
        <v>3.795871559633035E-2</v>
      </c>
      <c r="H110" s="76">
        <f>IFERROR(IF(OR(NOT(ISNUMBER('Price History'!H111)),NOT(ISNUMBER('Price History'!H110)),'Price History'!H110=0),"",'Price History'!H111/'Price History'!H110-1),"")</f>
        <v>0.10385681875472641</v>
      </c>
      <c r="I110" s="76">
        <f>IFERROR(IF(OR(NOT(ISNUMBER('Price History'!I111)),NOT(ISNUMBER('Price History'!I110)),'Price History'!I110=0),"",'Price History'!I111/'Price History'!I110-1),"")</f>
        <v>-4.1106900907107558E-2</v>
      </c>
      <c r="J110" s="76">
        <f>IFERROR(IF(OR(NOT(ISNUMBER('Price History'!J111)),NOT(ISNUMBER('Price History'!J110)),'Price History'!J110=0),"",'Price History'!J111/'Price History'!J110-1),"")</f>
        <v>-1.1425558094567689E-3</v>
      </c>
      <c r="K110" s="76">
        <f>IFERROR(IF(OR(NOT(ISNUMBER('Price History'!K111)),NOT(ISNUMBER('Price History'!K110)),'Price History'!K110=0),"",'Price History'!K111/'Price History'!K110-1),"")</f>
        <v>-2.2972369344649302E-2</v>
      </c>
      <c r="L110" s="76">
        <f>IFERROR(IF(OR(NOT(ISNUMBER('Price History'!L111)),NOT(ISNUMBER('Price History'!L110)),'Price History'!L110=0),"",'Price History'!L111/'Price History'!L110-1),"")</f>
        <v>5.431628189024118E-2</v>
      </c>
      <c r="M110" s="76">
        <f>IFERROR(IF(OR(NOT(ISNUMBER('Price History'!M111)),NOT(ISNUMBER('Price History'!M110)),'Price History'!M110=0),"",'Price History'!M111/'Price History'!M110-1),"")</f>
        <v>-2.7832222657781291E-2</v>
      </c>
      <c r="N110" s="76">
        <f>IFERROR(IF(OR(NOT(ISNUMBER('Price History'!N111)),NOT(ISNUMBER('Price History'!N110)),'Price History'!N110=0),"",'Price History'!N111/'Price History'!N110-1),"")</f>
        <v>1.3042811109406305E-2</v>
      </c>
      <c r="O110" s="76">
        <f>IFERROR(IF(OR(NOT(ISNUMBER('Price History'!O111)),NOT(ISNUMBER('Price History'!O110)),'Price History'!O110=0),"",'Price History'!O111/'Price History'!O110-1),"")</f>
        <v>1.0916374561842801E-2</v>
      </c>
      <c r="P110" s="76" t="str">
        <f>IFERROR(IF(OR(NOT(ISNUMBER('Price History'!P111)),NOT(ISNUMBER('Price History'!P110)),'Price History'!P110=0),"",'Price History'!P111/'Price History'!P110-1),"")</f>
        <v/>
      </c>
      <c r="Q110" s="76">
        <f>IFERROR(IF(OR(NOT(ISNUMBER('Price History'!Q111)),NOT(ISNUMBER('Price History'!Q110)),'Price History'!Q110=0),"",'Price History'!Q111/'Price History'!Q110-1),"")</f>
        <v>1.0013865352025864E-2</v>
      </c>
      <c r="R110" s="76">
        <f>IFERROR(IF(OR(NOT(ISNUMBER('Price History'!R111)),NOT(ISNUMBER('Price History'!R110)),'Price History'!R110=0),"",'Price History'!R111/'Price History'!R110-1),"")</f>
        <v>1.7959770114943652E-3</v>
      </c>
      <c r="S110" s="76">
        <f>IFERROR(IF(OR(NOT(ISNUMBER('Price History'!S111)),NOT(ISNUMBER('Price History'!S110)),'Price History'!S110=0),"",'Price History'!S111/'Price History'!S110-1),"")</f>
        <v>4.8935439560437999E-3</v>
      </c>
      <c r="T110" s="76">
        <f>IFERROR(IF(OR(NOT(ISNUMBER('Price History'!T111)),NOT(ISNUMBER('Price History'!T110)),'Price History'!T110=0),"",'Price History'!T111/'Price History'!T110-1),"")</f>
        <v>7.500669702652063E-3</v>
      </c>
      <c r="U110" s="76" t="str">
        <f>IFERROR(IF(OR(NOT(ISNUMBER('Price History'!U111)),NOT(ISNUMBER('Price History'!U110)),'Price History'!U110=0),"",'Price History'!U111/'Price History'!U110-1),"")</f>
        <v/>
      </c>
      <c r="W110" s="77">
        <f>'Price History'!B3+('Price History'!B158-'Price History'!B3)*0.694805194805195</f>
        <v>329.16246753246753</v>
      </c>
      <c r="X110" s="77">
        <f>'Price History'!C3+('Price History'!C158-'Price History'!C3)*0.694805194805195</f>
        <v>138.65733766233768</v>
      </c>
      <c r="Y110" s="77">
        <f>'Price History'!D3+('Price History'!D158-'Price History'!D3)*0.694805194805195</f>
        <v>1333.8094805194805</v>
      </c>
      <c r="Z110" s="77">
        <f>'Price History'!E3+('Price History'!E158-'Price History'!E3)*0.694805194805195</f>
        <v>295.79883116883121</v>
      </c>
      <c r="AA110" s="77">
        <f>'Price History'!F3+('Price History'!F158-'Price History'!F3)*0.694805194805195</f>
        <v>143.92103896103902</v>
      </c>
      <c r="AB110" s="77">
        <f>'Price History'!G3+('Price History'!G158-'Price History'!G3)*0.694805194805195</f>
        <v>141.6431168831169</v>
      </c>
      <c r="AC110" s="77">
        <f>'Price History'!H3+('Price History'!H158-'Price History'!H3)*0.694805194805195</f>
        <v>591.49090909090921</v>
      </c>
      <c r="AD110" s="77">
        <f>'Price History'!I3+('Price History'!I158-'Price History'!I3)*0.694805194805195</f>
        <v>151.94935064935069</v>
      </c>
      <c r="AE110" s="77">
        <f>'Price History'!J3+('Price History'!J158-'Price History'!J3)*0.694805194805195</f>
        <v>138.17038961038963</v>
      </c>
      <c r="AF110" s="77">
        <f>'Price History'!K3+('Price History'!K158-'Price History'!K3)*0.694805194805195</f>
        <v>90.205779220779235</v>
      </c>
      <c r="AG110" s="77">
        <f>'Price History'!L3+('Price History'!L158-'Price History'!L3)*0.694805194805195</f>
        <v>308.94987012987019</v>
      </c>
      <c r="AH110" s="77">
        <f>'Price History'!M3+('Price History'!M158-'Price History'!M3)*0.694805194805195</f>
        <v>178.07116883116885</v>
      </c>
      <c r="AI110" s="77">
        <f>'Price History'!N3+('Price History'!N158-'Price History'!N3)*0.694805194805195</f>
        <v>438.267012987013</v>
      </c>
      <c r="AJ110" s="77">
        <f>'Price History'!O3+('Price History'!O158-'Price History'!O3)*0.694805194805195</f>
        <v>112.33058441558443</v>
      </c>
      <c r="AK110" s="77">
        <f>'Price History'!Q3+('Price History'!Q151-'Price History'!Q3)*0.694805194805195</f>
        <v>62.77032467532468</v>
      </c>
      <c r="AL110" s="77">
        <f>'Price History'!R3+('Price History'!R158-'Price History'!R3)*0.694805194805195</f>
        <v>55.066818181818185</v>
      </c>
      <c r="AM110" s="77">
        <f>'Price History'!S3+('Price History'!S158-'Price History'!S3)*0.694805194805195</f>
        <v>117.79993506493508</v>
      </c>
      <c r="AN110" s="77">
        <f>'Price History'!T3+('Price History'!T158-'Price History'!T3)*0.694805194805195</f>
        <v>42.772402597402603</v>
      </c>
    </row>
    <row r="111" spans="1:40" ht="15" customHeight="1" x14ac:dyDescent="0.2">
      <c r="A111" s="55">
        <f>IF('Price History'!A112="","",'Price History'!A112)</f>
        <v>45912</v>
      </c>
      <c r="B111" s="76">
        <f>IFERROR(IF(OR(NOT(ISNUMBER('Price History'!B112)),NOT(ISNUMBER('Price History'!B111)),'Price History'!B111=0),"",'Price History'!B112/'Price History'!B111-1),"")</f>
        <v>1.1175745766112133E-3</v>
      </c>
      <c r="C111" s="76">
        <f>IFERROR(IF(OR(NOT(ISNUMBER('Price History'!C112)),NOT(ISNUMBER('Price History'!C111)),'Price History'!C111=0),"",'Price History'!C112/'Price History'!C111-1),"")</f>
        <v>-2.4221211060553083E-2</v>
      </c>
      <c r="D111" s="76">
        <f>IFERROR(IF(OR(NOT(ISNUMBER('Price History'!D112)),NOT(ISNUMBER('Price History'!D111)),'Price History'!D111=0),"",'Price History'!D112/'Price History'!D111-1),"")</f>
        <v>4.1153895356274672E-2</v>
      </c>
      <c r="E111" s="76">
        <f>IFERROR(IF(OR(NOT(ISNUMBER('Price History'!E112)),NOT(ISNUMBER('Price History'!E111)),'Price History'!E111=0),"",'Price History'!E112/'Price History'!E111-1),"")</f>
        <v>7.4591656961987551E-2</v>
      </c>
      <c r="F111" s="76">
        <f>IFERROR(IF(OR(NOT(ISNUMBER('Price History'!F112)),NOT(ISNUMBER('Price History'!F111)),'Price History'!F111=0),"",'Price History'!F112/'Price History'!F111-1),"")</f>
        <v>4.4248635188200325E-2</v>
      </c>
      <c r="G111" s="76">
        <f>IFERROR(IF(OR(NOT(ISNUMBER('Price History'!G112)),NOT(ISNUMBER('Price History'!G111)),'Price History'!G111=0),"",'Price History'!G112/'Price History'!G111-1),"")</f>
        <v>6.5075682245055777E-2</v>
      </c>
      <c r="H111" s="76">
        <f>IFERROR(IF(OR(NOT(ISNUMBER('Price History'!H112)),NOT(ISNUMBER('Price History'!H111)),'Price History'!H111=0),"",'Price History'!H112/'Price History'!H111-1),"")</f>
        <v>0.19684859556976475</v>
      </c>
      <c r="I111" s="76">
        <f>IFERROR(IF(OR(NOT(ISNUMBER('Price History'!I112)),NOT(ISNUMBER('Price History'!I111)),'Price History'!I111=0),"",'Price History'!I112/'Price History'!I111-1),"")</f>
        <v>6.4662914621003376E-2</v>
      </c>
      <c r="J111" s="76">
        <f>IFERROR(IF(OR(NOT(ISNUMBER('Price History'!J112)),NOT(ISNUMBER('Price History'!J111)),'Price History'!J111=0),"",'Price History'!J112/'Price History'!J111-1),"")</f>
        <v>1.4958205015398018E-2</v>
      </c>
      <c r="K111" s="76">
        <f>IFERROR(IF(OR(NOT(ISNUMBER('Price History'!K112)),NOT(ISNUMBER('Price History'!K111)),'Price History'!K111=0),"",'Price History'!K112/'Price History'!K111-1),"")</f>
        <v>0.1196525373914179</v>
      </c>
      <c r="L111" s="76">
        <f>IFERROR(IF(OR(NOT(ISNUMBER('Price History'!L112)),NOT(ISNUMBER('Price History'!L111)),'Price History'!L111=0),"",'Price History'!L112/'Price History'!L111-1),"")</f>
        <v>6.5404050778521849E-2</v>
      </c>
      <c r="M111" s="76">
        <f>IFERROR(IF(OR(NOT(ISNUMBER('Price History'!M112)),NOT(ISNUMBER('Price History'!M111)),'Price History'!M111=0),"",'Price History'!M112/'Price History'!M111-1),"")</f>
        <v>8.7419354838709662E-2</v>
      </c>
      <c r="N111" s="76">
        <f>IFERROR(IF(OR(NOT(ISNUMBER('Price History'!N112)),NOT(ISNUMBER('Price History'!N111)),'Price History'!N111=0),"",'Price History'!N112/'Price History'!N111-1),"")</f>
        <v>-4.0139351711603322E-3</v>
      </c>
      <c r="O111" s="76">
        <f>IFERROR(IF(OR(NOT(ISNUMBER('Price History'!O112)),NOT(ISNUMBER('Price History'!O111)),'Price History'!O111=0),"",'Price History'!O112/'Price History'!O111-1),"")</f>
        <v>-7.9255002972061783E-3</v>
      </c>
      <c r="P111" s="76" t="str">
        <f>IFERROR(IF(OR(NOT(ISNUMBER('Price History'!P112)),NOT(ISNUMBER('Price History'!P111)),'Price History'!P111=0),"",'Price History'!P112/'Price History'!P111-1),"")</f>
        <v/>
      </c>
      <c r="Q111" s="76">
        <f>IFERROR(IF(OR(NOT(ISNUMBER('Price History'!Q112)),NOT(ISNUMBER('Price History'!Q111)),'Price History'!Q111=0),"",'Price History'!Q112/'Price History'!Q111-1),"")</f>
        <v>6.1012812690663942E-4</v>
      </c>
      <c r="R111" s="76">
        <f>IFERROR(IF(OR(NOT(ISNUMBER('Price History'!R112)),NOT(ISNUMBER('Price History'!R111)),'Price History'!R111=0),"",'Price History'!R112/'Price History'!R111-1),"")</f>
        <v>1.3624955181068543E-2</v>
      </c>
      <c r="S111" s="76">
        <f>IFERROR(IF(OR(NOT(ISNUMBER('Price History'!S112)),NOT(ISNUMBER('Price History'!S111)),'Price History'!S111=0),"",'Price History'!S112/'Price History'!S111-1),"")</f>
        <v>2.9303716360529641E-2</v>
      </c>
      <c r="T111" s="76">
        <f>IFERROR(IF(OR(NOT(ISNUMBER('Price History'!T112)),NOT(ISNUMBER('Price History'!T111)),'Price History'!T111=0),"",'Price History'!T112/'Price History'!T111-1),"")</f>
        <v>-2.9247540547726603E-3</v>
      </c>
      <c r="U111" s="76" t="str">
        <f>IFERROR(IF(OR(NOT(ISNUMBER('Price History'!U112)),NOT(ISNUMBER('Price History'!U111)),'Price History'!U111=0),"",'Price History'!U112/'Price History'!U111-1),"")</f>
        <v/>
      </c>
      <c r="W111" s="77">
        <f>'Price History'!B3+('Price History'!B158-'Price History'!B3)*0.701298701298701</f>
        <v>327.48688311688318</v>
      </c>
      <c r="X111" s="77">
        <f>'Price History'!C3+('Price History'!C158-'Price History'!C3)*0.701298701298701</f>
        <v>139.54441558441553</v>
      </c>
      <c r="Y111" s="77">
        <f>'Price History'!D3+('Price History'!D158-'Price History'!D3)*0.701298701298701</f>
        <v>1340.0901298701297</v>
      </c>
      <c r="Z111" s="77">
        <f>'Price History'!E3+('Price History'!E158-'Price History'!E3)*0.701298701298701</f>
        <v>297.78779220779211</v>
      </c>
      <c r="AA111" s="77">
        <f>'Price History'!F3+('Price History'!F158-'Price History'!F3)*0.701298701298701</f>
        <v>144.91974025974022</v>
      </c>
      <c r="AB111" s="77">
        <f>'Price History'!G3+('Price History'!G158-'Price History'!G3)*0.701298701298701</f>
        <v>142.51922077922072</v>
      </c>
      <c r="AC111" s="77">
        <f>'Price History'!H3+('Price History'!H158-'Price History'!H3)*0.701298701298701</f>
        <v>596.41727272727246</v>
      </c>
      <c r="AD111" s="77">
        <f>'Price History'!I3+('Price History'!I158-'Price History'!I3)*0.701298701298701</f>
        <v>152.9876623376623</v>
      </c>
      <c r="AE111" s="77">
        <f>'Price History'!J3+('Price History'!J158-'Price History'!J3)*0.701298701298701</f>
        <v>138.30740259740261</v>
      </c>
      <c r="AF111" s="77">
        <f>'Price History'!K3+('Price History'!K158-'Price History'!K3)*0.701298701298701</f>
        <v>90.904805194805164</v>
      </c>
      <c r="AG111" s="77">
        <f>'Price History'!L3+('Price History'!L158-'Price History'!L3)*0.701298701298701</f>
        <v>310.97753246753234</v>
      </c>
      <c r="AH111" s="77">
        <f>'Price History'!M3+('Price History'!M158-'Price History'!M3)*0.701298701298701</f>
        <v>179.42220779220773</v>
      </c>
      <c r="AI111" s="77">
        <f>'Price History'!N3+('Price History'!N158-'Price History'!N3)*0.701298701298701</f>
        <v>439.09324675324672</v>
      </c>
      <c r="AJ111" s="77">
        <f>'Price History'!O3+('Price History'!O158-'Price History'!O3)*0.701298701298701</f>
        <v>112.60610389610389</v>
      </c>
      <c r="AK111" s="77">
        <f>'Price History'!Q3+('Price History'!Q151-'Price History'!Q3)*0.701298701298701</f>
        <v>62.891168831168827</v>
      </c>
      <c r="AL111" s="77">
        <f>'Price History'!R3+('Price History'!R158-'Price History'!R3)*0.701298701298701</f>
        <v>55.134545454545453</v>
      </c>
      <c r="AM111" s="77">
        <f>'Price History'!S3+('Price History'!S158-'Price History'!S3)*0.701298701298701</f>
        <v>118.35376623376622</v>
      </c>
      <c r="AN111" s="77">
        <f>'Price History'!T3+('Price History'!T158-'Price History'!T3)*0.701298701298701</f>
        <v>42.920649350649342</v>
      </c>
    </row>
    <row r="112" spans="1:40" ht="15" customHeight="1" x14ac:dyDescent="0.2">
      <c r="A112" s="55">
        <f>IF('Price History'!A113="","",'Price History'!A113)</f>
        <v>45919</v>
      </c>
      <c r="B112" s="76">
        <f>IFERROR(IF(OR(NOT(ISNUMBER('Price History'!B113)),NOT(ISNUMBER('Price History'!B112)),'Price History'!B112=0),"",'Price History'!B113/'Price History'!B112-1),"")</f>
        <v>4.734371422028838E-2</v>
      </c>
      <c r="C112" s="76">
        <f>IFERROR(IF(OR(NOT(ISNUMBER('Price History'!C113)),NOT(ISNUMBER('Price History'!C112)),'Price History'!C112=0),"",'Price History'!C113/'Price History'!C112-1),"")</f>
        <v>7.3319463376139149E-2</v>
      </c>
      <c r="D112" s="76">
        <f>IFERROR(IF(OR(NOT(ISNUMBER('Price History'!D113)),NOT(ISNUMBER('Price History'!D112)),'Price History'!D112=0),"",'Price History'!D113/'Price History'!D112-1),"")</f>
        <v>0.14533033531153627</v>
      </c>
      <c r="E112" s="76">
        <f>IFERROR(IF(OR(NOT(ISNUMBER('Price History'!E113)),NOT(ISNUMBER('Price History'!E112)),'Price History'!E112=0),"",'Price History'!E113/'Price History'!E112-1),"")</f>
        <v>-4.1487203712451737E-2</v>
      </c>
      <c r="F112" s="76">
        <f>IFERROR(IF(OR(NOT(ISNUMBER('Price History'!F113)),NOT(ISNUMBER('Price History'!F112)),'Price History'!F112=0),"",'Price History'!F113/'Price History'!F112-1),"")</f>
        <v>0.15234339172704758</v>
      </c>
      <c r="G112" s="76">
        <f>IFERROR(IF(OR(NOT(ISNUMBER('Price History'!G113)),NOT(ISNUMBER('Price History'!G112)),'Price History'!G112=0),"",'Price History'!G113/'Price History'!G112-1),"")</f>
        <v>8.381742738589204E-2</v>
      </c>
      <c r="H112" s="76">
        <f>IFERROR(IF(OR(NOT(ISNUMBER('Price History'!H113)),NOT(ISNUMBER('Price History'!H112)),'Price History'!H112=0),"",'Price History'!H113/'Price History'!H112-1),"")</f>
        <v>3.4980601666348754E-2</v>
      </c>
      <c r="I112" s="76">
        <f>IFERROR(IF(OR(NOT(ISNUMBER('Price History'!I113)),NOT(ISNUMBER('Price History'!I112)),'Price History'!I112=0),"",'Price History'!I113/'Price History'!I112-1),"")</f>
        <v>-6.46721403666628E-3</v>
      </c>
      <c r="J112" s="76">
        <f>IFERROR(IF(OR(NOT(ISNUMBER('Price History'!J113)),NOT(ISNUMBER('Price History'!J112)),'Price History'!J112=0),"",'Price History'!J113/'Price History'!J112-1),"")</f>
        <v>-1.5951452102297314E-2</v>
      </c>
      <c r="K112" s="76">
        <f>IFERROR(IF(OR(NOT(ISNUMBER('Price History'!K113)),NOT(ISNUMBER('Price History'!K112)),'Price History'!K112=0),"",'Price History'!K113/'Price History'!K112-1),"")</f>
        <v>6.3932800559995284E-2</v>
      </c>
      <c r="L112" s="76">
        <f>IFERROR(IF(OR(NOT(ISNUMBER('Price History'!L113)),NOT(ISNUMBER('Price History'!L112)),'Price History'!L112=0),"",'Price History'!L113/'Price History'!L112-1),"")</f>
        <v>2.1362742451702443E-2</v>
      </c>
      <c r="M112" s="76">
        <f>IFERROR(IF(OR(NOT(ISNUMBER('Price History'!M113)),NOT(ISNUMBER('Price History'!M112)),'Price History'!M112=0),"",'Price History'!M113/'Price History'!M112-1),"")</f>
        <v>6.4965885493918574E-2</v>
      </c>
      <c r="N112" s="76">
        <f>IFERROR(IF(OR(NOT(ISNUMBER('Price History'!N113)),NOT(ISNUMBER('Price History'!N112)),'Price History'!N112=0),"",'Price History'!N113/'Price History'!N112-1),"")</f>
        <v>-2.8920487668871786E-2</v>
      </c>
      <c r="O112" s="76">
        <f>IFERROR(IF(OR(NOT(ISNUMBER('Price History'!O113)),NOT(ISNUMBER('Price History'!O112)),'Price History'!O112=0),"",'Price History'!O113/'Price History'!O112-1),"")</f>
        <v>5.6920311563810611E-3</v>
      </c>
      <c r="P112" s="76" t="str">
        <f>IFERROR(IF(OR(NOT(ISNUMBER('Price History'!P113)),NOT(ISNUMBER('Price History'!P112)),'Price History'!P112=0),"",'Price History'!P113/'Price History'!P112-1),"")</f>
        <v/>
      </c>
      <c r="Q112" s="76">
        <f>IFERROR(IF(OR(NOT(ISNUMBER('Price History'!Q113)),NOT(ISNUMBER('Price History'!Q112)),'Price History'!Q112=0),"",'Price History'!Q113/'Price History'!Q112-1),"")</f>
        <v>-5.0304878048780255E-3</v>
      </c>
      <c r="R112" s="76">
        <f>IFERROR(IF(OR(NOT(ISNUMBER('Price History'!R113)),NOT(ISNUMBER('Price History'!R112)),'Price History'!R112=0),"",'Price History'!R113/'Price History'!R112-1),"")</f>
        <v>1.0965688008489627E-2</v>
      </c>
      <c r="S112" s="76">
        <f>IFERROR(IF(OR(NOT(ISNUMBER('Price History'!S113)),NOT(ISNUMBER('Price History'!S112)),'Price History'!S112=0),"",'Price History'!S113/'Price History'!S112-1),"")</f>
        <v>1.2035192563081054E-2</v>
      </c>
      <c r="T112" s="76">
        <f>IFERROR(IF(OR(NOT(ISNUMBER('Price History'!T113)),NOT(ISNUMBER('Price History'!T112)),'Price History'!T112=0),"",'Price History'!T113/'Price History'!T112-1),"")</f>
        <v>-1.3333333333332975E-3</v>
      </c>
      <c r="U112" s="76" t="str">
        <f>IFERROR(IF(OR(NOT(ISNUMBER('Price History'!U113)),NOT(ISNUMBER('Price History'!U112)),'Price History'!U112=0),"",'Price History'!U113/'Price History'!U112-1),"")</f>
        <v/>
      </c>
      <c r="W112" s="77">
        <f>'Price History'!B3+('Price History'!B158-'Price History'!B3)*0.707792207792208</f>
        <v>325.81129870129871</v>
      </c>
      <c r="X112" s="77">
        <f>'Price History'!C3+('Price History'!C158-'Price History'!C3)*0.707792207792208</f>
        <v>140.43149350649352</v>
      </c>
      <c r="Y112" s="77">
        <f>'Price History'!D3+('Price History'!D158-'Price History'!D3)*0.707792207792208</f>
        <v>1346.3707792207792</v>
      </c>
      <c r="Z112" s="77">
        <f>'Price History'!E3+('Price History'!E158-'Price History'!E3)*0.707792207792208</f>
        <v>299.77675324675329</v>
      </c>
      <c r="AA112" s="77">
        <f>'Price History'!F3+('Price History'!F158-'Price History'!F3)*0.707792207792208</f>
        <v>145.9184415584416</v>
      </c>
      <c r="AB112" s="77">
        <f>'Price History'!G3+('Price History'!G158-'Price History'!G3)*0.707792207792208</f>
        <v>143.3953246753247</v>
      </c>
      <c r="AC112" s="77">
        <f>'Price History'!H3+('Price History'!H158-'Price History'!H3)*0.707792207792208</f>
        <v>601.34363636363651</v>
      </c>
      <c r="AD112" s="77">
        <f>'Price History'!I3+('Price History'!I158-'Price History'!I3)*0.707792207792208</f>
        <v>154.02597402597405</v>
      </c>
      <c r="AE112" s="77">
        <f>'Price History'!J3+('Price History'!J158-'Price History'!J3)*0.707792207792208</f>
        <v>138.44441558441559</v>
      </c>
      <c r="AF112" s="77">
        <f>'Price History'!K3+('Price History'!K158-'Price History'!K3)*0.707792207792208</f>
        <v>91.603831168831192</v>
      </c>
      <c r="AG112" s="77">
        <f>'Price History'!L3+('Price History'!L158-'Price History'!L3)*0.707792207792208</f>
        <v>313.00519480519483</v>
      </c>
      <c r="AH112" s="77">
        <f>'Price History'!M3+('Price History'!M158-'Price History'!M3)*0.707792207792208</f>
        <v>180.77324675324678</v>
      </c>
      <c r="AI112" s="77">
        <f>'Price History'!N3+('Price History'!N158-'Price History'!N3)*0.707792207792208</f>
        <v>439.91948051948054</v>
      </c>
      <c r="AJ112" s="77">
        <f>'Price History'!O3+('Price History'!O158-'Price History'!O3)*0.707792207792208</f>
        <v>112.88162337662338</v>
      </c>
      <c r="AK112" s="77">
        <f>'Price History'!Q3+('Price History'!Q151-'Price History'!Q3)*0.707792207792208</f>
        <v>63.012012987012994</v>
      </c>
      <c r="AL112" s="77">
        <f>'Price History'!R3+('Price History'!R158-'Price History'!R3)*0.707792207792208</f>
        <v>55.202272727272728</v>
      </c>
      <c r="AM112" s="77">
        <f>'Price History'!S3+('Price History'!S158-'Price History'!S3)*0.707792207792208</f>
        <v>118.90759740259743</v>
      </c>
      <c r="AN112" s="77">
        <f>'Price History'!T3+('Price History'!T158-'Price History'!T3)*0.707792207792208</f>
        <v>43.068896103896108</v>
      </c>
    </row>
    <row r="113" spans="1:40" ht="15" customHeight="1" x14ac:dyDescent="0.2">
      <c r="A113" s="55">
        <f>IF('Price History'!A114="","",'Price History'!A114)</f>
        <v>45926</v>
      </c>
      <c r="B113" s="76">
        <f>IFERROR(IF(OR(NOT(ISNUMBER('Price History'!B114)),NOT(ISNUMBER('Price History'!B113)),'Price History'!B113=0),"",'Price History'!B114/'Price History'!B113-1),"")</f>
        <v>-1.5113418966930747E-2</v>
      </c>
      <c r="C113" s="76">
        <f>IFERROR(IF(OR(NOT(ISNUMBER('Price History'!C114)),NOT(ISNUMBER('Price History'!C113)),'Price History'!C113=0),"",'Price History'!C114/'Price History'!C113-1),"")</f>
        <v>-4.752356125927415E-2</v>
      </c>
      <c r="D113" s="76">
        <f>IFERROR(IF(OR(NOT(ISNUMBER('Price History'!D114)),NOT(ISNUMBER('Price History'!D113)),'Price History'!D113=0),"",'Price History'!D114/'Price History'!D113-1),"")</f>
        <v>2.0779917395268965E-2</v>
      </c>
      <c r="E113" s="76">
        <f>IFERROR(IF(OR(NOT(ISNUMBER('Price History'!E114)),NOT(ISNUMBER('Price History'!E113)),'Price History'!E113=0),"",'Price History'!E114/'Price History'!E113-1),"")</f>
        <v>-3.017916159332068E-2</v>
      </c>
      <c r="F113" s="76">
        <f>IFERROR(IF(OR(NOT(ISNUMBER('Price History'!F114)),NOT(ISNUMBER('Price History'!F113)),'Price History'!F113=0),"",'Price History'!F114/'Price History'!F113-1),"")</f>
        <v>-4.2024832855778405E-2</v>
      </c>
      <c r="G113" s="76">
        <f>IFERROR(IF(OR(NOT(ISNUMBER('Price History'!G114)),NOT(ISNUMBER('Price History'!G113)),'Price History'!G113=0),"",'Price History'!G114/'Price History'!G113-1),"")</f>
        <v>1.8663859111791803E-2</v>
      </c>
      <c r="H113" s="76">
        <f>IFERROR(IF(OR(NOT(ISNUMBER('Price History'!H114)),NOT(ISNUMBER('Price History'!H113)),'Price History'!H113=0),"",'Price History'!H114/'Price History'!H113-1),"")</f>
        <v>-3.355251029312345E-2</v>
      </c>
      <c r="I113" s="76">
        <f>IFERROR(IF(OR(NOT(ISNUMBER('Price History'!I114)),NOT(ISNUMBER('Price History'!I113)),'Price History'!I113=0),"",'Price History'!I114/'Price History'!I113-1),"")</f>
        <v>8.6036112526179931E-3</v>
      </c>
      <c r="J113" s="76">
        <f>IFERROR(IF(OR(NOT(ISNUMBER('Price History'!J114)),NOT(ISNUMBER('Price History'!J113)),'Price History'!J113=0),"",'Price History'!J114/'Price History'!J113-1),"")</f>
        <v>5.9906616157165971E-3</v>
      </c>
      <c r="K113" s="76">
        <f>IFERROR(IF(OR(NOT(ISNUMBER('Price History'!K114)),NOT(ISNUMBER('Price History'!K113)),'Price History'!K113=0),"",'Price History'!K114/'Price History'!K113-1),"")</f>
        <v>-2.6426887439004343E-2</v>
      </c>
      <c r="L113" s="76">
        <f>IFERROR(IF(OR(NOT(ISNUMBER('Price History'!L114)),NOT(ISNUMBER('Price History'!L113)),'Price History'!L113=0),"",'Price History'!L114/'Price History'!L113-1),"")</f>
        <v>3.2053460188016691E-2</v>
      </c>
      <c r="M113" s="76">
        <f>IFERROR(IF(OR(NOT(ISNUMBER('Price History'!M114)),NOT(ISNUMBER('Price History'!M113)),'Price History'!M113=0),"",'Price History'!M114/'Price History'!M113-1),"")</f>
        <v>-3.4679665738161503E-2</v>
      </c>
      <c r="N113" s="76">
        <f>IFERROR(IF(OR(NOT(ISNUMBER('Price History'!N114)),NOT(ISNUMBER('Price History'!N113)),'Price History'!N113=0),"",'Price History'!N114/'Price History'!N113-1),"")</f>
        <v>6.8385884318229451E-3</v>
      </c>
      <c r="O113" s="76">
        <f>IFERROR(IF(OR(NOT(ISNUMBER('Price History'!O114)),NOT(ISNUMBER('Price History'!O113)),'Price History'!O113=0),"",'Price History'!O114/'Price History'!O113-1),"")</f>
        <v>-1.588720087379536E-3</v>
      </c>
      <c r="P113" s="76" t="str">
        <f>IFERROR(IF(OR(NOT(ISNUMBER('Price History'!P114)),NOT(ISNUMBER('Price History'!P113)),'Price History'!P113=0),"",'Price History'!P114/'Price History'!P113-1),"")</f>
        <v/>
      </c>
      <c r="Q113" s="76">
        <f>IFERROR(IF(OR(NOT(ISNUMBER('Price History'!Q114)),NOT(ISNUMBER('Price History'!Q113)),'Price History'!Q113=0),"",'Price History'!Q114/'Price History'!Q113-1),"")</f>
        <v>1.5320974413974842E-3</v>
      </c>
      <c r="R113" s="76">
        <f>IFERROR(IF(OR(NOT(ISNUMBER('Price History'!R114)),NOT(ISNUMBER('Price History'!R113)),'Price History'!R113=0),"",'Price History'!R114/'Price History'!R113-1),"")</f>
        <v>1.5745276417076237E-3</v>
      </c>
      <c r="S113" s="76">
        <f>IFERROR(IF(OR(NOT(ISNUMBER('Price History'!S114)),NOT(ISNUMBER('Price History'!S113)),'Price History'!S113=0),"",'Price History'!S114/'Price History'!S113-1),"")</f>
        <v>-1.1071926515213715E-2</v>
      </c>
      <c r="T113" s="76">
        <f>IFERROR(IF(OR(NOT(ISNUMBER('Price History'!T114)),NOT(ISNUMBER('Price History'!T113)),'Price History'!T113=0),"",'Price History'!T114/'Price History'!T113-1),"")</f>
        <v>7.7436582109478014E-3</v>
      </c>
      <c r="U113" s="76" t="str">
        <f>IFERROR(IF(OR(NOT(ISNUMBER('Price History'!U114)),NOT(ISNUMBER('Price History'!U113)),'Price History'!U113=0),"",'Price History'!U114/'Price History'!U113-1),"")</f>
        <v/>
      </c>
      <c r="W113" s="77">
        <f>'Price History'!B3+('Price History'!B158-'Price History'!B3)*0.714285714285714</f>
        <v>324.13571428571436</v>
      </c>
      <c r="X113" s="77">
        <f>'Price History'!C3+('Price History'!C158-'Price History'!C3)*0.714285714285714</f>
        <v>141.31857142857137</v>
      </c>
      <c r="Y113" s="77">
        <f>'Price History'!D3+('Price History'!D158-'Price History'!D3)*0.714285714285714</f>
        <v>1352.6514285714284</v>
      </c>
      <c r="Z113" s="77">
        <f>'Price History'!E3+('Price History'!E158-'Price History'!E3)*0.714285714285714</f>
        <v>301.76571428571418</v>
      </c>
      <c r="AA113" s="77">
        <f>'Price History'!F3+('Price History'!F158-'Price History'!F3)*0.714285714285714</f>
        <v>146.91714285714284</v>
      </c>
      <c r="AB113" s="77">
        <f>'Price History'!G3+('Price History'!G158-'Price History'!G3)*0.714285714285714</f>
        <v>144.27142857142852</v>
      </c>
      <c r="AC113" s="77">
        <f>'Price History'!H3+('Price History'!H158-'Price History'!H3)*0.714285714285714</f>
        <v>606.26999999999975</v>
      </c>
      <c r="AD113" s="77">
        <f>'Price History'!I3+('Price History'!I158-'Price History'!I3)*0.714285714285714</f>
        <v>155.06428571428566</v>
      </c>
      <c r="AE113" s="77">
        <f>'Price History'!J3+('Price History'!J158-'Price History'!J3)*0.714285714285714</f>
        <v>138.58142857142857</v>
      </c>
      <c r="AF113" s="77">
        <f>'Price History'!K3+('Price History'!K158-'Price History'!K3)*0.714285714285714</f>
        <v>92.302857142857107</v>
      </c>
      <c r="AG113" s="77">
        <f>'Price History'!L3+('Price History'!L158-'Price History'!L3)*0.714285714285714</f>
        <v>315.03285714285704</v>
      </c>
      <c r="AH113" s="77">
        <f>'Price History'!M3+('Price History'!M158-'Price History'!M3)*0.714285714285714</f>
        <v>182.12428571428563</v>
      </c>
      <c r="AI113" s="77">
        <f>'Price History'!N3+('Price History'!N158-'Price History'!N3)*0.714285714285714</f>
        <v>440.74571428571426</v>
      </c>
      <c r="AJ113" s="77">
        <f>'Price History'!O3+('Price History'!O158-'Price History'!O3)*0.714285714285714</f>
        <v>113.15714285714284</v>
      </c>
      <c r="AK113" s="77">
        <f>'Price History'!Q3+('Price History'!Q151-'Price History'!Q3)*0.714285714285714</f>
        <v>63.132857142857141</v>
      </c>
      <c r="AL113" s="77">
        <f>'Price History'!R3+('Price History'!R158-'Price History'!R3)*0.714285714285714</f>
        <v>55.269999999999996</v>
      </c>
      <c r="AM113" s="77">
        <f>'Price History'!S3+('Price History'!S158-'Price History'!S3)*0.714285714285714</f>
        <v>119.46142857142856</v>
      </c>
      <c r="AN113" s="77">
        <f>'Price History'!T3+('Price History'!T158-'Price History'!T3)*0.714285714285714</f>
        <v>43.217142857142846</v>
      </c>
    </row>
    <row r="114" spans="1:40" ht="15" customHeight="1" x14ac:dyDescent="0.2">
      <c r="A114" s="55">
        <f>IF('Price History'!A115="","",'Price History'!A115)</f>
        <v>45933</v>
      </c>
      <c r="B114" s="76">
        <f>IFERROR(IF(OR(NOT(ISNUMBER('Price History'!B115)),NOT(ISNUMBER('Price History'!B114)),'Price History'!B114=0),"",'Price History'!B115/'Price History'!B114-1),"")</f>
        <v>-3.782223825512665E-2</v>
      </c>
      <c r="C114" s="76">
        <f>IFERROR(IF(OR(NOT(ISNUMBER('Price History'!C115)),NOT(ISNUMBER('Price History'!C114)),'Price History'!C114=0),"",'Price History'!C115/'Price History'!C114-1),"")</f>
        <v>2.1052631578947434E-2</v>
      </c>
      <c r="D114" s="76">
        <f>IFERROR(IF(OR(NOT(ISNUMBER('Price History'!D115)),NOT(ISNUMBER('Price History'!D114)),'Price History'!D114=0),"",'Price History'!D115/'Price History'!D114-1),"")</f>
        <v>8.4811669749453644E-2</v>
      </c>
      <c r="E114" s="76">
        <f>IFERROR(IF(OR(NOT(ISNUMBER('Price History'!E115)),NOT(ISNUMBER('Price History'!E114)),'Price History'!E114=0),"",'Price History'!E115/'Price History'!E114-1),"")</f>
        <v>1.1478791139808209E-2</v>
      </c>
      <c r="F114" s="76">
        <f>IFERROR(IF(OR(NOT(ISNUMBER('Price History'!F115)),NOT(ISNUMBER('Price History'!F114)),'Price History'!F114=0),"",'Price History'!F115/'Price History'!F114-1),"")</f>
        <v>1.7530741110003412E-2</v>
      </c>
      <c r="G114" s="76">
        <f>IFERROR(IF(OR(NOT(ISNUMBER('Price History'!G115)),NOT(ISNUMBER('Price History'!G114)),'Price History'!G114=0),"",'Price History'!G115/'Price History'!G114-1),"")</f>
        <v>3.5046509442826279E-2</v>
      </c>
      <c r="H114" s="76">
        <f>IFERROR(IF(OR(NOT(ISNUMBER('Price History'!H115)),NOT(ISNUMBER('Price History'!H114)),'Price History'!H114=0),"",'Price History'!H115/'Price History'!H114-1),"")</f>
        <v>0.19431550836141676</v>
      </c>
      <c r="I114" s="76">
        <f>IFERROR(IF(OR(NOT(ISNUMBER('Price History'!I115)),NOT(ISNUMBER('Price History'!I114)),'Price History'!I114=0),"",'Price History'!I115/'Price History'!I114-1),"")</f>
        <v>5.292103934003034E-2</v>
      </c>
      <c r="J114" s="76">
        <f>IFERROR(IF(OR(NOT(ISNUMBER('Price History'!J115)),NOT(ISNUMBER('Price History'!J114)),'Price History'!J114=0),"",'Price History'!J115/'Price History'!J114-1),"")</f>
        <v>2.513354934757861E-2</v>
      </c>
      <c r="K114" s="76">
        <f>IFERROR(IF(OR(NOT(ISNUMBER('Price History'!K115)),NOT(ISNUMBER('Price History'!K114)),'Price History'!K114=0),"",'Price History'!K115/'Price History'!K114-1),"")</f>
        <v>-2.5342118601115016E-2</v>
      </c>
      <c r="L114" s="76">
        <f>IFERROR(IF(OR(NOT(ISNUMBER('Price History'!L115)),NOT(ISNUMBER('Price History'!L114)),'Price History'!L114=0),"",'Price History'!L115/'Price History'!L114-1),"")</f>
        <v>6.8883523558677107E-2</v>
      </c>
      <c r="M114" s="76">
        <f>IFERROR(IF(OR(NOT(ISNUMBER('Price History'!M115)),NOT(ISNUMBER('Price History'!M114)),'Price History'!M114=0),"",'Price History'!M115/'Price History'!M114-1),"")</f>
        <v>0.15567739142980797</v>
      </c>
      <c r="N114" s="76">
        <f>IFERROR(IF(OR(NOT(ISNUMBER('Price History'!N115)),NOT(ISNUMBER('Price History'!N114)),'Price History'!N114=0),"",'Price History'!N115/'Price History'!N114-1),"")</f>
        <v>4.552289106652152E-2</v>
      </c>
      <c r="O114" s="76">
        <f>IFERROR(IF(OR(NOT(ISNUMBER('Price History'!O115)),NOT(ISNUMBER('Price History'!O114)),'Price History'!O114=0),"",'Price History'!O115/'Price History'!O114-1),"")</f>
        <v>1.0939830929885819E-3</v>
      </c>
      <c r="P114" s="76" t="str">
        <f>IFERROR(IF(OR(NOT(ISNUMBER('Price History'!P115)),NOT(ISNUMBER('Price History'!P114)),'Price History'!P114=0),"",'Price History'!P115/'Price History'!P114-1),"")</f>
        <v/>
      </c>
      <c r="Q114" s="76">
        <f>IFERROR(IF(OR(NOT(ISNUMBER('Price History'!Q115)),NOT(ISNUMBER('Price History'!Q114)),'Price History'!Q114=0),"",'Price History'!Q115/'Price History'!Q114-1),"")</f>
        <v>-8.8725715159858609E-3</v>
      </c>
      <c r="R114" s="76">
        <f>IFERROR(IF(OR(NOT(ISNUMBER('Price History'!R115)),NOT(ISNUMBER('Price History'!R114)),'Price History'!R114=0),"",'Price History'!R115/'Price History'!R114-1),"")</f>
        <v>5.2401746724894949E-4</v>
      </c>
      <c r="S114" s="76">
        <f>IFERROR(IF(OR(NOT(ISNUMBER('Price History'!S115)),NOT(ISNUMBER('Price History'!S114)),'Price History'!S114=0),"",'Price History'!S115/'Price History'!S114-1),"")</f>
        <v>-4.0636921545861293E-3</v>
      </c>
      <c r="T114" s="76">
        <f>IFERROR(IF(OR(NOT(ISNUMBER('Price History'!T115)),NOT(ISNUMBER('Price History'!T114)),'Price History'!T114=0),"",'Price History'!T115/'Price History'!T114-1),"")</f>
        <v>3.444621091679867E-3</v>
      </c>
      <c r="U114" s="76" t="str">
        <f>IFERROR(IF(OR(NOT(ISNUMBER('Price History'!U115)),NOT(ISNUMBER('Price History'!U114)),'Price History'!U114=0),"",'Price History'!U115/'Price History'!U114-1),"")</f>
        <v/>
      </c>
      <c r="W114" s="77">
        <f>'Price History'!B3+('Price History'!B158-'Price History'!B3)*0.720779220779221</f>
        <v>322.46012987012983</v>
      </c>
      <c r="X114" s="77">
        <f>'Price History'!C3+('Price History'!C158-'Price History'!C3)*0.720779220779221</f>
        <v>142.20564935064937</v>
      </c>
      <c r="Y114" s="77">
        <f>'Price History'!D3+('Price History'!D158-'Price History'!D3)*0.720779220779221</f>
        <v>1358.932077922078</v>
      </c>
      <c r="Z114" s="77">
        <f>'Price History'!E3+('Price History'!E158-'Price History'!E3)*0.720779220779221</f>
        <v>303.75467532467536</v>
      </c>
      <c r="AA114" s="77">
        <f>'Price History'!F3+('Price History'!F158-'Price History'!F3)*0.720779220779221</f>
        <v>147.91584415584418</v>
      </c>
      <c r="AB114" s="77">
        <f>'Price History'!G3+('Price History'!G158-'Price History'!G3)*0.720779220779221</f>
        <v>145.14753246753247</v>
      </c>
      <c r="AC114" s="77">
        <f>'Price History'!H3+('Price History'!H158-'Price History'!H3)*0.720779220779221</f>
        <v>611.1963636363638</v>
      </c>
      <c r="AD114" s="77">
        <f>'Price History'!I3+('Price History'!I158-'Price History'!I3)*0.720779220779221</f>
        <v>156.10259740259744</v>
      </c>
      <c r="AE114" s="77">
        <f>'Price History'!J3+('Price History'!J158-'Price History'!J3)*0.720779220779221</f>
        <v>138.71844155844158</v>
      </c>
      <c r="AF114" s="77">
        <f>'Price History'!K3+('Price History'!K158-'Price History'!K3)*0.720779220779221</f>
        <v>93.001883116883135</v>
      </c>
      <c r="AG114" s="77">
        <f>'Price History'!L3+('Price History'!L158-'Price History'!L3)*0.720779220779221</f>
        <v>317.06051948051953</v>
      </c>
      <c r="AH114" s="77">
        <f>'Price History'!M3+('Price History'!M158-'Price History'!M3)*0.720779220779221</f>
        <v>183.47532467532471</v>
      </c>
      <c r="AI114" s="77">
        <f>'Price History'!N3+('Price History'!N158-'Price History'!N3)*0.720779220779221</f>
        <v>441.57194805194808</v>
      </c>
      <c r="AJ114" s="77">
        <f>'Price History'!O3+('Price History'!O158-'Price History'!O3)*0.720779220779221</f>
        <v>113.43266233766235</v>
      </c>
      <c r="AK114" s="77">
        <f>'Price History'!Q3+('Price History'!Q151-'Price History'!Q3)*0.720779220779221</f>
        <v>63.253701298701301</v>
      </c>
      <c r="AL114" s="77">
        <f>'Price History'!R3+('Price History'!R158-'Price History'!R3)*0.720779220779221</f>
        <v>55.337727272727278</v>
      </c>
      <c r="AM114" s="77">
        <f>'Price History'!S3+('Price History'!S158-'Price History'!S3)*0.720779220779221</f>
        <v>120.01525974025978</v>
      </c>
      <c r="AN114" s="77">
        <f>'Price History'!T3+('Price History'!T158-'Price History'!T3)*0.720779220779221</f>
        <v>43.365389610389613</v>
      </c>
    </row>
    <row r="115" spans="1:40" ht="15" customHeight="1" x14ac:dyDescent="0.2">
      <c r="A115" s="55">
        <f>IF('Price History'!A116="","",'Price History'!A116)</f>
        <v>45940</v>
      </c>
      <c r="B115" s="76">
        <f>IFERROR(IF(OR(NOT(ISNUMBER('Price History'!B116)),NOT(ISNUMBER('Price History'!B115)),'Price History'!B115=0),"",'Price History'!B116/'Price History'!B115-1),"")</f>
        <v>-2.6619368979639013E-2</v>
      </c>
      <c r="C115" s="76">
        <f>IFERROR(IF(OR(NOT(ISNUMBER('Price History'!C116)),NOT(ISNUMBER('Price History'!C115)),'Price History'!C115=0),"",'Price History'!C116/'Price History'!C115-1),"")</f>
        <v>5.9106529209622005E-2</v>
      </c>
      <c r="D115" s="76">
        <f>IFERROR(IF(OR(NOT(ISNUMBER('Price History'!D116)),NOT(ISNUMBER('Price History'!D115)),'Price History'!D115=0),"",'Price History'!D116/'Price History'!D115-1),"")</f>
        <v>-9.3032493073182065E-2</v>
      </c>
      <c r="E115" s="76">
        <f>IFERROR(IF(OR(NOT(ISNUMBER('Price History'!E116)),NOT(ISNUMBER('Price History'!E115)),'Price History'!E115=0),"",'Price History'!E116/'Price History'!E115-1),"")</f>
        <v>-4.0606436740845853E-2</v>
      </c>
      <c r="F115" s="76">
        <f>IFERROR(IF(OR(NOT(ISNUMBER('Price History'!F116)),NOT(ISNUMBER('Price History'!F115)),'Price History'!F115=0),"",'Price History'!F116/'Price History'!F115-1),"")</f>
        <v>7.7570017147057246E-3</v>
      </c>
      <c r="G115" s="76">
        <f>IFERROR(IF(OR(NOT(ISNUMBER('Price History'!G116)),NOT(ISNUMBER('Price History'!G115)),'Price History'!G115=0),"",'Price History'!G116/'Price History'!G115-1),"")</f>
        <v>-0.10784313725490191</v>
      </c>
      <c r="H115" s="76">
        <f>IFERROR(IF(OR(NOT(ISNUMBER('Price History'!H116)),NOT(ISNUMBER('Price History'!H115)),'Price History'!H115=0),"",'Price History'!H116/'Price History'!H115-1),"")</f>
        <v>-3.3168290475430018E-2</v>
      </c>
      <c r="I115" s="76">
        <f>IFERROR(IF(OR(NOT(ISNUMBER('Price History'!I116)),NOT(ISNUMBER('Price History'!I115)),'Price History'!I115=0),"",'Price History'!I116/'Price History'!I115-1),"")</f>
        <v>-2.3771452936787174E-2</v>
      </c>
      <c r="J115" s="76">
        <f>IFERROR(IF(OR(NOT(ISNUMBER('Price History'!J116)),NOT(ISNUMBER('Price History'!J115)),'Price History'!J115=0),"",'Price History'!J116/'Price History'!J115-1),"")</f>
        <v>-4.9803519562617415E-2</v>
      </c>
      <c r="K115" s="76">
        <f>IFERROR(IF(OR(NOT(ISNUMBER('Price History'!K116)),NOT(ISNUMBER('Price History'!K115)),'Price History'!K115=0),"",'Price History'!K116/'Price History'!K115-1),"")</f>
        <v>1.3693881088576942E-2</v>
      </c>
      <c r="L115" s="76">
        <f>IFERROR(IF(OR(NOT(ISNUMBER('Price History'!L116)),NOT(ISNUMBER('Price History'!L115)),'Price History'!L115=0),"",'Price History'!L116/'Price History'!L115-1),"")</f>
        <v>-3.9460624935829358E-2</v>
      </c>
      <c r="M115" s="76">
        <f>IFERROR(IF(OR(NOT(ISNUMBER('Price History'!M116)),NOT(ISNUMBER('Price History'!M115)),'Price History'!M115=0),"",'Price History'!M116/'Price History'!M115-1),"")</f>
        <v>5.4993757802746623E-2</v>
      </c>
      <c r="N115" s="76">
        <f>IFERROR(IF(OR(NOT(ISNUMBER('Price History'!N116)),NOT(ISNUMBER('Price History'!N115)),'Price History'!N115=0),"",'Price History'!N116/'Price History'!N115-1),"")</f>
        <v>1.1133151500124061E-2</v>
      </c>
      <c r="O115" s="76">
        <f>IFERROR(IF(OR(NOT(ISNUMBER('Price History'!O116)),NOT(ISNUMBER('Price History'!O115)),'Price History'!O115=0),"",'Price History'!O116/'Price History'!O115-1),"")</f>
        <v>-5.4341347109080007E-2</v>
      </c>
      <c r="P115" s="76" t="str">
        <f>IFERROR(IF(OR(NOT(ISNUMBER('Price History'!P116)),NOT(ISNUMBER('Price History'!P115)),'Price History'!P115=0),"",'Price History'!P116/'Price History'!P115-1),"")</f>
        <v/>
      </c>
      <c r="Q115" s="76">
        <f>IFERROR(IF(OR(NOT(ISNUMBER('Price History'!Q116)),NOT(ISNUMBER('Price History'!Q115)),'Price History'!Q115=0),"",'Price History'!Q116/'Price History'!Q115-1),"")</f>
        <v>2.1762617687914654E-2</v>
      </c>
      <c r="R115" s="76">
        <f>IFERROR(IF(OR(NOT(ISNUMBER('Price History'!R116)),NOT(ISNUMBER('Price History'!R115)),'Price History'!R115=0),"",'Price History'!R116/'Price History'!R115-1),"")</f>
        <v>-1.6585195530726349E-2</v>
      </c>
      <c r="S115" s="76">
        <f>IFERROR(IF(OR(NOT(ISNUMBER('Price History'!S116)),NOT(ISNUMBER('Price History'!S115)),'Price History'!S115=0),"",'Price History'!S116/'Price History'!S115-1),"")</f>
        <v>-1.3240069947539346E-2</v>
      </c>
      <c r="T115" s="76">
        <f>IFERROR(IF(OR(NOT(ISNUMBER('Price History'!T116)),NOT(ISNUMBER('Price History'!T115)),'Price History'!T115=0),"",'Price History'!T116/'Price History'!T115-1),"")</f>
        <v>-3.4063902825455461E-2</v>
      </c>
      <c r="U115" s="76" t="str">
        <f>IFERROR(IF(OR(NOT(ISNUMBER('Price History'!U116)),NOT(ISNUMBER('Price History'!U115)),'Price History'!U115=0),"",'Price History'!U116/'Price History'!U115-1),"")</f>
        <v/>
      </c>
      <c r="W115" s="77">
        <f>'Price History'!B3+('Price History'!B158-'Price History'!B3)*0.727272727272727</f>
        <v>320.78454545454554</v>
      </c>
      <c r="X115" s="77">
        <f>'Price History'!C3+('Price History'!C158-'Price History'!C3)*0.727272727272727</f>
        <v>143.09272727272722</v>
      </c>
      <c r="Y115" s="77">
        <f>'Price History'!D3+('Price History'!D158-'Price History'!D3)*0.727272727272727</f>
        <v>1365.2127272727271</v>
      </c>
      <c r="Z115" s="77">
        <f>'Price History'!E3+('Price History'!E158-'Price History'!E3)*0.727272727272727</f>
        <v>305.74363636363626</v>
      </c>
      <c r="AA115" s="77">
        <f>'Price History'!F3+('Price History'!F158-'Price History'!F3)*0.727272727272727</f>
        <v>148.91454545454542</v>
      </c>
      <c r="AB115" s="77">
        <f>'Price History'!G3+('Price History'!G158-'Price History'!G3)*0.727272727272727</f>
        <v>146.02363636363631</v>
      </c>
      <c r="AC115" s="77">
        <f>'Price History'!H3+('Price History'!H158-'Price History'!H3)*0.727272727272727</f>
        <v>616.12272727272705</v>
      </c>
      <c r="AD115" s="77">
        <f>'Price History'!I3+('Price History'!I158-'Price History'!I3)*0.727272727272727</f>
        <v>157.14090909090905</v>
      </c>
      <c r="AE115" s="77">
        <f>'Price History'!J3+('Price History'!J158-'Price History'!J3)*0.727272727272727</f>
        <v>138.85545454545456</v>
      </c>
      <c r="AF115" s="77">
        <f>'Price History'!K3+('Price History'!K158-'Price History'!K3)*0.727272727272727</f>
        <v>93.700909090909065</v>
      </c>
      <c r="AG115" s="77">
        <f>'Price History'!L3+('Price History'!L158-'Price History'!L3)*0.727272727272727</f>
        <v>319.08818181818168</v>
      </c>
      <c r="AH115" s="77">
        <f>'Price History'!M3+('Price History'!M158-'Price History'!M3)*0.727272727272727</f>
        <v>184.82636363636357</v>
      </c>
      <c r="AI115" s="77">
        <f>'Price History'!N3+('Price History'!N158-'Price History'!N3)*0.727272727272727</f>
        <v>442.3981818181818</v>
      </c>
      <c r="AJ115" s="77">
        <f>'Price History'!O3+('Price History'!O158-'Price History'!O3)*0.727272727272727</f>
        <v>113.7081818181818</v>
      </c>
      <c r="AK115" s="77">
        <f>'Price History'!Q3+('Price History'!Q151-'Price History'!Q3)*0.727272727272727</f>
        <v>63.374545454545455</v>
      </c>
      <c r="AL115" s="77">
        <f>'Price History'!R3+('Price History'!R158-'Price History'!R3)*0.727272727272727</f>
        <v>55.405454545454546</v>
      </c>
      <c r="AM115" s="77">
        <f>'Price History'!S3+('Price History'!S158-'Price History'!S3)*0.727272727272727</f>
        <v>120.5690909090909</v>
      </c>
      <c r="AN115" s="77">
        <f>'Price History'!T3+('Price History'!T158-'Price History'!T3)*0.727272727272727</f>
        <v>43.513636363636358</v>
      </c>
    </row>
    <row r="116" spans="1:40" ht="15" customHeight="1" x14ac:dyDescent="0.2">
      <c r="A116" s="55">
        <f>IF('Price History'!A117="","",'Price History'!A117)</f>
        <v>45947</v>
      </c>
      <c r="B116" s="76">
        <f>IFERROR(IF(OR(NOT(ISNUMBER('Price History'!B117)),NOT(ISNUMBER('Price History'!B116)),'Price History'!B116=0),"",'Price History'!B117/'Price History'!B116-1),"")</f>
        <v>-1.2592219489792944E-2</v>
      </c>
      <c r="C116" s="76">
        <f>IFERROR(IF(OR(NOT(ISNUMBER('Price History'!C117)),NOT(ISNUMBER('Price History'!C116)),'Price History'!C116=0),"",'Price History'!C117/'Price History'!C116-1),"")</f>
        <v>-7.138221933809219E-2</v>
      </c>
      <c r="D116" s="76">
        <f>IFERROR(IF(OR(NOT(ISNUMBER('Price History'!D117)),NOT(ISNUMBER('Price History'!D116)),'Price History'!D116=0),"",'Price History'!D117/'Price History'!D116-1),"")</f>
        <v>9.9424262169004018E-2</v>
      </c>
      <c r="E116" s="76">
        <f>IFERROR(IF(OR(NOT(ISNUMBER('Price History'!E117)),NOT(ISNUMBER('Price History'!E116)),'Price History'!E116=0),"",'Price History'!E117/'Price History'!E116-1),"")</f>
        <v>7.6086621692388334E-2</v>
      </c>
      <c r="F116" s="76">
        <f>IFERROR(IF(OR(NOT(ISNUMBER('Price History'!F117)),NOT(ISNUMBER('Price History'!F116)),'Price History'!F116=0),"",'Price History'!F117/'Price History'!F116-1),"")</f>
        <v>-1.83114568141306E-2</v>
      </c>
      <c r="G116" s="76">
        <f>IFERROR(IF(OR(NOT(ISNUMBER('Price History'!G117)),NOT(ISNUMBER('Price History'!G116)),'Price History'!G116=0),"",'Price History'!G117/'Price History'!G116-1),"")</f>
        <v>0.12606837606837606</v>
      </c>
      <c r="H116" s="76">
        <f>IFERROR(IF(OR(NOT(ISNUMBER('Price History'!H117)),NOT(ISNUMBER('Price History'!H116)),'Price History'!H116=0),"",'Price History'!H117/'Price History'!H116-1),"")</f>
        <v>0.11442731277533036</v>
      </c>
      <c r="I116" s="76">
        <f>IFERROR(IF(OR(NOT(ISNUMBER('Price History'!I117)),NOT(ISNUMBER('Price History'!I116)),'Price History'!I116=0),"",'Price History'!I117/'Price History'!I116-1),"")</f>
        <v>3.2758244158115346E-4</v>
      </c>
      <c r="J116" s="76">
        <f>IFERROR(IF(OR(NOT(ISNUMBER('Price History'!J117)),NOT(ISNUMBER('Price History'!J116)),'Price History'!J116=0),"",'Price History'!J117/'Price History'!J116-1),"")</f>
        <v>0.11552638676616023</v>
      </c>
      <c r="K116" s="76">
        <f>IFERROR(IF(OR(NOT(ISNUMBER('Price History'!K117)),NOT(ISNUMBER('Price History'!K116)),'Price History'!K116=0),"",'Price History'!K117/'Price History'!K116-1),"")</f>
        <v>1.5446876424988654E-2</v>
      </c>
      <c r="L116" s="76">
        <f>IFERROR(IF(OR(NOT(ISNUMBER('Price History'!L117)),NOT(ISNUMBER('Price History'!L116)),'Price History'!L116=0),"",'Price History'!L117/'Price History'!L116-1),"")</f>
        <v>5.1378892610275617E-2</v>
      </c>
      <c r="M116" s="76">
        <f>IFERROR(IF(OR(NOT(ISNUMBER('Price History'!M117)),NOT(ISNUMBER('Price History'!M116)),'Price History'!M116=0),"",'Price History'!M117/'Price History'!M116-1),"")</f>
        <v>2.9524880184604418E-2</v>
      </c>
      <c r="N116" s="76">
        <f>IFERROR(IF(OR(NOT(ISNUMBER('Price History'!N117)),NOT(ISNUMBER('Price History'!N116)),'Price History'!N116=0),"",'Price History'!N117/'Price History'!N116-1),"")</f>
        <v>2.2119228034036986E-2</v>
      </c>
      <c r="O116" s="76">
        <f>IFERROR(IF(OR(NOT(ISNUMBER('Price History'!O117)),NOT(ISNUMBER('Price History'!O116)),'Price History'!O116=0),"",'Price History'!O117/'Price History'!O116-1),"")</f>
        <v>1.9644920684946054E-2</v>
      </c>
      <c r="P116" s="76" t="str">
        <f>IFERROR(IF(OR(NOT(ISNUMBER('Price History'!P117)),NOT(ISNUMBER('Price History'!P116)),'Price History'!P116=0),"",'Price History'!P117/'Price History'!P116-1),"")</f>
        <v/>
      </c>
      <c r="Q116" s="76">
        <f>IFERROR(IF(OR(NOT(ISNUMBER('Price History'!Q117)),NOT(ISNUMBER('Price History'!Q116)),'Price History'!Q116=0),"",'Price History'!Q117/'Price History'!Q116-1),"")</f>
        <v>2.2658610271901747E-3</v>
      </c>
      <c r="R116" s="76">
        <f>IFERROR(IF(OR(NOT(ISNUMBER('Price History'!R117)),NOT(ISNUMBER('Price History'!R116)),'Price History'!R116=0),"",'Price History'!R117/'Price History'!R116-1),"")</f>
        <v>2.0415409195810419E-2</v>
      </c>
      <c r="S116" s="76">
        <f>IFERROR(IF(OR(NOT(ISNUMBER('Price History'!S117)),NOT(ISNUMBER('Price History'!S116)),'Price History'!S116=0),"",'Price History'!S117/'Price History'!S116-1),"")</f>
        <v>1.6202531645569618E-2</v>
      </c>
      <c r="T116" s="76">
        <f>IFERROR(IF(OR(NOT(ISNUMBER('Price History'!T117)),NOT(ISNUMBER('Price History'!T116)),'Price History'!T116=0),"",'Price History'!T117/'Price History'!T116-1),"")</f>
        <v>1.3942044833242351E-2</v>
      </c>
      <c r="U116" s="76" t="str">
        <f>IFERROR(IF(OR(NOT(ISNUMBER('Price History'!U117)),NOT(ISNUMBER('Price History'!U116)),'Price History'!U116=0),"",'Price History'!U117/'Price History'!U116-1),"")</f>
        <v/>
      </c>
      <c r="W116" s="77">
        <f>'Price History'!B3+('Price History'!B158-'Price History'!B3)*0.733766233766234</f>
        <v>319.10896103896101</v>
      </c>
      <c r="X116" s="77">
        <f>'Price History'!C3+('Price History'!C158-'Price History'!C3)*0.733766233766234</f>
        <v>143.97980519480521</v>
      </c>
      <c r="Y116" s="77">
        <f>'Price History'!D3+('Price History'!D158-'Price History'!D3)*0.733766233766234</f>
        <v>1371.4933766233767</v>
      </c>
      <c r="Z116" s="77">
        <f>'Price History'!E3+('Price History'!E158-'Price History'!E3)*0.733766233766234</f>
        <v>307.73259740259743</v>
      </c>
      <c r="AA116" s="77">
        <f>'Price History'!F3+('Price History'!F158-'Price History'!F3)*0.733766233766234</f>
        <v>149.9132467532468</v>
      </c>
      <c r="AB116" s="77">
        <f>'Price History'!G3+('Price History'!G158-'Price History'!G3)*0.733766233766234</f>
        <v>146.89974025974027</v>
      </c>
      <c r="AC116" s="77">
        <f>'Price History'!H3+('Price History'!H158-'Price History'!H3)*0.733766233766234</f>
        <v>621.04909090909098</v>
      </c>
      <c r="AD116" s="77">
        <f>'Price History'!I3+('Price History'!I158-'Price History'!I3)*0.733766233766234</f>
        <v>158.17922077922083</v>
      </c>
      <c r="AE116" s="77">
        <f>'Price History'!J3+('Price History'!J158-'Price History'!J3)*0.733766233766234</f>
        <v>138.99246753246754</v>
      </c>
      <c r="AF116" s="77">
        <f>'Price History'!K3+('Price History'!K158-'Price History'!K3)*0.733766233766234</f>
        <v>94.399935064935093</v>
      </c>
      <c r="AG116" s="77">
        <f>'Price History'!L3+('Price History'!L158-'Price History'!L3)*0.733766233766234</f>
        <v>321.11584415584423</v>
      </c>
      <c r="AH116" s="77">
        <f>'Price History'!M3+('Price History'!M158-'Price History'!M3)*0.733766233766234</f>
        <v>186.17740259740262</v>
      </c>
      <c r="AI116" s="77">
        <f>'Price History'!N3+('Price History'!N158-'Price History'!N3)*0.733766233766234</f>
        <v>443.22441558441562</v>
      </c>
      <c r="AJ116" s="77">
        <f>'Price History'!O3+('Price History'!O158-'Price History'!O3)*0.733766233766234</f>
        <v>113.98370129870131</v>
      </c>
      <c r="AK116" s="77">
        <f>'Price History'!Q3+('Price History'!Q151-'Price History'!Q3)*0.733766233766234</f>
        <v>63.495389610389616</v>
      </c>
      <c r="AL116" s="77">
        <f>'Price History'!R3+('Price History'!R158-'Price History'!R3)*0.733766233766234</f>
        <v>55.473181818181821</v>
      </c>
      <c r="AM116" s="77">
        <f>'Price History'!S3+('Price History'!S158-'Price History'!S3)*0.733766233766234</f>
        <v>121.12292207792211</v>
      </c>
      <c r="AN116" s="77">
        <f>'Price History'!T3+('Price History'!T158-'Price History'!T3)*0.733766233766234</f>
        <v>43.661883116883118</v>
      </c>
    </row>
    <row r="117" spans="1:40" ht="15" customHeight="1" x14ac:dyDescent="0.2">
      <c r="A117" s="55">
        <f>IF('Price History'!A118="","",'Price History'!A118)</f>
        <v>45954</v>
      </c>
      <c r="B117" s="76">
        <f>IFERROR(IF(OR(NOT(ISNUMBER('Price History'!B118)),NOT(ISNUMBER('Price History'!B117)),'Price History'!B117=0),"",'Price History'!B118/'Price History'!B117-1),"")</f>
        <v>6.0793374542399192E-2</v>
      </c>
      <c r="C117" s="76">
        <f>IFERROR(IF(OR(NOT(ISNUMBER('Price History'!C118)),NOT(ISNUMBER('Price History'!C117)),'Price History'!C117=0),"",'Price History'!C118/'Price History'!C117-1),"")</f>
        <v>7.4912648497554191E-2</v>
      </c>
      <c r="D117" s="76">
        <f>IFERROR(IF(OR(NOT(ISNUMBER('Price History'!D118)),NOT(ISNUMBER('Price History'!D117)),'Price History'!D117=0),"",'Price History'!D118/'Price History'!D117-1),"")</f>
        <v>3.7210838749792696E-3</v>
      </c>
      <c r="E117" s="76">
        <f>IFERROR(IF(OR(NOT(ISNUMBER('Price History'!E118)),NOT(ISNUMBER('Price History'!E117)),'Price History'!E117=0),"",'Price History'!E118/'Price History'!E117-1),"")</f>
        <v>1.3740589127758884E-2</v>
      </c>
      <c r="F117" s="76">
        <f>IFERROR(IF(OR(NOT(ISNUMBER('Price History'!F118)),NOT(ISNUMBER('Price History'!F117)),'Price History'!F117=0),"",'Price History'!F118/'Price History'!F117-1),"")</f>
        <v>8.8065368108286801E-2</v>
      </c>
      <c r="G117" s="76">
        <f>IFERROR(IF(OR(NOT(ISNUMBER('Price History'!G118)),NOT(ISNUMBER('Price History'!G117)),'Price History'!G117=0),"",'Price History'!G118/'Price History'!G117-1),"")</f>
        <v>6.8762989066594393E-2</v>
      </c>
      <c r="H117" s="76">
        <f>IFERROR(IF(OR(NOT(ISNUMBER('Price History'!H118)),NOT(ISNUMBER('Price History'!H117)),'Price History'!H117=0),"",'Price History'!H118/'Price History'!H117-1),"")</f>
        <v>8.2221563395592501E-2</v>
      </c>
      <c r="I117" s="76">
        <f>IFERROR(IF(OR(NOT(ISNUMBER('Price History'!I118)),NOT(ISNUMBER('Price History'!I117)),'Price History'!I117=0),"",'Price History'!I118/'Price History'!I117-1),"")</f>
        <v>1.6592075100971382E-2</v>
      </c>
      <c r="J117" s="76">
        <f>IFERROR(IF(OR(NOT(ISNUMBER('Price History'!J118)),NOT(ISNUMBER('Price History'!J117)),'Price History'!J117=0),"",'Price History'!J118/'Price History'!J117-1),"")</f>
        <v>1.8939393939394034E-2</v>
      </c>
      <c r="K117" s="76">
        <f>IFERROR(IF(OR(NOT(ISNUMBER('Price History'!K118)),NOT(ISNUMBER('Price History'!K117)),'Price History'!K117=0),"",'Price History'!K118/'Price History'!K117-1),"")</f>
        <v>3.6373842267751755E-2</v>
      </c>
      <c r="L117" s="76">
        <f>IFERROR(IF(OR(NOT(ISNUMBER('Price History'!L118)),NOT(ISNUMBER('Price History'!L117)),'Price History'!L117=0),"",'Price History'!L118/'Price History'!L117-1),"")</f>
        <v>-4.0666937779587631E-4</v>
      </c>
      <c r="M117" s="76">
        <f>IFERROR(IF(OR(NOT(ISNUMBER('Price History'!M118)),NOT(ISNUMBER('Price History'!M117)),'Price History'!M117=0),"",'Price History'!M118/'Price History'!M117-1),"")</f>
        <v>6.9310344827586245E-2</v>
      </c>
      <c r="N117" s="76">
        <f>IFERROR(IF(OR(NOT(ISNUMBER('Price History'!N118)),NOT(ISNUMBER('Price History'!N117)),'Price History'!N117=0),"",'Price History'!N118/'Price History'!N117-1),"")</f>
        <v>1.0988220052301934E-2</v>
      </c>
      <c r="O117" s="76">
        <f>IFERROR(IF(OR(NOT(ISNUMBER('Price History'!O118)),NOT(ISNUMBER('Price History'!O117)),'Price History'!O117=0),"",'Price History'!O118/'Price History'!O117-1),"")</f>
        <v>2.9363280445085405E-2</v>
      </c>
      <c r="P117" s="76" t="str">
        <f>IFERROR(IF(OR(NOT(ISNUMBER('Price History'!P118)),NOT(ISNUMBER('Price History'!P117)),'Price History'!P117=0),"",'Price History'!P118/'Price History'!P117-1),"")</f>
        <v/>
      </c>
      <c r="Q117" s="76">
        <f>IFERROR(IF(OR(NOT(ISNUMBER('Price History'!Q118)),NOT(ISNUMBER('Price History'!Q117)),'Price History'!Q117=0),"",'Price History'!Q118/'Price History'!Q117-1),"")</f>
        <v>-1.2057272042200751E-3</v>
      </c>
      <c r="R117" s="76">
        <f>IFERROR(IF(OR(NOT(ISNUMBER('Price History'!R118)),NOT(ISNUMBER('Price History'!R117)),'Price History'!R117=0),"",'Price History'!R118/'Price History'!R117-1),"")</f>
        <v>1.8615170494084898E-2</v>
      </c>
      <c r="S117" s="76">
        <f>IFERROR(IF(OR(NOT(ISNUMBER('Price History'!S118)),NOT(ISNUMBER('Price History'!S117)),'Price History'!S117=0),"",'Price History'!S118/'Price History'!S117-1),"")</f>
        <v>1.0712506228201191E-2</v>
      </c>
      <c r="T117" s="76">
        <f>IFERROR(IF(OR(NOT(ISNUMBER('Price History'!T118)),NOT(ISNUMBER('Price History'!T117)),'Price History'!T117=0),"",'Price History'!T118/'Price History'!T117-1),"")</f>
        <v>2.6152601779455331E-2</v>
      </c>
      <c r="U117" s="76" t="str">
        <f>IFERROR(IF(OR(NOT(ISNUMBER('Price History'!U118)),NOT(ISNUMBER('Price History'!U117)),'Price History'!U117=0),"",'Price History'!U118/'Price History'!U117-1),"")</f>
        <v/>
      </c>
      <c r="W117" s="77">
        <f>'Price History'!B3+('Price History'!B158-'Price History'!B3)*0.74025974025974</f>
        <v>317.43337662337672</v>
      </c>
      <c r="X117" s="77">
        <f>'Price History'!C3+('Price History'!C158-'Price History'!C3)*0.74025974025974</f>
        <v>144.86688311688306</v>
      </c>
      <c r="Y117" s="77">
        <f>'Price History'!D3+('Price History'!D158-'Price History'!D3)*0.74025974025974</f>
        <v>1377.7740259740258</v>
      </c>
      <c r="Z117" s="77">
        <f>'Price History'!E3+('Price History'!E158-'Price History'!E3)*0.74025974025974</f>
        <v>309.72155844155833</v>
      </c>
      <c r="AA117" s="77">
        <f>'Price History'!F3+('Price History'!F158-'Price History'!F3)*0.74025974025974</f>
        <v>150.911948051948</v>
      </c>
      <c r="AB117" s="77">
        <f>'Price History'!G3+('Price History'!G158-'Price History'!G3)*0.74025974025974</f>
        <v>147.77584415584411</v>
      </c>
      <c r="AC117" s="77">
        <f>'Price History'!H3+('Price History'!H158-'Price History'!H3)*0.74025974025974</f>
        <v>625.97545454545434</v>
      </c>
      <c r="AD117" s="77">
        <f>'Price History'!I3+('Price History'!I158-'Price History'!I3)*0.74025974025974</f>
        <v>159.21753246753244</v>
      </c>
      <c r="AE117" s="77">
        <f>'Price History'!J3+('Price History'!J158-'Price History'!J3)*0.74025974025974</f>
        <v>139.12948051948052</v>
      </c>
      <c r="AF117" s="77">
        <f>'Price History'!K3+('Price History'!K158-'Price History'!K3)*0.74025974025974</f>
        <v>95.098961038961008</v>
      </c>
      <c r="AG117" s="77">
        <f>'Price History'!L3+('Price History'!L158-'Price History'!L3)*0.74025974025974</f>
        <v>323.14350649350638</v>
      </c>
      <c r="AH117" s="77">
        <f>'Price History'!M3+('Price History'!M158-'Price History'!M3)*0.74025974025974</f>
        <v>187.5284415584415</v>
      </c>
      <c r="AI117" s="77">
        <f>'Price History'!N3+('Price History'!N158-'Price History'!N3)*0.74025974025974</f>
        <v>444.05064935064934</v>
      </c>
      <c r="AJ117" s="77">
        <f>'Price History'!O3+('Price History'!O158-'Price History'!O3)*0.74025974025974</f>
        <v>114.25922077922077</v>
      </c>
      <c r="AK117" s="77">
        <f>'Price History'!Q3+('Price History'!Q151-'Price History'!Q3)*0.74025974025974</f>
        <v>63.616233766233762</v>
      </c>
      <c r="AL117" s="77">
        <f>'Price History'!R3+('Price History'!R158-'Price History'!R3)*0.74025974025974</f>
        <v>55.540909090909089</v>
      </c>
      <c r="AM117" s="77">
        <f>'Price History'!S3+('Price History'!S158-'Price History'!S3)*0.74025974025974</f>
        <v>121.67675324675324</v>
      </c>
      <c r="AN117" s="77">
        <f>'Price History'!T3+('Price History'!T158-'Price History'!T3)*0.74025974025974</f>
        <v>43.810129870129863</v>
      </c>
    </row>
    <row r="118" spans="1:40" ht="15" customHeight="1" x14ac:dyDescent="0.2">
      <c r="A118" s="55">
        <f>IF('Price History'!A119="","",'Price History'!A119)</f>
        <v>45961</v>
      </c>
      <c r="B118" s="76">
        <f>IFERROR(IF(OR(NOT(ISNUMBER('Price History'!B119)),NOT(ISNUMBER('Price History'!B118)),'Price History'!B118=0),"",'Price History'!B119/'Price History'!B118-1),"")</f>
        <v>-3.7367051369088022E-2</v>
      </c>
      <c r="C118" s="76">
        <f>IFERROR(IF(OR(NOT(ISNUMBER('Price History'!C119)),NOT(ISNUMBER('Price History'!C118)),'Price History'!C118=0),"",'Price History'!C119/'Price History'!C118-1),"")</f>
        <v>2.5159277077103193E-2</v>
      </c>
      <c r="D118" s="76">
        <f>IFERROR(IF(OR(NOT(ISNUMBER('Price History'!D119)),NOT(ISNUMBER('Price History'!D118)),'Price History'!D118=0),"",'Price History'!D119/'Price History'!D118-1),"")</f>
        <v>2.5292808053431592E-2</v>
      </c>
      <c r="E118" s="76">
        <f>IFERROR(IF(OR(NOT(ISNUMBER('Price History'!E119)),NOT(ISNUMBER('Price History'!E118)),'Price History'!E118=0),"",'Price History'!E119/'Price History'!E118-1),"")</f>
        <v>4.3769237285742557E-2</v>
      </c>
      <c r="F118" s="76">
        <f>IFERROR(IF(OR(NOT(ISNUMBER('Price History'!F119)),NOT(ISNUMBER('Price History'!F118)),'Price History'!F118=0),"",'Price History'!F119/'Price History'!F118-1),"")</f>
        <v>2.9735265114162024E-2</v>
      </c>
      <c r="G118" s="76">
        <f>IFERROR(IF(OR(NOT(ISNUMBER('Price History'!G119)),NOT(ISNUMBER('Price History'!G118)),'Price History'!G118=0),"",'Price History'!G119/'Price History'!G118-1),"")</f>
        <v>2.1897193101116041E-2</v>
      </c>
      <c r="H118" s="76">
        <f>IFERROR(IF(OR(NOT(ISNUMBER('Price History'!H119)),NOT(ISNUMBER('Price History'!H118)),'Price History'!H118=0),"",'Price History'!H119/'Price History'!H118-1),"")</f>
        <v>2.168751712172412E-2</v>
      </c>
      <c r="I118" s="76">
        <f>IFERROR(IF(OR(NOT(ISNUMBER('Price History'!I119)),NOT(ISNUMBER('Price History'!I118)),'Price History'!I118=0),"",'Price History'!I119/'Price History'!I118-1),"")</f>
        <v>8.7136261140341453E-2</v>
      </c>
      <c r="J118" s="76">
        <f>IFERROR(IF(OR(NOT(ISNUMBER('Price History'!J119)),NOT(ISNUMBER('Price History'!J118)),'Price History'!J118=0),"",'Price History'!J119/'Price History'!J118-1),"")</f>
        <v>-1.8508265443328398E-2</v>
      </c>
      <c r="K118" s="76">
        <f>IFERROR(IF(OR(NOT(ISNUMBER('Price History'!K119)),NOT(ISNUMBER('Price History'!K118)),'Price History'!K118=0),"",'Price History'!K119/'Price History'!K118-1),"")</f>
        <v>8.5793208037697077E-2</v>
      </c>
      <c r="L118" s="76">
        <f>IFERROR(IF(OR(NOT(ISNUMBER('Price History'!L119)),NOT(ISNUMBER('Price History'!L118)),'Price History'!L118=0),"",'Price History'!L119/'Price History'!L118-1),"")</f>
        <v>1.8544887442365265E-2</v>
      </c>
      <c r="M118" s="76">
        <f>IFERROR(IF(OR(NOT(ISNUMBER('Price History'!M119)),NOT(ISNUMBER('Price History'!M118)),'Price History'!M118=0),"",'Price History'!M119/'Price History'!M118-1),"")</f>
        <v>3.6547350317102101E-2</v>
      </c>
      <c r="N118" s="76">
        <f>IFERROR(IF(OR(NOT(ISNUMBER('Price History'!N119)),NOT(ISNUMBER('Price History'!N118)),'Price History'!N118=0),"",'Price History'!N119/'Price History'!N118-1),"")</f>
        <v>9.919551958992967E-3</v>
      </c>
      <c r="O118" s="76">
        <f>IFERROR(IF(OR(NOT(ISNUMBER('Price History'!O119)),NOT(ISNUMBER('Price History'!O118)),'Price History'!O118=0),"",'Price History'!O119/'Price History'!O118-1),"")</f>
        <v>-2.1119007106395804E-2</v>
      </c>
      <c r="P118" s="76" t="str">
        <f>IFERROR(IF(OR(NOT(ISNUMBER('Price History'!P119)),NOT(ISNUMBER('Price History'!P118)),'Price History'!P118=0),"",'Price History'!P119/'Price History'!P118-1),"")</f>
        <v/>
      </c>
      <c r="Q118" s="76">
        <f>IFERROR(IF(OR(NOT(ISNUMBER('Price History'!Q119)),NOT(ISNUMBER('Price History'!Q118)),'Price History'!Q118=0),"",'Price History'!Q119/'Price History'!Q118-1),"")</f>
        <v>3.0179568432187054E-4</v>
      </c>
      <c r="R118" s="76">
        <f>IFERROR(IF(OR(NOT(ISNUMBER('Price History'!R119)),NOT(ISNUMBER('Price History'!R118)),'Price History'!R118=0),"",'Price History'!R119/'Price History'!R118-1),"")</f>
        <v>9.3936806148591234E-3</v>
      </c>
      <c r="S118" s="76">
        <f>IFERROR(IF(OR(NOT(ISNUMBER('Price History'!S119)),NOT(ISNUMBER('Price History'!S118)),'Price History'!S118=0),"",'Price History'!S119/'Price History'!S118-1),"")</f>
        <v>-8.2162517459405393E-5</v>
      </c>
      <c r="T118" s="76">
        <f>IFERROR(IF(OR(NOT(ISNUMBER('Price History'!T119)),NOT(ISNUMBER('Price History'!T118)),'Price History'!T118=0),"",'Price History'!T119/'Price History'!T118-1),"")</f>
        <v>-6.3058328954282983E-3</v>
      </c>
      <c r="U118" s="76" t="str">
        <f>IFERROR(IF(OR(NOT(ISNUMBER('Price History'!U119)),NOT(ISNUMBER('Price History'!U118)),'Price History'!U118=0),"",'Price History'!U119/'Price History'!U118-1),"")</f>
        <v/>
      </c>
      <c r="W118" s="77">
        <f>'Price History'!B3+('Price History'!B158-'Price History'!B3)*0.746753246753247</f>
        <v>315.75779220779214</v>
      </c>
      <c r="X118" s="77">
        <f>'Price History'!C3+('Price History'!C158-'Price History'!C3)*0.746753246753247</f>
        <v>145.75396103896105</v>
      </c>
      <c r="Y118" s="77">
        <f>'Price History'!D3+('Price History'!D158-'Price History'!D3)*0.746753246753247</f>
        <v>1384.0546753246754</v>
      </c>
      <c r="Z118" s="77">
        <f>'Price History'!E3+('Price History'!E158-'Price History'!E3)*0.746753246753247</f>
        <v>311.71051948051951</v>
      </c>
      <c r="AA118" s="77">
        <f>'Price History'!F3+('Price History'!F158-'Price History'!F3)*0.746753246753247</f>
        <v>151.91064935064941</v>
      </c>
      <c r="AB118" s="77">
        <f>'Price History'!G3+('Price History'!G158-'Price History'!G3)*0.746753246753247</f>
        <v>148.65194805194807</v>
      </c>
      <c r="AC118" s="77">
        <f>'Price History'!H3+('Price History'!H158-'Price History'!H3)*0.746753246753247</f>
        <v>630.90181818181827</v>
      </c>
      <c r="AD118" s="77">
        <f>'Price History'!I3+('Price History'!I158-'Price History'!I3)*0.746753246753247</f>
        <v>160.25584415584419</v>
      </c>
      <c r="AE118" s="77">
        <f>'Price History'!J3+('Price History'!J158-'Price History'!J3)*0.746753246753247</f>
        <v>139.26649350649353</v>
      </c>
      <c r="AF118" s="77">
        <f>'Price History'!K3+('Price History'!K158-'Price History'!K3)*0.746753246753247</f>
        <v>95.797987012987036</v>
      </c>
      <c r="AG118" s="77">
        <f>'Price History'!L3+('Price History'!L158-'Price History'!L3)*0.746753246753247</f>
        <v>325.17116883116887</v>
      </c>
      <c r="AH118" s="77">
        <f>'Price History'!M3+('Price History'!M158-'Price History'!M3)*0.746753246753247</f>
        <v>188.87948051948055</v>
      </c>
      <c r="AI118" s="77">
        <f>'Price History'!N3+('Price History'!N158-'Price History'!N3)*0.746753246753247</f>
        <v>444.87688311688316</v>
      </c>
      <c r="AJ118" s="77">
        <f>'Price History'!O3+('Price History'!O158-'Price History'!O3)*0.746753246753247</f>
        <v>114.53474025974026</v>
      </c>
      <c r="AK118" s="77">
        <f>'Price History'!Q3+('Price History'!Q151-'Price History'!Q3)*0.746753246753247</f>
        <v>63.73707792207793</v>
      </c>
      <c r="AL118" s="77">
        <f>'Price History'!R3+('Price History'!R158-'Price History'!R3)*0.746753246753247</f>
        <v>55.608636363636364</v>
      </c>
      <c r="AM118" s="77">
        <f>'Price History'!S3+('Price History'!S158-'Price History'!S3)*0.746753246753247</f>
        <v>122.23058441558445</v>
      </c>
      <c r="AN118" s="77">
        <f>'Price History'!T3+('Price History'!T158-'Price History'!T3)*0.746753246753247</f>
        <v>43.95837662337663</v>
      </c>
    </row>
    <row r="119" spans="1:40" ht="15" customHeight="1" x14ac:dyDescent="0.2">
      <c r="A119" s="55">
        <f>IF('Price History'!A120="","",'Price History'!A120)</f>
        <v>45968</v>
      </c>
      <c r="B119" s="76">
        <f>IFERROR(IF(OR(NOT(ISNUMBER('Price History'!B120)),NOT(ISNUMBER('Price History'!B119)),'Price History'!B119=0),"",'Price History'!B120/'Price History'!B119-1),"")</f>
        <v>-3.9258323293467789E-2</v>
      </c>
      <c r="C119" s="76">
        <f>IFERROR(IF(OR(NOT(ISNUMBER('Price History'!C120)),NOT(ISNUMBER('Price History'!C119)),'Price History'!C119=0),"",'Price History'!C120/'Price History'!C119-1),"")</f>
        <v>-0.14610945526032082</v>
      </c>
      <c r="D119" s="76">
        <f>IFERROR(IF(OR(NOT(ISNUMBER('Price History'!D120)),NOT(ISNUMBER('Price History'!D119)),'Price History'!D119=0),"",'Price History'!D120/'Price History'!D119-1),"")</f>
        <v>-3.9906347063432879E-2</v>
      </c>
      <c r="E119" s="76">
        <f>IFERROR(IF(OR(NOT(ISNUMBER('Price History'!E120)),NOT(ISNUMBER('Price History'!E119)),'Price History'!E119=0),"",'Price History'!E120/'Price History'!E119-1),"")</f>
        <v>-5.4649243838432948E-2</v>
      </c>
      <c r="F119" s="76">
        <f>IFERROR(IF(OR(NOT(ISNUMBER('Price History'!F120)),NOT(ISNUMBER('Price History'!F119)),'Price History'!F119=0),"",'Price History'!F120/'Price History'!F119-1),"")</f>
        <v>-5.8931860036832706E-3</v>
      </c>
      <c r="G119" s="76">
        <f>IFERROR(IF(OR(NOT(ISNUMBER('Price History'!G120)),NOT(ISNUMBER('Price History'!G119)),'Price History'!G119=0),"",'Price History'!G120/'Price History'!G119-1),"")</f>
        <v>-1.2658227848101222E-2</v>
      </c>
      <c r="H119" s="76">
        <f>IFERROR(IF(OR(NOT(ISNUMBER('Price History'!H120)),NOT(ISNUMBER('Price History'!H119)),'Price History'!H119=0),"",'Price History'!H120/'Price History'!H119-1),"")</f>
        <v>6.3234571211511659E-2</v>
      </c>
      <c r="I119" s="76">
        <f>IFERROR(IF(OR(NOT(ISNUMBER('Price History'!I120)),NOT(ISNUMBER('Price History'!I119)),'Price History'!I119=0),"",'Price History'!I120/'Price History'!I119-1),"")</f>
        <v>-7.0818312015408225E-2</v>
      </c>
      <c r="J119" s="76">
        <f>IFERROR(IF(OR(NOT(ISNUMBER('Price History'!J120)),NOT(ISNUMBER('Price History'!J119)),'Price History'!J119=0),"",'Price History'!J120/'Price History'!J119-1),"")</f>
        <v>1.2168587315657842E-2</v>
      </c>
      <c r="K119" s="76">
        <f>IFERROR(IF(OR(NOT(ISNUMBER('Price History'!K120)),NOT(ISNUMBER('Price History'!K119)),'Price History'!K119=0),"",'Price History'!K120/'Price History'!K119-1),"")</f>
        <v>-0.1124357759265725</v>
      </c>
      <c r="L119" s="76">
        <f>IFERROR(IF(OR(NOT(ISNUMBER('Price History'!L120)),NOT(ISNUMBER('Price History'!L119)),'Price History'!L119=0),"",'Price History'!L120/'Price History'!L119-1),"")</f>
        <v>-4.636687414705587E-2</v>
      </c>
      <c r="M119" s="76">
        <f>IFERROR(IF(OR(NOT(ISNUMBER('Price History'!M120)),NOT(ISNUMBER('Price History'!M119)),'Price History'!M119=0),"",'Price History'!M120/'Price History'!M119-1),"")</f>
        <v>-6.771751529606973E-2</v>
      </c>
      <c r="N119" s="76">
        <f>IFERROR(IF(OR(NOT(ISNUMBER('Price History'!N120)),NOT(ISNUMBER('Price History'!N119)),'Price History'!N119=0),"",'Price History'!N120/'Price History'!N119-1),"")</f>
        <v>-3.7831614070540587E-2</v>
      </c>
      <c r="O119" s="76">
        <f>IFERROR(IF(OR(NOT(ISNUMBER('Price History'!O120)),NOT(ISNUMBER('Price History'!O119)),'Price History'!O119=0),"",'Price History'!O120/'Price History'!O119-1),"")</f>
        <v>-6.1349693251533388E-4</v>
      </c>
      <c r="P119" s="76" t="str">
        <f>IFERROR(IF(OR(NOT(ISNUMBER('Price History'!P120)),NOT(ISNUMBER('Price History'!P119)),'Price History'!P119=0),"",'Price History'!P120/'Price History'!P119-1),"")</f>
        <v/>
      </c>
      <c r="Q119" s="76">
        <f>IFERROR(IF(OR(NOT(ISNUMBER('Price History'!Q120)),NOT(ISNUMBER('Price History'!Q119)),'Price History'!Q119=0),"",'Price History'!Q120/'Price History'!Q119-1),"")</f>
        <v>1.0710514406396143E-2</v>
      </c>
      <c r="R119" s="76">
        <f>IFERROR(IF(OR(NOT(ISNUMBER('Price History'!R120)),NOT(ISNUMBER('Price History'!R119)),'Price History'!R119=0),"",'Price History'!R120/'Price History'!R119-1),"")</f>
        <v>-2.3519458544839278E-2</v>
      </c>
      <c r="S119" s="76">
        <f>IFERROR(IF(OR(NOT(ISNUMBER('Price History'!S120)),NOT(ISNUMBER('Price History'!S119)),'Price History'!S119=0),"",'Price History'!S120/'Price History'!S119-1),"")</f>
        <v>-2.6047658175842203E-2</v>
      </c>
      <c r="T119" s="76">
        <f>IFERROR(IF(OR(NOT(ISNUMBER('Price History'!T120)),NOT(ISNUMBER('Price History'!T119)),'Price History'!T119=0),"",'Price History'!T120/'Price History'!T119-1),"")</f>
        <v>1.5864621893177944E-3</v>
      </c>
      <c r="U119" s="76" t="str">
        <f>IFERROR(IF(OR(NOT(ISNUMBER('Price History'!U120)),NOT(ISNUMBER('Price History'!U119)),'Price History'!U119=0),"",'Price History'!U120/'Price History'!U119-1),"")</f>
        <v/>
      </c>
      <c r="W119" s="77">
        <f>'Price History'!B3+('Price History'!B158-'Price History'!B3)*0.753246753246753</f>
        <v>314.0822077922079</v>
      </c>
      <c r="X119" s="77">
        <f>'Price History'!C3+('Price History'!C158-'Price History'!C3)*0.753246753246753</f>
        <v>146.64103896103893</v>
      </c>
      <c r="Y119" s="77">
        <f>'Price History'!D3+('Price History'!D158-'Price History'!D3)*0.753246753246753</f>
        <v>1390.3353246753245</v>
      </c>
      <c r="Z119" s="77">
        <f>'Price History'!E3+('Price History'!E158-'Price History'!E3)*0.753246753246753</f>
        <v>313.6994805194804</v>
      </c>
      <c r="AA119" s="77">
        <f>'Price History'!F3+('Price History'!F158-'Price History'!F3)*0.753246753246753</f>
        <v>152.90935064935064</v>
      </c>
      <c r="AB119" s="77">
        <f>'Price History'!G3+('Price History'!G158-'Price History'!G3)*0.753246753246753</f>
        <v>149.52805194805191</v>
      </c>
      <c r="AC119" s="77">
        <f>'Price History'!H3+('Price History'!H158-'Price History'!H3)*0.753246753246753</f>
        <v>635.82818181818163</v>
      </c>
      <c r="AD119" s="77">
        <f>'Price History'!I3+('Price History'!I158-'Price History'!I3)*0.753246753246753</f>
        <v>161.29415584415582</v>
      </c>
      <c r="AE119" s="77">
        <f>'Price History'!J3+('Price History'!J158-'Price History'!J3)*0.753246753246753</f>
        <v>139.40350649350651</v>
      </c>
      <c r="AF119" s="77">
        <f>'Price History'!K3+('Price History'!K158-'Price History'!K3)*0.753246753246753</f>
        <v>96.497012987012965</v>
      </c>
      <c r="AG119" s="77">
        <f>'Price History'!L3+('Price History'!L158-'Price History'!L3)*0.753246753246753</f>
        <v>327.19883116883108</v>
      </c>
      <c r="AH119" s="77">
        <f>'Price History'!M3+('Price History'!M158-'Price History'!M3)*0.753246753246753</f>
        <v>190.23051948051943</v>
      </c>
      <c r="AI119" s="77">
        <f>'Price History'!N3+('Price History'!N158-'Price History'!N3)*0.753246753246753</f>
        <v>445.70311688311688</v>
      </c>
      <c r="AJ119" s="77">
        <f>'Price History'!O3+('Price History'!O158-'Price History'!O3)*0.753246753246753</f>
        <v>114.81025974025974</v>
      </c>
      <c r="AK119" s="77">
        <f>'Price History'!Q3+('Price History'!Q151-'Price History'!Q3)*0.753246753246753</f>
        <v>63.857922077922076</v>
      </c>
      <c r="AL119" s="77">
        <f>'Price History'!R3+('Price History'!R158-'Price History'!R3)*0.753246753246753</f>
        <v>55.676363636363632</v>
      </c>
      <c r="AM119" s="77">
        <f>'Price History'!S3+('Price History'!S158-'Price History'!S3)*0.753246753246753</f>
        <v>122.78441558441557</v>
      </c>
      <c r="AN119" s="77">
        <f>'Price History'!T3+('Price History'!T158-'Price History'!T3)*0.753246753246753</f>
        <v>44.106623376623375</v>
      </c>
    </row>
    <row r="120" spans="1:40" ht="15" customHeight="1" x14ac:dyDescent="0.2">
      <c r="A120" s="55">
        <f>IF('Price History'!A121="","",'Price History'!A121)</f>
        <v>45975</v>
      </c>
      <c r="B120" s="76">
        <f>IFERROR(IF(OR(NOT(ISNUMBER('Price History'!B121)),NOT(ISNUMBER('Price History'!B120)),'Price History'!B120=0),"",'Price History'!B121/'Price History'!B120-1),"")</f>
        <v>1.2723658051689846E-2</v>
      </c>
      <c r="C120" s="76">
        <f>IFERROR(IF(OR(NOT(ISNUMBER('Price History'!C121)),NOT(ISNUMBER('Price History'!C120)),'Price History'!C120=0),"",'Price History'!C121/'Price History'!C120-1),"")</f>
        <v>-2.4359450427033025E-2</v>
      </c>
      <c r="D120" s="76">
        <f>IFERROR(IF(OR(NOT(ISNUMBER('Price History'!D121)),NOT(ISNUMBER('Price History'!D120)),'Price History'!D120=0),"",'Price History'!D121/'Price History'!D120-1),"")</f>
        <v>-9.8135619886721148E-3</v>
      </c>
      <c r="E120" s="76">
        <f>IFERROR(IF(OR(NOT(ISNUMBER('Price History'!E121)),NOT(ISNUMBER('Price History'!E120)),'Price History'!E120=0),"",'Price History'!E121/'Price History'!E120-1),"")</f>
        <v>-1.9946770454740692E-2</v>
      </c>
      <c r="F120" s="76">
        <f>IFERROR(IF(OR(NOT(ISNUMBER('Price History'!F121)),NOT(ISNUMBER('Price History'!F120)),'Price History'!F120=0),"",'Price History'!F121/'Price History'!F120-1),"")</f>
        <v>-4.1496850685439624E-3</v>
      </c>
      <c r="G120" s="76">
        <f>IFERROR(IF(OR(NOT(ISNUMBER('Price History'!G121)),NOT(ISNUMBER('Price History'!G120)),'Price History'!G120=0),"",'Price History'!G121/'Price History'!G120-1),"")</f>
        <v>-4.9522373051784752E-2</v>
      </c>
      <c r="H120" s="76">
        <f>IFERROR(IF(OR(NOT(ISNUMBER('Price History'!H121)),NOT(ISNUMBER('Price History'!H120)),'Price History'!H120=0),"",'Price History'!H121/'Price History'!H120-1),"")</f>
        <v>3.7449562878278497E-2</v>
      </c>
      <c r="I120" s="76">
        <f>IFERROR(IF(OR(NOT(ISNUMBER('Price History'!I121)),NOT(ISNUMBER('Price History'!I120)),'Price History'!I120=0),"",'Price History'!I121/'Price History'!I120-1),"")</f>
        <v>1.0736114802019525E-2</v>
      </c>
      <c r="J120" s="76">
        <f>IFERROR(IF(OR(NOT(ISNUMBER('Price History'!J121)),NOT(ISNUMBER('Price History'!J120)),'Price History'!J120=0),"",'Price History'!J121/'Price History'!J120-1),"")</f>
        <v>-2.2054140127388489E-2</v>
      </c>
      <c r="K120" s="76">
        <f>IFERROR(IF(OR(NOT(ISNUMBER('Price History'!K121)),NOT(ISNUMBER('Price History'!K120)),'Price History'!K120=0),"",'Price History'!K121/'Price History'!K120-1),"")</f>
        <v>-2.2031135839937099E-2</v>
      </c>
      <c r="L120" s="76">
        <f>IFERROR(IF(OR(NOT(ISNUMBER('Price History'!L121)),NOT(ISNUMBER('Price History'!L120)),'Price History'!L120=0),"",'Price History'!L121/'Price History'!L120-1),"")</f>
        <v>-5.8638743455498021E-3</v>
      </c>
      <c r="M120" s="76">
        <f>IFERROR(IF(OR(NOT(ISNUMBER('Price History'!M121)),NOT(ISNUMBER('Price History'!M120)),'Price History'!M120=0),"",'Price History'!M121/'Price History'!M120-1),"")</f>
        <v>-4.9110122358175801E-2</v>
      </c>
      <c r="N120" s="76">
        <f>IFERROR(IF(OR(NOT(ISNUMBER('Price History'!N121)),NOT(ISNUMBER('Price History'!N120)),'Price History'!N120=0),"",'Price History'!N121/'Price History'!N120-1),"")</f>
        <v>6.7599579944806587E-2</v>
      </c>
      <c r="O120" s="76">
        <f>IFERROR(IF(OR(NOT(ISNUMBER('Price History'!O121)),NOT(ISNUMBER('Price History'!O120)),'Price History'!O120=0),"",'Price History'!O121/'Price History'!O120-1),"")</f>
        <v>-1.5346838551257846E-3</v>
      </c>
      <c r="P120" s="76" t="str">
        <f>IFERROR(IF(OR(NOT(ISNUMBER('Price History'!P121)),NOT(ISNUMBER('Price History'!P120)),'Price History'!P120=0),"",'Price History'!P121/'Price History'!P120-1),"")</f>
        <v/>
      </c>
      <c r="Q120" s="76">
        <f>IFERROR(IF(OR(NOT(ISNUMBER('Price History'!Q121)),NOT(ISNUMBER('Price History'!Q120)),'Price History'!Q120=0),"",'Price History'!Q121/'Price History'!Q120-1),"")</f>
        <v>-8.3582089552238781E-3</v>
      </c>
      <c r="R120" s="76">
        <f>IFERROR(IF(OR(NOT(ISNUMBER('Price History'!R121)),NOT(ISNUMBER('Price History'!R120)),'Price History'!R120=0),"",'Price History'!R121/'Price History'!R120-1),"")</f>
        <v>1.906082134812026E-3</v>
      </c>
      <c r="S120" s="76">
        <f>IFERROR(IF(OR(NOT(ISNUMBER('Price History'!S121)),NOT(ISNUMBER('Price History'!S120)),'Price History'!S120=0),"",'Price History'!S121/'Price History'!S120-1),"")</f>
        <v>-5.9056778874546634E-3</v>
      </c>
      <c r="T120" s="76">
        <f>IFERROR(IF(OR(NOT(ISNUMBER('Price History'!T121)),NOT(ISNUMBER('Price History'!T120)),'Price History'!T120=0),"",'Price History'!T121/'Price History'!T120-1),"")</f>
        <v>1.1087645195353657E-2</v>
      </c>
      <c r="U120" s="76" t="str">
        <f>IFERROR(IF(OR(NOT(ISNUMBER('Price History'!U121)),NOT(ISNUMBER('Price History'!U120)),'Price History'!U120=0),"",'Price History'!U121/'Price History'!U120-1),"")</f>
        <v/>
      </c>
      <c r="W120" s="77">
        <f>'Price History'!B3+('Price History'!B158-'Price History'!B3)*0.75974025974026</f>
        <v>312.40662337662332</v>
      </c>
      <c r="X120" s="77">
        <f>'Price History'!C3+('Price History'!C158-'Price History'!C3)*0.75974025974026</f>
        <v>147.52811688311692</v>
      </c>
      <c r="Y120" s="77">
        <f>'Price History'!D3+('Price History'!D158-'Price History'!D3)*0.75974025974026</f>
        <v>1396.6159740259743</v>
      </c>
      <c r="Z120" s="77">
        <f>'Price History'!E3+('Price History'!E158-'Price History'!E3)*0.75974025974026</f>
        <v>315.68844155844164</v>
      </c>
      <c r="AA120" s="77">
        <f>'Price History'!F3+('Price History'!F158-'Price History'!F3)*0.75974025974026</f>
        <v>153.90805194805199</v>
      </c>
      <c r="AB120" s="77">
        <f>'Price History'!G3+('Price History'!G158-'Price History'!G3)*0.75974025974026</f>
        <v>150.40415584415587</v>
      </c>
      <c r="AC120" s="77">
        <f>'Price History'!H3+('Price History'!H158-'Price History'!H3)*0.75974025974026</f>
        <v>640.75454545454568</v>
      </c>
      <c r="AD120" s="77">
        <f>'Price History'!I3+('Price History'!I158-'Price History'!I3)*0.75974025974026</f>
        <v>162.33246753246758</v>
      </c>
      <c r="AE120" s="77">
        <f>'Price History'!J3+('Price History'!J158-'Price History'!J3)*0.75974025974026</f>
        <v>139.54051948051949</v>
      </c>
      <c r="AF120" s="77">
        <f>'Price History'!K3+('Price History'!K158-'Price History'!K3)*0.75974025974026</f>
        <v>97.196038961038994</v>
      </c>
      <c r="AG120" s="77">
        <f>'Price History'!L3+('Price History'!L158-'Price History'!L3)*0.75974025974026</f>
        <v>329.22649350649357</v>
      </c>
      <c r="AH120" s="77">
        <f>'Price History'!M3+('Price History'!M158-'Price History'!M3)*0.75974025974026</f>
        <v>191.58155844155849</v>
      </c>
      <c r="AI120" s="77">
        <f>'Price History'!N3+('Price History'!N158-'Price History'!N3)*0.75974025974026</f>
        <v>446.5293506493507</v>
      </c>
      <c r="AJ120" s="77">
        <f>'Price History'!O3+('Price History'!O158-'Price History'!O3)*0.75974025974026</f>
        <v>115.08577922077923</v>
      </c>
      <c r="AK120" s="77">
        <f>'Price History'!Q3+('Price History'!Q151-'Price History'!Q3)*0.75974025974026</f>
        <v>63.978766233766244</v>
      </c>
      <c r="AL120" s="77">
        <f>'Price History'!R3+('Price History'!R158-'Price History'!R3)*0.75974025974026</f>
        <v>55.744090909090914</v>
      </c>
      <c r="AM120" s="77">
        <f>'Price History'!S3+('Price History'!S158-'Price History'!S3)*0.75974025974026</f>
        <v>123.33824675324681</v>
      </c>
      <c r="AN120" s="77">
        <f>'Price History'!T3+('Price History'!T158-'Price History'!T3)*0.75974025974026</f>
        <v>44.254870129870142</v>
      </c>
    </row>
    <row r="121" spans="1:40" ht="15" customHeight="1" x14ac:dyDescent="0.2">
      <c r="A121" s="55">
        <f>IF('Price History'!A122="","",'Price History'!A122)</f>
        <v>45982</v>
      </c>
      <c r="B121" s="76">
        <f>IFERROR(IF(OR(NOT(ISNUMBER('Price History'!B122)),NOT(ISNUMBER('Price History'!B121)),'Price History'!B121=0),"",'Price History'!B122/'Price History'!B121-1),"")</f>
        <v>-2.08993989912718E-2</v>
      </c>
      <c r="C121" s="76">
        <f>IFERROR(IF(OR(NOT(ISNUMBER('Price History'!C122)),NOT(ISNUMBER('Price History'!C121)),'Price History'!C121=0),"",'Price History'!C122/'Price History'!C121-1),"")</f>
        <v>-0.10611250666057692</v>
      </c>
      <c r="D121" s="76">
        <f>IFERROR(IF(OR(NOT(ISNUMBER('Price History'!D122)),NOT(ISNUMBER('Price History'!D121)),'Price History'!D121=0),"",'Price History'!D122/'Price History'!D121-1),"")</f>
        <v>-4.0129893344455714E-2</v>
      </c>
      <c r="E121" s="76">
        <f>IFERROR(IF(OR(NOT(ISNUMBER('Price History'!E122)),NOT(ISNUMBER('Price History'!E121)),'Price History'!E121=0),"",'Price History'!E122/'Price History'!E121-1),"")</f>
        <v>-6.599310868422581E-3</v>
      </c>
      <c r="F121" s="76">
        <f>IFERROR(IF(OR(NOT(ISNUMBER('Price History'!F122)),NOT(ISNUMBER('Price History'!F121)),'Price History'!F121=0),"",'Price History'!F122/'Price History'!F121-1),"")</f>
        <v>-8.7208869707567471E-2</v>
      </c>
      <c r="G121" s="76">
        <f>IFERROR(IF(OR(NOT(ISNUMBER('Price History'!G122)),NOT(ISNUMBER('Price History'!G121)),'Price History'!G121=0),"",'Price History'!G122/'Price History'!G121-1),"")</f>
        <v>-3.2795556731023634E-2</v>
      </c>
      <c r="H121" s="76">
        <f>IFERROR(IF(OR(NOT(ISNUMBER('Price History'!H122)),NOT(ISNUMBER('Price History'!H121)),'Price History'!H121=0),"",'Price History'!H122/'Price History'!H121-1),"")</f>
        <v>-0.15986711501843376</v>
      </c>
      <c r="I121" s="76">
        <f>IFERROR(IF(OR(NOT(ISNUMBER('Price History'!I122)),NOT(ISNUMBER('Price History'!I121)),'Price History'!I121=0),"",'Price History'!I122/'Price History'!I121-1),"")</f>
        <v>-5.9367933953830776E-2</v>
      </c>
      <c r="J121" s="76">
        <f>IFERROR(IF(OR(NOT(ISNUMBER('Price History'!J122)),NOT(ISNUMBER('Price History'!J121)),'Price History'!J121=0),"",'Price History'!J122/'Price History'!J121-1),"")</f>
        <v>2.4098347309289281E-2</v>
      </c>
      <c r="K121" s="76">
        <f>IFERROR(IF(OR(NOT(ISNUMBER('Price History'!K122)),NOT(ISNUMBER('Price History'!K121)),'Price History'!K121=0),"",'Price History'!K122/'Price History'!K121-1),"")</f>
        <v>-0.11010861444744557</v>
      </c>
      <c r="L121" s="76">
        <f>IFERROR(IF(OR(NOT(ISNUMBER('Price History'!L122)),NOT(ISNUMBER('Price History'!L121)),'Price History'!L121=0),"",'Price History'!L122/'Price History'!L121-1),"")</f>
        <v>-3.4267256512885313E-2</v>
      </c>
      <c r="M121" s="76">
        <f>IFERROR(IF(OR(NOT(ISNUMBER('Price History'!M122)),NOT(ISNUMBER('Price History'!M121)),'Price History'!M121=0),"",'Price History'!M122/'Price History'!M121-1),"")</f>
        <v>-6.5157629993566002E-2</v>
      </c>
      <c r="N121" s="76">
        <f>IFERROR(IF(OR(NOT(ISNUMBER('Price History'!N122)),NOT(ISNUMBER('Price History'!N121)),'Price History'!N121=0),"",'Price History'!N122/'Price History'!N121-1),"")</f>
        <v>-2.3767585496969001E-2</v>
      </c>
      <c r="O121" s="76">
        <f>IFERROR(IF(OR(NOT(ISNUMBER('Price History'!O122)),NOT(ISNUMBER('Price History'!O121)),'Price History'!O121=0),"",'Price History'!O122/'Price History'!O121-1),"")</f>
        <v>-7.7876831642587074E-3</v>
      </c>
      <c r="P121" s="76" t="str">
        <f>IFERROR(IF(OR(NOT(ISNUMBER('Price History'!P122)),NOT(ISNUMBER('Price History'!P121)),'Price History'!P121=0),"",'Price History'!P122/'Price History'!P121-1),"")</f>
        <v/>
      </c>
      <c r="Q121" s="76">
        <f>IFERROR(IF(OR(NOT(ISNUMBER('Price History'!Q122)),NOT(ISNUMBER('Price History'!Q121)),'Price History'!Q121=0),"",'Price History'!Q122/'Price History'!Q121-1),"")</f>
        <v>9.1812161348585608E-3</v>
      </c>
      <c r="R121" s="76">
        <f>IFERROR(IF(OR(NOT(ISNUMBER('Price History'!R122)),NOT(ISNUMBER('Price History'!R121)),'Price History'!R121=0),"",'Price History'!R122/'Price History'!R121-1),"")</f>
        <v>-2.7326184711172541E-2</v>
      </c>
      <c r="S121" s="76">
        <f>IFERROR(IF(OR(NOT(ISNUMBER('Price History'!S122)),NOT(ISNUMBER('Price History'!S121)),'Price History'!S121=0),"",'Price History'!S122/'Price History'!S121-1),"")</f>
        <v>-2.9958414665195665E-2</v>
      </c>
      <c r="T121" s="76">
        <f>IFERROR(IF(OR(NOT(ISNUMBER('Price History'!T122)),NOT(ISNUMBER('Price History'!T121)),'Price History'!T121=0),"",'Price History'!T122/'Price History'!T121-1),"")</f>
        <v>-2.0104438642297495E-2</v>
      </c>
      <c r="U121" s="76" t="str">
        <f>IFERROR(IF(OR(NOT(ISNUMBER('Price History'!U122)),NOT(ISNUMBER('Price History'!U121)),'Price History'!U121=0),"",'Price History'!U122/'Price History'!U121-1),"")</f>
        <v/>
      </c>
      <c r="W121" s="77">
        <f>'Price History'!B3+('Price History'!B158-'Price History'!B3)*0.766233766233766</f>
        <v>310.73103896103902</v>
      </c>
      <c r="X121" s="77">
        <f>'Price History'!C3+('Price History'!C158-'Price History'!C3)*0.766233766233766</f>
        <v>148.41519480519477</v>
      </c>
      <c r="Y121" s="77">
        <f>'Price History'!D3+('Price History'!D158-'Price History'!D3)*0.766233766233766</f>
        <v>1402.8966233766232</v>
      </c>
      <c r="Z121" s="77">
        <f>'Price History'!E3+('Price History'!E158-'Price History'!E3)*0.766233766233766</f>
        <v>317.67740259740253</v>
      </c>
      <c r="AA121" s="77">
        <f>'Price History'!F3+('Price History'!F158-'Price History'!F3)*0.766233766233766</f>
        <v>154.90675324675323</v>
      </c>
      <c r="AB121" s="77">
        <f>'Price History'!G3+('Price History'!G158-'Price History'!G3)*0.766233766233766</f>
        <v>151.28025974025971</v>
      </c>
      <c r="AC121" s="77">
        <f>'Price History'!H3+('Price History'!H158-'Price History'!H3)*0.766233766233766</f>
        <v>645.68090909090893</v>
      </c>
      <c r="AD121" s="77">
        <f>'Price History'!I3+('Price History'!I158-'Price History'!I3)*0.766233766233766</f>
        <v>163.37077922077918</v>
      </c>
      <c r="AE121" s="77">
        <f>'Price History'!J3+('Price History'!J158-'Price History'!J3)*0.766233766233766</f>
        <v>139.67753246753247</v>
      </c>
      <c r="AF121" s="77">
        <f>'Price History'!K3+('Price History'!K158-'Price History'!K3)*0.766233766233766</f>
        <v>97.895064935064909</v>
      </c>
      <c r="AG121" s="77">
        <f>'Price History'!L3+('Price History'!L158-'Price History'!L3)*0.766233766233766</f>
        <v>331.25415584415578</v>
      </c>
      <c r="AH121" s="77">
        <f>'Price History'!M3+('Price History'!M158-'Price History'!M3)*0.766233766233766</f>
        <v>192.93259740259737</v>
      </c>
      <c r="AI121" s="77">
        <f>'Price History'!N3+('Price History'!N158-'Price History'!N3)*0.766233766233766</f>
        <v>447.35558441558442</v>
      </c>
      <c r="AJ121" s="77">
        <f>'Price History'!O3+('Price History'!O158-'Price History'!O3)*0.766233766233766</f>
        <v>115.36129870129869</v>
      </c>
      <c r="AK121" s="77">
        <f>'Price History'!Q3+('Price History'!Q151-'Price History'!Q3)*0.766233766233766</f>
        <v>64.09961038961039</v>
      </c>
      <c r="AL121" s="77">
        <f>'Price History'!R3+('Price History'!R158-'Price History'!R3)*0.766233766233766</f>
        <v>55.811818181818182</v>
      </c>
      <c r="AM121" s="77">
        <f>'Price History'!S3+('Price History'!S158-'Price History'!S3)*0.766233766233766</f>
        <v>123.89207792207793</v>
      </c>
      <c r="AN121" s="77">
        <f>'Price History'!T3+('Price History'!T158-'Price History'!T3)*0.766233766233766</f>
        <v>44.40311688311688</v>
      </c>
    </row>
    <row r="122" spans="1:40" ht="15" customHeight="1" x14ac:dyDescent="0.2">
      <c r="A122" s="55">
        <f>IF('Price History'!A123="","",'Price History'!A123)</f>
        <v>45989</v>
      </c>
      <c r="B122" s="76">
        <f>IFERROR(IF(OR(NOT(ISNUMBER('Price History'!B123)),NOT(ISNUMBER('Price History'!B122)),'Price History'!B122=0),"",'Price History'!B123/'Price History'!B122-1),"")</f>
        <v>-1.2523520157932122E-2</v>
      </c>
      <c r="C122" s="76">
        <f>IFERROR(IF(OR(NOT(ISNUMBER('Price History'!C123)),NOT(ISNUMBER('Price History'!C122)),'Price History'!C122=0),"",'Price History'!C123/'Price History'!C122-1),"")</f>
        <v>0.11283317721195596</v>
      </c>
      <c r="D122" s="76">
        <f>IFERROR(IF(OR(NOT(ISNUMBER('Price History'!D123)),NOT(ISNUMBER('Price History'!D122)),'Price History'!D122=0),"",'Price History'!D123/'Price History'!D122-1),"")</f>
        <v>9.6661390276958636E-2</v>
      </c>
      <c r="E122" s="76">
        <f>IFERROR(IF(OR(NOT(ISNUMBER('Price History'!E123)),NOT(ISNUMBER('Price History'!E122)),'Price History'!E122=0),"",'Price History'!E123/'Price History'!E122-1),"")</f>
        <v>0.18447971781305106</v>
      </c>
      <c r="F122" s="76">
        <f>IFERROR(IF(OR(NOT(ISNUMBER('Price History'!F123)),NOT(ISNUMBER('Price History'!F122)),'Price History'!F122=0),"",'Price History'!F123/'Price History'!F122-1),"")</f>
        <v>3.7662020053802925E-2</v>
      </c>
      <c r="G122" s="76">
        <f>IFERROR(IF(OR(NOT(ISNUMBER('Price History'!G123)),NOT(ISNUMBER('Price History'!G122)),'Price History'!G122=0),"",'Price History'!G123/'Price History'!G122-1),"")</f>
        <v>7.146112478352018E-2</v>
      </c>
      <c r="H122" s="76">
        <f>IFERROR(IF(OR(NOT(ISNUMBER('Price History'!H123)),NOT(ISNUMBER('Price History'!H122)),'Price History'!H122=0),"",'Price History'!H123/'Price History'!H122-1),"")</f>
        <v>0.14037710372763645</v>
      </c>
      <c r="I122" s="76">
        <f>IFERROR(IF(OR(NOT(ISNUMBER('Price History'!I123)),NOT(ISNUMBER('Price History'!I122)),'Price History'!I122=0),"",'Price History'!I123/'Price History'!I122-1),"")</f>
        <v>-1.0509838998211118E-2</v>
      </c>
      <c r="J122" s="76">
        <f>IFERROR(IF(OR(NOT(ISNUMBER('Price History'!J123)),NOT(ISNUMBER('Price History'!J122)),'Price History'!J122=0),"",'Price History'!J123/'Price History'!J122-1),"")</f>
        <v>2.1782335638762973E-2</v>
      </c>
      <c r="K122" s="76">
        <f>IFERROR(IF(OR(NOT(ISNUMBER('Price History'!K123)),NOT(ISNUMBER('Price History'!K122)),'Price History'!K122=0),"",'Price History'!K123/'Price History'!K122-1),"")</f>
        <v>8.782692928640623E-2</v>
      </c>
      <c r="L122" s="76">
        <f>IFERROR(IF(OR(NOT(ISNUMBER('Price History'!L123)),NOT(ISNUMBER('Price History'!L122)),'Price History'!L122=0),"",'Price History'!L123/'Price History'!L122-1),"")</f>
        <v>5.9805133425434365E-2</v>
      </c>
      <c r="M122" s="76">
        <f>IFERROR(IF(OR(NOT(ISNUMBER('Price History'!M123)),NOT(ISNUMBER('Price History'!M122)),'Price History'!M122=0),"",'Price History'!M123/'Price History'!M122-1),"")</f>
        <v>0.12450728899455665</v>
      </c>
      <c r="N122" s="76">
        <f>IFERROR(IF(OR(NOT(ISNUMBER('Price History'!N123)),NOT(ISNUMBER('Price History'!N122)),'Price History'!N122=0),"",'Price History'!N123/'Price History'!N122-1),"")</f>
        <v>1.6051176305183379E-2</v>
      </c>
      <c r="O122" s="76">
        <f>IFERROR(IF(OR(NOT(ISNUMBER('Price History'!O123)),NOT(ISNUMBER('Price History'!O122)),'Price History'!O122=0),"",'Price History'!O123/'Price History'!O122-1),"")</f>
        <v>4.4407724878653188E-2</v>
      </c>
      <c r="P122" s="76" t="str">
        <f>IFERROR(IF(OR(NOT(ISNUMBER('Price History'!P123)),NOT(ISNUMBER('Price History'!P122)),'Price History'!P122=0),"",'Price History'!P123/'Price History'!P122-1),"")</f>
        <v/>
      </c>
      <c r="Q122" s="76">
        <f>IFERROR(IF(OR(NOT(ISNUMBER('Price History'!Q123)),NOT(ISNUMBER('Price History'!Q122)),'Price History'!Q122=0),"",'Price History'!Q123/'Price History'!Q122-1),"")</f>
        <v>-4.6234153616704354E-3</v>
      </c>
      <c r="R122" s="76">
        <f>IFERROR(IF(OR(NOT(ISNUMBER('Price History'!R123)),NOT(ISNUMBER('Price History'!R122)),'Price History'!R122=0),"",'Price History'!R123/'Price History'!R122-1),"")</f>
        <v>4.5697012802276005E-2</v>
      </c>
      <c r="S122" s="76">
        <f>IFERROR(IF(OR(NOT(ISNUMBER('Price History'!S123)),NOT(ISNUMBER('Price History'!S122)),'Price History'!S122=0),"",'Price History'!S123/'Price History'!S122-1),"")</f>
        <v>5.0918635170603688E-2</v>
      </c>
      <c r="T122" s="76">
        <f>IFERROR(IF(OR(NOT(ISNUMBER('Price History'!T123)),NOT(ISNUMBER('Price History'!T122)),'Price History'!T122=0),"",'Price History'!T123/'Price History'!T122-1),"")</f>
        <v>3.4372501998401361E-2</v>
      </c>
      <c r="U122" s="76" t="str">
        <f>IFERROR(IF(OR(NOT(ISNUMBER('Price History'!U123)),NOT(ISNUMBER('Price History'!U122)),'Price History'!U122=0),"",'Price History'!U123/'Price History'!U122-1),"")</f>
        <v/>
      </c>
      <c r="W122" s="77">
        <f>'Price History'!B3+('Price History'!B158-'Price History'!B3)*0.772727272727273</f>
        <v>309.0554545454545</v>
      </c>
      <c r="X122" s="77">
        <f>'Price History'!C3+('Price History'!C158-'Price History'!C3)*0.772727272727273</f>
        <v>149.30227272727276</v>
      </c>
      <c r="Y122" s="77">
        <f>'Price History'!D3+('Price History'!D158-'Price History'!D3)*0.772727272727273</f>
        <v>1409.177272727273</v>
      </c>
      <c r="Z122" s="77">
        <f>'Price History'!E3+('Price History'!E158-'Price History'!E3)*0.772727272727273</f>
        <v>319.66636363636371</v>
      </c>
      <c r="AA122" s="77">
        <f>'Price History'!F3+('Price History'!F158-'Price History'!F3)*0.772727272727273</f>
        <v>155.9054545454546</v>
      </c>
      <c r="AB122" s="77">
        <f>'Price History'!G3+('Price History'!G158-'Price History'!G3)*0.772727272727273</f>
        <v>152.15636363636366</v>
      </c>
      <c r="AC122" s="77">
        <f>'Price History'!H3+('Price History'!H158-'Price History'!H3)*0.772727272727273</f>
        <v>650.60727272727297</v>
      </c>
      <c r="AD122" s="77">
        <f>'Price History'!I3+('Price History'!I158-'Price History'!I3)*0.772727272727273</f>
        <v>164.40909090909096</v>
      </c>
      <c r="AE122" s="77">
        <f>'Price History'!J3+('Price History'!J158-'Price History'!J3)*0.772727272727273</f>
        <v>139.81454545454548</v>
      </c>
      <c r="AF122" s="77">
        <f>'Price History'!K3+('Price History'!K158-'Price History'!K3)*0.772727272727273</f>
        <v>98.594090909090937</v>
      </c>
      <c r="AG122" s="77">
        <f>'Price History'!L3+('Price History'!L158-'Price History'!L3)*0.772727272727273</f>
        <v>333.28181818181827</v>
      </c>
      <c r="AH122" s="77">
        <f>'Price History'!M3+('Price History'!M158-'Price History'!M3)*0.772727272727273</f>
        <v>194.28363636363642</v>
      </c>
      <c r="AI122" s="77">
        <f>'Price History'!N3+('Price History'!N158-'Price History'!N3)*0.772727272727273</f>
        <v>448.18181818181824</v>
      </c>
      <c r="AJ122" s="77">
        <f>'Price History'!O3+('Price History'!O158-'Price History'!O3)*0.772727272727273</f>
        <v>115.6368181818182</v>
      </c>
      <c r="AK122" s="77">
        <f>'Price History'!Q3+('Price History'!Q151-'Price History'!Q3)*0.772727272727273</f>
        <v>64.220454545454558</v>
      </c>
      <c r="AL122" s="77">
        <f>'Price History'!R3+('Price History'!R158-'Price History'!R3)*0.772727272727273</f>
        <v>55.879545454545458</v>
      </c>
      <c r="AM122" s="77">
        <f>'Price History'!S3+('Price History'!S158-'Price History'!S3)*0.772727272727273</f>
        <v>124.44590909090914</v>
      </c>
      <c r="AN122" s="77">
        <f>'Price History'!T3+('Price History'!T158-'Price History'!T3)*0.772727272727273</f>
        <v>44.551363636363646</v>
      </c>
    </row>
    <row r="123" spans="1:40" ht="15" customHeight="1" x14ac:dyDescent="0.2">
      <c r="A123" s="55">
        <f>IF('Price History'!A124="","",'Price History'!A124)</f>
        <v>45996</v>
      </c>
      <c r="B123" s="76">
        <f>IFERROR(IF(OR(NOT(ISNUMBER('Price History'!B124)),NOT(ISNUMBER('Price History'!B123)),'Price History'!B123=0),"",'Price History'!B124/'Price History'!B123-1),"")</f>
        <v>8.1623090619435734E-2</v>
      </c>
      <c r="C123" s="76">
        <f>IFERROR(IF(OR(NOT(ISNUMBER('Price History'!C124)),NOT(ISNUMBER('Price History'!C123)),'Price History'!C123=0),"",'Price History'!C124/'Price History'!C123-1),"")</f>
        <v>-1.5993265993266004E-2</v>
      </c>
      <c r="D123" s="76">
        <f>IFERROR(IF(OR(NOT(ISNUMBER('Price History'!D124)),NOT(ISNUMBER('Price History'!D123)),'Price History'!D123=0),"",'Price History'!D124/'Price History'!D123-1),"")</f>
        <v>3.723584905660382E-2</v>
      </c>
      <c r="E123" s="76">
        <f>IFERROR(IF(OR(NOT(ISNUMBER('Price History'!E124)),NOT(ISNUMBER('Price History'!E123)),'Price History'!E123=0),"",'Price History'!E124/'Price History'!E123-1),"")</f>
        <v>-3.1566408576533589E-2</v>
      </c>
      <c r="F123" s="76">
        <f>IFERROR(IF(OR(NOT(ISNUMBER('Price History'!F124)),NOT(ISNUMBER('Price History'!F123)),'Price History'!F123=0),"",'Price History'!F124/'Price History'!F123-1),"")</f>
        <v>5.6563752062219752E-3</v>
      </c>
      <c r="G123" s="76">
        <f>IFERROR(IF(OR(NOT(ISNUMBER('Price History'!G124)),NOT(ISNUMBER('Price History'!G123)),'Price History'!G123=0),"",'Price History'!G124/'Price History'!G123-1),"")</f>
        <v>3.3177371331348349E-2</v>
      </c>
      <c r="H123" s="76">
        <f>IFERROR(IF(OR(NOT(ISNUMBER('Price History'!H124)),NOT(ISNUMBER('Price History'!H123)),'Price History'!H123=0),"",'Price History'!H124/'Price History'!H123-1),"")</f>
        <v>3.1292286874153863E-3</v>
      </c>
      <c r="I123" s="76">
        <f>IFERROR(IF(OR(NOT(ISNUMBER('Price History'!I124)),NOT(ISNUMBER('Price History'!I123)),'Price History'!I123=0),"",'Price History'!I124/'Price History'!I123-1),"")</f>
        <v>3.0564971751412484E-2</v>
      </c>
      <c r="J123" s="76">
        <f>IFERROR(IF(OR(NOT(ISNUMBER('Price History'!J124)),NOT(ISNUMBER('Price History'!J123)),'Price History'!J123=0),"",'Price History'!J124/'Price History'!J123-1),"")</f>
        <v>-4.2791566171321849E-3</v>
      </c>
      <c r="K123" s="76">
        <f>IFERROR(IF(OR(NOT(ISNUMBER('Price History'!K124)),NOT(ISNUMBER('Price History'!K123)),'Price History'!K123=0),"",'Price History'!K124/'Price History'!K123-1),"")</f>
        <v>7.9014544375185514E-2</v>
      </c>
      <c r="L123" s="76">
        <f>IFERROR(IF(OR(NOT(ISNUMBER('Price History'!L124)),NOT(ISNUMBER('Price History'!L123)),'Price History'!L123=0),"",'Price History'!L124/'Price History'!L123-1),"")</f>
        <v>1.1011629103632847E-2</v>
      </c>
      <c r="M123" s="76">
        <f>IFERROR(IF(OR(NOT(ISNUMBER('Price History'!M124)),NOT(ISNUMBER('Price History'!M123)),'Price History'!M123=0),"",'Price History'!M124/'Price History'!M123-1),"")</f>
        <v>5.1688644077227064E-2</v>
      </c>
      <c r="N123" s="76">
        <f>IFERROR(IF(OR(NOT(ISNUMBER('Price History'!N124)),NOT(ISNUMBER('Price History'!N123)),'Price History'!N123=0),"",'Price History'!N124/'Price History'!N123-1),"")</f>
        <v>5.0437028666313166E-2</v>
      </c>
      <c r="O123" s="76">
        <f>IFERROR(IF(OR(NOT(ISNUMBER('Price History'!O124)),NOT(ISNUMBER('Price History'!O123)),'Price History'!O123=0),"",'Price History'!O124/'Price History'!O123-1),"")</f>
        <v>1.7502224859092363E-2</v>
      </c>
      <c r="P123" s="76" t="str">
        <f>IFERROR(IF(OR(NOT(ISNUMBER('Price History'!P124)),NOT(ISNUMBER('Price History'!P123)),'Price History'!P123=0),"",'Price History'!P124/'Price History'!P123-1),"")</f>
        <v/>
      </c>
      <c r="Q123" s="76">
        <f>IFERROR(IF(OR(NOT(ISNUMBER('Price History'!Q124)),NOT(ISNUMBER('Price History'!Q123)),'Price History'!Q123=0),"",'Price History'!Q124/'Price History'!Q123-1),"")</f>
        <v>-2.9967036260103441E-4</v>
      </c>
      <c r="R123" s="76">
        <f>IFERROR(IF(OR(NOT(ISNUMBER('Price History'!R124)),NOT(ISNUMBER('Price History'!R123)),'Price History'!R123=0),"",'Price History'!R124/'Price History'!R123-1),"")</f>
        <v>1.7003910899493491E-4</v>
      </c>
      <c r="S123" s="76">
        <f>IFERROR(IF(OR(NOT(ISNUMBER('Price History'!S124)),NOT(ISNUMBER('Price History'!S123)),'Price History'!S123=0),"",'Price History'!S124/'Price History'!S123-1),"")</f>
        <v>6.0772560772559547E-3</v>
      </c>
      <c r="T123" s="76">
        <f>IFERROR(IF(OR(NOT(ISNUMBER('Price History'!T124)),NOT(ISNUMBER('Price History'!T123)),'Price History'!T123=0),"",'Price History'!T124/'Price History'!T123-1),"")</f>
        <v>1.5455950540958385E-2</v>
      </c>
      <c r="U123" s="76" t="str">
        <f>IFERROR(IF(OR(NOT(ISNUMBER('Price History'!U124)),NOT(ISNUMBER('Price History'!U123)),'Price History'!U123=0),"",'Price History'!U124/'Price History'!U123-1),"")</f>
        <v/>
      </c>
      <c r="W123" s="77">
        <f>'Price History'!B3+('Price History'!B158-'Price History'!B3)*0.779220779220779</f>
        <v>307.3798701298702</v>
      </c>
      <c r="X123" s="77">
        <f>'Price History'!C3+('Price History'!C158-'Price History'!C3)*0.779220779220779</f>
        <v>150.18935064935062</v>
      </c>
      <c r="Y123" s="77">
        <f>'Price History'!D3+('Price History'!D158-'Price History'!D3)*0.779220779220779</f>
        <v>1415.4579220779219</v>
      </c>
      <c r="Z123" s="77">
        <f>'Price History'!E3+('Price History'!E158-'Price History'!E3)*0.779220779220779</f>
        <v>321.65532467532461</v>
      </c>
      <c r="AA123" s="77">
        <f>'Price History'!F3+('Price History'!F158-'Price History'!F3)*0.779220779220779</f>
        <v>156.90415584415581</v>
      </c>
      <c r="AB123" s="77">
        <f>'Price History'!G3+('Price History'!G158-'Price History'!G3)*0.779220779220779</f>
        <v>153.03246753246751</v>
      </c>
      <c r="AC123" s="77">
        <f>'Price History'!H3+('Price History'!H158-'Price History'!H3)*0.779220779220779</f>
        <v>655.53363636363622</v>
      </c>
      <c r="AD123" s="77">
        <f>'Price History'!I3+('Price History'!I158-'Price History'!I3)*0.779220779220779</f>
        <v>165.44740259740257</v>
      </c>
      <c r="AE123" s="77">
        <f>'Price History'!J3+('Price History'!J158-'Price History'!J3)*0.779220779220779</f>
        <v>139.95155844155846</v>
      </c>
      <c r="AF123" s="77">
        <f>'Price History'!K3+('Price History'!K158-'Price History'!K3)*0.779220779220779</f>
        <v>99.293116883116866</v>
      </c>
      <c r="AG123" s="77">
        <f>'Price History'!L3+('Price History'!L158-'Price History'!L3)*0.779220779220779</f>
        <v>335.30948051948047</v>
      </c>
      <c r="AH123" s="77">
        <f>'Price History'!M3+('Price History'!M158-'Price History'!M3)*0.779220779220779</f>
        <v>195.63467532467527</v>
      </c>
      <c r="AI123" s="77">
        <f>'Price History'!N3+('Price History'!N158-'Price History'!N3)*0.779220779220779</f>
        <v>449.00805194805196</v>
      </c>
      <c r="AJ123" s="77">
        <f>'Price History'!O3+('Price History'!O158-'Price History'!O3)*0.779220779220779</f>
        <v>115.91233766233765</v>
      </c>
      <c r="AK123" s="77">
        <f>'Price History'!Q3+('Price History'!Q151-'Price History'!Q3)*0.779220779220779</f>
        <v>64.341298701298697</v>
      </c>
      <c r="AL123" s="77">
        <f>'Price History'!R3+('Price History'!R158-'Price History'!R3)*0.779220779220779</f>
        <v>55.947272727272725</v>
      </c>
      <c r="AM123" s="77">
        <f>'Price History'!S3+('Price History'!S158-'Price History'!S3)*0.779220779220779</f>
        <v>124.99974025974026</v>
      </c>
      <c r="AN123" s="77">
        <f>'Price History'!T3+('Price History'!T158-'Price History'!T3)*0.779220779220779</f>
        <v>44.699610389610385</v>
      </c>
    </row>
    <row r="124" spans="1:40" ht="15" customHeight="1" x14ac:dyDescent="0.2">
      <c r="A124" s="55">
        <f>IF('Price History'!A125="","",'Price History'!A125)</f>
        <v>46003</v>
      </c>
      <c r="B124" s="76">
        <f>IFERROR(IF(OR(NOT(ISNUMBER('Price History'!B125)),NOT(ISNUMBER('Price History'!B124)),'Price History'!B124=0),"",'Price History'!B125/'Price History'!B124-1),"")</f>
        <v>2.9370992895512149E-2</v>
      </c>
      <c r="C124" s="76">
        <f>IFERROR(IF(OR(NOT(ISNUMBER('Price History'!C125)),NOT(ISNUMBER('Price History'!C124)),'Price History'!C124=0),"",'Price History'!C125/'Price History'!C124-1),"")</f>
        <v>-2.9784586670814184E-2</v>
      </c>
      <c r="D124" s="76">
        <f>IFERROR(IF(OR(NOT(ISNUMBER('Price History'!D125)),NOT(ISNUMBER('Price History'!D124)),'Price History'!D124=0),"",'Price History'!D125/'Price History'!D124-1),"")</f>
        <v>-1.693543252658114E-2</v>
      </c>
      <c r="E124" s="76">
        <f>IFERROR(IF(OR(NOT(ISNUMBER('Price History'!E125)),NOT(ISNUMBER('Price History'!E124)),'Price History'!E124=0),"",'Price History'!E125/'Price History'!E124-1),"")</f>
        <v>-7.7670151701517032E-2</v>
      </c>
      <c r="F124" s="76">
        <f>IFERROR(IF(OR(NOT(ISNUMBER('Price History'!F125)),NOT(ISNUMBER('Price History'!F124)),'Price History'!F124=0),"",'Price History'!F125/'Price History'!F124-1),"")</f>
        <v>-1.4139520349972567E-2</v>
      </c>
      <c r="G124" s="76">
        <f>IFERROR(IF(OR(NOT(ISNUMBER('Price History'!G125)),NOT(ISNUMBER('Price History'!G124)),'Price History'!G124=0),"",'Price History'!G125/'Price History'!G124-1),"")</f>
        <v>-1.696171263894608E-2</v>
      </c>
      <c r="H124" s="76">
        <f>IFERROR(IF(OR(NOT(ISNUMBER('Price History'!H125)),NOT(ISNUMBER('Price History'!H124)),'Price History'!H124=0),"",'Price History'!H125/'Price History'!H124-1),"")</f>
        <v>1.652474496248213E-2</v>
      </c>
      <c r="I124" s="76">
        <f>IFERROR(IF(OR(NOT(ISNUMBER('Price History'!I125)),NOT(ISNUMBER('Price History'!I124)),'Price History'!I124=0),"",'Price History'!I125/'Price History'!I124-1),"")</f>
        <v>-4.0513129762622557E-2</v>
      </c>
      <c r="J124" s="76">
        <f>IFERROR(IF(OR(NOT(ISNUMBER('Price History'!J125)),NOT(ISNUMBER('Price History'!J124)),'Price History'!J124=0),"",'Price History'!J125/'Price History'!J124-1),"")</f>
        <v>1.7190185966557303E-2</v>
      </c>
      <c r="K124" s="76">
        <f>IFERROR(IF(OR(NOT(ISNUMBER('Price History'!K125)),NOT(ISNUMBER('Price History'!K124)),'Price History'!K124=0),"",'Price History'!K125/'Price History'!K124-1),"")</f>
        <v>9.9581866197182567E-3</v>
      </c>
      <c r="L124" s="76">
        <f>IFERROR(IF(OR(NOT(ISNUMBER('Price History'!L125)),NOT(ISNUMBER('Price History'!L124)),'Price History'!L124=0),"",'Price History'!L125/'Price History'!L124-1),"")</f>
        <v>-9.0933767643865959E-3</v>
      </c>
      <c r="M124" s="76">
        <f>IFERROR(IF(OR(NOT(ISNUMBER('Price History'!M125)),NOT(ISNUMBER('Price History'!M124)),'Price History'!M124=0),"",'Price History'!M125/'Price History'!M124-1),"")</f>
        <v>-0.14680986139032903</v>
      </c>
      <c r="N124" s="76">
        <f>IFERROR(IF(OR(NOT(ISNUMBER('Price History'!N125)),NOT(ISNUMBER('Price History'!N124)),'Price History'!N124=0),"",'Price History'!N125/'Price History'!N124-1),"")</f>
        <v>-7.5524721173267917E-3</v>
      </c>
      <c r="O124" s="76">
        <f>IFERROR(IF(OR(NOT(ISNUMBER('Price History'!O125)),NOT(ISNUMBER('Price History'!O124)),'Price History'!O124=0),"",'Price History'!O125/'Price History'!O124-1),"")</f>
        <v>2.1477162293488838E-2</v>
      </c>
      <c r="P124" s="76" t="str">
        <f>IFERROR(IF(OR(NOT(ISNUMBER('Price History'!P125)),NOT(ISNUMBER('Price History'!P124)),'Price History'!P124=0),"",'Price History'!P125/'Price History'!P124-1),"")</f>
        <v/>
      </c>
      <c r="Q124" s="76">
        <f>IFERROR(IF(OR(NOT(ISNUMBER('Price History'!Q125)),NOT(ISNUMBER('Price History'!Q124)),'Price History'!Q124=0),"",'Price History'!Q125/'Price History'!Q124-1),"")</f>
        <v>3.747002398081456E-3</v>
      </c>
      <c r="R124" s="76">
        <f>IFERROR(IF(OR(NOT(ISNUMBER('Price History'!R125)),NOT(ISNUMBER('Price History'!R124)),'Price History'!R124=0),"",'Price History'!R125/'Price History'!R124-1),"")</f>
        <v>-1.0880652839170391E-2</v>
      </c>
      <c r="S124" s="76">
        <f>IFERROR(IF(OR(NOT(ISNUMBER('Price History'!S125)),NOT(ISNUMBER('Price History'!S124)),'Price History'!S124=0),"",'Price History'!S125/'Price History'!S124-1),"")</f>
        <v>-1.4480761274306975E-2</v>
      </c>
      <c r="T124" s="76">
        <f>IFERROR(IF(OR(NOT(ISNUMBER('Price History'!T125)),NOT(ISNUMBER('Price History'!T124)),'Price History'!T124=0),"",'Price History'!T125/'Price History'!T124-1),"")</f>
        <v>7.102993404363378E-3</v>
      </c>
      <c r="U124" s="76" t="str">
        <f>IFERROR(IF(OR(NOT(ISNUMBER('Price History'!U125)),NOT(ISNUMBER('Price History'!U124)),'Price History'!U124=0),"",'Price History'!U125/'Price History'!U124-1),"")</f>
        <v/>
      </c>
      <c r="W124" s="77">
        <f>'Price History'!B3+('Price History'!B158-'Price History'!B3)*0.785714285714286</f>
        <v>305.70428571428567</v>
      </c>
      <c r="X124" s="77">
        <f>'Price History'!C3+('Price History'!C158-'Price History'!C3)*0.785714285714286</f>
        <v>151.07642857142861</v>
      </c>
      <c r="Y124" s="77">
        <f>'Price History'!D3+('Price History'!D158-'Price History'!D3)*0.785714285714286</f>
        <v>1421.7385714285717</v>
      </c>
      <c r="Z124" s="77">
        <f>'Price History'!E3+('Price History'!E158-'Price History'!E3)*0.785714285714286</f>
        <v>323.64428571428579</v>
      </c>
      <c r="AA124" s="77">
        <f>'Price History'!F3+('Price History'!F158-'Price History'!F3)*0.785714285714286</f>
        <v>157.90285714285721</v>
      </c>
      <c r="AB124" s="77">
        <f>'Price History'!G3+('Price History'!G158-'Price History'!G3)*0.785714285714286</f>
        <v>153.90857142857146</v>
      </c>
      <c r="AC124" s="77">
        <f>'Price History'!H3+('Price History'!H158-'Price History'!H3)*0.785714285714286</f>
        <v>660.46000000000026</v>
      </c>
      <c r="AD124" s="77">
        <f>'Price History'!I3+('Price History'!I158-'Price History'!I3)*0.785714285714286</f>
        <v>166.48571428571435</v>
      </c>
      <c r="AE124" s="77">
        <f>'Price History'!J3+('Price History'!J158-'Price History'!J3)*0.785714285714286</f>
        <v>140.08857142857144</v>
      </c>
      <c r="AF124" s="77">
        <f>'Price History'!K3+('Price History'!K158-'Price History'!K3)*0.785714285714286</f>
        <v>99.992142857142895</v>
      </c>
      <c r="AG124" s="77">
        <f>'Price History'!L3+('Price History'!L158-'Price History'!L3)*0.785714285714286</f>
        <v>337.33714285714296</v>
      </c>
      <c r="AH124" s="77">
        <f>'Price History'!M3+('Price History'!M158-'Price History'!M3)*0.785714285714286</f>
        <v>196.98571428571435</v>
      </c>
      <c r="AI124" s="77">
        <f>'Price History'!N3+('Price History'!N158-'Price History'!N3)*0.785714285714286</f>
        <v>449.83428571428578</v>
      </c>
      <c r="AJ124" s="77">
        <f>'Price History'!O3+('Price History'!O158-'Price History'!O3)*0.785714285714286</f>
        <v>116.18785714285715</v>
      </c>
      <c r="AK124" s="77">
        <f>'Price History'!Q3+('Price History'!Q151-'Price History'!Q3)*0.785714285714286</f>
        <v>64.462142857142865</v>
      </c>
      <c r="AL124" s="77">
        <f>'Price History'!R3+('Price History'!R158-'Price History'!R3)*0.785714285714286</f>
        <v>56.015000000000001</v>
      </c>
      <c r="AM124" s="77">
        <f>'Price History'!S3+('Price History'!S158-'Price History'!S3)*0.785714285714286</f>
        <v>125.55357142857147</v>
      </c>
      <c r="AN124" s="77">
        <f>'Price History'!T3+('Price History'!T158-'Price History'!T3)*0.785714285714286</f>
        <v>44.847857142857151</v>
      </c>
    </row>
    <row r="125" spans="1:40" ht="15" customHeight="1" x14ac:dyDescent="0.2">
      <c r="A125" s="55">
        <f>IF('Price History'!A126="","",'Price History'!A126)</f>
        <v>46010</v>
      </c>
      <c r="B125" s="76">
        <f>IFERROR(IF(OR(NOT(ISNUMBER('Price History'!B126)),NOT(ISNUMBER('Price History'!B125)),'Price History'!B125=0),"",'Price History'!B126/'Price History'!B125-1),"")</f>
        <v>-1.599191987206483E-3</v>
      </c>
      <c r="C125" s="76">
        <f>IFERROR(IF(OR(NOT(ISNUMBER('Price History'!C126)),NOT(ISNUMBER('Price History'!C125)),'Price History'!C125=0),"",'Price History'!C126/'Price History'!C125-1),"")</f>
        <v>5.0977877524847726E-2</v>
      </c>
      <c r="D125" s="76">
        <f>IFERROR(IF(OR(NOT(ISNUMBER('Price History'!D126)),NOT(ISNUMBER('Price History'!D125)),'Price History'!D125=0),"",'Price History'!D126/'Price History'!D125-1),"")</f>
        <v>-2.2972660406161749E-2</v>
      </c>
      <c r="E125" s="76">
        <f>IFERROR(IF(OR(NOT(ISNUMBER('Price History'!E126)),NOT(ISNUMBER('Price History'!E125)),'Price History'!E125=0),"",'Price History'!E126/'Price History'!E125-1),"")</f>
        <v>-5.4371683382880009E-2</v>
      </c>
      <c r="F125" s="76">
        <f>IFERROR(IF(OR(NOT(ISNUMBER('Price History'!F126)),NOT(ISNUMBER('Price History'!F125)),'Price History'!F125=0),"",'Price History'!F126/'Price History'!F125-1),"")</f>
        <v>-4.6592709984152214E-2</v>
      </c>
      <c r="G125" s="76">
        <f>IFERROR(IF(OR(NOT(ISNUMBER('Price History'!G126)),NOT(ISNUMBER('Price History'!G125)),'Price History'!G125=0),"",'Price History'!G126/'Price History'!G125-1),"")</f>
        <v>4.3387218359996593E-2</v>
      </c>
      <c r="H125" s="76">
        <f>IFERROR(IF(OR(NOT(ISNUMBER('Price History'!H126)),NOT(ISNUMBER('Price History'!H125)),'Price History'!H125=0),"",'Price History'!H126/'Price History'!H125-1),"")</f>
        <v>0.10276188106494155</v>
      </c>
      <c r="I125" s="76">
        <f>IFERROR(IF(OR(NOT(ISNUMBER('Price History'!I126)),NOT(ISNUMBER('Price History'!I125)),'Price History'!I125=0),"",'Price History'!I126/'Price History'!I125-1),"")</f>
        <v>3.4110387384298946E-2</v>
      </c>
      <c r="J125" s="76">
        <f>IFERROR(IF(OR(NOT(ISNUMBER('Price History'!J126)),NOT(ISNUMBER('Price History'!J125)),'Price History'!J125=0),"",'Price History'!J126/'Price History'!J125-1),"")</f>
        <v>-2.2660931018589681E-2</v>
      </c>
      <c r="K125" s="76">
        <f>IFERROR(IF(OR(NOT(ISNUMBER('Price History'!K126)),NOT(ISNUMBER('Price History'!K125)),'Price History'!K125=0),"",'Price History'!K126/'Price History'!K125-1),"")</f>
        <v>5.3440104592253679E-2</v>
      </c>
      <c r="L125" s="76">
        <f>IFERROR(IF(OR(NOT(ISNUMBER('Price History'!L126)),NOT(ISNUMBER('Price History'!L125)),'Price History'!L125=0),"",'Price History'!L126/'Price History'!L125-1),"")</f>
        <v>-1.0580742364059814E-2</v>
      </c>
      <c r="M125" s="76">
        <f>IFERROR(IF(OR(NOT(ISNUMBER('Price History'!M126)),NOT(ISNUMBER('Price History'!M125)),'Price History'!M125=0),"",'Price History'!M126/'Price History'!M125-1),"")</f>
        <v>-8.9911328827433357E-3</v>
      </c>
      <c r="N125" s="76">
        <f>IFERROR(IF(OR(NOT(ISNUMBER('Price History'!N126)),NOT(ISNUMBER('Price History'!N125)),'Price History'!N125=0),"",'Price History'!N126/'Price History'!N125-1),"")</f>
        <v>9.2027254225288679E-3</v>
      </c>
      <c r="O125" s="76">
        <f>IFERROR(IF(OR(NOT(ISNUMBER('Price History'!O126)),NOT(ISNUMBER('Price History'!O125)),'Price History'!O125=0),"",'Price History'!O126/'Price History'!O125-1),"")</f>
        <v>-1.2653410712586743E-2</v>
      </c>
      <c r="P125" s="76" t="str">
        <f>IFERROR(IF(OR(NOT(ISNUMBER('Price History'!P126)),NOT(ISNUMBER('Price History'!P125)),'Price History'!P125=0),"",'Price History'!P126/'Price History'!P125-1),"")</f>
        <v/>
      </c>
      <c r="Q125" s="76">
        <f>IFERROR(IF(OR(NOT(ISNUMBER('Price History'!Q126)),NOT(ISNUMBER('Price History'!Q125)),'Price History'!Q125=0),"",'Price History'!Q126/'Price History'!Q125-1),"")</f>
        <v>2.8370912348811839E-3</v>
      </c>
      <c r="R125" s="76">
        <f>IFERROR(IF(OR(NOT(ISNUMBER('Price History'!R126)),NOT(ISNUMBER('Price History'!R125)),'Price History'!R125=0),"",'Price History'!R126/'Price History'!R125-1),"")</f>
        <v>7.5627363355104116E-3</v>
      </c>
      <c r="S125" s="76">
        <f>IFERROR(IF(OR(NOT(ISNUMBER('Price History'!S126)),NOT(ISNUMBER('Price History'!S125)),'Price History'!S125=0),"",'Price History'!S126/'Price History'!S125-1),"")</f>
        <v>3.6104114189756675E-3</v>
      </c>
      <c r="T125" s="76">
        <f>IFERROR(IF(OR(NOT(ISNUMBER('Price History'!T126)),NOT(ISNUMBER('Price History'!T125)),'Price History'!T125=0),"",'Price History'!T126/'Price History'!T125-1),"")</f>
        <v>-4.2821158690177219E-3</v>
      </c>
      <c r="U125" s="76" t="str">
        <f>IFERROR(IF(OR(NOT(ISNUMBER('Price History'!U126)),NOT(ISNUMBER('Price History'!U125)),'Price History'!U125=0),"",'Price History'!U126/'Price History'!U125-1),"")</f>
        <v/>
      </c>
      <c r="W125" s="77">
        <f>'Price History'!B3+('Price History'!B158-'Price History'!B3)*0.792207792207792</f>
        <v>304.02870129870132</v>
      </c>
      <c r="X125" s="77">
        <f>'Price History'!C3+('Price History'!C158-'Price History'!C3)*0.792207792207792</f>
        <v>151.96350649350646</v>
      </c>
      <c r="Y125" s="77">
        <f>'Price History'!D3+('Price History'!D158-'Price History'!D3)*0.792207792207792</f>
        <v>1428.0192207792206</v>
      </c>
      <c r="Z125" s="77">
        <f>'Price History'!E3+('Price History'!E158-'Price History'!E3)*0.792207792207792</f>
        <v>325.63324675324668</v>
      </c>
      <c r="AA125" s="77">
        <f>'Price History'!F3+('Price History'!F158-'Price History'!F3)*0.792207792207792</f>
        <v>158.90155844155842</v>
      </c>
      <c r="AB125" s="77">
        <f>'Price History'!G3+('Price History'!G158-'Price History'!G3)*0.792207792207792</f>
        <v>154.78467532467528</v>
      </c>
      <c r="AC125" s="77">
        <f>'Price History'!H3+('Price History'!H158-'Price History'!H3)*0.792207792207792</f>
        <v>665.38636363636351</v>
      </c>
      <c r="AD125" s="77">
        <f>'Price History'!I3+('Price History'!I158-'Price History'!I3)*0.792207792207792</f>
        <v>167.52402597402596</v>
      </c>
      <c r="AE125" s="77">
        <f>'Price History'!J3+('Price History'!J158-'Price History'!J3)*0.792207792207792</f>
        <v>140.22558441558442</v>
      </c>
      <c r="AF125" s="77">
        <f>'Price History'!K3+('Price History'!K158-'Price History'!K3)*0.792207792207792</f>
        <v>100.69116883116881</v>
      </c>
      <c r="AG125" s="77">
        <f>'Price History'!L3+('Price History'!L158-'Price History'!L3)*0.792207792207792</f>
        <v>339.36480519480511</v>
      </c>
      <c r="AH125" s="77">
        <f>'Price History'!M3+('Price History'!M158-'Price History'!M3)*0.792207792207792</f>
        <v>198.3367532467532</v>
      </c>
      <c r="AI125" s="77">
        <f>'Price History'!N3+('Price History'!N158-'Price History'!N3)*0.792207792207792</f>
        <v>450.6605194805195</v>
      </c>
      <c r="AJ125" s="77">
        <f>'Price History'!O3+('Price History'!O158-'Price History'!O3)*0.792207792207792</f>
        <v>116.46337662337662</v>
      </c>
      <c r="AK125" s="77">
        <f>'Price History'!Q3+('Price History'!Q151-'Price History'!Q3)*0.792207792207792</f>
        <v>64.582987012987019</v>
      </c>
      <c r="AL125" s="77">
        <f>'Price History'!R3+('Price History'!R158-'Price History'!R3)*0.792207792207792</f>
        <v>56.082727272727269</v>
      </c>
      <c r="AM125" s="77">
        <f>'Price History'!S3+('Price History'!S158-'Price History'!S3)*0.792207792207792</f>
        <v>126.1074025974026</v>
      </c>
      <c r="AN125" s="77">
        <f>'Price History'!T3+('Price History'!T158-'Price History'!T3)*0.792207792207792</f>
        <v>44.996103896103889</v>
      </c>
    </row>
    <row r="126" spans="1:40" ht="15" customHeight="1" x14ac:dyDescent="0.2">
      <c r="A126" s="55">
        <f>IF('Price History'!A127="","",'Price History'!A127)</f>
        <v>46017</v>
      </c>
      <c r="B126" s="76">
        <f>IFERROR(IF(OR(NOT(ISNUMBER('Price History'!B127)),NOT(ISNUMBER('Price History'!B126)),'Price History'!B126=0),"",'Price History'!B127/'Price History'!B126-1),"")</f>
        <v>-5.788793345697707E-3</v>
      </c>
      <c r="C126" s="76">
        <f>IFERROR(IF(OR(NOT(ISNUMBER('Price History'!C127)),NOT(ISNUMBER('Price History'!C126)),'Price History'!C126=0),"",'Price History'!C127/'Price History'!C126-1),"")</f>
        <v>5.4911531421597548E-3</v>
      </c>
      <c r="D126" s="76">
        <f>IFERROR(IF(OR(NOT(ISNUMBER('Price History'!D127)),NOT(ISNUMBER('Price History'!D126)),'Price History'!D126=0),"",'Price History'!D127/'Price History'!D126-1),"")</f>
        <v>1.5842502982898132E-2</v>
      </c>
      <c r="E126" s="76">
        <f>IFERROR(IF(OR(NOT(ISNUMBER('Price History'!E127)),NOT(ISNUMBER('Price History'!E126)),'Price History'!E126=0),"",'Price History'!E127/'Price History'!E126-1),"")</f>
        <v>3.4581031848630817E-2</v>
      </c>
      <c r="F126" s="76">
        <f>IFERROR(IF(OR(NOT(ISNUMBER('Price History'!F127)),NOT(ISNUMBER('Price History'!F126)),'Price History'!F126=0),"",'Price History'!F127/'Price History'!F126-1),"")</f>
        <v>-1.6622340425531679E-4</v>
      </c>
      <c r="G126" s="76">
        <f>IFERROR(IF(OR(NOT(ISNUMBER('Price History'!G127)),NOT(ISNUMBER('Price History'!G126)),'Price History'!G126=0),"",'Price History'!G127/'Price History'!G126-1),"")</f>
        <v>2.7213614835032596E-2</v>
      </c>
      <c r="H126" s="76">
        <f>IFERROR(IF(OR(NOT(ISNUMBER('Price History'!H127)),NOT(ISNUMBER('Price History'!H126)),'Price History'!H126=0),"",'Price History'!H127/'Price History'!H126-1),"")</f>
        <v>7.0961191335740192E-2</v>
      </c>
      <c r="I126" s="76">
        <f>IFERROR(IF(OR(NOT(ISNUMBER('Price History'!I127)),NOT(ISNUMBER('Price History'!I126)),'Price History'!I126=0),"",'Price History'!I127/'Price History'!I126-1),"")</f>
        <v>5.2710094480358016E-2</v>
      </c>
      <c r="J126" s="76">
        <f>IFERROR(IF(OR(NOT(ISNUMBER('Price History'!J127)),NOT(ISNUMBER('Price History'!J126)),'Price History'!J126=0),"",'Price History'!J127/'Price History'!J126-1),"")</f>
        <v>1.1632476617150056E-2</v>
      </c>
      <c r="K126" s="76">
        <f>IFERROR(IF(OR(NOT(ISNUMBER('Price History'!K127)),NOT(ISNUMBER('Price History'!K126)),'Price History'!K126=0),"",'Price History'!K127/'Price History'!K126-1),"")</f>
        <v>-2.4149343261971157E-2</v>
      </c>
      <c r="L126" s="76">
        <f>IFERROR(IF(OR(NOT(ISNUMBER('Price History'!L127)),NOT(ISNUMBER('Price History'!L126)),'Price History'!L126=0),"",'Price History'!L127/'Price History'!L126-1),"")</f>
        <v>4.8070600449904743E-2</v>
      </c>
      <c r="M126" s="76">
        <f>IFERROR(IF(OR(NOT(ISNUMBER('Price History'!M127)),NOT(ISNUMBER('Price History'!M126)),'Price History'!M126=0),"",'Price History'!M127/'Price History'!M126-1),"")</f>
        <v>4.8554623951946096E-2</v>
      </c>
      <c r="N126" s="76">
        <f>IFERROR(IF(OR(NOT(ISNUMBER('Price History'!N127)),NOT(ISNUMBER('Price History'!N126)),'Price History'!N126=0),"",'Price History'!N127/'Price History'!N126-1),"")</f>
        <v>1.4686540990793473E-2</v>
      </c>
      <c r="O126" s="76">
        <f>IFERROR(IF(OR(NOT(ISNUMBER('Price History'!O127)),NOT(ISNUMBER('Price History'!O126)),'Price History'!O126=0),"",'Price History'!O127/'Price History'!O126-1),"")</f>
        <v>-8.6721911736364898E-4</v>
      </c>
      <c r="P126" s="76" t="str">
        <f>IFERROR(IF(OR(NOT(ISNUMBER('Price History'!P127)),NOT(ISNUMBER('Price History'!P126)),'Price History'!P126=0),"",'Price History'!P127/'Price History'!P126-1),"")</f>
        <v/>
      </c>
      <c r="Q126" s="76">
        <f>IFERROR(IF(OR(NOT(ISNUMBER('Price History'!Q127)),NOT(ISNUMBER('Price History'!Q126)),'Price History'!Q126=0),"",'Price History'!Q127/'Price History'!Q126-1),"")</f>
        <v>-8.7849910661108588E-3</v>
      </c>
      <c r="R126" s="76">
        <f>IFERROR(IF(OR(NOT(ISNUMBER('Price History'!R127)),NOT(ISNUMBER('Price History'!R126)),'Price History'!R126=0),"",'Price History'!R127/'Price History'!R126-1),"")</f>
        <v>1.2282497441146401E-2</v>
      </c>
      <c r="S126" s="76">
        <f>IFERROR(IF(OR(NOT(ISNUMBER('Price History'!S127)),NOT(ISNUMBER('Price History'!S126)),'Price History'!S126=0),"",'Price History'!S127/'Price History'!S126-1),"")</f>
        <v>1.5477286036978066E-2</v>
      </c>
      <c r="T126" s="76">
        <f>IFERROR(IF(OR(NOT(ISNUMBER('Price History'!T127)),NOT(ISNUMBER('Price History'!T126)),'Price History'!T126=0),"",'Price History'!T127/'Price History'!T126-1),"")</f>
        <v>6.57728307614458E-3</v>
      </c>
      <c r="U126" s="76" t="str">
        <f>IFERROR(IF(OR(NOT(ISNUMBER('Price History'!U127)),NOT(ISNUMBER('Price History'!U126)),'Price History'!U126=0),"",'Price History'!U127/'Price History'!U126-1),"")</f>
        <v/>
      </c>
      <c r="W126" s="77">
        <f>'Price History'!B3+('Price History'!B158-'Price History'!B3)*0.798701298701299</f>
        <v>302.35311688311685</v>
      </c>
      <c r="X126" s="77">
        <f>'Price History'!C3+('Price History'!C158-'Price History'!C3)*0.798701298701299</f>
        <v>152.85058441558445</v>
      </c>
      <c r="Y126" s="77">
        <f>'Price History'!D3+('Price History'!D158-'Price History'!D3)*0.798701298701299</f>
        <v>1434.2998701298704</v>
      </c>
      <c r="Z126" s="77">
        <f>'Price History'!E3+('Price History'!E158-'Price History'!E3)*0.798701298701299</f>
        <v>327.62220779220786</v>
      </c>
      <c r="AA126" s="77">
        <f>'Price History'!F3+('Price History'!F158-'Price History'!F3)*0.798701298701299</f>
        <v>159.9002597402598</v>
      </c>
      <c r="AB126" s="77">
        <f>'Price History'!G3+('Price History'!G158-'Price History'!G3)*0.798701298701299</f>
        <v>155.66077922077926</v>
      </c>
      <c r="AC126" s="77">
        <f>'Price History'!H3+('Price History'!H158-'Price History'!H3)*0.798701298701299</f>
        <v>670.31272727272744</v>
      </c>
      <c r="AD126" s="77">
        <f>'Price History'!I3+('Price History'!I158-'Price History'!I3)*0.798701298701299</f>
        <v>168.56233766233771</v>
      </c>
      <c r="AE126" s="77">
        <f>'Price History'!J3+('Price History'!J158-'Price History'!J3)*0.798701298701299</f>
        <v>140.36259740259743</v>
      </c>
      <c r="AF126" s="77">
        <f>'Price History'!K3+('Price History'!K158-'Price History'!K3)*0.798701298701299</f>
        <v>101.39019480519484</v>
      </c>
      <c r="AG126" s="77">
        <f>'Price History'!L3+('Price History'!L158-'Price History'!L3)*0.798701298701299</f>
        <v>341.39246753246761</v>
      </c>
      <c r="AH126" s="77">
        <f>'Price History'!M3+('Price History'!M158-'Price History'!M3)*0.798701298701299</f>
        <v>199.68779220779226</v>
      </c>
      <c r="AI126" s="77">
        <f>'Price History'!N3+('Price History'!N158-'Price History'!N3)*0.798701298701299</f>
        <v>451.48675324675332</v>
      </c>
      <c r="AJ126" s="77">
        <f>'Price History'!O3+('Price History'!O158-'Price History'!O3)*0.798701298701299</f>
        <v>116.73889610389611</v>
      </c>
      <c r="AK126" s="77">
        <f>'Price History'!Q3+('Price History'!Q151-'Price History'!Q3)*0.798701298701299</f>
        <v>64.703831168831172</v>
      </c>
      <c r="AL126" s="77">
        <f>'Price History'!R3+('Price History'!R158-'Price History'!R3)*0.798701298701299</f>
        <v>56.150454545454551</v>
      </c>
      <c r="AM126" s="77">
        <f>'Price History'!S3+('Price History'!S158-'Price History'!S3)*0.798701298701299</f>
        <v>126.66123376623381</v>
      </c>
      <c r="AN126" s="77">
        <f>'Price History'!T3+('Price History'!T158-'Price History'!T3)*0.798701298701299</f>
        <v>45.144350649350656</v>
      </c>
    </row>
    <row r="127" spans="1:40" ht="15" customHeight="1" x14ac:dyDescent="0.2">
      <c r="A127" s="55">
        <f>IF('Price History'!A128="","",'Price History'!A128)</f>
        <v>46024</v>
      </c>
      <c r="B127" s="76">
        <f>IFERROR(IF(OR(NOT(ISNUMBER('Price History'!B128)),NOT(ISNUMBER('Price History'!B127)),'Price History'!B127=0),"",'Price History'!B128/'Price History'!B127-1),"")</f>
        <v>-5.7942340305257245E-2</v>
      </c>
      <c r="C127" s="76">
        <f>IFERROR(IF(OR(NOT(ISNUMBER('Price History'!C128)),NOT(ISNUMBER('Price History'!C127)),'Price History'!C127=0),"",'Price History'!C128/'Price History'!C127-1),"")</f>
        <v>1.3349514563106624E-2</v>
      </c>
      <c r="D127" s="76">
        <f>IFERROR(IF(OR(NOT(ISNUMBER('Price History'!D128)),NOT(ISNUMBER('Price History'!D127)),'Price History'!D127=0),"",'Price History'!D128/'Price History'!D127-1),"")</f>
        <v>8.4856676765322714E-2</v>
      </c>
      <c r="E127" s="76">
        <f>IFERROR(IF(OR(NOT(ISNUMBER('Price History'!E128)),NOT(ISNUMBER('Price History'!E127)),'Price History'!E127=0),"",'Price History'!E128/'Price History'!E127-1),"")</f>
        <v>-1.2807769857723028E-2</v>
      </c>
      <c r="F127" s="76">
        <f>IFERROR(IF(OR(NOT(ISNUMBER('Price History'!F128)),NOT(ISNUMBER('Price History'!F127)),'Price History'!F127=0),"",'Price History'!F128/'Price History'!F127-1),"")</f>
        <v>-5.7356608478802973E-2</v>
      </c>
      <c r="G127" s="76">
        <f>IFERROR(IF(OR(NOT(ISNUMBER('Price History'!G128)),NOT(ISNUMBER('Price History'!G127)),'Price History'!G127=0),"",'Price History'!G128/'Price History'!G127-1),"")</f>
        <v>-3.9856205064081607E-3</v>
      </c>
      <c r="H127" s="76">
        <f>IFERROR(IF(OR(NOT(ISNUMBER('Price History'!H128)),NOT(ISNUMBER('Price History'!H127)),'Price History'!H127=0),"",'Price History'!H128/'Price History'!H127-1),"")</f>
        <v>0.10755293374065089</v>
      </c>
      <c r="I127" s="76">
        <f>IFERROR(IF(OR(NOT(ISNUMBER('Price History'!I128)),NOT(ISNUMBER('Price History'!I127)),'Price History'!I127=0),"",'Price History'!I128/'Price History'!I127-1),"")</f>
        <v>-8.817509053692385E-3</v>
      </c>
      <c r="J127" s="76">
        <f>IFERROR(IF(OR(NOT(ISNUMBER('Price History'!J128)),NOT(ISNUMBER('Price History'!J127)),'Price History'!J127=0),"",'Price History'!J128/'Price History'!J127-1),"")</f>
        <v>2.6415973894802214E-3</v>
      </c>
      <c r="K127" s="76">
        <f>IFERROR(IF(OR(NOT(ISNUMBER('Price History'!K128)),NOT(ISNUMBER('Price History'!K127)),'Price History'!K127=0),"",'Price History'!K128/'Price History'!K127-1),"")</f>
        <v>-0.1104869906205288</v>
      </c>
      <c r="L127" s="76">
        <f>IFERROR(IF(OR(NOT(ISNUMBER('Price History'!L128)),NOT(ISNUMBER('Price History'!L127)),'Price History'!L127=0),"",'Price History'!L128/'Price History'!L127-1),"")</f>
        <v>5.5375775987320131E-2</v>
      </c>
      <c r="M127" s="76">
        <f>IFERROR(IF(OR(NOT(ISNUMBER('Price History'!M128)),NOT(ISNUMBER('Price History'!M127)),'Price History'!M127=0),"",'Price History'!M128/'Price History'!M127-1),"")</f>
        <v>4.7917412579066676E-2</v>
      </c>
      <c r="N127" s="76">
        <f>IFERROR(IF(OR(NOT(ISNUMBER('Price History'!N128)),NOT(ISNUMBER('Price History'!N127)),'Price History'!N127=0),"",'Price History'!N128/'Price History'!N127-1),"")</f>
        <v>-2.326636422553463E-2</v>
      </c>
      <c r="O127" s="76">
        <f>IFERROR(IF(OR(NOT(ISNUMBER('Price History'!O128)),NOT(ISNUMBER('Price History'!O127)),'Price History'!O127=0),"",'Price History'!O128/'Price History'!O127-1),"")</f>
        <v>-5.4971549811938525E-3</v>
      </c>
      <c r="P127" s="76" t="str">
        <f>IFERROR(IF(OR(NOT(ISNUMBER('Price History'!P128)),NOT(ISNUMBER('Price History'!P127)),'Price History'!P127=0),"",'Price History'!P128/'Price History'!P127-1),"")</f>
        <v/>
      </c>
      <c r="Q127" s="76">
        <f>IFERROR(IF(OR(NOT(ISNUMBER('Price History'!Q128)),NOT(ISNUMBER('Price History'!Q127)),'Price History'!Q127=0),"",'Price History'!Q128/'Price History'!Q127-1),"")</f>
        <v>6.9100195283162691E-3</v>
      </c>
      <c r="R127" s="76">
        <f>IFERROR(IF(OR(NOT(ISNUMBER('Price History'!R128)),NOT(ISNUMBER('Price History'!R127)),'Price History'!R127=0),"",'Price History'!R128/'Price History'!R127-1),"")</f>
        <v>-2.1065048870913428E-2</v>
      </c>
      <c r="S127" s="76">
        <f>IFERROR(IF(OR(NOT(ISNUMBER('Price History'!S128)),NOT(ISNUMBER('Price History'!S127)),'Price History'!S127=0),"",'Price History'!S128/'Price History'!S127-1),"")</f>
        <v>-1.4087988136430973E-2</v>
      </c>
      <c r="T127" s="76">
        <f>IFERROR(IF(OR(NOT(ISNUMBER('Price History'!T128)),NOT(ISNUMBER('Price History'!T127)),'Price History'!T127=0),"",'Price History'!T128/'Price History'!T127-1),"")</f>
        <v>-9.2988187986930981E-3</v>
      </c>
      <c r="U127" s="76" t="str">
        <f>IFERROR(IF(OR(NOT(ISNUMBER('Price History'!U128)),NOT(ISNUMBER('Price History'!U127)),'Price History'!U127=0),"",'Price History'!U128/'Price History'!U127-1),"")</f>
        <v/>
      </c>
      <c r="W127" s="77">
        <f>'Price History'!B3+('Price History'!B158-'Price History'!B3)*0.805194805194805</f>
        <v>300.6775324675325</v>
      </c>
      <c r="X127" s="77">
        <f>'Price History'!C3+('Price History'!C158-'Price History'!C3)*0.805194805194805</f>
        <v>153.7376623376623</v>
      </c>
      <c r="Y127" s="77">
        <f>'Price History'!D3+('Price History'!D158-'Price History'!D3)*0.805194805194805</f>
        <v>1440.5805194805193</v>
      </c>
      <c r="Z127" s="77">
        <f>'Price History'!E3+('Price History'!E158-'Price History'!E3)*0.805194805194805</f>
        <v>329.61116883116875</v>
      </c>
      <c r="AA127" s="77">
        <f>'Price History'!F3+('Price History'!F158-'Price History'!F3)*0.805194805194805</f>
        <v>160.89896103896103</v>
      </c>
      <c r="AB127" s="77">
        <f>'Price History'!G3+('Price History'!G158-'Price History'!G3)*0.805194805194805</f>
        <v>156.53688311688308</v>
      </c>
      <c r="AC127" s="77">
        <f>'Price History'!H3+('Price History'!H158-'Price History'!H3)*0.805194805194805</f>
        <v>675.23909090909081</v>
      </c>
      <c r="AD127" s="77">
        <f>'Price History'!I3+('Price History'!I158-'Price History'!I3)*0.805194805194805</f>
        <v>169.60064935064932</v>
      </c>
      <c r="AE127" s="77">
        <f>'Price History'!J3+('Price History'!J158-'Price History'!J3)*0.805194805194805</f>
        <v>140.49961038961041</v>
      </c>
      <c r="AF127" s="77">
        <f>'Price History'!K3+('Price History'!K158-'Price History'!K3)*0.805194805194805</f>
        <v>102.08922077922077</v>
      </c>
      <c r="AG127" s="77">
        <f>'Price History'!L3+('Price History'!L158-'Price History'!L3)*0.805194805194805</f>
        <v>343.42012987012981</v>
      </c>
      <c r="AH127" s="77">
        <f>'Price History'!M3+('Price History'!M158-'Price History'!M3)*0.805194805194805</f>
        <v>201.03883116883114</v>
      </c>
      <c r="AI127" s="77">
        <f>'Price History'!N3+('Price History'!N158-'Price History'!N3)*0.805194805194805</f>
        <v>452.31298701298704</v>
      </c>
      <c r="AJ127" s="77">
        <f>'Price History'!O3+('Price History'!O158-'Price History'!O3)*0.805194805194805</f>
        <v>117.01441558441557</v>
      </c>
      <c r="AK127" s="77">
        <f>'Price History'!Q3+('Price History'!Q151-'Price History'!Q3)*0.805194805194805</f>
        <v>64.824675324675326</v>
      </c>
      <c r="AL127" s="77">
        <f>'Price History'!R3+('Price History'!R158-'Price History'!R3)*0.805194805194805</f>
        <v>56.218181818181819</v>
      </c>
      <c r="AM127" s="77">
        <f>'Price History'!S3+('Price History'!S158-'Price History'!S3)*0.805194805194805</f>
        <v>127.21506493506493</v>
      </c>
      <c r="AN127" s="77">
        <f>'Price History'!T3+('Price History'!T158-'Price History'!T3)*0.805194805194805</f>
        <v>45.292597402597401</v>
      </c>
    </row>
    <row r="128" spans="1:40" ht="15" customHeight="1" x14ac:dyDescent="0.2">
      <c r="A128" s="55">
        <f>IF('Price History'!A129="","",'Price History'!A129)</f>
        <v>46031</v>
      </c>
      <c r="B128" s="76">
        <f>IFERROR(IF(OR(NOT(ISNUMBER('Price History'!B129)),NOT(ISNUMBER('Price History'!B128)),'Price History'!B128=0),"",'Price History'!B129/'Price History'!B128-1),"")</f>
        <v>1.950195019501777E-3</v>
      </c>
      <c r="C128" s="76">
        <f>IFERROR(IF(OR(NOT(ISNUMBER('Price History'!C129)),NOT(ISNUMBER('Price History'!C128)),'Price History'!C128=0),"",'Price History'!C129/'Price History'!C128-1),"")</f>
        <v>-8.0164670658682602E-2</v>
      </c>
      <c r="D128" s="76">
        <f>IFERROR(IF(OR(NOT(ISNUMBER('Price History'!D129)),NOT(ISNUMBER('Price History'!D128)),'Price History'!D128=0),"",'Price History'!D129/'Price History'!D128-1),"")</f>
        <v>9.4605509632404772E-2</v>
      </c>
      <c r="E128" s="76">
        <f>IFERROR(IF(OR(NOT(ISNUMBER('Price History'!E129)),NOT(ISNUMBER('Price History'!E128)),'Price History'!E128=0),"",'Price History'!E129/'Price History'!E128-1),"")</f>
        <v>-7.6232667855703484E-3</v>
      </c>
      <c r="F128" s="76">
        <f>IFERROR(IF(OR(NOT(ISNUMBER('Price History'!F129)),NOT(ISNUMBER('Price History'!F128)),'Price History'!F128=0),"",'Price History'!F129/'Price History'!F128-1),"")</f>
        <v>3.7477954144620851E-2</v>
      </c>
      <c r="G128" s="76">
        <f>IFERROR(IF(OR(NOT(ISNUMBER('Price History'!G129)),NOT(ISNUMBER('Price History'!G128)),'Price History'!G128=0),"",'Price History'!G129/'Price History'!G128-1),"")</f>
        <v>9.8469988230678762E-2</v>
      </c>
      <c r="H128" s="76">
        <f>IFERROR(IF(OR(NOT(ISNUMBER('Price History'!H129)),NOT(ISNUMBER('Price History'!H128)),'Price History'!H128=0),"",'Price History'!H129/'Price History'!H128-1),"")</f>
        <v>9.4065056115655077E-2</v>
      </c>
      <c r="I128" s="76">
        <f>IFERROR(IF(OR(NOT(ISNUMBER('Price History'!I129)),NOT(ISNUMBER('Price History'!I128)),'Price History'!I128=0),"",'Price History'!I129/'Price History'!I128-1),"")</f>
        <v>-2.1127879269261185E-2</v>
      </c>
      <c r="J128" s="76">
        <f>IFERROR(IF(OR(NOT(ISNUMBER('Price History'!J129)),NOT(ISNUMBER('Price History'!J128)),'Price History'!J128=0),"",'Price History'!J129/'Price History'!J128-1),"")</f>
        <v>2.7121270825261057E-3</v>
      </c>
      <c r="K128" s="76">
        <f>IFERROR(IF(OR(NOT(ISNUMBER('Price History'!K129)),NOT(ISNUMBER('Price History'!K128)),'Price History'!K128=0),"",'Price History'!K129/'Price History'!K128-1),"")</f>
        <v>5.7369236268318913E-2</v>
      </c>
      <c r="L128" s="76">
        <f>IFERROR(IF(OR(NOT(ISNUMBER('Price History'!L129)),NOT(ISNUMBER('Price History'!L128)),'Price History'!L128=0),"",'Price History'!L129/'Price History'!L128-1),"")</f>
        <v>1.2577829229373227E-2</v>
      </c>
      <c r="M128" s="76">
        <f>IFERROR(IF(OR(NOT(ISNUMBER('Price History'!M129)),NOT(ISNUMBER('Price History'!M128)),'Price History'!M128=0),"",'Price History'!M129/'Price History'!M128-1),"")</f>
        <v>-6.85040715221229E-2</v>
      </c>
      <c r="N128" s="76">
        <f>IFERROR(IF(OR(NOT(ISNUMBER('Price History'!N129)),NOT(ISNUMBER('Price History'!N128)),'Price History'!N128=0),"",'Price History'!N129/'Price History'!N128-1),"")</f>
        <v>2.5943865702342306E-2</v>
      </c>
      <c r="O128" s="76">
        <f>IFERROR(IF(OR(NOT(ISNUMBER('Price History'!O129)),NOT(ISNUMBER('Price History'!O128)),'Price History'!O128=0),"",'Price History'!O129/'Price History'!O128-1),"")</f>
        <v>4.082622187742424E-2</v>
      </c>
      <c r="P128" s="76" t="str">
        <f>IFERROR(IF(OR(NOT(ISNUMBER('Price History'!P129)),NOT(ISNUMBER('Price History'!P128)),'Price History'!P128=0),"",'Price History'!P129/'Price History'!P128-1),"")</f>
        <v/>
      </c>
      <c r="Q128" s="76">
        <f>IFERROR(IF(OR(NOT(ISNUMBER('Price History'!Q129)),NOT(ISNUMBER('Price History'!Q128)),'Price History'!Q128=0),"",'Price History'!Q129/'Price History'!Q128-1),"")</f>
        <v>-5.8182903177681489E-3</v>
      </c>
      <c r="R128" s="76">
        <f>IFERROR(IF(OR(NOT(ISNUMBER('Price History'!R129)),NOT(ISNUMBER('Price History'!R128)),'Price History'!R128=0),"",'Price History'!R129/'Price History'!R128-1),"")</f>
        <v>1.8419693578929142E-2</v>
      </c>
      <c r="S128" s="76">
        <f>IFERROR(IF(OR(NOT(ISNUMBER('Price History'!S129)),NOT(ISNUMBER('Price History'!S128)),'Price History'!S128=0),"",'Price History'!S129/'Price History'!S128-1),"")</f>
        <v>3.0082727500626572E-3</v>
      </c>
      <c r="T128" s="76">
        <f>IFERROR(IF(OR(NOT(ISNUMBER('Price History'!T129)),NOT(ISNUMBER('Price History'!T128)),'Price History'!T128=0),"",'Price History'!T129/'Price History'!T128-1),"")</f>
        <v>2.5621511922881757E-2</v>
      </c>
      <c r="U128" s="76" t="str">
        <f>IFERROR(IF(OR(NOT(ISNUMBER('Price History'!U129)),NOT(ISNUMBER('Price History'!U128)),'Price History'!U128=0),"",'Price History'!U129/'Price History'!U128-1),"")</f>
        <v/>
      </c>
      <c r="W128" s="77">
        <f>'Price History'!B3+('Price History'!B158-'Price History'!B3)*0.811688311688312</f>
        <v>299.00194805194798</v>
      </c>
      <c r="X128" s="77">
        <f>'Price History'!C3+('Price History'!C158-'Price History'!C3)*0.811688311688312</f>
        <v>154.62474025974029</v>
      </c>
      <c r="Y128" s="77">
        <f>'Price History'!D3+('Price History'!D158-'Price History'!D3)*0.811688311688312</f>
        <v>1446.8611688311692</v>
      </c>
      <c r="Z128" s="77">
        <f>'Price History'!E3+('Price History'!E158-'Price History'!E3)*0.811688311688312</f>
        <v>331.60012987012993</v>
      </c>
      <c r="AA128" s="77">
        <f>'Price History'!F3+('Price History'!F158-'Price History'!F3)*0.811688311688312</f>
        <v>161.89766233766238</v>
      </c>
      <c r="AB128" s="77">
        <f>'Price History'!G3+('Price History'!G158-'Price History'!G3)*0.811688311688312</f>
        <v>157.41298701298703</v>
      </c>
      <c r="AC128" s="77">
        <f>'Price History'!H3+('Price History'!H158-'Price History'!H3)*0.811688311688312</f>
        <v>680.16545454545474</v>
      </c>
      <c r="AD128" s="77">
        <f>'Price History'!I3+('Price History'!I158-'Price History'!I3)*0.811688311688312</f>
        <v>170.6389610389611</v>
      </c>
      <c r="AE128" s="77">
        <f>'Price History'!J3+('Price History'!J158-'Price History'!J3)*0.811688311688312</f>
        <v>140.63662337662339</v>
      </c>
      <c r="AF128" s="77">
        <f>'Price History'!K3+('Price History'!K158-'Price History'!K3)*0.811688311688312</f>
        <v>102.7882467532468</v>
      </c>
      <c r="AG128" s="77">
        <f>'Price History'!L3+('Price History'!L158-'Price History'!L3)*0.811688311688312</f>
        <v>345.4477922077923</v>
      </c>
      <c r="AH128" s="77">
        <f>'Price History'!M3+('Price History'!M158-'Price History'!M3)*0.811688311688312</f>
        <v>202.38987012987019</v>
      </c>
      <c r="AI128" s="77">
        <f>'Price History'!N3+('Price History'!N158-'Price History'!N3)*0.811688311688312</f>
        <v>453.13922077922086</v>
      </c>
      <c r="AJ128" s="77">
        <f>'Price History'!O3+('Price History'!O158-'Price History'!O3)*0.811688311688312</f>
        <v>117.28993506493508</v>
      </c>
      <c r="AK128" s="77">
        <f>'Price History'!Q3+('Price History'!Q151-'Price History'!Q3)*0.811688311688312</f>
        <v>64.945519480519494</v>
      </c>
      <c r="AL128" s="77">
        <f>'Price History'!R3+('Price History'!R158-'Price History'!R3)*0.811688311688312</f>
        <v>56.285909090909094</v>
      </c>
      <c r="AM128" s="77">
        <f>'Price History'!S3+('Price History'!S158-'Price History'!S3)*0.811688311688312</f>
        <v>127.76889610389614</v>
      </c>
      <c r="AN128" s="77">
        <f>'Price History'!T3+('Price History'!T158-'Price History'!T3)*0.811688311688312</f>
        <v>45.440844155844161</v>
      </c>
    </row>
    <row r="129" spans="1:40" ht="15" customHeight="1" x14ac:dyDescent="0.2">
      <c r="A129" s="55">
        <f>IF('Price History'!A130="","",'Price History'!A130)</f>
        <v>46038</v>
      </c>
      <c r="B129" s="76">
        <f>IFERROR(IF(OR(NOT(ISNUMBER('Price History'!B130)),NOT(ISNUMBER('Price History'!B129)),'Price History'!B129=0),"",'Price History'!B130/'Price History'!B129-1),"")</f>
        <v>-0.11328043120227571</v>
      </c>
      <c r="C129" s="76">
        <f>IFERROR(IF(OR(NOT(ISNUMBER('Price History'!C130)),NOT(ISNUMBER('Price History'!C129)),'Price History'!C129=0),"",'Price History'!C130/'Price History'!C129-1),"")</f>
        <v>5.6473268776955132E-2</v>
      </c>
      <c r="D129" s="76">
        <f>IFERROR(IF(OR(NOT(ISNUMBER('Price History'!D130)),NOT(ISNUMBER('Price History'!D129)),'Price History'!D129=0),"",'Price History'!D130/'Price History'!D129-1),"")</f>
        <v>6.6481929224102565E-2</v>
      </c>
      <c r="E129" s="76">
        <f>IFERROR(IF(OR(NOT(ISNUMBER('Price History'!E130)),NOT(ISNUMBER('Price History'!E129)),'Price History'!E129=0),"",'Price History'!E130/'Price History'!E129-1),"")</f>
        <v>1.953793083456512E-2</v>
      </c>
      <c r="F129" s="76">
        <f>IFERROR(IF(OR(NOT(ISNUMBER('Price History'!F130)),NOT(ISNUMBER('Price History'!F129)),'Price History'!F129=0),"",'Price History'!F130/'Price History'!F129-1),"")</f>
        <v>-3.5529111772205746E-2</v>
      </c>
      <c r="G129" s="76">
        <f>IFERROR(IF(OR(NOT(ISNUMBER('Price History'!G130)),NOT(ISNUMBER('Price History'!G129)),'Price History'!G129=0),"",'Price History'!G130/'Price History'!G129-1),"")</f>
        <v>0.11985714285714288</v>
      </c>
      <c r="H129" s="76">
        <f>IFERROR(IF(OR(NOT(ISNUMBER('Price History'!H130)),NOT(ISNUMBER('Price History'!H129)),'Price History'!H129=0),"",'Price History'!H130/'Price History'!H129-1),"")</f>
        <v>5.1175055782549661E-2</v>
      </c>
      <c r="I129" s="76">
        <f>IFERROR(IF(OR(NOT(ISNUMBER('Price History'!I130)),NOT(ISNUMBER('Price History'!I129)),'Price History'!I129=0),"",'Price History'!I130/'Price History'!I129-1),"")</f>
        <v>7.4110137401275367E-3</v>
      </c>
      <c r="J129" s="76">
        <f>IFERROR(IF(OR(NOT(ISNUMBER('Price History'!J130)),NOT(ISNUMBER('Price History'!J129)),'Price History'!J129=0),"",'Price History'!J130/'Price History'!J129-1),"")</f>
        <v>2.9443585780525527E-2</v>
      </c>
      <c r="K129" s="76">
        <f>IFERROR(IF(OR(NOT(ISNUMBER('Price History'!K130)),NOT(ISNUMBER('Price History'!K129)),'Price History'!K129=0),"",'Price History'!K130/'Price History'!K129-1),"")</f>
        <v>-3.6790805115781144E-2</v>
      </c>
      <c r="L129" s="76">
        <f>IFERROR(IF(OR(NOT(ISNUMBER('Price History'!L130)),NOT(ISNUMBER('Price History'!L129)),'Price History'!L129=0),"",'Price History'!L130/'Price History'!L129-1),"")</f>
        <v>5.7998331427865146E-2</v>
      </c>
      <c r="M129" s="76">
        <f>IFERROR(IF(OR(NOT(ISNUMBER('Price History'!M130)),NOT(ISNUMBER('Price History'!M129)),'Price History'!M129=0),"",'Price History'!M130/'Price History'!M129-1),"")</f>
        <v>8.1611443941802086E-2</v>
      </c>
      <c r="N129" s="76">
        <f>IFERROR(IF(OR(NOT(ISNUMBER('Price History'!N130)),NOT(ISNUMBER('Price History'!N129)),'Price History'!N129=0),"",'Price History'!N130/'Price History'!N129-1),"")</f>
        <v>-4.8506014745828496E-2</v>
      </c>
      <c r="O129" s="76">
        <f>IFERROR(IF(OR(NOT(ISNUMBER('Price History'!O130)),NOT(ISNUMBER('Price History'!O129)),'Price History'!O129=0),"",'Price History'!O130/'Price History'!O129-1),"")</f>
        <v>1.0994130252492296E-2</v>
      </c>
      <c r="P129" s="76" t="str">
        <f>IFERROR(IF(OR(NOT(ISNUMBER('Price History'!P130)),NOT(ISNUMBER('Price History'!P129)),'Price History'!P129=0),"",'Price History'!P130/'Price History'!P129-1),"")</f>
        <v/>
      </c>
      <c r="Q129" s="76">
        <f>IFERROR(IF(OR(NOT(ISNUMBER('Price History'!Q130)),NOT(ISNUMBER('Price History'!Q129)),'Price History'!Q129=0),"",'Price History'!Q130/'Price History'!Q129-1),"")</f>
        <v>-1.1254501800720296E-2</v>
      </c>
      <c r="R129" s="76">
        <f>IFERROR(IF(OR(NOT(ISNUMBER('Price History'!R130)),NOT(ISNUMBER('Price History'!R129)),'Price History'!R129=0),"",'Price History'!R130/'Price History'!R129-1),"")</f>
        <v>-4.0567951318457585E-3</v>
      </c>
      <c r="S129" s="76">
        <f>IFERROR(IF(OR(NOT(ISNUMBER('Price History'!S130)),NOT(ISNUMBER('Price History'!S129)),'Price History'!S129=0),"",'Price History'!S130/'Price History'!S129-1),"")</f>
        <v>-2.4993751562107924E-4</v>
      </c>
      <c r="T129" s="76">
        <f>IFERROR(IF(OR(NOT(ISNUMBER('Price History'!T130)),NOT(ISNUMBER('Price History'!T129)),'Price History'!T129=0),"",'Price History'!T130/'Price History'!T129-1),"")</f>
        <v>-2.0281968835023534E-2</v>
      </c>
      <c r="U129" s="76" t="str">
        <f>IFERROR(IF(OR(NOT(ISNUMBER('Price History'!U130)),NOT(ISNUMBER('Price History'!U129)),'Price History'!U129=0),"",'Price History'!U130/'Price History'!U129-1),"")</f>
        <v/>
      </c>
      <c r="W129" s="77">
        <f>'Price History'!B3+('Price History'!B158-'Price History'!B3)*0.818181818181818</f>
        <v>297.32636363636368</v>
      </c>
      <c r="X129" s="77">
        <f>'Price History'!C3+('Price History'!C158-'Price History'!C3)*0.818181818181818</f>
        <v>155.51181818181814</v>
      </c>
      <c r="Y129" s="77">
        <f>'Price History'!D3+('Price History'!D158-'Price History'!D3)*0.818181818181818</f>
        <v>1453.1418181818181</v>
      </c>
      <c r="Z129" s="77">
        <f>'Price History'!E3+('Price History'!E158-'Price History'!E3)*0.818181818181818</f>
        <v>333.58909090909083</v>
      </c>
      <c r="AA129" s="77">
        <f>'Price History'!F3+('Price History'!F158-'Price History'!F3)*0.818181818181818</f>
        <v>162.89636363636362</v>
      </c>
      <c r="AB129" s="77">
        <f>'Price History'!G3+('Price History'!G158-'Price History'!G3)*0.818181818181818</f>
        <v>158.28909090909087</v>
      </c>
      <c r="AC129" s="77">
        <f>'Price History'!H3+('Price History'!H158-'Price History'!H3)*0.818181818181818</f>
        <v>685.09181818181798</v>
      </c>
      <c r="AD129" s="77">
        <f>'Price History'!I3+('Price History'!I158-'Price History'!I3)*0.818181818181818</f>
        <v>171.67727272727271</v>
      </c>
      <c r="AE129" s="77">
        <f>'Price History'!J3+('Price History'!J158-'Price History'!J3)*0.818181818181818</f>
        <v>140.77363636363637</v>
      </c>
      <c r="AF129" s="77">
        <f>'Price History'!K3+('Price History'!K158-'Price History'!K3)*0.818181818181818</f>
        <v>103.48727272727271</v>
      </c>
      <c r="AG129" s="77">
        <f>'Price History'!L3+('Price History'!L158-'Price History'!L3)*0.818181818181818</f>
        <v>347.47545454545445</v>
      </c>
      <c r="AH129" s="77">
        <f>'Price History'!M3+('Price History'!M158-'Price History'!M3)*0.818181818181818</f>
        <v>203.74090909090904</v>
      </c>
      <c r="AI129" s="77">
        <f>'Price History'!N3+('Price History'!N158-'Price History'!N3)*0.818181818181818</f>
        <v>453.96545454545458</v>
      </c>
      <c r="AJ129" s="77">
        <f>'Price History'!O3+('Price History'!O158-'Price History'!O3)*0.818181818181818</f>
        <v>117.56545454545454</v>
      </c>
      <c r="AK129" s="77">
        <f>'Price History'!Q3+('Price History'!Q151-'Price History'!Q3)*0.818181818181818</f>
        <v>65.066363636363633</v>
      </c>
      <c r="AL129" s="77">
        <f>'Price History'!R3+('Price History'!R158-'Price History'!R3)*0.818181818181818</f>
        <v>56.353636363636362</v>
      </c>
      <c r="AM129" s="77">
        <f>'Price History'!S3+('Price History'!S158-'Price History'!S3)*0.818181818181818</f>
        <v>128.32272727272726</v>
      </c>
      <c r="AN129" s="77">
        <f>'Price History'!T3+('Price History'!T158-'Price History'!T3)*0.818181818181818</f>
        <v>45.589090909090906</v>
      </c>
    </row>
    <row r="130" spans="1:40" ht="15" customHeight="1" x14ac:dyDescent="0.2">
      <c r="A130" s="55">
        <f>IF('Price History'!A131="","",'Price History'!A131)</f>
        <v>46045</v>
      </c>
      <c r="B130" s="76">
        <f>IFERROR(IF(OR(NOT(ISNUMBER('Price History'!B131)),NOT(ISNUMBER('Price History'!B130)),'Price History'!B130=0),"",'Price History'!B131/'Price History'!B130-1),"")</f>
        <v>1.6716196136701278E-2</v>
      </c>
      <c r="C130" s="76">
        <f>IFERROR(IF(OR(NOT(ISNUMBER('Price History'!C131)),NOT(ISNUMBER('Price History'!C130)),'Price History'!C130=0),"",'Price History'!C131/'Price History'!C130-1),"")</f>
        <v>5.0142494030655405E-2</v>
      </c>
      <c r="D130" s="76">
        <f>IFERROR(IF(OR(NOT(ISNUMBER('Price History'!D131)),NOT(ISNUMBER('Price History'!D130)),'Price History'!D130=0),"",'Price History'!D131/'Price History'!D130-1),"")</f>
        <v>2.2427994140898244E-2</v>
      </c>
      <c r="E130" s="76">
        <f>IFERROR(IF(OR(NOT(ISNUMBER('Price History'!E131)),NOT(ISNUMBER('Price History'!E130)),'Price History'!E130=0),"",'Price History'!E131/'Price History'!E130-1),"")</f>
        <v>-9.0017343834408958E-2</v>
      </c>
      <c r="F130" s="76">
        <f>IFERROR(IF(OR(NOT(ISNUMBER('Price History'!F131)),NOT(ISNUMBER('Price History'!F130)),'Price History'!F130=0),"",'Price History'!F131/'Price History'!F130-1),"")</f>
        <v>-3.0845157310301907E-3</v>
      </c>
      <c r="G130" s="76">
        <f>IFERROR(IF(OR(NOT(ISNUMBER('Price History'!G131)),NOT(ISNUMBER('Price History'!G130)),'Price History'!G130=0),"",'Price History'!G131/'Price History'!G130-1),"")</f>
        <v>-3.5081005230258921E-2</v>
      </c>
      <c r="H130" s="76">
        <f>IFERROR(IF(OR(NOT(ISNUMBER('Price History'!H131)),NOT(ISNUMBER('Price History'!H130)),'Price History'!H130=0),"",'Price History'!H131/'Price History'!H130-1),"")</f>
        <v>0.10172294968986906</v>
      </c>
      <c r="I130" s="76">
        <f>IFERROR(IF(OR(NOT(ISNUMBER('Price History'!I131)),NOT(ISNUMBER('Price History'!I130)),'Price History'!I130=0),"",'Price History'!I131/'Price History'!I130-1),"")</f>
        <v>7.7323739461956364E-3</v>
      </c>
      <c r="J130" s="76">
        <f>IFERROR(IF(OR(NOT(ISNUMBER('Price History'!J131)),NOT(ISNUMBER('Price History'!J130)),'Price History'!J130=0),"",'Price History'!J131/'Price History'!J130-1),"")</f>
        <v>-4.5492080174161065E-2</v>
      </c>
      <c r="K130" s="76">
        <f>IFERROR(IF(OR(NOT(ISNUMBER('Price History'!K131)),NOT(ISNUMBER('Price History'!K130)),'Price History'!K130=0),"",'Price History'!K131/'Price History'!K130-1),"")</f>
        <v>-7.9550772110436041E-3</v>
      </c>
      <c r="L130" s="76">
        <f>IFERROR(IF(OR(NOT(ISNUMBER('Price History'!L131)),NOT(ISNUMBER('Price History'!L130)),'Price History'!L130=0),"",'Price History'!L131/'Price History'!L130-1),"")</f>
        <v>-2.1991822429906493E-2</v>
      </c>
      <c r="M130" s="76">
        <f>IFERROR(IF(OR(NOT(ISNUMBER('Price History'!M131)),NOT(ISNUMBER('Price History'!M130)),'Price History'!M130=0),"",'Price History'!M131/'Price History'!M130-1),"")</f>
        <v>3.1424857288192998E-2</v>
      </c>
      <c r="N130" s="76">
        <f>IFERROR(IF(OR(NOT(ISNUMBER('Price History'!N131)),NOT(ISNUMBER('Price History'!N130)),'Price History'!N130=0),"",'Price History'!N131/'Price History'!N130-1),"")</f>
        <v>6.1287837592894689E-2</v>
      </c>
      <c r="O130" s="76">
        <f>IFERROR(IF(OR(NOT(ISNUMBER('Price History'!O131)),NOT(ISNUMBER('Price History'!O130)),'Price History'!O130=0),"",'Price History'!O131/'Price History'!O130-1),"")</f>
        <v>-1.8431480969505198E-4</v>
      </c>
      <c r="P130" s="76" t="str">
        <f>IFERROR(IF(OR(NOT(ISNUMBER('Price History'!P131)),NOT(ISNUMBER('Price History'!P130)),'Price History'!P130=0),"",'Price History'!P131/'Price History'!P130-1),"")</f>
        <v/>
      </c>
      <c r="Q130" s="76">
        <f>IFERROR(IF(OR(NOT(ISNUMBER('Price History'!Q131)),NOT(ISNUMBER('Price History'!Q130)),'Price History'!Q130=0),"",'Price History'!Q131/'Price History'!Q130-1),"")</f>
        <v>-1.3355592654423987E-2</v>
      </c>
      <c r="R130" s="76">
        <f>IFERROR(IF(OR(NOT(ISNUMBER('Price History'!R131)),NOT(ISNUMBER('Price History'!R130)),'Price History'!R130=0),"",'Price History'!R131/'Price History'!R130-1),"")</f>
        <v>5.0916496945010437E-3</v>
      </c>
      <c r="S130" s="76">
        <f>IFERROR(IF(OR(NOT(ISNUMBER('Price History'!S131)),NOT(ISNUMBER('Price History'!S130)),'Price History'!S130=0),"",'Price History'!S131/'Price History'!S130-1),"")</f>
        <v>-1.7333333333333312E-2</v>
      </c>
      <c r="T130" s="76">
        <f>IFERROR(IF(OR(NOT(ISNUMBER('Price History'!T131)),NOT(ISNUMBER('Price History'!T130)),'Price History'!T130=0),"",'Price History'!T131/'Price History'!T130-1),"")</f>
        <v>6.3115374905327037E-3</v>
      </c>
      <c r="U130" s="76" t="str">
        <f>IFERROR(IF(OR(NOT(ISNUMBER('Price History'!U131)),NOT(ISNUMBER('Price History'!U130)),'Price History'!U130=0),"",'Price History'!U131/'Price History'!U130-1),"")</f>
        <v/>
      </c>
      <c r="W130" s="77">
        <f>'Price History'!B3+('Price History'!B158-'Price History'!B3)*0.824675324675325</f>
        <v>295.65077922077916</v>
      </c>
      <c r="X130" s="77">
        <f>'Price History'!C3+('Price History'!C158-'Price History'!C3)*0.824675324675325</f>
        <v>156.39889610389613</v>
      </c>
      <c r="Y130" s="77">
        <f>'Price History'!D3+('Price History'!D158-'Price History'!D3)*0.824675324675325</f>
        <v>1459.4224675324679</v>
      </c>
      <c r="Z130" s="77">
        <f>'Price History'!E3+('Price History'!E158-'Price History'!E3)*0.824675324675325</f>
        <v>335.57805194805201</v>
      </c>
      <c r="AA130" s="77">
        <f>'Price History'!F3+('Price History'!F158-'Price History'!F3)*0.824675324675325</f>
        <v>163.89506493506499</v>
      </c>
      <c r="AB130" s="77">
        <f>'Price History'!G3+('Price History'!G158-'Price History'!G3)*0.824675324675325</f>
        <v>159.16519480519483</v>
      </c>
      <c r="AC130" s="77">
        <f>'Price History'!H3+('Price History'!H158-'Price History'!H3)*0.824675324675325</f>
        <v>690.01818181818203</v>
      </c>
      <c r="AD130" s="77">
        <f>'Price History'!I3+('Price History'!I158-'Price History'!I3)*0.824675324675325</f>
        <v>172.71558441558446</v>
      </c>
      <c r="AE130" s="77">
        <f>'Price History'!J3+('Price History'!J158-'Price History'!J3)*0.824675324675325</f>
        <v>140.91064935064938</v>
      </c>
      <c r="AF130" s="77">
        <f>'Price History'!K3+('Price History'!K158-'Price History'!K3)*0.824675324675325</f>
        <v>104.18629870129874</v>
      </c>
      <c r="AG130" s="77">
        <f>'Price History'!L3+('Price History'!L158-'Price History'!L3)*0.824675324675325</f>
        <v>349.503116883117</v>
      </c>
      <c r="AH130" s="77">
        <f>'Price History'!M3+('Price History'!M158-'Price History'!M3)*0.824675324675325</f>
        <v>205.09194805194812</v>
      </c>
      <c r="AI130" s="77">
        <f>'Price History'!N3+('Price History'!N158-'Price History'!N3)*0.824675324675325</f>
        <v>454.7916883116884</v>
      </c>
      <c r="AJ130" s="77">
        <f>'Price History'!O3+('Price History'!O158-'Price History'!O3)*0.824675324675325</f>
        <v>117.84097402597405</v>
      </c>
      <c r="AK130" s="77">
        <f>'Price History'!Q3+('Price History'!Q151-'Price History'!Q3)*0.824675324675325</f>
        <v>65.187207792207801</v>
      </c>
      <c r="AL130" s="77">
        <f>'Price History'!R3+('Price History'!R158-'Price History'!R3)*0.824675324675325</f>
        <v>56.421363636363637</v>
      </c>
      <c r="AM130" s="77">
        <f>'Price History'!S3+('Price History'!S158-'Price History'!S3)*0.824675324675325</f>
        <v>128.87655844155847</v>
      </c>
      <c r="AN130" s="77">
        <f>'Price History'!T3+('Price History'!T158-'Price History'!T3)*0.824675324675325</f>
        <v>45.737337662337673</v>
      </c>
    </row>
    <row r="131" spans="1:40" ht="15" customHeight="1" x14ac:dyDescent="0.2">
      <c r="A131" s="55">
        <f>IF('Price History'!A132="","",'Price History'!A132)</f>
        <v>46052</v>
      </c>
      <c r="B131" s="76">
        <f>IFERROR(IF(OR(NOT(ISNUMBER('Price History'!B132)),NOT(ISNUMBER('Price History'!B131)),'Price History'!B131=0),"",'Price History'!B132/'Price History'!B131-1),"")</f>
        <v>-2.5974025974025983E-2</v>
      </c>
      <c r="C131" s="76">
        <f>IFERROR(IF(OR(NOT(ISNUMBER('Price History'!C132)),NOT(ISNUMBER('Price History'!C131)),'Price History'!C131=0),"",'Price History'!C132/'Price History'!C131-1),"")</f>
        <v>3.9606865189966367E-2</v>
      </c>
      <c r="D131" s="76">
        <f>IFERROR(IF(OR(NOT(ISNUMBER('Price History'!D132)),NOT(ISNUMBER('Price History'!D131)),'Price History'!D131=0),"",'Price History'!D132/'Price History'!D131-1),"")</f>
        <v>2.4448539998848107E-2</v>
      </c>
      <c r="E131" s="76">
        <f>IFERROR(IF(OR(NOT(ISNUMBER('Price History'!E132)),NOT(ISNUMBER('Price History'!E131)),'Price History'!E131=0),"",'Price History'!E132/'Price History'!E131-1),"")</f>
        <v>3.5150757694110357E-2</v>
      </c>
      <c r="F131" s="76">
        <f>IFERROR(IF(OR(NOT(ISNUMBER('Price History'!F132)),NOT(ISNUMBER('Price History'!F131)),'Price History'!F131=0),"",'Price History'!F132/'Price History'!F131-1),"")</f>
        <v>-2.4487270155587049E-2</v>
      </c>
      <c r="G131" s="76">
        <f>IFERROR(IF(OR(NOT(ISNUMBER('Price History'!G132)),NOT(ISNUMBER('Price History'!G131)),'Price History'!G131=0),"",'Price History'!G132/'Price History'!G131-1),"")</f>
        <v>-5.6121099947118003E-2</v>
      </c>
      <c r="H131" s="76">
        <f>IFERROR(IF(OR(NOT(ISNUMBER('Price History'!H132)),NOT(ISNUMBER('Price History'!H131)),'Price History'!H131=0),"",'Price History'!H132/'Price History'!H131-1),"")</f>
        <v>3.8108344801701444E-2</v>
      </c>
      <c r="I131" s="76">
        <f>IFERROR(IF(OR(NOT(ISNUMBER('Price History'!I132)),NOT(ISNUMBER('Price History'!I131)),'Price History'!I131=0),"",'Price History'!I132/'Price History'!I131-1),"")</f>
        <v>1.8436617466830008E-2</v>
      </c>
      <c r="J131" s="76">
        <f>IFERROR(IF(OR(NOT(ISNUMBER('Price History'!J132)),NOT(ISNUMBER('Price History'!J131)),'Price History'!J131=0),"",'Price History'!J132/'Price History'!J131-1),"")</f>
        <v>2.6818718049547829E-2</v>
      </c>
      <c r="K131" s="76">
        <f>IFERROR(IF(OR(NOT(ISNUMBER('Price History'!K132)),NOT(ISNUMBER('Price History'!K131)),'Price History'!K131=0),"",'Price History'!K132/'Price History'!K131-1),"")</f>
        <v>-0.13567216981132069</v>
      </c>
      <c r="L131" s="76">
        <f>IFERROR(IF(OR(NOT(ISNUMBER('Price History'!L132)),NOT(ISNUMBER('Price History'!L131)),'Price History'!L131=0),"",'Price History'!L132/'Price History'!L131-1),"")</f>
        <v>-1.2870666228685712E-2</v>
      </c>
      <c r="M131" s="76">
        <f>IFERROR(IF(OR(NOT(ISNUMBER('Price History'!M132)),NOT(ISNUMBER('Price History'!M131)),'Price History'!M131=0),"",'Price History'!M132/'Price History'!M131-1),"")</f>
        <v>2.0220286043070912E-2</v>
      </c>
      <c r="N131" s="76">
        <f>IFERROR(IF(OR(NOT(ISNUMBER('Price History'!N132)),NOT(ISNUMBER('Price History'!N131)),'Price History'!N131=0),"",'Price History'!N132/'Price History'!N131-1),"")</f>
        <v>3.1809739330928011E-3</v>
      </c>
      <c r="O131" s="76">
        <f>IFERROR(IF(OR(NOT(ISNUMBER('Price History'!O132)),NOT(ISNUMBER('Price History'!O131)),'Price History'!O131=0),"",'Price History'!O132/'Price History'!O131-1),"")</f>
        <v>7.189602728361999E-3</v>
      </c>
      <c r="P131" s="76" t="str">
        <f>IFERROR(IF(OR(NOT(ISNUMBER('Price History'!P132)),NOT(ISNUMBER('Price History'!P131)),'Price History'!P131=0),"",'Price History'!P132/'Price History'!P131-1),"")</f>
        <v/>
      </c>
      <c r="Q131" s="76">
        <f>IFERROR(IF(OR(NOT(ISNUMBER('Price History'!Q132)),NOT(ISNUMBER('Price History'!Q131)),'Price History'!Q131=0),"",'Price History'!Q132/'Price History'!Q131-1),"")</f>
        <v>-1.1229041685894559E-2</v>
      </c>
      <c r="R131" s="76">
        <f>IFERROR(IF(OR(NOT(ISNUMBER('Price History'!R132)),NOT(ISNUMBER('Price History'!R131)),'Price History'!R131=0),"",'Price History'!R132/'Price History'!R131-1),"")</f>
        <v>3.5460992907800915E-3</v>
      </c>
      <c r="S131" s="76">
        <f>IFERROR(IF(OR(NOT(ISNUMBER('Price History'!S132)),NOT(ISNUMBER('Price History'!S131)),'Price History'!S131=0),"",'Price History'!S132/'Price History'!S131-1),"")</f>
        <v>1.6536635006784373E-2</v>
      </c>
      <c r="T131" s="76">
        <f>IFERROR(IF(OR(NOT(ISNUMBER('Price History'!T132)),NOT(ISNUMBER('Price History'!T131)),'Price History'!T131=0),"",'Price History'!T132/'Price History'!T131-1),"")</f>
        <v>-9.7842448569994689E-3</v>
      </c>
      <c r="U131" s="76" t="str">
        <f>IFERROR(IF(OR(NOT(ISNUMBER('Price History'!U132)),NOT(ISNUMBER('Price History'!U131)),'Price History'!U131=0),"",'Price History'!U132/'Price History'!U131-1),"")</f>
        <v/>
      </c>
      <c r="W131" s="77">
        <f>'Price History'!B3+('Price History'!B158-'Price History'!B3)*0.831168831168831</f>
        <v>293.97519480519486</v>
      </c>
      <c r="X131" s="77">
        <f>'Price History'!C3+('Price History'!C158-'Price History'!C3)*0.831168831168831</f>
        <v>157.28597402597399</v>
      </c>
      <c r="Y131" s="77">
        <f>'Price History'!D3+('Price History'!D158-'Price History'!D3)*0.831168831168831</f>
        <v>1465.7031168831168</v>
      </c>
      <c r="Z131" s="77">
        <f>'Price History'!E3+('Price History'!E158-'Price History'!E3)*0.831168831168831</f>
        <v>337.5670129870129</v>
      </c>
      <c r="AA131" s="77">
        <f>'Price History'!F3+('Price History'!F158-'Price History'!F3)*0.831168831168831</f>
        <v>164.8937662337662</v>
      </c>
      <c r="AB131" s="77">
        <f>'Price History'!G3+('Price History'!G158-'Price History'!G3)*0.831168831168831</f>
        <v>160.04129870129867</v>
      </c>
      <c r="AC131" s="77">
        <f>'Price History'!H3+('Price History'!H158-'Price History'!H3)*0.831168831168831</f>
        <v>694.94454545454528</v>
      </c>
      <c r="AD131" s="77">
        <f>'Price History'!I3+('Price History'!I158-'Price History'!I3)*0.831168831168831</f>
        <v>173.75389610389607</v>
      </c>
      <c r="AE131" s="77">
        <f>'Price History'!J3+('Price History'!J158-'Price History'!J3)*0.831168831168831</f>
        <v>141.04766233766236</v>
      </c>
      <c r="AF131" s="77">
        <f>'Price History'!K3+('Price History'!K158-'Price History'!K3)*0.831168831168831</f>
        <v>104.88532467532465</v>
      </c>
      <c r="AG131" s="77">
        <f>'Price History'!L3+('Price History'!L158-'Price History'!L3)*0.831168831168831</f>
        <v>351.53077922077915</v>
      </c>
      <c r="AH131" s="77">
        <f>'Price History'!M3+('Price History'!M158-'Price History'!M3)*0.831168831168831</f>
        <v>206.44298701298698</v>
      </c>
      <c r="AI131" s="77">
        <f>'Price History'!N3+('Price History'!N158-'Price History'!N3)*0.831168831168831</f>
        <v>455.61792207792206</v>
      </c>
      <c r="AJ131" s="77">
        <f>'Price History'!O3+('Price History'!O158-'Price History'!O3)*0.831168831168831</f>
        <v>118.1164935064935</v>
      </c>
      <c r="AK131" s="77">
        <f>'Price History'!Q3+('Price History'!Q151-'Price History'!Q3)*0.831168831168831</f>
        <v>65.30805194805194</v>
      </c>
      <c r="AL131" s="77">
        <f>'Price History'!R3+('Price History'!R158-'Price History'!R3)*0.831168831168831</f>
        <v>56.489090909090905</v>
      </c>
      <c r="AM131" s="77">
        <f>'Price History'!S3+('Price History'!S158-'Price History'!S3)*0.831168831168831</f>
        <v>129.43038961038962</v>
      </c>
      <c r="AN131" s="77">
        <f>'Price History'!T3+('Price History'!T158-'Price History'!T3)*0.831168831168831</f>
        <v>45.885584415584418</v>
      </c>
    </row>
    <row r="132" spans="1:40" ht="15" customHeight="1" x14ac:dyDescent="0.2">
      <c r="A132" s="55">
        <f>IF('Price History'!A133="","",'Price History'!A133)</f>
        <v>46059</v>
      </c>
      <c r="B132" s="76">
        <f>IFERROR(IF(OR(NOT(ISNUMBER('Price History'!B133)),NOT(ISNUMBER('Price History'!B132)),'Price History'!B132=0),"",'Price History'!B133/'Price History'!B132-1),"")</f>
        <v>-8.4808184143222554E-2</v>
      </c>
      <c r="C132" s="76">
        <f>IFERROR(IF(OR(NOT(ISNUMBER('Price History'!C133)),NOT(ISNUMBER('Price History'!C132)),'Price History'!C132=0),"",'Price History'!C133/'Price History'!C132-1),"")</f>
        <v>-2.998447862283049E-2</v>
      </c>
      <c r="D132" s="76">
        <f>IFERROR(IF(OR(NOT(ISNUMBER('Price History'!D133)),NOT(ISNUMBER('Price History'!D132)),'Price History'!D132=0),"",'Price History'!D133/'Price History'!D132-1),"")</f>
        <v>-7.0203794799719166E-3</v>
      </c>
      <c r="E132" s="76">
        <f>IFERROR(IF(OR(NOT(ISNUMBER('Price History'!E133)),NOT(ISNUMBER('Price History'!E132)),'Price History'!E132=0),"",'Price History'!E133/'Price History'!E132-1),"")</f>
        <v>4.8898279504980824E-3</v>
      </c>
      <c r="F132" s="76">
        <f>IFERROR(IF(OR(NOT(ISNUMBER('Price History'!F133)),NOT(ISNUMBER('Price History'!F132)),'Price History'!F132=0),"",'Price History'!F133/'Price History'!F132-1),"")</f>
        <v>-0.10394200271862253</v>
      </c>
      <c r="G132" s="76">
        <f>IFERROR(IF(OR(NOT(ISNUMBER('Price History'!G133)),NOT(ISNUMBER('Price History'!G132)),'Price History'!G132=0),"",'Price History'!G133/'Price History'!G132-1),"")</f>
        <v>1.0504937320540586E-2</v>
      </c>
      <c r="H132" s="76">
        <f>IFERROR(IF(OR(NOT(ISNUMBER('Price History'!H133)),NOT(ISNUMBER('Price History'!H132)),'Price History'!H132=0),"",'Price History'!H133/'Price History'!H132-1),"")</f>
        <v>-4.8664674122637863E-2</v>
      </c>
      <c r="I132" s="76">
        <f>IFERROR(IF(OR(NOT(ISNUMBER('Price History'!I133)),NOT(ISNUMBER('Price History'!I132)),'Price History'!I132=0),"",'Price History'!I133/'Price History'!I132-1),"")</f>
        <v>-2.9927274629833134E-2</v>
      </c>
      <c r="J132" s="76">
        <f>IFERROR(IF(OR(NOT(ISNUMBER('Price History'!J133)),NOT(ISNUMBER('Price History'!J132)),'Price History'!J132=0),"",'Price History'!J133/'Price History'!J132-1),"")</f>
        <v>4.8943014705882248E-2</v>
      </c>
      <c r="K132" s="76">
        <f>IFERROR(IF(OR(NOT(ISNUMBER('Price History'!K133)),NOT(ISNUMBER('Price History'!K132)),'Price History'!K132=0),"",'Price History'!K133/'Price History'!K132-1),"")</f>
        <v>-7.2924483252609251E-2</v>
      </c>
      <c r="L132" s="76">
        <f>IFERROR(IF(OR(NOT(ISNUMBER('Price History'!L133)),NOT(ISNUMBER('Price History'!L132)),'Price History'!L132=0),"",'Price History'!L133/'Price History'!L132-1),"")</f>
        <v>5.5330348499516013E-2</v>
      </c>
      <c r="M132" s="76">
        <f>IFERROR(IF(OR(NOT(ISNUMBER('Price History'!M133)),NOT(ISNUMBER('Price History'!M132)),'Price History'!M132=0),"",'Price History'!M133/'Price History'!M132-1),"")</f>
        <v>5.0488774304436657E-2</v>
      </c>
      <c r="N132" s="76">
        <f>IFERROR(IF(OR(NOT(ISNUMBER('Price History'!N133)),NOT(ISNUMBER('Price History'!N132)),'Price History'!N132=0),"",'Price History'!N133/'Price History'!N132-1),"")</f>
        <v>1.706746116194946E-2</v>
      </c>
      <c r="O132" s="76">
        <f>IFERROR(IF(OR(NOT(ISNUMBER('Price History'!O133)),NOT(ISNUMBER('Price History'!O132)),'Price History'!O132=0),"",'Price History'!O133/'Price History'!O132-1),"")</f>
        <v>5.4177724901619762E-2</v>
      </c>
      <c r="P132" s="76" t="str">
        <f>IFERROR(IF(OR(NOT(ISNUMBER('Price History'!P133)),NOT(ISNUMBER('Price History'!P132)),'Price History'!P132=0),"",'Price History'!P133/'Price History'!P132-1),"")</f>
        <v/>
      </c>
      <c r="Q132" s="76">
        <f>IFERROR(IF(OR(NOT(ISNUMBER('Price History'!Q133)),NOT(ISNUMBER('Price History'!Q132)),'Price History'!Q132=0),"",'Price History'!Q133/'Price History'!Q132-1),"")</f>
        <v>-1.3845675171126337E-2</v>
      </c>
      <c r="R132" s="76">
        <f>IFERROR(IF(OR(NOT(ISNUMBER('Price History'!R133)),NOT(ISNUMBER('Price History'!R132)),'Price History'!R132=0),"",'Price History'!R133/'Price History'!R132-1),"")</f>
        <v>-2.3220595658758225E-2</v>
      </c>
      <c r="S132" s="76">
        <f>IFERROR(IF(OR(NOT(ISNUMBER('Price History'!S133)),NOT(ISNUMBER('Price History'!S132)),'Price History'!S132=0),"",'Price History'!S133/'Price History'!S132-1),"")</f>
        <v>-2.5027112705433563E-4</v>
      </c>
      <c r="T132" s="76">
        <f>IFERROR(IF(OR(NOT(ISNUMBER('Price History'!T133)),NOT(ISNUMBER('Price History'!T132)),'Price History'!T132=0),"",'Price History'!T133/'Price History'!T132-1),"")</f>
        <v>2.4322270078540598E-2</v>
      </c>
      <c r="U132" s="76" t="str">
        <f>IFERROR(IF(OR(NOT(ISNUMBER('Price History'!U133)),NOT(ISNUMBER('Price History'!U132)),'Price History'!U132=0),"",'Price History'!U133/'Price History'!U132-1),"")</f>
        <v/>
      </c>
      <c r="W132" s="77">
        <f>'Price History'!B3+('Price History'!B158-'Price History'!B3)*0.837662337662338</f>
        <v>292.29961038961034</v>
      </c>
      <c r="X132" s="77">
        <f>'Price History'!C3+('Price History'!C158-'Price History'!C3)*0.837662337662338</f>
        <v>158.17305194805198</v>
      </c>
      <c r="Y132" s="77">
        <f>'Price History'!D3+('Price History'!D158-'Price History'!D3)*0.837662337662338</f>
        <v>1471.9837662337666</v>
      </c>
      <c r="Z132" s="77">
        <f>'Price History'!E3+('Price History'!E158-'Price History'!E3)*0.837662337662338</f>
        <v>339.55597402597408</v>
      </c>
      <c r="AA132" s="77">
        <f>'Price History'!F3+('Price History'!F158-'Price History'!F3)*0.837662337662338</f>
        <v>165.89246753246761</v>
      </c>
      <c r="AB132" s="77">
        <f>'Price History'!G3+('Price History'!G158-'Price History'!G3)*0.837662337662338</f>
        <v>160.91740259740263</v>
      </c>
      <c r="AC132" s="77">
        <f>'Price History'!H3+('Price History'!H158-'Price History'!H3)*0.837662337662338</f>
        <v>699.87090909090932</v>
      </c>
      <c r="AD132" s="77">
        <f>'Price History'!I3+('Price History'!I158-'Price History'!I3)*0.837662337662338</f>
        <v>174.79220779220785</v>
      </c>
      <c r="AE132" s="77">
        <f>'Price History'!J3+('Price History'!J158-'Price History'!J3)*0.837662337662338</f>
        <v>141.18467532467534</v>
      </c>
      <c r="AF132" s="77">
        <f>'Price History'!K3+('Price History'!K158-'Price History'!K3)*0.837662337662338</f>
        <v>105.58435064935068</v>
      </c>
      <c r="AG132" s="77">
        <f>'Price History'!L3+('Price History'!L158-'Price History'!L3)*0.837662337662338</f>
        <v>353.55844155844164</v>
      </c>
      <c r="AH132" s="77">
        <f>'Price History'!M3+('Price History'!M158-'Price History'!M3)*0.837662337662338</f>
        <v>207.79402597402603</v>
      </c>
      <c r="AI132" s="77">
        <f>'Price History'!N3+('Price History'!N158-'Price History'!N3)*0.837662337662338</f>
        <v>456.44415584415589</v>
      </c>
      <c r="AJ132" s="77">
        <f>'Price History'!O3+('Price History'!O158-'Price History'!O3)*0.837662337662338</f>
        <v>118.392012987013</v>
      </c>
      <c r="AK132" s="77">
        <f>'Price History'!Q3+('Price History'!Q151-'Price History'!Q3)*0.837662337662338</f>
        <v>65.428896103896108</v>
      </c>
      <c r="AL132" s="77">
        <f>'Price History'!R3+('Price History'!R158-'Price History'!R3)*0.837662337662338</f>
        <v>56.556818181818187</v>
      </c>
      <c r="AM132" s="77">
        <f>'Price History'!S3+('Price History'!S158-'Price History'!S3)*0.837662337662338</f>
        <v>129.98422077922083</v>
      </c>
      <c r="AN132" s="77">
        <f>'Price History'!T3+('Price History'!T158-'Price History'!T3)*0.837662337662338</f>
        <v>46.033831168831178</v>
      </c>
    </row>
    <row r="133" spans="1:40" ht="15" customHeight="1" x14ac:dyDescent="0.2">
      <c r="A133" s="55">
        <f>IF('Price History'!A134="","",'Price History'!A134)</f>
        <v>46066</v>
      </c>
      <c r="B133" s="76">
        <f>IFERROR(IF(OR(NOT(ISNUMBER('Price History'!B134)),NOT(ISNUMBER('Price History'!B133)),'Price History'!B133=0),"",'Price History'!B134/'Price History'!B133-1),"")</f>
        <v>-1.6431924882629012E-2</v>
      </c>
      <c r="C133" s="76">
        <f>IFERROR(IF(OR(NOT(ISNUMBER('Price History'!C134)),NOT(ISNUMBER('Price History'!C133)),'Price History'!C133=0),"",'Price History'!C134/'Price History'!C133-1),"")</f>
        <v>2.9820350570950671E-2</v>
      </c>
      <c r="D133" s="76">
        <f>IFERROR(IF(OR(NOT(ISNUMBER('Price History'!D134)),NOT(ISNUMBER('Price History'!D133)),'Price History'!D133=0),"",'Price History'!D134/'Price History'!D133-1),"")</f>
        <v>-4.5293380797022387E-3</v>
      </c>
      <c r="E133" s="76">
        <f>IFERROR(IF(OR(NOT(ISNUMBER('Price History'!E134)),NOT(ISNUMBER('Price History'!E133)),'Price History'!E133=0),"",'Price History'!E134/'Price History'!E133-1),"")</f>
        <v>-2.3278865793584069E-2</v>
      </c>
      <c r="F133" s="76">
        <f>IFERROR(IF(OR(NOT(ISNUMBER('Price History'!F134)),NOT(ISNUMBER('Price History'!F133)),'Price History'!F133=0),"",'Price History'!F134/'Price History'!F133-1),"")</f>
        <v>8.6266181229773586E-2</v>
      </c>
      <c r="G133" s="76">
        <f>IFERROR(IF(OR(NOT(ISNUMBER('Price History'!G134)),NOT(ISNUMBER('Price History'!G133)),'Price History'!G133=0),"",'Price History'!G134/'Price History'!G133-1),"")</f>
        <v>1.4692632892092439E-2</v>
      </c>
      <c r="H133" s="76">
        <f>IFERROR(IF(OR(NOT(ISNUMBER('Price History'!H134)),NOT(ISNUMBER('Price History'!H133)),'Price History'!H133=0),"",'Price History'!H134/'Price History'!H133-1),"")</f>
        <v>4.2995768831234793E-2</v>
      </c>
      <c r="I133" s="76">
        <f>IFERROR(IF(OR(NOT(ISNUMBER('Price History'!I134)),NOT(ISNUMBER('Price History'!I133)),'Price History'!I133=0),"",'Price History'!I134/'Price History'!I133-1),"")</f>
        <v>-1.4022976107006091E-2</v>
      </c>
      <c r="J133" s="76">
        <f>IFERROR(IF(OR(NOT(ISNUMBER('Price History'!J134)),NOT(ISNUMBER('Price History'!J133)),'Price History'!J133=0),"",'Price History'!J134/'Price History'!J133-1),"")</f>
        <v>1.4749908725812499E-2</v>
      </c>
      <c r="K133" s="76">
        <f>IFERROR(IF(OR(NOT(ISNUMBER('Price History'!K134)),NOT(ISNUMBER('Price History'!K133)),'Price History'!K133=0),"",'Price History'!K134/'Price History'!K133-1),"")</f>
        <v>-3.303899926416487E-2</v>
      </c>
      <c r="L133" s="76">
        <f>IFERROR(IF(OR(NOT(ISNUMBER('Price History'!L134)),NOT(ISNUMBER('Price History'!L133)),'Price History'!L133=0),"",'Price History'!L134/'Price History'!L133-1),"")</f>
        <v>5.0193492905260095E-2</v>
      </c>
      <c r="M133" s="76">
        <f>IFERROR(IF(OR(NOT(ISNUMBER('Price History'!M134)),NOT(ISNUMBER('Price History'!M133)),'Price History'!M133=0),"",'Price History'!M134/'Price History'!M133-1),"")</f>
        <v>0.19915124245832905</v>
      </c>
      <c r="N133" s="76">
        <f>IFERROR(IF(OR(NOT(ISNUMBER('Price History'!N134)),NOT(ISNUMBER('Price History'!N133)),'Price History'!N133=0),"",'Price History'!N134/'Price History'!N133-1),"")</f>
        <v>2.8352025443588946E-2</v>
      </c>
      <c r="O133" s="76">
        <f>IFERROR(IF(OR(NOT(ISNUMBER('Price History'!O134)),NOT(ISNUMBER('Price History'!O133)),'Price History'!O133=0),"",'Price History'!O134/'Price History'!O133-1),"")</f>
        <v>-2.5175796510112924E-3</v>
      </c>
      <c r="P133" s="76" t="str">
        <f>IFERROR(IF(OR(NOT(ISNUMBER('Price History'!P134)),NOT(ISNUMBER('Price History'!P133)),'Price History'!P133=0),"",'Price History'!P134/'Price History'!P133-1),"")</f>
        <v/>
      </c>
      <c r="Q133" s="76">
        <f>IFERROR(IF(OR(NOT(ISNUMBER('Price History'!Q134)),NOT(ISNUMBER('Price History'!Q133)),'Price History'!Q133=0),"",'Price History'!Q134/'Price History'!Q133-1),"")</f>
        <v>1.1673765578166906E-2</v>
      </c>
      <c r="R133" s="76">
        <f>IFERROR(IF(OR(NOT(ISNUMBER('Price History'!R134)),NOT(ISNUMBER('Price History'!R133)),'Price History'!R133=0),"",'Price History'!R134/'Price History'!R133-1),"")</f>
        <v>-9.302325581395321E-3</v>
      </c>
      <c r="S133" s="76">
        <f>IFERROR(IF(OR(NOT(ISNUMBER('Price History'!S134)),NOT(ISNUMBER('Price History'!S133)),'Price History'!S133=0),"",'Price History'!S134/'Price History'!S133-1),"")</f>
        <v>-1.3267690253671582E-2</v>
      </c>
      <c r="T133" s="76">
        <f>IFERROR(IF(OR(NOT(ISNUMBER('Price History'!T134)),NOT(ISNUMBER('Price History'!T133)),'Price History'!T133=0),"",'Price History'!T134/'Price History'!T133-1),"")</f>
        <v>-4.2047984170171526E-3</v>
      </c>
      <c r="U133" s="76" t="str">
        <f>IFERROR(IF(OR(NOT(ISNUMBER('Price History'!U134)),NOT(ISNUMBER('Price History'!U133)),'Price History'!U133=0),"",'Price History'!U134/'Price History'!U133-1),"")</f>
        <v/>
      </c>
      <c r="W133" s="77">
        <f>'Price History'!B3+('Price History'!B158-'Price History'!B3)*0.844155844155844</f>
        <v>290.62402597402604</v>
      </c>
      <c r="X133" s="77">
        <f>'Price History'!C3+('Price History'!C158-'Price History'!C3)*0.844155844155844</f>
        <v>159.06012987012983</v>
      </c>
      <c r="Y133" s="77">
        <f>'Price History'!D3+('Price History'!D158-'Price History'!D3)*0.844155844155844</f>
        <v>1478.2644155844155</v>
      </c>
      <c r="Z133" s="77">
        <f>'Price History'!E3+('Price History'!E158-'Price History'!E3)*0.844155844155844</f>
        <v>341.54493506493498</v>
      </c>
      <c r="AA133" s="77">
        <f>'Price History'!F3+('Price History'!F158-'Price History'!F3)*0.844155844155844</f>
        <v>166.89116883116881</v>
      </c>
      <c r="AB133" s="77">
        <f>'Price History'!G3+('Price History'!G158-'Price History'!G3)*0.844155844155844</f>
        <v>161.79350649350647</v>
      </c>
      <c r="AC133" s="77">
        <f>'Price History'!H3+('Price History'!H158-'Price History'!H3)*0.844155844155844</f>
        <v>704.79727272727257</v>
      </c>
      <c r="AD133" s="77">
        <f>'Price History'!I3+('Price History'!I158-'Price History'!I3)*0.844155844155844</f>
        <v>175.83051948051946</v>
      </c>
      <c r="AE133" s="77">
        <f>'Price History'!J3+('Price History'!J158-'Price History'!J3)*0.844155844155844</f>
        <v>141.32168831168832</v>
      </c>
      <c r="AF133" s="77">
        <f>'Price History'!K3+('Price History'!K158-'Price History'!K3)*0.844155844155844</f>
        <v>106.28337662337661</v>
      </c>
      <c r="AG133" s="77">
        <f>'Price History'!L3+('Price History'!L158-'Price History'!L3)*0.844155844155844</f>
        <v>355.58610389610385</v>
      </c>
      <c r="AH133" s="77">
        <f>'Price History'!M3+('Price History'!M158-'Price History'!M3)*0.844155844155844</f>
        <v>209.14506493506488</v>
      </c>
      <c r="AI133" s="77">
        <f>'Price History'!N3+('Price History'!N158-'Price History'!N3)*0.844155844155844</f>
        <v>457.2703896103896</v>
      </c>
      <c r="AJ133" s="77">
        <f>'Price History'!O3+('Price History'!O158-'Price History'!O3)*0.844155844155844</f>
        <v>118.66753246753245</v>
      </c>
      <c r="AK133" s="77">
        <f>'Price History'!Q3+('Price History'!Q151-'Price History'!Q3)*0.844155844155844</f>
        <v>65.549740259740261</v>
      </c>
      <c r="AL133" s="77">
        <f>'Price History'!R3+('Price History'!R158-'Price History'!R3)*0.844155844155844</f>
        <v>56.624545454545455</v>
      </c>
      <c r="AM133" s="77">
        <f>'Price History'!S3+('Price History'!S158-'Price History'!S3)*0.844155844155844</f>
        <v>130.53805194805196</v>
      </c>
      <c r="AN133" s="77">
        <f>'Price History'!T3+('Price History'!T158-'Price History'!T3)*0.844155844155844</f>
        <v>46.182077922077923</v>
      </c>
    </row>
    <row r="134" spans="1:40" ht="15" customHeight="1" x14ac:dyDescent="0.2">
      <c r="A134" s="55">
        <f>IF('Price History'!A135="","",'Price History'!A135)</f>
        <v>46073</v>
      </c>
      <c r="B134" s="76">
        <f>IFERROR(IF(OR(NOT(ISNUMBER('Price History'!B135)),NOT(ISNUMBER('Price History'!B134)),'Price History'!B134=0),"",'Price History'!B135/'Price History'!B134-1),"")</f>
        <v>-2.0305337727772099E-2</v>
      </c>
      <c r="C134" s="76">
        <f>IFERROR(IF(OR(NOT(ISNUMBER('Price History'!C135)),NOT(ISNUMBER('Price History'!C134)),'Price History'!C134=0),"",'Price History'!C135/'Price History'!C134-1),"")</f>
        <v>-6.2151281870188702E-2</v>
      </c>
      <c r="D134" s="76">
        <f>IFERROR(IF(OR(NOT(ISNUMBER('Price History'!D135)),NOT(ISNUMBER('Price History'!D134)),'Price History'!D134=0),"",'Price History'!D135/'Price History'!D134-1),"")</f>
        <v>4.4774315552996269E-2</v>
      </c>
      <c r="E134" s="76">
        <f>IFERROR(IF(OR(NOT(ISNUMBER('Price History'!E135)),NOT(ISNUMBER('Price History'!E134)),'Price History'!E134=0),"",'Price History'!E135/'Price History'!E134-1),"")</f>
        <v>2.3003352092751284E-2</v>
      </c>
      <c r="F134" s="76">
        <f>IFERROR(IF(OR(NOT(ISNUMBER('Price History'!F135)),NOT(ISNUMBER('Price History'!F134)),'Price History'!F134=0),"",'Price History'!F135/'Price History'!F134-1),"")</f>
        <v>-9.5521832231635684E-2</v>
      </c>
      <c r="G134" s="76">
        <f>IFERROR(IF(OR(NOT(ISNUMBER('Price History'!G135)),NOT(ISNUMBER('Price History'!G134)),'Price History'!G134=0),"",'Price History'!G135/'Price History'!G134-1),"")</f>
        <v>2.1788129226145703E-2</v>
      </c>
      <c r="H134" s="76">
        <f>IFERROR(IF(OR(NOT(ISNUMBER('Price History'!H135)),NOT(ISNUMBER('Price History'!H134)),'Price History'!H134=0),"",'Price History'!H135/'Price History'!H134-1),"")</f>
        <v>4.0105912646358544E-2</v>
      </c>
      <c r="I134" s="76">
        <f>IFERROR(IF(OR(NOT(ISNUMBER('Price History'!I135)),NOT(ISNUMBER('Price History'!I134)),'Price History'!I134=0),"",'Price History'!I135/'Price History'!I134-1),"")</f>
        <v>3.8345823532629497E-2</v>
      </c>
      <c r="J134" s="76">
        <f>IFERROR(IF(OR(NOT(ISNUMBER('Price History'!J135)),NOT(ISNUMBER('Price History'!J134)),'Price History'!J134=0),"",'Price History'!J135/'Price History'!J134-1),"")</f>
        <v>1.8277326041591602E-2</v>
      </c>
      <c r="K134" s="76">
        <f>IFERROR(IF(OR(NOT(ISNUMBER('Price History'!K135)),NOT(ISNUMBER('Price History'!K134)),'Price History'!K134=0),"",'Price History'!K135/'Price History'!K134-1),"")</f>
        <v>2.9145422722776093E-2</v>
      </c>
      <c r="L134" s="76">
        <f>IFERROR(IF(OR(NOT(ISNUMBER('Price History'!L135)),NOT(ISNUMBER('Price History'!L134)),'Price History'!L134=0),"",'Price History'!L135/'Price History'!L134-1),"")</f>
        <v>1.1409542526476635E-2</v>
      </c>
      <c r="M134" s="76">
        <f>IFERROR(IF(OR(NOT(ISNUMBER('Price History'!M135)),NOT(ISNUMBER('Price History'!M134)),'Price History'!M134=0),"",'Price History'!M135/'Price History'!M134-1),"")</f>
        <v>3.9312667888969477E-2</v>
      </c>
      <c r="N134" s="76">
        <f>IFERROR(IF(OR(NOT(ISNUMBER('Price History'!N135)),NOT(ISNUMBER('Price History'!N134)),'Price History'!N134=0),"",'Price History'!N135/'Price History'!N134-1),"")</f>
        <v>-2.9645756607727947E-2</v>
      </c>
      <c r="O134" s="76">
        <f>IFERROR(IF(OR(NOT(ISNUMBER('Price History'!O135)),NOT(ISNUMBER('Price History'!O134)),'Price History'!O134=0),"",'Price History'!O135/'Price History'!O134-1),"")</f>
        <v>5.5700609225413089E-3</v>
      </c>
      <c r="P134" s="76" t="str">
        <f>IFERROR(IF(OR(NOT(ISNUMBER('Price History'!P135)),NOT(ISNUMBER('Price History'!P134)),'Price History'!P134=0),"",'Price History'!P135/'Price History'!P134-1),"")</f>
        <v/>
      </c>
      <c r="Q134" s="76">
        <f>IFERROR(IF(OR(NOT(ISNUMBER('Price History'!Q135)),NOT(ISNUMBER('Price History'!Q134)),'Price History'!Q134=0),"",'Price History'!Q135/'Price History'!Q134-1),"")</f>
        <v>2.0427257133946775E-2</v>
      </c>
      <c r="R134" s="76">
        <f>IFERROR(IF(OR(NOT(ISNUMBER('Price History'!R135)),NOT(ISNUMBER('Price History'!R134)),'Price History'!R134=0),"",'Price History'!R135/'Price History'!R134-1),"")</f>
        <v>1.1128499391410251E-2</v>
      </c>
      <c r="S134" s="76">
        <f>IFERROR(IF(OR(NOT(ISNUMBER('Price History'!S135)),NOT(ISNUMBER('Price History'!S134)),'Price History'!S134=0),"",'Price History'!S135/'Price History'!S134-1),"")</f>
        <v>1.4460887949260037E-2</v>
      </c>
      <c r="T134" s="76">
        <f>IFERROR(IF(OR(NOT(ISNUMBER('Price History'!T135)),NOT(ISNUMBER('Price History'!T134)),'Price History'!T134=0),"",'Price History'!T135/'Price History'!T134-1),"")</f>
        <v>1.9870839542972529E-3</v>
      </c>
      <c r="U134" s="76" t="str">
        <f>IFERROR(IF(OR(NOT(ISNUMBER('Price History'!U135)),NOT(ISNUMBER('Price History'!U134)),'Price History'!U134=0),"",'Price History'!U135/'Price History'!U134-1),"")</f>
        <v/>
      </c>
      <c r="W134" s="77">
        <f>'Price History'!B3+('Price History'!B158-'Price History'!B3)*0.850649350649351</f>
        <v>288.94844155844146</v>
      </c>
      <c r="X134" s="77">
        <f>'Price History'!C3+('Price History'!C158-'Price History'!C3)*0.850649350649351</f>
        <v>159.94720779220782</v>
      </c>
      <c r="Y134" s="77">
        <f>'Price History'!D3+('Price History'!D158-'Price History'!D3)*0.850649350649351</f>
        <v>1484.5450649350653</v>
      </c>
      <c r="Z134" s="77">
        <f>'Price History'!E3+('Price History'!E158-'Price History'!E3)*0.850649350649351</f>
        <v>343.53389610389621</v>
      </c>
      <c r="AA134" s="77">
        <f>'Price History'!F3+('Price History'!F158-'Price History'!F3)*0.850649350649351</f>
        <v>167.88987012987019</v>
      </c>
      <c r="AB134" s="77">
        <f>'Price History'!G3+('Price History'!G158-'Price History'!G3)*0.850649350649351</f>
        <v>162.66961038961043</v>
      </c>
      <c r="AC134" s="77">
        <f>'Price History'!H3+('Price History'!H158-'Price History'!H3)*0.850649350649351</f>
        <v>709.72363636363661</v>
      </c>
      <c r="AD134" s="77">
        <f>'Price History'!I3+('Price History'!I158-'Price History'!I3)*0.850649350649351</f>
        <v>176.86883116883124</v>
      </c>
      <c r="AE134" s="77">
        <f>'Price History'!J3+('Price History'!J158-'Price History'!J3)*0.850649350649351</f>
        <v>141.45870129870133</v>
      </c>
      <c r="AF134" s="77">
        <f>'Price History'!K3+('Price History'!K158-'Price History'!K3)*0.850649350649351</f>
        <v>106.98240259740264</v>
      </c>
      <c r="AG134" s="77">
        <f>'Price History'!L3+('Price History'!L158-'Price History'!L3)*0.850649350649351</f>
        <v>357.61376623376634</v>
      </c>
      <c r="AH134" s="77">
        <f>'Price History'!M3+('Price History'!M158-'Price History'!M3)*0.850649350649351</f>
        <v>210.49610389610396</v>
      </c>
      <c r="AI134" s="77">
        <f>'Price History'!N3+('Price History'!N158-'Price History'!N3)*0.850649350649351</f>
        <v>458.09662337662343</v>
      </c>
      <c r="AJ134" s="77">
        <f>'Price History'!O3+('Price History'!O158-'Price History'!O3)*0.850649350649351</f>
        <v>118.94305194805196</v>
      </c>
      <c r="AK134" s="77">
        <f>'Price History'!Q3+('Price History'!Q151-'Price History'!Q3)*0.850649350649351</f>
        <v>65.670584415584429</v>
      </c>
      <c r="AL134" s="77">
        <f>'Price History'!R3+('Price History'!R158-'Price History'!R3)*0.850649350649351</f>
        <v>56.69227272727273</v>
      </c>
      <c r="AM134" s="77">
        <f>'Price History'!S3+('Price History'!S158-'Price History'!S3)*0.850649350649351</f>
        <v>131.09188311688317</v>
      </c>
      <c r="AN134" s="77">
        <f>'Price History'!T3+('Price History'!T158-'Price History'!T3)*0.850649350649351</f>
        <v>46.33032467532469</v>
      </c>
    </row>
    <row r="135" spans="1:40" ht="15" customHeight="1" x14ac:dyDescent="0.2">
      <c r="A135" s="55">
        <f>IF('Price History'!A136="","",'Price History'!A136)</f>
        <v>46080</v>
      </c>
      <c r="B135" s="76">
        <f>IFERROR(IF(OR(NOT(ISNUMBER('Price History'!B136)),NOT(ISNUMBER('Price History'!B135)),'Price History'!B135=0),"",'Price History'!B136/'Price History'!B135-1),"")</f>
        <v>1.4693940682881657E-2</v>
      </c>
      <c r="C135" s="76">
        <f>IFERROR(IF(OR(NOT(ISNUMBER('Price History'!C136)),NOT(ISNUMBER('Price History'!C135)),'Price History'!C135=0),"",'Price History'!C136/'Price History'!C135-1),"")</f>
        <v>5.3467881617592639E-3</v>
      </c>
      <c r="D135" s="76">
        <f>IFERROR(IF(OR(NOT(ISNUMBER('Price History'!D136)),NOT(ISNUMBER('Price History'!D135)),'Price History'!D135=0),"",'Price History'!D136/'Price History'!D135-1),"")</f>
        <v>-1.2949189910110959E-2</v>
      </c>
      <c r="E135" s="76">
        <f>IFERROR(IF(OR(NOT(ISNUMBER('Price History'!E136)),NOT(ISNUMBER('Price History'!E135)),'Price History'!E135=0),"",'Price History'!E136/'Price History'!E135-1),"")</f>
        <v>-3.9380730497519778E-2</v>
      </c>
      <c r="F135" s="76">
        <f>IFERROR(IF(OR(NOT(ISNUMBER('Price History'!F136)),NOT(ISNUMBER('Price History'!F135)),'Price History'!F135=0),"",'Price History'!F136/'Price History'!F135-1),"")</f>
        <v>-4.2717447246526041E-2</v>
      </c>
      <c r="G135" s="76">
        <f>IFERROR(IF(OR(NOT(ISNUMBER('Price History'!G136)),NOT(ISNUMBER('Price History'!G135)),'Price History'!G135=0),"",'Price History'!G136/'Price History'!G135-1),"")</f>
        <v>1.9117647058823684E-2</v>
      </c>
      <c r="H135" s="76">
        <f>IFERROR(IF(OR(NOT(ISNUMBER('Price History'!H136)),NOT(ISNUMBER('Price History'!H135)),'Price History'!H135=0),"",'Price History'!H136/'Price History'!H135-1),"")</f>
        <v>-3.6901230819534336E-2</v>
      </c>
      <c r="I135" s="76">
        <f>IFERROR(IF(OR(NOT(ISNUMBER('Price History'!I136)),NOT(ISNUMBER('Price History'!I135)),'Price History'!I135=0),"",'Price History'!I136/'Price History'!I135-1),"")</f>
        <v>-6.6536718996944466E-2</v>
      </c>
      <c r="J135" s="76">
        <f>IFERROR(IF(OR(NOT(ISNUMBER('Price History'!J136)),NOT(ISNUMBER('Price History'!J135)),'Price History'!J135=0),"",'Price History'!J136/'Price History'!J135-1),"")</f>
        <v>7.4906367041198685E-3</v>
      </c>
      <c r="K135" s="76">
        <f>IFERROR(IF(OR(NOT(ISNUMBER('Price History'!K136)),NOT(ISNUMBER('Price History'!K135)),'Price History'!K135=0),"",'Price History'!K136/'Price History'!K135-1),"")</f>
        <v>1.4418811002661958E-2</v>
      </c>
      <c r="L135" s="76">
        <f>IFERROR(IF(OR(NOT(ISNUMBER('Price History'!L136)),NOT(ISNUMBER('Price History'!L135)),'Price History'!L135=0),"",'Price History'!L136/'Price History'!L135-1),"")</f>
        <v>1.0903006423058192E-2</v>
      </c>
      <c r="M135" s="76">
        <f>IFERROR(IF(OR(NOT(ISNUMBER('Price History'!M136)),NOT(ISNUMBER('Price History'!M135)),'Price History'!M135=0),"",'Price History'!M136/'Price History'!M135-1),"")</f>
        <v>4.5702564102564125E-2</v>
      </c>
      <c r="N135" s="76">
        <f>IFERROR(IF(OR(NOT(ISNUMBER('Price History'!N136)),NOT(ISNUMBER('Price History'!N135)),'Price History'!N135=0),"",'Price History'!N136/'Price History'!N135-1),"")</f>
        <v>4.1790731809603798E-2</v>
      </c>
      <c r="O135" s="76">
        <f>IFERROR(IF(OR(NOT(ISNUMBER('Price History'!O136)),NOT(ISNUMBER('Price History'!O135)),'Price History'!O135=0),"",'Price History'!O136/'Price History'!O135-1),"")</f>
        <v>-2.2156828803877482E-2</v>
      </c>
      <c r="P135" s="76" t="str">
        <f>IFERROR(IF(OR(NOT(ISNUMBER('Price History'!P136)),NOT(ISNUMBER('Price History'!P135)),'Price History'!P135=0),"",'Price History'!P136/'Price History'!P135-1),"")</f>
        <v/>
      </c>
      <c r="Q135" s="76">
        <f>IFERROR(IF(OR(NOT(ISNUMBER('Price History'!Q136)),NOT(ISNUMBER('Price History'!Q135)),'Price History'!Q135=0),"",'Price History'!Q136/'Price History'!Q135-1),"")</f>
        <v>2.5672371638141955E-2</v>
      </c>
      <c r="R135" s="76">
        <f>IFERROR(IF(OR(NOT(ISNUMBER('Price History'!R136)),NOT(ISNUMBER('Price History'!R135)),'Price History'!R135=0),"",'Price History'!R136/'Price History'!R135-1),"")</f>
        <v>-1.8916595012897774E-3</v>
      </c>
      <c r="S135" s="76">
        <f>IFERROR(IF(OR(NOT(ISNUMBER('Price History'!S136)),NOT(ISNUMBER('Price History'!S135)),'Price History'!S135=0),"",'Price History'!S136/'Price History'!S135-1),"")</f>
        <v>-4.0846948982994347E-3</v>
      </c>
      <c r="T135" s="76">
        <f>IFERROR(IF(OR(NOT(ISNUMBER('Price History'!T136)),NOT(ISNUMBER('Price History'!T135)),'Price History'!T135=0),"",'Price History'!T136/'Price History'!T135-1),"")</f>
        <v>3.4705007436786062E-3</v>
      </c>
      <c r="U135" s="76" t="str">
        <f>IFERROR(IF(OR(NOT(ISNUMBER('Price History'!U136)),NOT(ISNUMBER('Price History'!U135)),'Price History'!U135=0),"",'Price History'!U136/'Price History'!U135-1),"")</f>
        <v/>
      </c>
      <c r="W135" s="77">
        <f>'Price History'!B3+('Price History'!B158-'Price History'!B3)*0.857142857142857</f>
        <v>287.27285714285722</v>
      </c>
      <c r="X135" s="77">
        <f>'Price History'!C3+('Price History'!C158-'Price History'!C3)*0.857142857142857</f>
        <v>160.83428571428567</v>
      </c>
      <c r="Y135" s="77">
        <f>'Price History'!D3+('Price History'!D158-'Price History'!D3)*0.857142857142857</f>
        <v>1490.8257142857142</v>
      </c>
      <c r="Z135" s="77">
        <f>'Price History'!E3+('Price History'!E158-'Price History'!E3)*0.857142857142857</f>
        <v>345.52285714285705</v>
      </c>
      <c r="AA135" s="77">
        <f>'Price History'!F3+('Price History'!F158-'Price History'!F3)*0.857142857142857</f>
        <v>168.88857142857142</v>
      </c>
      <c r="AB135" s="77">
        <f>'Price History'!G3+('Price History'!G158-'Price History'!G3)*0.857142857142857</f>
        <v>163.54571428571424</v>
      </c>
      <c r="AC135" s="77">
        <f>'Price History'!H3+('Price History'!H158-'Price History'!H3)*0.857142857142857</f>
        <v>714.64999999999986</v>
      </c>
      <c r="AD135" s="77">
        <f>'Price History'!I3+('Price History'!I158-'Price History'!I3)*0.857142857142857</f>
        <v>177.90714285714284</v>
      </c>
      <c r="AE135" s="77">
        <f>'Price History'!J3+('Price History'!J158-'Price History'!J3)*0.857142857142857</f>
        <v>141.59571428571428</v>
      </c>
      <c r="AF135" s="77">
        <f>'Price History'!K3+('Price History'!K158-'Price History'!K3)*0.857142857142857</f>
        <v>107.68142857142855</v>
      </c>
      <c r="AG135" s="77">
        <f>'Price History'!L3+('Price History'!L158-'Price History'!L3)*0.857142857142857</f>
        <v>359.64142857142855</v>
      </c>
      <c r="AH135" s="77">
        <f>'Price History'!M3+('Price History'!M158-'Price History'!M3)*0.857142857142857</f>
        <v>211.84714285714281</v>
      </c>
      <c r="AI135" s="77">
        <f>'Price History'!N3+('Price History'!N158-'Price History'!N3)*0.857142857142857</f>
        <v>458.92285714285714</v>
      </c>
      <c r="AJ135" s="77">
        <f>'Price History'!O3+('Price History'!O158-'Price History'!O3)*0.857142857142857</f>
        <v>119.21857142857142</v>
      </c>
      <c r="AK135" s="77">
        <f>'Price History'!Q3+('Price History'!Q151-'Price History'!Q3)*0.857142857142857</f>
        <v>65.791428571428568</v>
      </c>
      <c r="AL135" s="77">
        <f>'Price History'!R3+('Price History'!R158-'Price History'!R3)*0.857142857142857</f>
        <v>56.76</v>
      </c>
      <c r="AM135" s="77">
        <f>'Price History'!S3+('Price History'!S158-'Price History'!S3)*0.857142857142857</f>
        <v>131.64571428571429</v>
      </c>
      <c r="AN135" s="77">
        <f>'Price History'!T3+('Price History'!T158-'Price History'!T3)*0.857142857142857</f>
        <v>46.478571428571428</v>
      </c>
    </row>
    <row r="136" spans="1:40" ht="15" customHeight="1" x14ac:dyDescent="0.2">
      <c r="A136" s="55">
        <f>IF('Price History'!A137="","",'Price History'!A137)</f>
        <v>46087</v>
      </c>
      <c r="B136" s="76">
        <f>IFERROR(IF(OR(NOT(ISNUMBER('Price History'!B137)),NOT(ISNUMBER('Price History'!B136)),'Price History'!B136=0),"",'Price History'!B137/'Price History'!B136-1),"")</f>
        <v>8.0827712358522819E-2</v>
      </c>
      <c r="C136" s="76">
        <f>IFERROR(IF(OR(NOT(ISNUMBER('Price History'!C137)),NOT(ISNUMBER('Price History'!C136)),'Price History'!C136=0),"",'Price History'!C137/'Price History'!C136-1),"")</f>
        <v>-4.5692883895132042E-3</v>
      </c>
      <c r="D136" s="76">
        <f>IFERROR(IF(OR(NOT(ISNUMBER('Price History'!D137)),NOT(ISNUMBER('Price History'!D136)),'Price History'!D136=0),"",'Price History'!D137/'Price History'!D136-1),"")</f>
        <v>-0.10875799691153765</v>
      </c>
      <c r="E136" s="76">
        <f>IFERROR(IF(OR(NOT(ISNUMBER('Price History'!E137)),NOT(ISNUMBER('Price History'!E136)),'Price History'!E136=0),"",'Price History'!E137/'Price History'!E136-1),"")</f>
        <v>3.4204349867000383E-2</v>
      </c>
      <c r="F136" s="76">
        <f>IFERROR(IF(OR(NOT(ISNUMBER('Price History'!F137)),NOT(ISNUMBER('Price History'!F136)),'Price History'!F136=0),"",'Price History'!F137/'Price History'!F136-1),"")</f>
        <v>0.15322580645161299</v>
      </c>
      <c r="G136" s="76">
        <f>IFERROR(IF(OR(NOT(ISNUMBER('Price History'!G137)),NOT(ISNUMBER('Price History'!G136)),'Price History'!G136=0),"",'Price History'!G137/'Price History'!G136-1),"")</f>
        <v>-0.11806375442739081</v>
      </c>
      <c r="H136" s="76">
        <f>IFERROR(IF(OR(NOT(ISNUMBER('Price History'!H137)),NOT(ISNUMBER('Price History'!H136)),'Price History'!H136=0),"",'Price History'!H137/'Price History'!H136-1),"")</f>
        <v>-0.10202003055508402</v>
      </c>
      <c r="I136" s="76">
        <f>IFERROR(IF(OR(NOT(ISNUMBER('Price History'!I137)),NOT(ISNUMBER('Price History'!I136)),'Price History'!I136=0),"",'Price History'!I137/'Price History'!I136-1),"")</f>
        <v>3.5555053896947353E-3</v>
      </c>
      <c r="J136" s="76">
        <f>IFERROR(IF(OR(NOT(ISNUMBER('Price History'!J137)),NOT(ISNUMBER('Price History'!J136)),'Price History'!J136=0),"",'Price History'!J137/'Price History'!J136-1),"")</f>
        <v>-5.6323209651399364E-2</v>
      </c>
      <c r="K136" s="76">
        <f>IFERROR(IF(OR(NOT(ISNUMBER('Price History'!K137)),NOT(ISNUMBER('Price History'!K136)),'Price History'!K136=0),"",'Price History'!K137/'Price History'!K136-1),"")</f>
        <v>0.14556454552081055</v>
      </c>
      <c r="L136" s="76">
        <f>IFERROR(IF(OR(NOT(ISNUMBER('Price History'!L137)),NOT(ISNUMBER('Price History'!L136)),'Price History'!L136=0),"",'Price History'!L137/'Price History'!L136-1),"")</f>
        <v>-9.52800469859576E-2</v>
      </c>
      <c r="M136" s="76">
        <f>IFERROR(IF(OR(NOT(ISNUMBER('Price History'!M137)),NOT(ISNUMBER('Price History'!M136)),'Price History'!M136=0),"",'Price History'!M137/'Price History'!M136-1),"")</f>
        <v>-5.1433951900819896E-2</v>
      </c>
      <c r="N136" s="76">
        <f>IFERROR(IF(OR(NOT(ISNUMBER('Price History'!N137)),NOT(ISNUMBER('Price History'!N136)),'Price History'!N136=0),"",'Price History'!N137/'Price History'!N136-1),"")</f>
        <v>-8.0792222691866367E-2</v>
      </c>
      <c r="O136" s="76">
        <f>IFERROR(IF(OR(NOT(ISNUMBER('Price History'!O137)),NOT(ISNUMBER('Price History'!O136)),'Price History'!O136=0),"",'Price History'!O137/'Price History'!O136-1),"")</f>
        <v>-3.8325367321649817E-2</v>
      </c>
      <c r="P136" s="76" t="str">
        <f>IFERROR(IF(OR(NOT(ISNUMBER('Price History'!P137)),NOT(ISNUMBER('Price History'!P136)),'Price History'!P136=0),"",'Price History'!P137/'Price History'!P136-1),"")</f>
        <v/>
      </c>
      <c r="Q136" s="76">
        <f>IFERROR(IF(OR(NOT(ISNUMBER('Price History'!Q137)),NOT(ISNUMBER('Price History'!Q136)),'Price History'!Q136=0),"",'Price History'!Q137/'Price History'!Q136-1),"")</f>
        <v>2.2348033373060794E-3</v>
      </c>
      <c r="R136" s="76">
        <f>IFERROR(IF(OR(NOT(ISNUMBER('Price History'!R137)),NOT(ISNUMBER('Price History'!R136)),'Price History'!R136=0),"",'Price History'!R137/'Price History'!R136-1),"")</f>
        <v>-2.0503101309441774E-2</v>
      </c>
      <c r="S136" s="76">
        <f>IFERROR(IF(OR(NOT(ISNUMBER('Price History'!S137)),NOT(ISNUMBER('Price History'!S136)),'Price History'!S136=0),"",'Price History'!S137/'Price History'!S136-1),"")</f>
        <v>-1.0295471666527223E-2</v>
      </c>
      <c r="T136" s="76">
        <f>IFERROR(IF(OR(NOT(ISNUMBER('Price History'!T137)),NOT(ISNUMBER('Price History'!T136)),'Price History'!T136=0),"",'Price History'!T137/'Price History'!T136-1),"")</f>
        <v>-9.1403162055335718E-3</v>
      </c>
      <c r="U136" s="76" t="str">
        <f>IFERROR(IF(OR(NOT(ISNUMBER('Price History'!U137)),NOT(ISNUMBER('Price History'!U136)),'Price History'!U136=0),"",'Price History'!U137/'Price History'!U136-1),"")</f>
        <v/>
      </c>
      <c r="W136" s="77">
        <f>'Price History'!B3+('Price History'!B158-'Price History'!B3)*0.863636363636364</f>
        <v>285.59727272727264</v>
      </c>
      <c r="X136" s="77">
        <f>'Price History'!C3+('Price History'!C158-'Price History'!C3)*0.863636363636364</f>
        <v>161.72136363636366</v>
      </c>
      <c r="Y136" s="77">
        <f>'Price History'!D3+('Price History'!D158-'Price History'!D3)*0.863636363636364</f>
        <v>1497.106363636364</v>
      </c>
      <c r="Z136" s="77">
        <f>'Price History'!E3+('Price History'!E158-'Price History'!E3)*0.863636363636364</f>
        <v>347.51181818181828</v>
      </c>
      <c r="AA136" s="77">
        <f>'Price History'!F3+('Price History'!F158-'Price History'!F3)*0.863636363636364</f>
        <v>169.8872727272728</v>
      </c>
      <c r="AB136" s="77">
        <f>'Price History'!G3+('Price History'!G158-'Price History'!G3)*0.863636363636364</f>
        <v>164.42181818181822</v>
      </c>
      <c r="AC136" s="77">
        <f>'Price History'!H3+('Price History'!H158-'Price History'!H3)*0.863636363636364</f>
        <v>719.57636363636391</v>
      </c>
      <c r="AD136" s="77">
        <f>'Price History'!I3+('Price History'!I158-'Price History'!I3)*0.863636363636364</f>
        <v>178.9454545454546</v>
      </c>
      <c r="AE136" s="77">
        <f>'Price History'!J3+('Price History'!J158-'Price History'!J3)*0.863636363636364</f>
        <v>141.73272727272729</v>
      </c>
      <c r="AF136" s="77">
        <f>'Price History'!K3+('Price History'!K158-'Price History'!K3)*0.863636363636364</f>
        <v>108.38045454545458</v>
      </c>
      <c r="AG136" s="77">
        <f>'Price History'!L3+('Price History'!L158-'Price History'!L3)*0.863636363636364</f>
        <v>361.66909090909104</v>
      </c>
      <c r="AH136" s="77">
        <f>'Price History'!M3+('Price History'!M158-'Price History'!M3)*0.863636363636364</f>
        <v>213.19818181818189</v>
      </c>
      <c r="AI136" s="77">
        <f>'Price History'!N3+('Price History'!N158-'Price History'!N3)*0.863636363636364</f>
        <v>459.74909090909097</v>
      </c>
      <c r="AJ136" s="77">
        <f>'Price History'!O3+('Price History'!O158-'Price History'!O3)*0.863636363636364</f>
        <v>119.49409090909091</v>
      </c>
      <c r="AK136" s="77">
        <f>'Price History'!Q3+('Price History'!Q151-'Price History'!Q3)*0.863636363636364</f>
        <v>65.912272727272736</v>
      </c>
      <c r="AL136" s="77">
        <f>'Price History'!R3+('Price History'!R158-'Price History'!R3)*0.863636363636364</f>
        <v>56.827727272727273</v>
      </c>
      <c r="AM136" s="77">
        <f>'Price History'!S3+('Price History'!S158-'Price History'!S3)*0.863636363636364</f>
        <v>132.1995454545455</v>
      </c>
      <c r="AN136" s="77">
        <f>'Price History'!T3+('Price History'!T158-'Price History'!T3)*0.863636363636364</f>
        <v>46.626818181818194</v>
      </c>
    </row>
    <row r="137" spans="1:40" ht="15" customHeight="1" x14ac:dyDescent="0.2">
      <c r="A137" s="55">
        <f>IF('Price History'!A138="","",'Price History'!A138)</f>
        <v>46094</v>
      </c>
      <c r="B137" s="76">
        <f>IFERROR(IF(OR(NOT(ISNUMBER('Price History'!B138)),NOT(ISNUMBER('Price History'!B137)),'Price History'!B137=0),"",'Price History'!B138/'Price History'!B137-1),"")</f>
        <v>-0.12093646428319582</v>
      </c>
      <c r="C137" s="76">
        <f>IFERROR(IF(OR(NOT(ISNUMBER('Price History'!C138)),NOT(ISNUMBER('Price History'!C137)),'Price History'!C137=0),"",'Price History'!C138/'Price History'!C137-1),"")</f>
        <v>5.1170140717886614E-3</v>
      </c>
      <c r="D137" s="76">
        <f>IFERROR(IF(OR(NOT(ISNUMBER('Price History'!D138)),NOT(ISNUMBER('Price History'!D137)),'Price History'!D137=0),"",'Price History'!D138/'Price History'!D137-1),"")</f>
        <v>4.0911200495049593E-2</v>
      </c>
      <c r="E137" s="76">
        <f>IFERROR(IF(OR(NOT(ISNUMBER('Price History'!E138)),NOT(ISNUMBER('Price History'!E137)),'Price History'!E137=0),"",'Price History'!E138/'Price History'!E137-1),"")</f>
        <v>-2.5175502299685237E-2</v>
      </c>
      <c r="F137" s="76">
        <f>IFERROR(IF(OR(NOT(ISNUMBER('Price History'!F138)),NOT(ISNUMBER('Price History'!F137)),'Price History'!F137=0),"",'Price History'!F138/'Price History'!F137-1),"")</f>
        <v>2.9836829836829892E-2</v>
      </c>
      <c r="G137" s="76">
        <f>IFERROR(IF(OR(NOT(ISNUMBER('Price History'!G138)),NOT(ISNUMBER('Price History'!G137)),'Price History'!G137=0),"",'Price History'!G138/'Price History'!G137-1),"")</f>
        <v>5.5034954633348177E-2</v>
      </c>
      <c r="H137" s="76">
        <f>IFERROR(IF(OR(NOT(ISNUMBER('Price History'!H138)),NOT(ISNUMBER('Price History'!H137)),'Price History'!H137=0),"",'Price History'!H138/'Price History'!H137-1),"")</f>
        <v>0.1507696462327841</v>
      </c>
      <c r="I137" s="76">
        <f>IFERROR(IF(OR(NOT(ISNUMBER('Price History'!I138)),NOT(ISNUMBER('Price History'!I137)),'Price History'!I137=0),"",'Price History'!I138/'Price History'!I137-1),"")</f>
        <v>1.3665504442694987E-2</v>
      </c>
      <c r="J137" s="76">
        <f>IFERROR(IF(OR(NOT(ISNUMBER('Price History'!J138)),NOT(ISNUMBER('Price History'!J137)),'Price History'!J137=0),"",'Price History'!J138/'Price History'!J137-1),"")</f>
        <v>-2.0737327188940058E-2</v>
      </c>
      <c r="K137" s="76">
        <f>IFERROR(IF(OR(NOT(ISNUMBER('Price History'!K138)),NOT(ISNUMBER('Price History'!K137)),'Price History'!K137=0),"",'Price History'!K138/'Price History'!K137-1),"")</f>
        <v>-3.9513871214049479E-2</v>
      </c>
      <c r="L137" s="76">
        <f>IFERROR(IF(OR(NOT(ISNUMBER('Price History'!L138)),NOT(ISNUMBER('Price History'!L137)),'Price History'!L137=0),"",'Price History'!L138/'Price History'!L137-1),"")</f>
        <v>-1.7114697984595972E-3</v>
      </c>
      <c r="M137" s="76">
        <f>IFERROR(IF(OR(NOT(ISNUMBER('Price History'!M138)),NOT(ISNUMBER('Price History'!M137)),'Price History'!M137=0),"",'Price History'!M138/'Price History'!M137-1),"")</f>
        <v>7.0725452891057916E-2</v>
      </c>
      <c r="N137" s="76">
        <f>IFERROR(IF(OR(NOT(ISNUMBER('Price History'!N138)),NOT(ISNUMBER('Price History'!N137)),'Price History'!N137=0),"",'Price History'!N138/'Price History'!N137-1),"")</f>
        <v>2.7699314633558902E-2</v>
      </c>
      <c r="O137" s="76">
        <f>IFERROR(IF(OR(NOT(ISNUMBER('Price History'!O138)),NOT(ISNUMBER('Price History'!O137)),'Price History'!O137=0),"",'Price History'!O138/'Price History'!O137-1),"")</f>
        <v>-2.1721122871606102E-2</v>
      </c>
      <c r="P137" s="76" t="str">
        <f>IFERROR(IF(OR(NOT(ISNUMBER('Price History'!P138)),NOT(ISNUMBER('Price History'!P137)),'Price History'!P137=0),"",'Price History'!P138/'Price History'!P137-1),"")</f>
        <v/>
      </c>
      <c r="Q137" s="76">
        <f>IFERROR(IF(OR(NOT(ISNUMBER('Price History'!Q138)),NOT(ISNUMBER('Price History'!Q137)),'Price History'!Q137=0),"",'Price History'!Q138/'Price History'!Q137-1),"")</f>
        <v>4.0136762301175022E-3</v>
      </c>
      <c r="R137" s="76">
        <f>IFERROR(IF(OR(NOT(ISNUMBER('Price History'!R138)),NOT(ISNUMBER('Price History'!R137)),'Price History'!R137=0),"",'Price History'!R138/'Price History'!R137-1),"")</f>
        <v>-5.1011433597185629E-3</v>
      </c>
      <c r="S137" s="76">
        <f>IFERROR(IF(OR(NOT(ISNUMBER('Price History'!S138)),NOT(ISNUMBER('Price History'!S137)),'Price History'!S137=0),"",'Price History'!S138/'Price History'!S137-1),"")</f>
        <v>-1.7422192151556049E-2</v>
      </c>
      <c r="T137" s="76">
        <f>IFERROR(IF(OR(NOT(ISNUMBER('Price History'!T138)),NOT(ISNUMBER('Price History'!T137)),'Price History'!T137=0),"",'Price History'!T138/'Price History'!T137-1),"")</f>
        <v>-2.2687609075043524E-2</v>
      </c>
      <c r="U137" s="76" t="str">
        <f>IFERROR(IF(OR(NOT(ISNUMBER('Price History'!U138)),NOT(ISNUMBER('Price History'!U137)),'Price History'!U137=0),"",'Price History'!U138/'Price History'!U137-1),"")</f>
        <v/>
      </c>
      <c r="W137" s="77">
        <f>'Price History'!B3+('Price History'!B158-'Price History'!B3)*0.87012987012987</f>
        <v>283.9216883116884</v>
      </c>
      <c r="X137" s="77">
        <f>'Price History'!C3+('Price History'!C158-'Price History'!C3)*0.87012987012987</f>
        <v>162.60844155844151</v>
      </c>
      <c r="Y137" s="77">
        <f>'Price History'!D3+('Price History'!D158-'Price History'!D3)*0.87012987012987</f>
        <v>1503.3870129870129</v>
      </c>
      <c r="Z137" s="77">
        <f>'Price History'!E3+('Price History'!E158-'Price History'!E3)*0.87012987012987</f>
        <v>349.50077922077918</v>
      </c>
      <c r="AA137" s="77">
        <f>'Price History'!F3+('Price History'!F158-'Price History'!F3)*0.87012987012987</f>
        <v>170.88597402597401</v>
      </c>
      <c r="AB137" s="77">
        <f>'Price History'!G3+('Price History'!G158-'Price History'!G3)*0.87012987012987</f>
        <v>165.29792207792204</v>
      </c>
      <c r="AC137" s="77">
        <f>'Price History'!H3+('Price History'!H158-'Price History'!H3)*0.87012987012987</f>
        <v>724.50272727272716</v>
      </c>
      <c r="AD137" s="77">
        <f>'Price History'!I3+('Price History'!I158-'Price History'!I3)*0.87012987012987</f>
        <v>179.9837662337662</v>
      </c>
      <c r="AE137" s="77">
        <f>'Price History'!J3+('Price History'!J158-'Price History'!J3)*0.87012987012987</f>
        <v>141.86974025974027</v>
      </c>
      <c r="AF137" s="77">
        <f>'Price History'!K3+('Price History'!K158-'Price History'!K3)*0.87012987012987</f>
        <v>109.0794805194805</v>
      </c>
      <c r="AG137" s="77">
        <f>'Price History'!L3+('Price History'!L158-'Price History'!L3)*0.87012987012987</f>
        <v>363.69675324675319</v>
      </c>
      <c r="AH137" s="77">
        <f>'Price History'!M3+('Price History'!M158-'Price History'!M3)*0.87012987012987</f>
        <v>214.54922077922075</v>
      </c>
      <c r="AI137" s="77">
        <f>'Price History'!N3+('Price History'!N158-'Price History'!N3)*0.87012987012987</f>
        <v>460.57532467532468</v>
      </c>
      <c r="AJ137" s="77">
        <f>'Price History'!O3+('Price History'!O158-'Price History'!O3)*0.87012987012987</f>
        <v>119.76961038961039</v>
      </c>
      <c r="AK137" s="77">
        <f>'Price History'!Q3+('Price History'!Q151-'Price History'!Q3)*0.87012987012987</f>
        <v>66.03311688311689</v>
      </c>
      <c r="AL137" s="77">
        <f>'Price History'!R3+('Price History'!R158-'Price History'!R3)*0.87012987012987</f>
        <v>56.895454545454541</v>
      </c>
      <c r="AM137" s="77">
        <f>'Price History'!S3+('Price History'!S158-'Price History'!S3)*0.87012987012987</f>
        <v>132.75337662337662</v>
      </c>
      <c r="AN137" s="77">
        <f>'Price History'!T3+('Price History'!T158-'Price History'!T3)*0.87012987012987</f>
        <v>46.775064935064933</v>
      </c>
    </row>
    <row r="138" spans="1:40" ht="15" customHeight="1" x14ac:dyDescent="0.2">
      <c r="A138" s="55">
        <f>IF('Price History'!A139="","",'Price History'!A139)</f>
        <v>46101</v>
      </c>
      <c r="B138" s="76">
        <f>IFERROR(IF(OR(NOT(ISNUMBER('Price History'!B139)),NOT(ISNUMBER('Price History'!B138)),'Price History'!B138=0),"",'Price History'!B139/'Price History'!B138-1),"")</f>
        <v>-4.6927643189474955E-3</v>
      </c>
      <c r="C138" s="76">
        <f>IFERROR(IF(OR(NOT(ISNUMBER('Price History'!C139)),NOT(ISNUMBER('Price History'!C138)),'Price History'!C138=0),"",'Price History'!C139/'Price History'!C138-1),"")</f>
        <v>-1.7593771056374941E-2</v>
      </c>
      <c r="D138" s="76">
        <f>IFERROR(IF(OR(NOT(ISNUMBER('Price History'!D139)),NOT(ISNUMBER('Price History'!D138)),'Price History'!D138=0),"",'Price History'!D139/'Price History'!D138-1),"")</f>
        <v>-2.1134139363449322E-2</v>
      </c>
      <c r="E138" s="76">
        <f>IFERROR(IF(OR(NOT(ISNUMBER('Price History'!E139)),NOT(ISNUMBER('Price History'!E138)),'Price History'!E138=0),"",'Price History'!E139/'Price History'!E138-1),"")</f>
        <v>-3.6162155450707778E-2</v>
      </c>
      <c r="F138" s="76">
        <f>IFERROR(IF(OR(NOT(ISNUMBER('Price History'!F139)),NOT(ISNUMBER('Price History'!F138)),'Price History'!F138=0),"",'Price History'!F139/'Price History'!F138-1),"")</f>
        <v>-7.4241738343141739E-2</v>
      </c>
      <c r="G138" s="76">
        <f>IFERROR(IF(OR(NOT(ISNUMBER('Price History'!G139)),NOT(ISNUMBER('Price History'!G138)),'Price History'!G138=0),"",'Price History'!G139/'Price History'!G138-1),"")</f>
        <v>5.6464119554490377E-2</v>
      </c>
      <c r="H138" s="76">
        <f>IFERROR(IF(OR(NOT(ISNUMBER('Price History'!H139)),NOT(ISNUMBER('Price History'!H138)),'Price History'!H138=0),"",'Price History'!H139/'Price History'!H138-1),"")</f>
        <v>-7.5798465257082004E-3</v>
      </c>
      <c r="I138" s="76">
        <f>IFERROR(IF(OR(NOT(ISNUMBER('Price History'!I139)),NOT(ISNUMBER('Price History'!I138)),'Price History'!I138=0),"",'Price History'!I139/'Price History'!I138-1),"")</f>
        <v>-4.1886269070735116E-2</v>
      </c>
      <c r="J138" s="76">
        <f>IFERROR(IF(OR(NOT(ISNUMBER('Price History'!J139)),NOT(ISNUMBER('Price History'!J138)),'Price History'!J138=0),"",'Price History'!J139/'Price History'!J138-1),"")</f>
        <v>-2.8387096774193599E-2</v>
      </c>
      <c r="K138" s="76">
        <f>IFERROR(IF(OR(NOT(ISNUMBER('Price History'!K139)),NOT(ISNUMBER('Price History'!K138)),'Price History'!K138=0),"",'Price History'!K139/'Price History'!K138-1),"")</f>
        <v>-1.7886717456110368E-3</v>
      </c>
      <c r="L138" s="76">
        <f>IFERROR(IF(OR(NOT(ISNUMBER('Price History'!L139)),NOT(ISNUMBER('Price History'!L138)),'Price History'!L138=0),"",'Price History'!L139/'Price History'!L138-1),"")</f>
        <v>-2.6809730720345204E-2</v>
      </c>
      <c r="M138" s="76">
        <f>IFERROR(IF(OR(NOT(ISNUMBER('Price History'!M139)),NOT(ISNUMBER('Price History'!M138)),'Price History'!M138=0),"",'Price History'!M139/'Price History'!M138-1),"")</f>
        <v>-1.1588380716934465E-2</v>
      </c>
      <c r="N138" s="76">
        <f>IFERROR(IF(OR(NOT(ISNUMBER('Price History'!N139)),NOT(ISNUMBER('Price History'!N138)),'Price History'!N138=0),"",'Price History'!N139/'Price History'!N138-1),"")</f>
        <v>-3.2684194826777979E-2</v>
      </c>
      <c r="O138" s="76">
        <f>IFERROR(IF(OR(NOT(ISNUMBER('Price History'!O139)),NOT(ISNUMBER('Price History'!O138)),'Price History'!O138=0),"",'Price History'!O139/'Price History'!O138-1),"")</f>
        <v>-1.9757267852102967E-3</v>
      </c>
      <c r="P138" s="76" t="str">
        <f>IFERROR(IF(OR(NOT(ISNUMBER('Price History'!P139)),NOT(ISNUMBER('Price History'!P138)),'Price History'!P138=0),"",'Price History'!P139/'Price History'!P138-1),"")</f>
        <v/>
      </c>
      <c r="Q138" s="76">
        <f>IFERROR(IF(OR(NOT(ISNUMBER('Price History'!Q139)),NOT(ISNUMBER('Price History'!Q138)),'Price History'!Q138=0),"",'Price History'!Q139/'Price History'!Q138-1),"")</f>
        <v>2.0728457210541507E-3</v>
      </c>
      <c r="R138" s="76">
        <f>IFERROR(IF(OR(NOT(ISNUMBER('Price History'!R139)),NOT(ISNUMBER('Price History'!R138)),'Price History'!R138=0),"",'Price History'!R139/'Price History'!R138-1),"")</f>
        <v>-1.4144271570014189E-2</v>
      </c>
      <c r="S138" s="76">
        <f>IFERROR(IF(OR(NOT(ISNUMBER('Price History'!S139)),NOT(ISNUMBER('Price History'!S138)),'Price History'!S138=0),"",'Price History'!S139/'Price History'!S138-1),"")</f>
        <v>-2.0657600275434729E-2</v>
      </c>
      <c r="T138" s="76">
        <f>IFERROR(IF(OR(NOT(ISNUMBER('Price History'!T139)),NOT(ISNUMBER('Price History'!T138)),'Price History'!T138=0),"",'Price History'!T139/'Price History'!T138-1),"")</f>
        <v>1.0204081632652073E-3</v>
      </c>
      <c r="U138" s="76" t="str">
        <f>IFERROR(IF(OR(NOT(ISNUMBER('Price History'!U139)),NOT(ISNUMBER('Price History'!U138)),'Price History'!U138=0),"",'Price History'!U139/'Price History'!U138-1),"")</f>
        <v/>
      </c>
      <c r="W138" s="77">
        <f>'Price History'!B3+('Price History'!B158-'Price History'!B3)*0.876623376623377</f>
        <v>282.24610389610382</v>
      </c>
      <c r="X138" s="77">
        <f>'Price History'!C3+('Price History'!C158-'Price History'!C3)*0.876623376623377</f>
        <v>163.4955194805195</v>
      </c>
      <c r="Y138" s="77">
        <f>'Price History'!D3+('Price History'!D158-'Price History'!D3)*0.876623376623377</f>
        <v>1509.6676623376627</v>
      </c>
      <c r="Z138" s="77">
        <f>'Price History'!E3+('Price History'!E158-'Price History'!E3)*0.876623376623377</f>
        <v>351.48974025974036</v>
      </c>
      <c r="AA138" s="77">
        <f>'Price History'!F3+('Price History'!F158-'Price History'!F3)*0.876623376623377</f>
        <v>171.88467532467538</v>
      </c>
      <c r="AB138" s="77">
        <f>'Price History'!G3+('Price History'!G158-'Price History'!G3)*0.876623376623377</f>
        <v>166.17402597402599</v>
      </c>
      <c r="AC138" s="77">
        <f>'Price History'!H3+('Price History'!H158-'Price History'!H3)*0.876623376623377</f>
        <v>729.4290909090912</v>
      </c>
      <c r="AD138" s="77">
        <f>'Price History'!I3+('Price History'!I158-'Price History'!I3)*0.876623376623377</f>
        <v>181.02207792207798</v>
      </c>
      <c r="AE138" s="77">
        <f>'Price History'!J3+('Price History'!J158-'Price History'!J3)*0.876623376623377</f>
        <v>142.00675324675328</v>
      </c>
      <c r="AF138" s="77">
        <f>'Price History'!K3+('Price History'!K158-'Price History'!K3)*0.876623376623377</f>
        <v>109.77850649350653</v>
      </c>
      <c r="AG138" s="77">
        <f>'Price History'!L3+('Price History'!L158-'Price History'!L3)*0.876623376623377</f>
        <v>365.72441558441568</v>
      </c>
      <c r="AH138" s="77">
        <f>'Price History'!M3+('Price History'!M158-'Price History'!M3)*0.876623376623377</f>
        <v>215.9002597402598</v>
      </c>
      <c r="AI138" s="77">
        <f>'Price History'!N3+('Price History'!N158-'Price History'!N3)*0.876623376623377</f>
        <v>461.40155844155851</v>
      </c>
      <c r="AJ138" s="77">
        <f>'Price History'!O3+('Price History'!O158-'Price History'!O3)*0.876623376623377</f>
        <v>120.04512987012988</v>
      </c>
      <c r="AK138" s="77">
        <f>'Price History'!Q3+('Price History'!Q151-'Price History'!Q3)*0.876623376623377</f>
        <v>66.153961038961043</v>
      </c>
      <c r="AL138" s="77">
        <f>'Price History'!R3+('Price History'!R158-'Price History'!R3)*0.876623376623377</f>
        <v>56.963181818181823</v>
      </c>
      <c r="AM138" s="77">
        <f>'Price History'!S3+('Price History'!S158-'Price History'!S3)*0.876623376623377</f>
        <v>133.30720779220783</v>
      </c>
      <c r="AN138" s="77">
        <f>'Price History'!T3+('Price History'!T158-'Price History'!T3)*0.876623376623377</f>
        <v>46.923311688311699</v>
      </c>
    </row>
    <row r="139" spans="1:40" ht="15" customHeight="1" x14ac:dyDescent="0.2">
      <c r="A139" s="55">
        <f>IF('Price History'!A140="","",'Price History'!A140)</f>
        <v>46108</v>
      </c>
      <c r="B139" s="76">
        <f>IFERROR(IF(OR(NOT(ISNUMBER('Price History'!B140)),NOT(ISNUMBER('Price History'!B139)),'Price History'!B139=0),"",'Price History'!B140/'Price History'!B139-1),"")</f>
        <v>-5.3636913157364519E-2</v>
      </c>
      <c r="C139" s="76">
        <f>IFERROR(IF(OR(NOT(ISNUMBER('Price History'!C140)),NOT(ISNUMBER('Price History'!C139)),'Price History'!C139=0),"",'Price History'!C140/'Price History'!C139-1),"")</f>
        <v>-7.963725041914349E-2</v>
      </c>
      <c r="D139" s="76">
        <f>IFERROR(IF(OR(NOT(ISNUMBER('Price History'!D140)),NOT(ISNUMBER('Price History'!D139)),'Price History'!D139=0),"",'Price History'!D140/'Price History'!D139-1),"")</f>
        <v>-1.1220345416587563E-2</v>
      </c>
      <c r="E139" s="76">
        <f>IFERROR(IF(OR(NOT(ISNUMBER('Price History'!E140)),NOT(ISNUMBER('Price History'!E139)),'Price History'!E139=0),"",'Price History'!E140/'Price History'!E139-1),"")</f>
        <v>-3.1657595568580721E-2</v>
      </c>
      <c r="F139" s="76">
        <f>IFERROR(IF(OR(NOT(ISNUMBER('Price History'!F140)),NOT(ISNUMBER('Price History'!F139)),'Price History'!F139=0),"",'Price History'!F140/'Price History'!F139-1),"")</f>
        <v>-9.6332518337408302E-2</v>
      </c>
      <c r="G139" s="76">
        <f>IFERROR(IF(OR(NOT(ISNUMBER('Price History'!G140)),NOT(ISNUMBER('Price History'!G139)),'Price History'!G139=0),"",'Price History'!G140/'Price History'!G139-1),"")</f>
        <v>-3.7032094481884381E-2</v>
      </c>
      <c r="H139" s="76">
        <f>IFERROR(IF(OR(NOT(ISNUMBER('Price History'!H140)),NOT(ISNUMBER('Price History'!H139)),'Price History'!H139=0),"",'Price History'!H140/'Price History'!H139-1),"")</f>
        <v>-0.15530858358950095</v>
      </c>
      <c r="I139" s="76">
        <f>IFERROR(IF(OR(NOT(ISNUMBER('Price History'!I140)),NOT(ISNUMBER('Price History'!I139)),'Price History'!I139=0),"",'Price History'!I140/'Price History'!I139-1),"")</f>
        <v>-2.9994209612043909E-2</v>
      </c>
      <c r="J139" s="76">
        <f>IFERROR(IF(OR(NOT(ISNUMBER('Price History'!J140)),NOT(ISNUMBER('Price History'!J139)),'Price History'!J139=0),"",'Price History'!J140/'Price History'!J139-1),"")</f>
        <v>6.9525818295446129E-3</v>
      </c>
      <c r="K139" s="76">
        <f>IFERROR(IF(OR(NOT(ISNUMBER('Price History'!K140)),NOT(ISNUMBER('Price History'!K139)),'Price History'!K139=0),"",'Price History'!K140/'Price History'!K139-1),"")</f>
        <v>-5.0570745951685758E-2</v>
      </c>
      <c r="L139" s="76">
        <f>IFERROR(IF(OR(NOT(ISNUMBER('Price History'!L140)),NOT(ISNUMBER('Price History'!L139)),'Price History'!L139=0),"",'Price History'!L140/'Price History'!L139-1),"")</f>
        <v>-7.5932450492042225E-3</v>
      </c>
      <c r="M139" s="76">
        <f>IFERROR(IF(OR(NOT(ISNUMBER('Price History'!M140)),NOT(ISNUMBER('Price History'!M139)),'Price History'!M139=0),"",'Price History'!M140/'Price History'!M139-1),"")</f>
        <v>-1.879787400343913E-2</v>
      </c>
      <c r="N139" s="76">
        <f>IFERROR(IF(OR(NOT(ISNUMBER('Price History'!N140)),NOT(ISNUMBER('Price History'!N139)),'Price History'!N139=0),"",'Price History'!N140/'Price History'!N139-1),"")</f>
        <v>-4.6101321585903077E-2</v>
      </c>
      <c r="O139" s="76">
        <f>IFERROR(IF(OR(NOT(ISNUMBER('Price History'!O140)),NOT(ISNUMBER('Price History'!O139)),'Price History'!O139=0),"",'Price History'!O140/'Price History'!O139-1),"")</f>
        <v>2.9694570135746723E-2</v>
      </c>
      <c r="P139" s="76" t="str">
        <f>IFERROR(IF(OR(NOT(ISNUMBER('Price History'!P140)),NOT(ISNUMBER('Price History'!P139)),'Price History'!P139=0),"",'Price History'!P140/'Price History'!P139-1),"")</f>
        <v/>
      </c>
      <c r="Q139" s="76">
        <f>IFERROR(IF(OR(NOT(ISNUMBER('Price History'!Q140)),NOT(ISNUMBER('Price History'!Q139)),'Price History'!Q139=0),"",'Price History'!Q140/'Price History'!Q139-1),"")</f>
        <v>2.9550827423152626E-4</v>
      </c>
      <c r="R139" s="76">
        <f>IFERROR(IF(OR(NOT(ISNUMBER('Price History'!R140)),NOT(ISNUMBER('Price History'!R139)),'Price History'!R139=0),"",'Price History'!R140/'Price History'!R139-1),"")</f>
        <v>-2.9232424677187896E-2</v>
      </c>
      <c r="S139" s="76">
        <f>IFERROR(IF(OR(NOT(ISNUMBER('Price History'!S140)),NOT(ISNUMBER('Price History'!S139)),'Price History'!S139=0),"",'Price History'!S140/'Price History'!S139-1),"")</f>
        <v>-3.0497451221655814E-2</v>
      </c>
      <c r="T139" s="76">
        <f>IFERROR(IF(OR(NOT(ISNUMBER('Price History'!T140)),NOT(ISNUMBER('Price History'!T139)),'Price History'!T139=0),"",'Price History'!T140/'Price History'!T139-1),"")</f>
        <v>-1.2487257900101967E-2</v>
      </c>
      <c r="U139" s="76" t="str">
        <f>IFERROR(IF(OR(NOT(ISNUMBER('Price History'!U140)),NOT(ISNUMBER('Price History'!U139)),'Price History'!U139=0),"",'Price History'!U140/'Price History'!U139-1),"")</f>
        <v/>
      </c>
      <c r="W139" s="77">
        <f>'Price History'!B3+('Price History'!B158-'Price History'!B3)*0.883116883116883</f>
        <v>280.57051948051958</v>
      </c>
      <c r="X139" s="77">
        <f>'Price History'!C3+('Price History'!C158-'Price History'!C3)*0.883116883116883</f>
        <v>164.38259740259738</v>
      </c>
      <c r="Y139" s="77">
        <f>'Price History'!D3+('Price History'!D158-'Price History'!D3)*0.883116883116883</f>
        <v>1515.9483116883116</v>
      </c>
      <c r="Z139" s="77">
        <f>'Price History'!E3+('Price History'!E158-'Price History'!E3)*0.883116883116883</f>
        <v>353.47870129870125</v>
      </c>
      <c r="AA139" s="77">
        <f>'Price History'!F3+('Price History'!F158-'Price History'!F3)*0.883116883116883</f>
        <v>172.88337662337662</v>
      </c>
      <c r="AB139" s="77">
        <f>'Price History'!G3+('Price History'!G158-'Price History'!G3)*0.883116883116883</f>
        <v>167.05012987012984</v>
      </c>
      <c r="AC139" s="77">
        <f>'Price History'!H3+('Price History'!H158-'Price History'!H3)*0.883116883116883</f>
        <v>734.35545454545445</v>
      </c>
      <c r="AD139" s="77">
        <f>'Price History'!I3+('Price History'!I158-'Price History'!I3)*0.883116883116883</f>
        <v>182.06038961038959</v>
      </c>
      <c r="AE139" s="77">
        <f>'Price History'!J3+('Price History'!J158-'Price History'!J3)*0.883116883116883</f>
        <v>142.14376623376626</v>
      </c>
      <c r="AF139" s="77">
        <f>'Price History'!K3+('Price History'!K158-'Price History'!K3)*0.883116883116883</f>
        <v>110.47753246753246</v>
      </c>
      <c r="AG139" s="77">
        <f>'Price History'!L3+('Price History'!L158-'Price History'!L3)*0.883116883116883</f>
        <v>367.75207792207789</v>
      </c>
      <c r="AH139" s="77">
        <f>'Price History'!M3+('Price History'!M158-'Price History'!M3)*0.883116883116883</f>
        <v>217.25129870129865</v>
      </c>
      <c r="AI139" s="77">
        <f>'Price History'!N3+('Price History'!N158-'Price History'!N3)*0.883116883116883</f>
        <v>462.22779220779222</v>
      </c>
      <c r="AJ139" s="77">
        <f>'Price History'!O3+('Price History'!O158-'Price History'!O3)*0.883116883116883</f>
        <v>120.32064935064935</v>
      </c>
      <c r="AK139" s="77">
        <f>'Price History'!Q3+('Price History'!Q151-'Price History'!Q3)*0.883116883116883</f>
        <v>66.274805194805197</v>
      </c>
      <c r="AL139" s="77">
        <f>'Price History'!R3+('Price History'!R158-'Price History'!R3)*0.883116883116883</f>
        <v>57.030909090909091</v>
      </c>
      <c r="AM139" s="77">
        <f>'Price History'!S3+('Price History'!S158-'Price History'!S3)*0.883116883116883</f>
        <v>133.86103896103896</v>
      </c>
      <c r="AN139" s="77">
        <f>'Price History'!T3+('Price History'!T158-'Price History'!T3)*0.883116883116883</f>
        <v>47.071558441558437</v>
      </c>
    </row>
    <row r="140" spans="1:40" ht="15" customHeight="1" x14ac:dyDescent="0.2">
      <c r="A140" s="55">
        <f>IF('Price History'!A141="","",'Price History'!A141)</f>
        <v>46114</v>
      </c>
      <c r="B140" s="76">
        <f>IFERROR(IF(OR(NOT(ISNUMBER('Price History'!B141)),NOT(ISNUMBER('Price History'!B140)),'Price History'!B140=0),"",'Price History'!B141/'Price History'!B140-1),"")</f>
        <v>3.4406404360415532E-2</v>
      </c>
      <c r="C140" s="76">
        <f>IFERROR(IF(OR(NOT(ISNUMBER('Price History'!C141)),NOT(ISNUMBER('Price History'!C140)),'Price History'!C140=0),"",'Price History'!C141/'Price History'!C140-1),"")</f>
        <v>4.8935994038254549E-2</v>
      </c>
      <c r="D140" s="76">
        <f>IFERROR(IF(OR(NOT(ISNUMBER('Price History'!D141)),NOT(ISNUMBER('Price History'!D140)),'Price History'!D140=0),"",'Price History'!D141/'Price History'!D140-1),"")</f>
        <v>1.1332314755810202E-2</v>
      </c>
      <c r="E140" s="76">
        <f>IFERROR(IF(OR(NOT(ISNUMBER('Price History'!E141)),NOT(ISNUMBER('Price History'!E140)),'Price History'!E140=0),"",'Price History'!E141/'Price History'!E140-1),"")</f>
        <v>4.6128774777171699E-2</v>
      </c>
      <c r="F140" s="76">
        <f>IFERROR(IF(OR(NOT(ISNUMBER('Price History'!F141)),NOT(ISNUMBER('Price History'!F140)),'Price History'!F140=0),"",'Price History'!F141/'Price History'!F140-1),"")</f>
        <v>7.9870129870129869E-2</v>
      </c>
      <c r="G140" s="76">
        <f>IFERROR(IF(OR(NOT(ISNUMBER('Price History'!G141)),NOT(ISNUMBER('Price History'!G140)),'Price History'!G140=0),"",'Price History'!G141/'Price History'!G140-1),"")</f>
        <v>5.0997782705099803E-2</v>
      </c>
      <c r="H140" s="76">
        <f>IFERROR(IF(OR(NOT(ISNUMBER('Price History'!H141)),NOT(ISNUMBER('Price History'!H140)),'Price History'!H140=0),"",'Price History'!H141/'Price History'!H140-1),"")</f>
        <v>2.5250545882089526E-2</v>
      </c>
      <c r="I140" s="76">
        <f>IFERROR(IF(OR(NOT(ISNUMBER('Price History'!I141)),NOT(ISNUMBER('Price History'!I140)),'Price History'!I140=0),"",'Price History'!I141/'Price History'!I140-1),"")</f>
        <v>5.8918338108882473E-2</v>
      </c>
      <c r="J140" s="76">
        <f>IFERROR(IF(OR(NOT(ISNUMBER('Price History'!J141)),NOT(ISNUMBER('Price History'!J140)),'Price History'!J140=0),"",'Price History'!J141/'Price History'!J140-1),"")</f>
        <v>3.7781225756400305E-2</v>
      </c>
      <c r="K140" s="76">
        <f>IFERROR(IF(OR(NOT(ISNUMBER('Price History'!K141)),NOT(ISNUMBER('Price History'!K140)),'Price History'!K140=0),"",'Price History'!K141/'Price History'!K140-1),"")</f>
        <v>3.7746400111841272E-2</v>
      </c>
      <c r="L140" s="76">
        <f>IFERROR(IF(OR(NOT(ISNUMBER('Price History'!L141)),NOT(ISNUMBER('Price History'!L140)),'Price History'!L140=0),"",'Price History'!L141/'Price History'!L140-1),"")</f>
        <v>3.7644610393585243E-2</v>
      </c>
      <c r="M140" s="76">
        <f>IFERROR(IF(OR(NOT(ISNUMBER('Price History'!M141)),NOT(ISNUMBER('Price History'!M140)),'Price History'!M140=0),"",'Price History'!M141/'Price History'!M140-1),"")</f>
        <v>4.0705779264746944E-2</v>
      </c>
      <c r="N140" s="76">
        <f>IFERROR(IF(OR(NOT(ISNUMBER('Price History'!N141)),NOT(ISNUMBER('Price History'!N140)),'Price History'!N140=0),"",'Price History'!N141/'Price History'!N140-1),"")</f>
        <v>1.3023298773870318E-2</v>
      </c>
      <c r="O140" s="76">
        <f>IFERROR(IF(OR(NOT(ISNUMBER('Price History'!O141)),NOT(ISNUMBER('Price History'!O140)),'Price History'!O140=0),"",'Price History'!O141/'Price History'!O140-1),"")</f>
        <v>2.0049436967865875E-2</v>
      </c>
      <c r="P140" s="76" t="str">
        <f>IFERROR(IF(OR(NOT(ISNUMBER('Price History'!P141)),NOT(ISNUMBER('Price History'!P140)),'Price History'!P140=0),"",'Price History'!P141/'Price History'!P140-1),"")</f>
        <v/>
      </c>
      <c r="Q140" s="76">
        <f>IFERROR(IF(OR(NOT(ISNUMBER('Price History'!Q141)),NOT(ISNUMBER('Price History'!Q140)),'Price History'!Q140=0),"",'Price History'!Q141/'Price History'!Q140-1),"")</f>
        <v>7.3855243722298347E-4</v>
      </c>
      <c r="R140" s="76">
        <f>IFERROR(IF(OR(NOT(ISNUMBER('Price History'!R141)),NOT(ISNUMBER('Price History'!R140)),'Price History'!R140=0),"",'Price History'!R141/'Price History'!R140-1),"")</f>
        <v>2.697210419360796E-2</v>
      </c>
      <c r="S140" s="76">
        <f>IFERROR(IF(OR(NOT(ISNUMBER('Price History'!S141)),NOT(ISNUMBER('Price History'!S140)),'Price History'!S140=0),"",'Price History'!S141/'Price History'!S140-1),"")</f>
        <v>4.0159550358081608E-2</v>
      </c>
      <c r="T140" s="76">
        <f>IFERROR(IF(OR(NOT(ISNUMBER('Price History'!T141)),NOT(ISNUMBER('Price History'!T140)),'Price History'!T140=0),"",'Price History'!T141/'Price History'!T140-1),"")</f>
        <v>2.8129032258064512E-2</v>
      </c>
      <c r="U140" s="76" t="str">
        <f>IFERROR(IF(OR(NOT(ISNUMBER('Price History'!U141)),NOT(ISNUMBER('Price History'!U140)),'Price History'!U140=0),"",'Price History'!U141/'Price History'!U140-1),"")</f>
        <v/>
      </c>
      <c r="W140" s="77">
        <f>'Price History'!B3+('Price History'!B158-'Price History'!B3)*0.88961038961039</f>
        <v>278.894935064935</v>
      </c>
      <c r="X140" s="77">
        <f>'Price History'!C3+('Price History'!C158-'Price History'!C3)*0.88961038961039</f>
        <v>165.26967532467535</v>
      </c>
      <c r="Y140" s="77">
        <f>'Price History'!D3+('Price History'!D158-'Price History'!D3)*0.88961038961039</f>
        <v>1522.2289610389614</v>
      </c>
      <c r="Z140" s="77">
        <f>'Price History'!E3+('Price History'!E158-'Price History'!E3)*0.88961038961039</f>
        <v>355.46766233766243</v>
      </c>
      <c r="AA140" s="77">
        <f>'Price History'!F3+('Price History'!F158-'Price History'!F3)*0.88961038961039</f>
        <v>173.882077922078</v>
      </c>
      <c r="AB140" s="77">
        <f>'Price History'!G3+('Price History'!G158-'Price History'!G3)*0.88961038961039</f>
        <v>167.92623376623379</v>
      </c>
      <c r="AC140" s="77">
        <f>'Price History'!H3+('Price History'!H158-'Price History'!H3)*0.88961038961039</f>
        <v>739.28181818181838</v>
      </c>
      <c r="AD140" s="77">
        <f>'Price History'!I3+('Price History'!I158-'Price History'!I3)*0.88961038961039</f>
        <v>183.09870129870134</v>
      </c>
      <c r="AE140" s="77">
        <f>'Price History'!J3+('Price History'!J158-'Price History'!J3)*0.88961038961039</f>
        <v>142.28077922077924</v>
      </c>
      <c r="AF140" s="77">
        <f>'Price History'!K3+('Price History'!K158-'Price History'!K3)*0.88961038961039</f>
        <v>111.17655844155848</v>
      </c>
      <c r="AG140" s="77">
        <f>'Price History'!L3+('Price History'!L158-'Price History'!L3)*0.88961038961039</f>
        <v>369.77974025974038</v>
      </c>
      <c r="AH140" s="77">
        <f>'Price History'!M3+('Price History'!M158-'Price History'!M3)*0.88961038961039</f>
        <v>218.60233766233773</v>
      </c>
      <c r="AI140" s="77">
        <f>'Price History'!N3+('Price History'!N158-'Price History'!N3)*0.88961038961039</f>
        <v>463.05402597402605</v>
      </c>
      <c r="AJ140" s="77">
        <f>'Price History'!O3+('Price History'!O158-'Price History'!O3)*0.88961038961039</f>
        <v>120.59616883116885</v>
      </c>
      <c r="AK140" s="77">
        <f>'Price History'!Q3+('Price History'!Q151-'Price History'!Q3)*0.88961038961039</f>
        <v>66.395649350649364</v>
      </c>
      <c r="AL140" s="77">
        <f>'Price History'!R3+('Price History'!R158-'Price History'!R3)*0.88961038961039</f>
        <v>57.098636363636366</v>
      </c>
      <c r="AM140" s="77">
        <f>'Price History'!S3+('Price History'!S158-'Price History'!S3)*0.88961038961039</f>
        <v>134.41487012987017</v>
      </c>
      <c r="AN140" s="77">
        <f>'Price History'!T3+('Price History'!T158-'Price History'!T3)*0.88961038961039</f>
        <v>47.219805194805204</v>
      </c>
    </row>
    <row r="141" spans="1:40" ht="15" customHeight="1" x14ac:dyDescent="0.2">
      <c r="A141" s="55">
        <f>IF('Price History'!A142="","",'Price History'!A142)</f>
        <v>46122</v>
      </c>
      <c r="B141" s="76">
        <f>IFERROR(IF(OR(NOT(ISNUMBER('Price History'!B142)),NOT(ISNUMBER('Price History'!B141)),'Price History'!B141=0),"",'Price History'!B142/'Price History'!B141-1),"")</f>
        <v>-7.2328338547669957E-2</v>
      </c>
      <c r="C141" s="76">
        <f>IFERROR(IF(OR(NOT(ISNUMBER('Price History'!C142)),NOT(ISNUMBER('Price History'!C141)),'Price History'!C141=0),"",'Price History'!C142/'Price History'!C141-1),"")</f>
        <v>0.16316703504894203</v>
      </c>
      <c r="D141" s="76">
        <f>IFERROR(IF(OR(NOT(ISNUMBER('Price History'!D142)),NOT(ISNUMBER('Price History'!D141)),'Price History'!D141=0),"",'Price History'!D142/'Price History'!D141-1),"")</f>
        <v>0.12226414521381979</v>
      </c>
      <c r="E141" s="76">
        <f>IFERROR(IF(OR(NOT(ISNUMBER('Price History'!E142)),NOT(ISNUMBER('Price History'!E141)),'Price History'!E141=0),"",'Price History'!E142/'Price History'!E141-1),"")</f>
        <v>0.18121125417262762</v>
      </c>
      <c r="F141" s="76">
        <f>IFERROR(IF(OR(NOT(ISNUMBER('Price History'!F142)),NOT(ISNUMBER('Price History'!F141)),'Price History'!F141=0),"",'Price History'!F142/'Price History'!F141-1),"")</f>
        <v>-5.0310683503708153E-2</v>
      </c>
      <c r="G141" s="76">
        <f>IFERROR(IF(OR(NOT(ISNUMBER('Price History'!G142)),NOT(ISNUMBER('Price History'!G141)),'Price History'!G141=0),"",'Price History'!G142/'Price History'!G141-1),"")</f>
        <v>0.14537183544303778</v>
      </c>
      <c r="H141" s="76">
        <f>IFERROR(IF(OR(NOT(ISNUMBER('Price History'!H142)),NOT(ISNUMBER('Price History'!H141)),'Price History'!H141=0),"",'Price History'!H142/'Price History'!H141-1),"")</f>
        <v>0.14839995631280023</v>
      </c>
      <c r="I141" s="76">
        <f>IFERROR(IF(OR(NOT(ISNUMBER('Price History'!I142)),NOT(ISNUMBER('Price History'!I141)),'Price History'!I141=0),"",'Price History'!I142/'Price History'!I141-1),"")</f>
        <v>6.3363211004002551E-2</v>
      </c>
      <c r="J141" s="76">
        <f>IFERROR(IF(OR(NOT(ISNUMBER('Price History'!J142)),NOT(ISNUMBER('Price History'!J141)),'Price History'!J141=0),"",'Price History'!J142/'Price History'!J141-1),"")</f>
        <v>2.5566270464229657E-2</v>
      </c>
      <c r="K141" s="76">
        <f>IFERROR(IF(OR(NOT(ISNUMBER('Price History'!K142)),NOT(ISNUMBER('Price History'!K141)),'Price History'!K141=0),"",'Price History'!K142/'Price History'!K141-1),"")</f>
        <v>-0.13741075037047024</v>
      </c>
      <c r="L141" s="76">
        <f>IFERROR(IF(OR(NOT(ISNUMBER('Price History'!L142)),NOT(ISNUMBER('Price History'!L141)),'Price History'!L141=0),"",'Price History'!L142/'Price History'!L141-1),"")</f>
        <v>9.3086361491269365E-2</v>
      </c>
      <c r="M141" s="76">
        <f>IFERROR(IF(OR(NOT(ISNUMBER('Price History'!M142)),NOT(ISNUMBER('Price History'!M141)),'Price History'!M141=0),"",'Price History'!M142/'Price History'!M141-1),"")</f>
        <v>0.12943472769719455</v>
      </c>
      <c r="N141" s="76">
        <f>IFERROR(IF(OR(NOT(ISNUMBER('Price History'!N142)),NOT(ISNUMBER('Price History'!N141)),'Price History'!N141=0),"",'Price History'!N142/'Price History'!N141-1),"")</f>
        <v>-5.5617606163524957E-3</v>
      </c>
      <c r="O141" s="76">
        <f>IFERROR(IF(OR(NOT(ISNUMBER('Price History'!O142)),NOT(ISNUMBER('Price History'!O141)),'Price History'!O141=0),"",'Price History'!O142/'Price History'!O141-1),"")</f>
        <v>2.9707413390773763E-2</v>
      </c>
      <c r="P141" s="76" t="str">
        <f>IFERROR(IF(OR(NOT(ISNUMBER('Price History'!P142)),NOT(ISNUMBER('Price History'!P141)),'Price History'!P141=0),"",'Price History'!P142/'Price History'!P141-1),"")</f>
        <v/>
      </c>
      <c r="Q141" s="76">
        <f>IFERROR(IF(OR(NOT(ISNUMBER('Price History'!Q142)),NOT(ISNUMBER('Price History'!Q141)),'Price History'!Q141=0),"",'Price History'!Q142/'Price History'!Q141-1),"")</f>
        <v>4.2804428044280751E-3</v>
      </c>
      <c r="R141" s="76">
        <f>IFERROR(IF(OR(NOT(ISNUMBER('Price History'!R142)),NOT(ISNUMBER('Price History'!R141)),'Price History'!R141=0),"",'Price History'!R142/'Price History'!R141-1),"")</f>
        <v>3.6517359237272728E-2</v>
      </c>
      <c r="S141" s="76">
        <f>IFERROR(IF(OR(NOT(ISNUMBER('Price History'!S142)),NOT(ISNUMBER('Price History'!S141)),'Price History'!S141=0),"",'Price History'!S142/'Price History'!S141-1),"")</f>
        <v>7.4952065539480639E-2</v>
      </c>
      <c r="T141" s="76">
        <f>IFERROR(IF(OR(NOT(ISNUMBER('Price History'!T142)),NOT(ISNUMBER('Price History'!T141)),'Price History'!T141=0),"",'Price History'!T142/'Price History'!T141-1),"")</f>
        <v>-5.020080321285203E-3</v>
      </c>
      <c r="U141" s="76" t="str">
        <f>IFERROR(IF(OR(NOT(ISNUMBER('Price History'!U142)),NOT(ISNUMBER('Price History'!U141)),'Price History'!U141=0),"",'Price History'!U142/'Price History'!U141-1),"")</f>
        <v/>
      </c>
      <c r="W141" s="77">
        <f>'Price History'!B3+('Price History'!B158-'Price History'!B3)*0.896103896103896</f>
        <v>277.2193506493507</v>
      </c>
      <c r="X141" s="77">
        <f>'Price History'!C3+('Price History'!C158-'Price History'!C3)*0.896103896103896</f>
        <v>166.15675324675323</v>
      </c>
      <c r="Y141" s="77">
        <f>'Price History'!D3+('Price History'!D158-'Price History'!D3)*0.896103896103896</f>
        <v>1528.5096103896103</v>
      </c>
      <c r="Z141" s="77">
        <f>'Price History'!E3+('Price History'!E158-'Price History'!E3)*0.896103896103896</f>
        <v>357.45662337662333</v>
      </c>
      <c r="AA141" s="77">
        <f>'Price History'!F3+('Price History'!F158-'Price History'!F3)*0.896103896103896</f>
        <v>174.8807792207792</v>
      </c>
      <c r="AB141" s="77">
        <f>'Price History'!G3+('Price History'!G158-'Price History'!G3)*0.896103896103896</f>
        <v>168.80233766233764</v>
      </c>
      <c r="AC141" s="77">
        <f>'Price History'!H3+('Price History'!H158-'Price History'!H3)*0.896103896103896</f>
        <v>744.20818181818163</v>
      </c>
      <c r="AD141" s="77">
        <f>'Price History'!I3+('Price History'!I158-'Price History'!I3)*0.896103896103896</f>
        <v>184.13701298701295</v>
      </c>
      <c r="AE141" s="77">
        <f>'Price History'!J3+('Price History'!J158-'Price History'!J3)*0.896103896103896</f>
        <v>142.41779220779222</v>
      </c>
      <c r="AF141" s="77">
        <f>'Price History'!K3+('Price History'!K158-'Price History'!K3)*0.896103896103896</f>
        <v>111.8755844155844</v>
      </c>
      <c r="AG141" s="77">
        <f>'Price History'!L3+('Price History'!L158-'Price History'!L3)*0.896103896103896</f>
        <v>371.80740259740253</v>
      </c>
      <c r="AH141" s="77">
        <f>'Price History'!M3+('Price History'!M158-'Price History'!M3)*0.896103896103896</f>
        <v>219.95337662337658</v>
      </c>
      <c r="AI141" s="77">
        <f>'Price History'!N3+('Price History'!N158-'Price History'!N3)*0.896103896103896</f>
        <v>463.88025974025976</v>
      </c>
      <c r="AJ141" s="77">
        <f>'Price History'!O3+('Price History'!O158-'Price History'!O3)*0.896103896103896</f>
        <v>120.8716883116883</v>
      </c>
      <c r="AK141" s="77">
        <f>'Price History'!Q3+('Price History'!Q151-'Price History'!Q3)*0.896103896103896</f>
        <v>66.516493506493504</v>
      </c>
      <c r="AL141" s="77">
        <f>'Price History'!R3+('Price History'!R158-'Price History'!R3)*0.896103896103896</f>
        <v>57.166363636363634</v>
      </c>
      <c r="AM141" s="77">
        <f>'Price History'!S3+('Price History'!S158-'Price History'!S3)*0.896103896103896</f>
        <v>134.96870129870129</v>
      </c>
      <c r="AN141" s="77">
        <f>'Price History'!T3+('Price History'!T158-'Price History'!T3)*0.896103896103896</f>
        <v>47.368051948051942</v>
      </c>
    </row>
    <row r="142" spans="1:40" ht="15" customHeight="1" x14ac:dyDescent="0.2">
      <c r="A142" s="55">
        <f>IF('Price History'!A143="","",'Price History'!A143)</f>
        <v>46129</v>
      </c>
      <c r="B142" s="76">
        <f>IFERROR(IF(OR(NOT(ISNUMBER('Price History'!B143)),NOT(ISNUMBER('Price History'!B142)),'Price History'!B142=0),"",'Price History'!B143/'Price History'!B142-1),"")</f>
        <v>8.4757044597293163E-2</v>
      </c>
      <c r="C142" s="76">
        <f>IFERROR(IF(OR(NOT(ISNUMBER('Price History'!C143)),NOT(ISNUMBER('Price History'!C142)),'Price History'!C142=0),"",'Price History'!C143/'Price History'!C142-1),"")</f>
        <v>0.11455717678995581</v>
      </c>
      <c r="D142" s="76">
        <f>IFERROR(IF(OR(NOT(ISNUMBER('Price History'!D143)),NOT(ISNUMBER('Price History'!D142)),'Price History'!D142=0),"",'Price History'!D143/'Price History'!D142-1),"")</f>
        <v>-1.2501014692751E-2</v>
      </c>
      <c r="E142" s="76">
        <f>IFERROR(IF(OR(NOT(ISNUMBER('Price History'!E143)),NOT(ISNUMBER('Price History'!E142)),'Price History'!E142=0),"",'Price History'!E143/'Price History'!E142-1),"")</f>
        <v>9.4173058807697441E-2</v>
      </c>
      <c r="F142" s="76">
        <f>IFERROR(IF(OR(NOT(ISNUMBER('Price History'!F143)),NOT(ISNUMBER('Price History'!F142)),'Price History'!F142=0),"",'Price History'!F143/'Price History'!F142-1),"")</f>
        <v>0.11850991979738268</v>
      </c>
      <c r="G142" s="76">
        <f>IFERROR(IF(OR(NOT(ISNUMBER('Price History'!G143)),NOT(ISNUMBER('Price History'!G142)),'Price History'!G142=0),"",'Price History'!G143/'Price History'!G142-1),"")</f>
        <v>3.1140275139584395E-2</v>
      </c>
      <c r="H142" s="76">
        <f>IFERROR(IF(OR(NOT(ISNUMBER('Price History'!H143)),NOT(ISNUMBER('Price History'!H142)),'Price History'!H142=0),"",'Price History'!H143/'Price History'!H142-1),"")</f>
        <v>8.198007560807441E-2</v>
      </c>
      <c r="I142" s="76">
        <f>IFERROR(IF(OR(NOT(ISNUMBER('Price History'!I143)),NOT(ISNUMBER('Price History'!I142)),'Price History'!I142=0),"",'Price History'!I143/'Price History'!I142-1),"")</f>
        <v>6.9183056777819107E-2</v>
      </c>
      <c r="J142" s="76">
        <f>IFERROR(IF(OR(NOT(ISNUMBER('Price History'!J143)),NOT(ISNUMBER('Price History'!J142)),'Price History'!J142=0),"",'Price History'!J143/'Price History'!J142-1),"")</f>
        <v>5.7657263648954071E-2</v>
      </c>
      <c r="K142" s="76">
        <f>IFERROR(IF(OR(NOT(ISNUMBER('Price History'!K143)),NOT(ISNUMBER('Price History'!K142)),'Price History'!K142=0),"",'Price History'!K143/'Price History'!K142-1),"")</f>
        <v>0.14313602998594388</v>
      </c>
      <c r="L142" s="76">
        <f>IFERROR(IF(OR(NOT(ISNUMBER('Price History'!L143)),NOT(ISNUMBER('Price History'!L142)),'Price History'!L142=0),"",'Price History'!L143/'Price History'!L142-1),"")</f>
        <v>-2.6983270372371582E-4</v>
      </c>
      <c r="M142" s="76">
        <f>IFERROR(IF(OR(NOT(ISNUMBER('Price History'!M143)),NOT(ISNUMBER('Price History'!M142)),'Price History'!M142=0),"",'Price History'!M143/'Price History'!M142-1),"")</f>
        <v>4.1442174104570961E-2</v>
      </c>
      <c r="N142" s="76">
        <f>IFERROR(IF(OR(NOT(ISNUMBER('Price History'!N143)),NOT(ISNUMBER('Price History'!N142)),'Price History'!N142=0),"",'Price History'!N143/'Price History'!N142-1),"")</f>
        <v>1.1300341531620406E-2</v>
      </c>
      <c r="O142" s="76">
        <f>IFERROR(IF(OR(NOT(ISNUMBER('Price History'!O143)),NOT(ISNUMBER('Price History'!O142)),'Price History'!O142=0),"",'Price History'!O143/'Price History'!O142-1),"")</f>
        <v>2.4317963915279295E-2</v>
      </c>
      <c r="P142" s="76" t="str">
        <f>IFERROR(IF(OR(NOT(ISNUMBER('Price History'!P143)),NOT(ISNUMBER('Price History'!P142)),'Price History'!P142=0),"",'Price History'!P143/'Price History'!P142-1),"")</f>
        <v/>
      </c>
      <c r="Q142" s="76">
        <f>IFERROR(IF(OR(NOT(ISNUMBER('Price History'!Q143)),NOT(ISNUMBER('Price History'!Q142)),'Price History'!Q142=0),"",'Price History'!Q143/'Price History'!Q142-1),"")</f>
        <v>-1.0582010582010803E-2</v>
      </c>
      <c r="R142" s="76">
        <f>IFERROR(IF(OR(NOT(ISNUMBER('Price History'!R143)),NOT(ISNUMBER('Price History'!R142)),'Price History'!R142=0),"",'Price History'!R143/'Price History'!R142-1),"")</f>
        <v>1.8049288441513323E-2</v>
      </c>
      <c r="S142" s="76">
        <f>IFERROR(IF(OR(NOT(ISNUMBER('Price History'!S143)),NOT(ISNUMBER('Price History'!S142)),'Price History'!S142=0),"",'Price History'!S143/'Price History'!S142-1),"")</f>
        <v>4.0214042484190138E-2</v>
      </c>
      <c r="T142" s="76">
        <f>IFERROR(IF(OR(NOT(ISNUMBER('Price History'!T143)),NOT(ISNUMBER('Price History'!T142)),'Price History'!T142=0),"",'Price History'!T143/'Price History'!T142-1),"")</f>
        <v>5.3481331987890846E-2</v>
      </c>
      <c r="U142" s="76" t="str">
        <f>IFERROR(IF(OR(NOT(ISNUMBER('Price History'!U143)),NOT(ISNUMBER('Price History'!U142)),'Price History'!U142=0),"",'Price History'!U143/'Price History'!U142-1),"")</f>
        <v/>
      </c>
      <c r="W142" s="77">
        <f>'Price History'!B3+('Price History'!B158-'Price History'!B3)*0.902597402597403</f>
        <v>275.54376623376618</v>
      </c>
      <c r="X142" s="77">
        <f>'Price History'!C3+('Price History'!C158-'Price History'!C3)*0.902597402597403</f>
        <v>167.04383116883122</v>
      </c>
      <c r="Y142" s="77">
        <f>'Price History'!D3+('Price History'!D158-'Price History'!D3)*0.902597402597403</f>
        <v>1534.7902597402601</v>
      </c>
      <c r="Z142" s="77">
        <f>'Price History'!E3+('Price History'!E158-'Price History'!E3)*0.902597402597403</f>
        <v>359.44558441558451</v>
      </c>
      <c r="AA142" s="77">
        <f>'Price History'!F3+('Price History'!F158-'Price History'!F3)*0.902597402597403</f>
        <v>175.87948051948058</v>
      </c>
      <c r="AB142" s="77">
        <f>'Price History'!G3+('Price History'!G158-'Price History'!G3)*0.902597402597403</f>
        <v>169.67844155844159</v>
      </c>
      <c r="AC142" s="77">
        <f>'Price History'!H3+('Price History'!H158-'Price History'!H3)*0.902597402597403</f>
        <v>749.13454545454567</v>
      </c>
      <c r="AD142" s="77">
        <f>'Price History'!I3+('Price History'!I158-'Price History'!I3)*0.902597402597403</f>
        <v>185.17532467532473</v>
      </c>
      <c r="AE142" s="77">
        <f>'Price History'!J3+('Price History'!J158-'Price History'!J3)*0.902597402597403</f>
        <v>142.55480519480523</v>
      </c>
      <c r="AF142" s="77">
        <f>'Price History'!K3+('Price History'!K158-'Price History'!K3)*0.902597402597403</f>
        <v>112.57461038961043</v>
      </c>
      <c r="AG142" s="77">
        <f>'Price History'!L3+('Price History'!L158-'Price History'!L3)*0.902597402597403</f>
        <v>373.83506493506502</v>
      </c>
      <c r="AH142" s="77">
        <f>'Price History'!M3+('Price History'!M158-'Price History'!M3)*0.902597402597403</f>
        <v>221.30441558441566</v>
      </c>
      <c r="AI142" s="77">
        <f>'Price History'!N3+('Price History'!N158-'Price History'!N3)*0.902597402597403</f>
        <v>464.70649350649359</v>
      </c>
      <c r="AJ142" s="77">
        <f>'Price History'!O3+('Price History'!O158-'Price History'!O3)*0.902597402597403</f>
        <v>121.14720779220781</v>
      </c>
      <c r="AK142" s="77">
        <f>'Price History'!Q3+('Price History'!Q151-'Price History'!Q3)*0.902597402597403</f>
        <v>66.637337662337671</v>
      </c>
      <c r="AL142" s="77">
        <f>'Price History'!R3+('Price History'!R158-'Price History'!R3)*0.902597402597403</f>
        <v>57.234090909090909</v>
      </c>
      <c r="AM142" s="77">
        <f>'Price History'!S3+('Price History'!S158-'Price History'!S3)*0.902597402597403</f>
        <v>135.52253246753253</v>
      </c>
      <c r="AN142" s="77">
        <f>'Price History'!T3+('Price History'!T158-'Price History'!T3)*0.902597402597403</f>
        <v>47.516298701298709</v>
      </c>
    </row>
    <row r="143" spans="1:40" ht="15" customHeight="1" x14ac:dyDescent="0.2">
      <c r="A143" s="55">
        <f>IF('Price History'!A144="","",'Price History'!A144)</f>
        <v>46136</v>
      </c>
      <c r="B143" s="76">
        <f>IFERROR(IF(OR(NOT(ISNUMBER('Price History'!B144)),NOT(ISNUMBER('Price History'!B143)),'Price History'!B143=0),"",'Price History'!B144/'Price History'!B143-1),"")</f>
        <v>4.0499079566373997E-3</v>
      </c>
      <c r="C143" s="76">
        <f>IFERROR(IF(OR(NOT(ISNUMBER('Price History'!C144)),NOT(ISNUMBER('Price History'!C143)),'Price History'!C143=0),"",'Price History'!C144/'Price History'!C143-1),"")</f>
        <v>7.7208792547037719E-2</v>
      </c>
      <c r="D143" s="76">
        <f>IFERROR(IF(OR(NOT(ISNUMBER('Price History'!D144)),NOT(ISNUMBER('Price History'!D143)),'Price History'!D143=0),"",'Price History'!D144/'Price History'!D143-1),"")</f>
        <v>-1.4385532264693524E-3</v>
      </c>
      <c r="E143" s="76">
        <f>IFERROR(IF(OR(NOT(ISNUMBER('Price History'!E144)),NOT(ISNUMBER('Price History'!E143)),'Price History'!E143=0),"",'Price History'!E144/'Price History'!E143-1),"")</f>
        <v>3.9897673045702575E-2</v>
      </c>
      <c r="F143" s="76">
        <f>IFERROR(IF(OR(NOT(ISNUMBER('Price History'!F144)),NOT(ISNUMBER('Price History'!F143)),'Price History'!F143=0),"",'Price History'!F144/'Price History'!F143-1),"")</f>
        <v>5.6986508161147365E-2</v>
      </c>
      <c r="G143" s="76">
        <f>IFERROR(IF(OR(NOT(ISNUMBER('Price History'!G144)),NOT(ISNUMBER('Price History'!G143)),'Price History'!G143=0),"",'Price History'!G144/'Price History'!G143-1),"")</f>
        <v>8.0160768114324155E-2</v>
      </c>
      <c r="H143" s="76">
        <f>IFERROR(IF(OR(NOT(ISNUMBER('Price History'!H144)),NOT(ISNUMBER('Price History'!H143)),'Price History'!H143=0),"",'Price History'!H144/'Price History'!H143-1),"")</f>
        <v>9.1524380864482557E-2</v>
      </c>
      <c r="I143" s="76">
        <f>IFERROR(IF(OR(NOT(ISNUMBER('Price History'!I144)),NOT(ISNUMBER('Price History'!I143)),'Price History'!I143=0),"",'Price History'!I144/'Price History'!I143-1),"")</f>
        <v>3.2675525585085241E-2</v>
      </c>
      <c r="J143" s="76">
        <f>IFERROR(IF(OR(NOT(ISNUMBER('Price History'!J144)),NOT(ISNUMBER('Price History'!J143)),'Price History'!J143=0),"",'Price History'!J144/'Price History'!J143-1),"")</f>
        <v>-2.0675396278428626E-2</v>
      </c>
      <c r="K143" s="76">
        <f>IFERROR(IF(OR(NOT(ISNUMBER('Price History'!K144)),NOT(ISNUMBER('Price History'!K143)),'Price History'!K143=0),"",'Price History'!K144/'Price History'!K143-1),"")</f>
        <v>-2.2542523396406722E-2</v>
      </c>
      <c r="L143" s="76">
        <f>IFERROR(IF(OR(NOT(ISNUMBER('Price History'!L144)),NOT(ISNUMBER('Price History'!L143)),'Price History'!L143=0),"",'Price History'!L144/'Price History'!L143-1),"")</f>
        <v>8.6261808367071424E-2</v>
      </c>
      <c r="M143" s="76">
        <f>IFERROR(IF(OR(NOT(ISNUMBER('Price History'!M144)),NOT(ISNUMBER('Price History'!M143)),'Price History'!M143=0),"",'Price History'!M144/'Price History'!M143-1),"")</f>
        <v>5.2450055313333799E-2</v>
      </c>
      <c r="N143" s="76">
        <f>IFERROR(IF(OR(NOT(ISNUMBER('Price History'!N144)),NOT(ISNUMBER('Price History'!N143)),'Price History'!N143=0),"",'Price History'!N144/'Price History'!N143-1),"")</f>
        <v>-2.4728014505892904E-2</v>
      </c>
      <c r="O143" s="76">
        <f>IFERROR(IF(OR(NOT(ISNUMBER('Price History'!O144)),NOT(ISNUMBER('Price History'!O143)),'Price History'!O143=0),"",'Price History'!O144/'Price History'!O143-1),"")</f>
        <v>1.2253233492171445E-2</v>
      </c>
      <c r="P143" s="76" t="str">
        <f>IFERROR(IF(OR(NOT(ISNUMBER('Price History'!P144)),NOT(ISNUMBER('Price History'!P143)),'Price History'!P143=0),"",'Price History'!P144/'Price History'!P143-1),"")</f>
        <v/>
      </c>
      <c r="Q143" s="76">
        <f>IFERROR(IF(OR(NOT(ISNUMBER('Price History'!Q144)),NOT(ISNUMBER('Price History'!Q143)),'Price History'!Q143=0),"",'Price History'!Q144/'Price History'!Q143-1),"")</f>
        <v>4.4563279857401383E-4</v>
      </c>
      <c r="R143" s="76">
        <f>IFERROR(IF(OR(NOT(ISNUMBER('Price History'!R144)),NOT(ISNUMBER('Price History'!R143)),'Price History'!R143=0),"",'Price History'!R144/'Price History'!R143-1),"")</f>
        <v>5.6256392771907304E-3</v>
      </c>
      <c r="S143" s="76">
        <f>IFERROR(IF(OR(NOT(ISNUMBER('Price History'!S144)),NOT(ISNUMBER('Price History'!S143)),'Price History'!S143=0),"",'Price History'!S144/'Price History'!S143-1),"")</f>
        <v>2.5097427903351566E-2</v>
      </c>
      <c r="T143" s="76">
        <f>IFERROR(IF(OR(NOT(ISNUMBER('Price History'!T144)),NOT(ISNUMBER('Price History'!T143)),'Price History'!T143=0),"",'Price History'!T144/'Price History'!T143-1),"")</f>
        <v>-5.7471264367814356E-3</v>
      </c>
      <c r="U143" s="76" t="str">
        <f>IFERROR(IF(OR(NOT(ISNUMBER('Price History'!U144)),NOT(ISNUMBER('Price History'!U143)),'Price History'!U143=0),"",'Price History'!U144/'Price History'!U143-1),"")</f>
        <v/>
      </c>
      <c r="W143" s="77">
        <f>'Price History'!B3+('Price History'!B158-'Price History'!B3)*0.909090909090909</f>
        <v>273.86818181818188</v>
      </c>
      <c r="X143" s="77">
        <f>'Price History'!C3+('Price History'!C158-'Price History'!C3)*0.909090909090909</f>
        <v>167.93090909090907</v>
      </c>
      <c r="Y143" s="77">
        <f>'Price History'!D3+('Price History'!D158-'Price History'!D3)*0.909090909090909</f>
        <v>1541.070909090909</v>
      </c>
      <c r="Z143" s="77">
        <f>'Price History'!E3+('Price History'!E158-'Price History'!E3)*0.909090909090909</f>
        <v>361.4345454545454</v>
      </c>
      <c r="AA143" s="77">
        <f>'Price History'!F3+('Price History'!F158-'Price History'!F3)*0.909090909090909</f>
        <v>176.87818181818182</v>
      </c>
      <c r="AB143" s="77">
        <f>'Price History'!G3+('Price History'!G158-'Price History'!G3)*0.909090909090909</f>
        <v>170.55454545454543</v>
      </c>
      <c r="AC143" s="77">
        <f>'Price History'!H3+('Price History'!H158-'Price History'!H3)*0.909090909090909</f>
        <v>754.06090909090892</v>
      </c>
      <c r="AD143" s="77">
        <f>'Price History'!I3+('Price History'!I158-'Price History'!I3)*0.909090909090909</f>
        <v>186.21363636363634</v>
      </c>
      <c r="AE143" s="77">
        <f>'Price History'!J3+('Price History'!J158-'Price History'!J3)*0.909090909090909</f>
        <v>142.69181818181818</v>
      </c>
      <c r="AF143" s="77">
        <f>'Price History'!K3+('Price History'!K158-'Price History'!K3)*0.909090909090909</f>
        <v>113.27363636363636</v>
      </c>
      <c r="AG143" s="77">
        <f>'Price History'!L3+('Price History'!L158-'Price History'!L3)*0.909090909090909</f>
        <v>375.86272727272723</v>
      </c>
      <c r="AH143" s="77">
        <f>'Price History'!M3+('Price History'!M158-'Price History'!M3)*0.909090909090909</f>
        <v>222.65545454545452</v>
      </c>
      <c r="AI143" s="77">
        <f>'Price History'!N3+('Price History'!N158-'Price History'!N3)*0.909090909090909</f>
        <v>465.53272727272724</v>
      </c>
      <c r="AJ143" s="77">
        <f>'Price History'!O3+('Price History'!O158-'Price History'!O3)*0.909090909090909</f>
        <v>121.42272727272726</v>
      </c>
      <c r="AK143" s="77">
        <f>'Price History'!Q3+('Price History'!Q151-'Price History'!Q3)*0.909090909090909</f>
        <v>66.758181818181811</v>
      </c>
      <c r="AL143" s="77">
        <f>'Price History'!R3+('Price History'!R158-'Price History'!R3)*0.909090909090909</f>
        <v>57.301818181818177</v>
      </c>
      <c r="AM143" s="77">
        <f>'Price History'!S3+('Price History'!S158-'Price History'!S3)*0.909090909090909</f>
        <v>136.07636363636365</v>
      </c>
      <c r="AN143" s="77">
        <f>'Price History'!T3+('Price History'!T158-'Price History'!T3)*0.909090909090909</f>
        <v>47.664545454545454</v>
      </c>
    </row>
    <row r="144" spans="1:40" ht="15" customHeight="1" x14ac:dyDescent="0.2">
      <c r="A144" s="55">
        <f>IF('Price History'!A145="","",'Price History'!A145)</f>
        <v>46143</v>
      </c>
      <c r="B144" s="76">
        <f>IFERROR(IF(OR(NOT(ISNUMBER('Price History'!B145)),NOT(ISNUMBER('Price History'!B144)),'Price History'!B144=0),"",'Price History'!B145/'Price History'!B144-1),"")</f>
        <v>2.1471642764015586E-2</v>
      </c>
      <c r="C144" s="76">
        <f>IFERROR(IF(OR(NOT(ISNUMBER('Price History'!C145)),NOT(ISNUMBER('Price History'!C144)),'Price History'!C144=0),"",'Price History'!C145/'Price History'!C144-1),"")</f>
        <v>-2.3797411112995381E-2</v>
      </c>
      <c r="D144" s="76">
        <f>IFERROR(IF(OR(NOT(ISNUMBER('Price History'!D145)),NOT(ISNUMBER('Price History'!D144)),'Price History'!D144=0),"",'Price History'!D145/'Price History'!D144-1),"")</f>
        <v>-2.1046854634012568E-2</v>
      </c>
      <c r="E144" s="76">
        <f>IFERROR(IF(OR(NOT(ISNUMBER('Price History'!E145)),NOT(ISNUMBER('Price History'!E144)),'Price History'!E144=0),"",'Price History'!E145/'Price History'!E144-1),"")</f>
        <v>-3.5008042388117167E-3</v>
      </c>
      <c r="F144" s="76">
        <f>IFERROR(IF(OR(NOT(ISNUMBER('Price History'!F145)),NOT(ISNUMBER('Price History'!F144)),'Price History'!F144=0),"",'Price History'!F145/'Price History'!F144-1),"")</f>
        <v>1.6781219316254425E-2</v>
      </c>
      <c r="G144" s="76">
        <f>IFERROR(IF(OR(NOT(ISNUMBER('Price History'!G145)),NOT(ISNUMBER('Price History'!G144)),'Price History'!G144=0),"",'Price History'!G145/'Price History'!G144-1),"")</f>
        <v>-0.10785529715762276</v>
      </c>
      <c r="H144" s="76">
        <f>IFERROR(IF(OR(NOT(ISNUMBER('Price History'!H145)),NOT(ISNUMBER('Price History'!H144)),'Price History'!H144=0),"",'Price History'!H145/'Price History'!H144-1),"")</f>
        <v>9.1580769850217347E-2</v>
      </c>
      <c r="I144" s="76">
        <f>IFERROR(IF(OR(NOT(ISNUMBER('Price History'!I145)),NOT(ISNUMBER('Price History'!I144)),'Price History'!I144=0),"",'Price History'!I145/'Price History'!I144-1),"")</f>
        <v>-4.715033370144539E-2</v>
      </c>
      <c r="J144" s="76">
        <f>IFERROR(IF(OR(NOT(ISNUMBER('Price History'!J145)),NOT(ISNUMBER('Price History'!J144)),'Price History'!J144=0),"",'Price History'!J145/'Price History'!J144-1),"")</f>
        <v>-4.8557353976073081E-3</v>
      </c>
      <c r="K144" s="76">
        <f>IFERROR(IF(OR(NOT(ISNUMBER('Price History'!K145)),NOT(ISNUMBER('Price History'!K144)),'Price History'!K144=0),"",'Price History'!K145/'Price History'!K144-1),"")</f>
        <v>6.8488363966734411E-3</v>
      </c>
      <c r="L144" s="76">
        <f>IFERROR(IF(OR(NOT(ISNUMBER('Price History'!L145)),NOT(ISNUMBER('Price History'!L144)),'Price History'!L144=0),"",'Price History'!L145/'Price History'!L144-1),"")</f>
        <v>-1.190180390597817E-2</v>
      </c>
      <c r="M144" s="76">
        <f>IFERROR(IF(OR(NOT(ISNUMBER('Price History'!M145)),NOT(ISNUMBER('Price History'!M144)),'Price History'!M144=0),"",'Price History'!M145/'Price History'!M144-1),"")</f>
        <v>1.499412601248995E-2</v>
      </c>
      <c r="N144" s="76">
        <f>IFERROR(IF(OR(NOT(ISNUMBER('Price History'!N145)),NOT(ISNUMBER('Price History'!N144)),'Price History'!N144=0),"",'Price History'!N145/'Price History'!N144-1),"")</f>
        <v>-1.4803969415975282E-2</v>
      </c>
      <c r="O144" s="76">
        <f>IFERROR(IF(OR(NOT(ISNUMBER('Price History'!O145)),NOT(ISNUMBER('Price History'!O144)),'Price History'!O144=0),"",'Price History'!O145/'Price History'!O144-1),"")</f>
        <v>8.4061869535978495E-3</v>
      </c>
      <c r="P144" s="76" t="str">
        <f>IFERROR(IF(OR(NOT(ISNUMBER('Price History'!P145)),NOT(ISNUMBER('Price History'!P144)),'Price History'!P144=0),"",'Price History'!P145/'Price History'!P144-1),"")</f>
        <v/>
      </c>
      <c r="Q144" s="76">
        <f>IFERROR(IF(OR(NOT(ISNUMBER('Price History'!Q145)),NOT(ISNUMBER('Price History'!Q144)),'Price History'!Q144=0),"",'Price History'!Q145/'Price History'!Q144-1),"")</f>
        <v>8.4632516703786465E-3</v>
      </c>
      <c r="R144" s="76">
        <f>IFERROR(IF(OR(NOT(ISNUMBER('Price History'!R145)),NOT(ISNUMBER('Price History'!R144)),'Price History'!R144=0),"",'Price History'!R145/'Price History'!R144-1),"")</f>
        <v>-2.203763349720389E-3</v>
      </c>
      <c r="S144" s="76">
        <f>IFERROR(IF(OR(NOT(ISNUMBER('Price History'!S145)),NOT(ISNUMBER('Price History'!S144)),'Price History'!S144=0),"",'Price History'!S145/'Price History'!S144-1),"")</f>
        <v>2.2049878345498541E-2</v>
      </c>
      <c r="T144" s="76">
        <f>IFERROR(IF(OR(NOT(ISNUMBER('Price History'!T145)),NOT(ISNUMBER('Price History'!T144)),'Price History'!T144=0),"",'Price History'!T145/'Price History'!T144-1),"")</f>
        <v>2.5770712909441329E-2</v>
      </c>
      <c r="U144" s="76" t="str">
        <f>IFERROR(IF(OR(NOT(ISNUMBER('Price History'!U145)),NOT(ISNUMBER('Price History'!U144)),'Price History'!U144=0),"",'Price History'!U145/'Price History'!U144-1),"")</f>
        <v/>
      </c>
      <c r="W144" s="77">
        <f>'Price History'!B3+('Price History'!B158-'Price History'!B3)*0.915584415584416</f>
        <v>272.19259740259736</v>
      </c>
      <c r="X144" s="77">
        <f>'Price History'!C3+('Price History'!C158-'Price History'!C3)*0.915584415584416</f>
        <v>168.81798701298706</v>
      </c>
      <c r="Y144" s="77">
        <f>'Price History'!D3+('Price History'!D158-'Price History'!D3)*0.915584415584416</f>
        <v>1547.3515584415588</v>
      </c>
      <c r="Z144" s="77">
        <f>'Price History'!E3+('Price History'!E158-'Price History'!E3)*0.915584415584416</f>
        <v>363.42350649350658</v>
      </c>
      <c r="AA144" s="77">
        <f>'Price History'!F3+('Price History'!F158-'Price History'!F3)*0.915584415584416</f>
        <v>177.87688311688319</v>
      </c>
      <c r="AB144" s="77">
        <f>'Price History'!G3+('Price History'!G158-'Price History'!G3)*0.915584415584416</f>
        <v>171.43064935064939</v>
      </c>
      <c r="AC144" s="77">
        <f>'Price History'!H3+('Price History'!H158-'Price History'!H3)*0.915584415584416</f>
        <v>758.98727272727297</v>
      </c>
      <c r="AD144" s="77">
        <f>'Price History'!I3+('Price History'!I158-'Price History'!I3)*0.915584415584416</f>
        <v>187.25194805194812</v>
      </c>
      <c r="AE144" s="77">
        <f>'Price History'!J3+('Price History'!J158-'Price History'!J3)*0.915584415584416</f>
        <v>142.82883116883119</v>
      </c>
      <c r="AF144" s="77">
        <f>'Price History'!K3+('Price History'!K158-'Price History'!K3)*0.915584415584416</f>
        <v>113.97266233766238</v>
      </c>
      <c r="AG144" s="77">
        <f>'Price History'!L3+('Price History'!L158-'Price History'!L3)*0.915584415584416</f>
        <v>377.89038961038972</v>
      </c>
      <c r="AH144" s="77">
        <f>'Price History'!M3+('Price History'!M158-'Price History'!M3)*0.915584415584416</f>
        <v>224.00649350649357</v>
      </c>
      <c r="AI144" s="77">
        <f>'Price History'!N3+('Price History'!N158-'Price History'!N3)*0.915584415584416</f>
        <v>466.35896103896113</v>
      </c>
      <c r="AJ144" s="77">
        <f>'Price History'!O3+('Price History'!O158-'Price History'!O3)*0.915584415584416</f>
        <v>121.69824675324676</v>
      </c>
      <c r="AK144" s="77">
        <f>'Price History'!Q3+('Price History'!Q151-'Price History'!Q3)*0.915584415584416</f>
        <v>66.879025974025978</v>
      </c>
      <c r="AL144" s="77">
        <f>'Price History'!R3+('Price History'!R158-'Price History'!R3)*0.915584415584416</f>
        <v>57.36954545454546</v>
      </c>
      <c r="AM144" s="77">
        <f>'Price History'!S3+('Price History'!S158-'Price History'!S3)*0.915584415584416</f>
        <v>136.63019480519486</v>
      </c>
      <c r="AN144" s="77">
        <f>'Price History'!T3+('Price History'!T158-'Price History'!T3)*0.915584415584416</f>
        <v>47.812792207792214</v>
      </c>
    </row>
    <row r="145" spans="1:40" ht="15" customHeight="1" x14ac:dyDescent="0.2">
      <c r="A145" s="55">
        <f>IF('Price History'!A146="","",'Price History'!A146)</f>
        <v>46150</v>
      </c>
      <c r="B145" s="76">
        <f>IFERROR(IF(OR(NOT(ISNUMBER('Price History'!B146)),NOT(ISNUMBER('Price History'!B145)),'Price History'!B145=0),"",'Price History'!B146/'Price History'!B145-1),"")</f>
        <v>9.2936061585098262E-3</v>
      </c>
      <c r="C145" s="76">
        <f>IFERROR(IF(OR(NOT(ISNUMBER('Price History'!C146)),NOT(ISNUMBER('Price History'!C145)),'Price History'!C145=0),"",'Price History'!C146/'Price History'!C145-1),"")</f>
        <v>-0.17909669947886497</v>
      </c>
      <c r="D145" s="76">
        <f>IFERROR(IF(OR(NOT(ISNUMBER('Price History'!D146)),NOT(ISNUMBER('Price History'!D145)),'Price History'!D145=0),"",'Price History'!D146/'Price History'!D145-1),"")</f>
        <v>0.1156255693683339</v>
      </c>
      <c r="E145" s="76">
        <f>IFERROR(IF(OR(NOT(ISNUMBER('Price History'!E146)),NOT(ISNUMBER('Price History'!E145)),'Price History'!E145=0),"",'Price History'!E146/'Price History'!E145-1),"")</f>
        <v>2.0698822635776715E-2</v>
      </c>
      <c r="F145" s="76">
        <f>IFERROR(IF(OR(NOT(ISNUMBER('Price History'!F146)),NOT(ISNUMBER('Price History'!F145)),'Price History'!F145=0),"",'Price History'!F146/'Price History'!F145-1),"")</f>
        <v>0.15828285488543581</v>
      </c>
      <c r="G145" s="76">
        <f>IFERROR(IF(OR(NOT(ISNUMBER('Price History'!G146)),NOT(ISNUMBER('Price History'!G145)),'Price History'!G145=0),"",'Price History'!G146/'Price History'!G145-1),"")</f>
        <v>8.2778196142037741E-2</v>
      </c>
      <c r="H145" s="76">
        <f>IFERROR(IF(OR(NOT(ISNUMBER('Price History'!H146)),NOT(ISNUMBER('Price History'!H145)),'Price History'!H145=0),"",'Price History'!H146/'Price History'!H145-1),"")</f>
        <v>0.37734457129156573</v>
      </c>
      <c r="I145" s="76">
        <f>IFERROR(IF(OR(NOT(ISNUMBER('Price History'!I146)),NOT(ISNUMBER('Price History'!I145)),'Price History'!I145=0),"",'Price History'!I146/'Price History'!I145-1),"")</f>
        <v>8.4404132023179645E-2</v>
      </c>
      <c r="J145" s="76">
        <f>IFERROR(IF(OR(NOT(ISNUMBER('Price History'!J146)),NOT(ISNUMBER('Price History'!J145)),'Price History'!J145=0),"",'Price History'!J146/'Price History'!J145-1),"")</f>
        <v>1.8951983593805233E-2</v>
      </c>
      <c r="K145" s="76">
        <f>IFERROR(IF(OR(NOT(ISNUMBER('Price History'!K146)),NOT(ISNUMBER('Price History'!K145)),'Price History'!K145=0),"",'Price History'!K146/'Price History'!K145-1),"")</f>
        <v>-4.3520510862774864E-2</v>
      </c>
      <c r="L145" s="76">
        <f>IFERROR(IF(OR(NOT(ISNUMBER('Price History'!L146)),NOT(ISNUMBER('Price History'!L145)),'Price History'!L145=0),"",'Price History'!L146/'Price History'!L145-1),"")</f>
        <v>3.523021600824805E-2</v>
      </c>
      <c r="M145" s="76">
        <f>IFERROR(IF(OR(NOT(ISNUMBER('Price History'!M146)),NOT(ISNUMBER('Price History'!M145)),'Price History'!M145=0),"",'Price History'!M146/'Price History'!M145-1),"")</f>
        <v>3.5515214279187468E-2</v>
      </c>
      <c r="N145" s="76">
        <f>IFERROR(IF(OR(NOT(ISNUMBER('Price History'!N146)),NOT(ISNUMBER('Price History'!N145)),'Price History'!N145=0),"",'Price History'!N146/'Price History'!N145-1),"")</f>
        <v>1.3917720324589489E-2</v>
      </c>
      <c r="O145" s="76">
        <f>IFERROR(IF(OR(NOT(ISNUMBER('Price History'!O146)),NOT(ISNUMBER('Price History'!O145)),'Price History'!O145=0),"",'Price History'!O146/'Price History'!O145-1),"")</f>
        <v>-1.0003334444813605E-3</v>
      </c>
      <c r="P145" s="76" t="str">
        <f>IFERROR(IF(OR(NOT(ISNUMBER('Price History'!P146)),NOT(ISNUMBER('Price History'!P145)),'Price History'!P145=0),"",'Price History'!P146/'Price History'!P145-1),"")</f>
        <v/>
      </c>
      <c r="Q145" s="76">
        <f>IFERROR(IF(OR(NOT(ISNUMBER('Price History'!Q146)),NOT(ISNUMBER('Price History'!Q145)),'Price History'!Q145=0),"",'Price History'!Q146/'Price History'!Q145-1),"")</f>
        <v>-1.2367491166077826E-2</v>
      </c>
      <c r="R145" s="76">
        <f>IFERROR(IF(OR(NOT(ISNUMBER('Price History'!R146)),NOT(ISNUMBER('Price History'!R145)),'Price History'!R145=0),"",'Price History'!R146/'Price History'!R145-1),"")</f>
        <v>1.2742099898063186E-2</v>
      </c>
      <c r="S145" s="76">
        <f>IFERROR(IF(OR(NOT(ISNUMBER('Price History'!S146)),NOT(ISNUMBER('Price History'!S145)),'Price History'!S145=0),"",'Price History'!S146/'Price History'!S145-1),"")</f>
        <v>6.9855676238655073E-2</v>
      </c>
      <c r="T145" s="76">
        <f>IFERROR(IF(OR(NOT(ISNUMBER('Price History'!T146)),NOT(ISNUMBER('Price History'!T145)),'Price History'!T145=0),"",'Price History'!T146/'Price History'!T145-1),"")</f>
        <v>2.4184080770133676E-2</v>
      </c>
      <c r="U145" s="76" t="str">
        <f>IFERROR(IF(OR(NOT(ISNUMBER('Price History'!U146)),NOT(ISNUMBER('Price History'!U145)),'Price History'!U145=0),"",'Price History'!U146/'Price History'!U145-1),"")</f>
        <v/>
      </c>
      <c r="W145" s="77">
        <f>'Price History'!B3+('Price History'!B158-'Price History'!B3)*0.922077922077922</f>
        <v>270.517012987013</v>
      </c>
      <c r="X145" s="77">
        <f>'Price History'!C3+('Price History'!C158-'Price History'!C3)*0.922077922077922</f>
        <v>169.70506493506491</v>
      </c>
      <c r="Y145" s="77">
        <f>'Price History'!D3+('Price History'!D158-'Price History'!D3)*0.922077922077922</f>
        <v>1553.6322077922077</v>
      </c>
      <c r="Z145" s="77">
        <f>'Price History'!E3+('Price History'!E158-'Price History'!E3)*0.922077922077922</f>
        <v>365.41246753246747</v>
      </c>
      <c r="AA145" s="77">
        <f>'Price History'!F3+('Price History'!F158-'Price History'!F3)*0.922077922077922</f>
        <v>178.87558441558443</v>
      </c>
      <c r="AB145" s="77">
        <f>'Price History'!G3+('Price History'!G158-'Price History'!G3)*0.922077922077922</f>
        <v>172.30675324675323</v>
      </c>
      <c r="AC145" s="77">
        <f>'Price History'!H3+('Price History'!H158-'Price History'!H3)*0.922077922077922</f>
        <v>763.91363636363633</v>
      </c>
      <c r="AD145" s="77">
        <f>'Price History'!I3+('Price History'!I158-'Price History'!I3)*0.922077922077922</f>
        <v>188.29025974025973</v>
      </c>
      <c r="AE145" s="77">
        <f>'Price History'!J3+('Price History'!J158-'Price History'!J3)*0.922077922077922</f>
        <v>142.96584415584417</v>
      </c>
      <c r="AF145" s="77">
        <f>'Price History'!K3+('Price History'!K158-'Price History'!K3)*0.922077922077922</f>
        <v>114.67168831168831</v>
      </c>
      <c r="AG145" s="77">
        <f>'Price History'!L3+('Price History'!L158-'Price History'!L3)*0.922077922077922</f>
        <v>379.91805194805193</v>
      </c>
      <c r="AH145" s="77">
        <f>'Price History'!M3+('Price History'!M158-'Price History'!M3)*0.922077922077922</f>
        <v>225.35753246753245</v>
      </c>
      <c r="AI145" s="77">
        <f>'Price History'!N3+('Price History'!N158-'Price History'!N3)*0.922077922077922</f>
        <v>467.18519480519484</v>
      </c>
      <c r="AJ145" s="77">
        <f>'Price History'!O3+('Price History'!O158-'Price History'!O3)*0.922077922077922</f>
        <v>121.97376623376624</v>
      </c>
      <c r="AK145" s="77">
        <f>'Price History'!Q3+('Price History'!Q151-'Price History'!Q3)*0.922077922077922</f>
        <v>66.999870129870132</v>
      </c>
      <c r="AL145" s="77">
        <f>'Price History'!R3+('Price History'!R158-'Price History'!R3)*0.922077922077922</f>
        <v>57.437272727272727</v>
      </c>
      <c r="AM145" s="77">
        <f>'Price History'!S3+('Price History'!S158-'Price History'!S3)*0.922077922077922</f>
        <v>137.18402597402599</v>
      </c>
      <c r="AN145" s="77">
        <f>'Price History'!T3+('Price History'!T158-'Price History'!T3)*0.922077922077922</f>
        <v>47.961038961038966</v>
      </c>
    </row>
    <row r="146" spans="1:40" ht="15" customHeight="1" x14ac:dyDescent="0.2">
      <c r="A146" s="55">
        <f>IF('Price History'!A147="","",'Price History'!A147)</f>
        <v>46157</v>
      </c>
      <c r="B146" s="76">
        <f>IFERROR(IF(OR(NOT(ISNUMBER('Price History'!B147)),NOT(ISNUMBER('Price History'!B146)),'Price History'!B146=0),"",'Price History'!B147/'Price History'!B146-1),"")</f>
        <v>-2.1498577300031574E-2</v>
      </c>
      <c r="C146" s="76">
        <f>IFERROR(IF(OR(NOT(ISNUMBER('Price History'!C147)),NOT(ISNUMBER('Price History'!C146)),'Price History'!C146=0),"",'Price History'!C147/'Price History'!C146-1),"")</f>
        <v>1.4107356986667874E-3</v>
      </c>
      <c r="D146" s="76">
        <f>IFERROR(IF(OR(NOT(ISNUMBER('Price History'!D147)),NOT(ISNUMBER('Price History'!D146)),'Price History'!D146=0),"",'Price History'!D147/'Price History'!D146-1),"")</f>
        <v>-5.6663861006771343E-2</v>
      </c>
      <c r="E146" s="76">
        <f>IFERROR(IF(OR(NOT(ISNUMBER('Price History'!E147)),NOT(ISNUMBER('Price History'!E146)),'Price History'!E146=0),"",'Price History'!E147/'Price History'!E146-1),"")</f>
        <v>-1.1186046511627912E-2</v>
      </c>
      <c r="F146" s="76">
        <f>IFERROR(IF(OR(NOT(ISNUMBER('Price History'!F147)),NOT(ISNUMBER('Price History'!F146)),'Price History'!F146=0),"",'Price History'!F147/'Price History'!F146-1),"")</f>
        <v>0.12566318023343959</v>
      </c>
      <c r="G146" s="76">
        <f>IFERROR(IF(OR(NOT(ISNUMBER('Price History'!G147)),NOT(ISNUMBER('Price History'!G146)),'Price History'!G146=0),"",'Price History'!G147/'Price History'!G146-1),"")</f>
        <v>-3.4720736143804776E-2</v>
      </c>
      <c r="H146" s="76">
        <f>IFERROR(IF(OR(NOT(ISNUMBER('Price History'!H147)),NOT(ISNUMBER('Price History'!H146)),'Price History'!H146=0),"",'Price History'!H147/'Price History'!H146-1),"")</f>
        <v>-2.9659485009574049E-2</v>
      </c>
      <c r="I146" s="76">
        <f>IFERROR(IF(OR(NOT(ISNUMBER('Price History'!I147)),NOT(ISNUMBER('Price History'!I146)),'Price History'!I146=0),"",'Price History'!I147/'Price History'!I146-1),"")</f>
        <v>4.702602230483266E-2</v>
      </c>
      <c r="J146" s="76">
        <f>IFERROR(IF(OR(NOT(ISNUMBER('Price History'!J147)),NOT(ISNUMBER('Price History'!J146)),'Price History'!J146=0),"",'Price History'!J147/'Price History'!J146-1),"")</f>
        <v>-2.4706780484419433E-2</v>
      </c>
      <c r="K146" s="76">
        <f>IFERROR(IF(OR(NOT(ISNUMBER('Price History'!K147)),NOT(ISNUMBER('Price History'!K146)),'Price History'!K146=0),"",'Price History'!K147/'Price History'!K146-1),"")</f>
        <v>-2.7648766328011609E-2</v>
      </c>
      <c r="L146" s="76">
        <f>IFERROR(IF(OR(NOT(ISNUMBER('Price History'!L147)),NOT(ISNUMBER('Price History'!L146)),'Price History'!L146=0),"",'Price History'!L147/'Price History'!L146-1),"")</f>
        <v>-1.7805091333074174E-2</v>
      </c>
      <c r="M146" s="76">
        <f>IFERROR(IF(OR(NOT(ISNUMBER('Price History'!M147)),NOT(ISNUMBER('Price History'!M146)),'Price History'!M146=0),"",'Price History'!M147/'Price History'!M146-1),"")</f>
        <v>9.109627320057645E-2</v>
      </c>
      <c r="N146" s="76">
        <f>IFERROR(IF(OR(NOT(ISNUMBER('Price History'!N147)),NOT(ISNUMBER('Price History'!N146)),'Price History'!N146=0),"",'Price History'!N147/'Price History'!N146-1),"")</f>
        <v>1.6588339304825173E-2</v>
      </c>
      <c r="O146" s="76">
        <f>IFERROR(IF(OR(NOT(ISNUMBER('Price History'!O147)),NOT(ISNUMBER('Price History'!O146)),'Price History'!O146=0),"",'Price History'!O147/'Price History'!O146-1),"")</f>
        <v>-2.161214953271029E-2</v>
      </c>
      <c r="P146" s="76" t="str">
        <f>IFERROR(IF(OR(NOT(ISNUMBER('Price History'!P147)),NOT(ISNUMBER('Price History'!P146)),'Price History'!P146=0),"",'Price History'!P147/'Price History'!P146-1),"")</f>
        <v/>
      </c>
      <c r="Q146" s="76">
        <f>IFERROR(IF(OR(NOT(ISNUMBER('Price History'!Q147)),NOT(ISNUMBER('Price History'!Q146)),'Price History'!Q146=0),"",'Price History'!Q147/'Price History'!Q146-1),"")</f>
        <v>7.6028622540251778E-3</v>
      </c>
      <c r="R146" s="76">
        <f>IFERROR(IF(OR(NOT(ISNUMBER('Price History'!R147)),NOT(ISNUMBER('Price History'!R146)),'Price History'!R146=0),"",'Price History'!R147/'Price History'!R146-1),"")</f>
        <v>2.6841134037913772E-3</v>
      </c>
      <c r="S146" s="76">
        <f>IFERROR(IF(OR(NOT(ISNUMBER('Price History'!S147)),NOT(ISNUMBER('Price History'!S146)),'Price History'!S146=0),"",'Price History'!S147/'Price History'!S146-1),"")</f>
        <v>-2.2946943884292192E-3</v>
      </c>
      <c r="T146" s="76">
        <f>IFERROR(IF(OR(NOT(ISNUMBER('Price History'!T147)),NOT(ISNUMBER('Price History'!T146)),'Price History'!T146=0),"",'Price History'!T147/'Price History'!T146-1),"")</f>
        <v>-2.5676295277395678E-2</v>
      </c>
      <c r="U146" s="76" t="str">
        <f>IFERROR(IF(OR(NOT(ISNUMBER('Price History'!U147)),NOT(ISNUMBER('Price History'!U146)),'Price History'!U146=0),"",'Price History'!U147/'Price History'!U146-1),"")</f>
        <v/>
      </c>
      <c r="W146" s="77">
        <f>'Price History'!B3+('Price History'!B158-'Price History'!B3)*0.928571428571429</f>
        <v>268.84142857142848</v>
      </c>
      <c r="X146" s="77">
        <f>'Price History'!C3+('Price History'!C158-'Price History'!C3)*0.928571428571429</f>
        <v>170.5921428571429</v>
      </c>
      <c r="Y146" s="77">
        <f>'Price History'!D3+('Price History'!D158-'Price History'!D3)*0.928571428571429</f>
        <v>1559.9128571428575</v>
      </c>
      <c r="Z146" s="77">
        <f>'Price History'!E3+('Price History'!E158-'Price History'!E3)*0.928571428571429</f>
        <v>367.40142857142871</v>
      </c>
      <c r="AA146" s="77">
        <f>'Price History'!F3+('Price History'!F158-'Price History'!F3)*0.928571428571429</f>
        <v>179.8742857142858</v>
      </c>
      <c r="AB146" s="77">
        <f>'Price History'!G3+('Price History'!G158-'Price History'!G3)*0.928571428571429</f>
        <v>173.18285714285719</v>
      </c>
      <c r="AC146" s="77">
        <f>'Price History'!H3+('Price History'!H158-'Price History'!H3)*0.928571428571429</f>
        <v>768.84000000000037</v>
      </c>
      <c r="AD146" s="77">
        <f>'Price History'!I3+('Price History'!I158-'Price History'!I3)*0.928571428571429</f>
        <v>189.32857142857151</v>
      </c>
      <c r="AE146" s="77">
        <f>'Price History'!J3+('Price History'!J158-'Price History'!J3)*0.928571428571429</f>
        <v>143.10285714285718</v>
      </c>
      <c r="AF146" s="77">
        <f>'Price History'!K3+('Price History'!K158-'Price History'!K3)*0.928571428571429</f>
        <v>115.37071428571434</v>
      </c>
      <c r="AG146" s="77">
        <f>'Price History'!L3+('Price History'!L158-'Price History'!L3)*0.928571428571429</f>
        <v>381.94571428571442</v>
      </c>
      <c r="AH146" s="77">
        <f>'Price History'!M3+('Price History'!M158-'Price History'!M3)*0.928571428571429</f>
        <v>226.70857142857153</v>
      </c>
      <c r="AI146" s="77">
        <f>'Price History'!N3+('Price History'!N158-'Price History'!N3)*0.928571428571429</f>
        <v>468.01142857142867</v>
      </c>
      <c r="AJ146" s="77">
        <f>'Price History'!O3+('Price History'!O158-'Price History'!O3)*0.928571428571429</f>
        <v>122.24928571428573</v>
      </c>
      <c r="AK146" s="77">
        <f>'Price History'!Q3+('Price History'!Q151-'Price History'!Q3)*0.928571428571429</f>
        <v>67.1207142857143</v>
      </c>
      <c r="AL146" s="77">
        <f>'Price History'!R3+('Price History'!R158-'Price History'!R3)*0.928571428571429</f>
        <v>57.505000000000003</v>
      </c>
      <c r="AM146" s="77">
        <f>'Price History'!S3+('Price History'!S158-'Price History'!S3)*0.928571428571429</f>
        <v>137.73785714285719</v>
      </c>
      <c r="AN146" s="77">
        <f>'Price History'!T3+('Price History'!T158-'Price History'!T3)*0.928571428571429</f>
        <v>48.109285714285726</v>
      </c>
    </row>
    <row r="147" spans="1:40" ht="15" customHeight="1" x14ac:dyDescent="0.2">
      <c r="A147" s="55">
        <f>IF('Price History'!A148="","",'Price History'!A148)</f>
        <v>46164</v>
      </c>
      <c r="B147" s="76">
        <f>IFERROR(IF(OR(NOT(ISNUMBER('Price History'!B148)),NOT(ISNUMBER('Price History'!B147)),'Price History'!B147=0),"",'Price History'!B148/'Price History'!B147-1),"")</f>
        <v>-1.1470113085621958E-2</v>
      </c>
      <c r="C147" s="76">
        <f>IFERROR(IF(OR(NOT(ISNUMBER('Price History'!C148)),NOT(ISNUMBER('Price History'!C147)),'Price History'!C147=0),"",'Price History'!C148/'Price History'!C147-1),"")</f>
        <v>8.494752412481521E-2</v>
      </c>
      <c r="D147" s="76">
        <f>IFERROR(IF(OR(NOT(ISNUMBER('Price History'!D148)),NOT(ISNUMBER('Price History'!D147)),'Price History'!D147=0),"",'Price History'!D148/'Price History'!D147-1),"")</f>
        <v>8.7288005806327229E-2</v>
      </c>
      <c r="E147" s="76">
        <f>IFERROR(IF(OR(NOT(ISNUMBER('Price History'!E148)),NOT(ISNUMBER('Price History'!E147)),'Price History'!E147=0),"",'Price History'!E148/'Price History'!E147-1),"")</f>
        <v>-2.5988381664667548E-2</v>
      </c>
      <c r="F147" s="76">
        <f>IFERROR(IF(OR(NOT(ISNUMBER('Price History'!F148)),NOT(ISNUMBER('Price History'!F147)),'Price History'!F147=0),"",'Price History'!F148/'Price History'!F147-1),"")</f>
        <v>0.11681928359816851</v>
      </c>
      <c r="G147" s="76">
        <f>IFERROR(IF(OR(NOT(ISNUMBER('Price History'!G148)),NOT(ISNUMBER('Price History'!G147)),'Price History'!G147=0),"",'Price History'!G148/'Price History'!G147-1),"")</f>
        <v>4.6610874023166771E-2</v>
      </c>
      <c r="H147" s="76">
        <f>IFERROR(IF(OR(NOT(ISNUMBER('Price History'!H148)),NOT(ISNUMBER('Price History'!H147)),'Price History'!H147=0),"",'Price History'!H148/'Price History'!H147-1),"")</f>
        <v>3.6348080479121192E-2</v>
      </c>
      <c r="I147" s="76">
        <f>IFERROR(IF(OR(NOT(ISNUMBER('Price History'!I148)),NOT(ISNUMBER('Price History'!I147)),'Price History'!I147=0),"",'Price History'!I148/'Price History'!I147-1),"")</f>
        <v>-4.4336943014379515E-2</v>
      </c>
      <c r="J147" s="76">
        <f>IFERROR(IF(OR(NOT(ISNUMBER('Price History'!J148)),NOT(ISNUMBER('Price History'!J147)),'Price History'!J147=0),"",'Price History'!J148/'Price History'!J147-1),"")</f>
        <v>3.8212481320714531E-2</v>
      </c>
      <c r="K147" s="76">
        <f>IFERROR(IF(OR(NOT(ISNUMBER('Price History'!K148)),NOT(ISNUMBER('Price History'!K147)),'Price History'!K147=0),"",'Price History'!K148/'Price History'!K147-1),"")</f>
        <v>2.1568773789088613E-2</v>
      </c>
      <c r="L147" s="76">
        <f>IFERROR(IF(OR(NOT(ISNUMBER('Price History'!L148)),NOT(ISNUMBER('Price History'!L147)),'Price History'!L147=0),"",'Price History'!L148/'Price History'!L147-1),"")</f>
        <v>4.2042784716200821E-4</v>
      </c>
      <c r="M147" s="76">
        <f>IFERROR(IF(OR(NOT(ISNUMBER('Price History'!M148)),NOT(ISNUMBER('Price History'!M147)),'Price History'!M147=0),"",'Price History'!M148/'Price History'!M147-1),"")</f>
        <v>-0.11721572221922683</v>
      </c>
      <c r="N147" s="76">
        <f>IFERROR(IF(OR(NOT(ISNUMBER('Price History'!N148)),NOT(ISNUMBER('Price History'!N147)),'Price History'!N147=0),"",'Price History'!N148/'Price History'!N147-1),"")</f>
        <v>-5.5612770339855677E-3</v>
      </c>
      <c r="O147" s="76">
        <f>IFERROR(IF(OR(NOT(ISNUMBER('Price History'!O148)),NOT(ISNUMBER('Price History'!O147)),'Price History'!O147=0),"",'Price History'!O148/'Price History'!O147-1),"")</f>
        <v>2.371002132196165E-2</v>
      </c>
      <c r="P147" s="76" t="str">
        <f>IFERROR(IF(OR(NOT(ISNUMBER('Price History'!P148)),NOT(ISNUMBER('Price History'!P147)),'Price History'!P147=0),"",'Price History'!P148/'Price History'!P147-1),"")</f>
        <v/>
      </c>
      <c r="Q147" s="76">
        <f>IFERROR(IF(OR(NOT(ISNUMBER('Price History'!Q148)),NOT(ISNUMBER('Price History'!Q147)),'Price History'!Q147=0),"",'Price History'!Q148/'Price History'!Q147-1),"")</f>
        <v>1.094836514277242E-2</v>
      </c>
      <c r="R147" s="76">
        <f>IFERROR(IF(OR(NOT(ISNUMBER('Price History'!R148)),NOT(ISNUMBER('Price History'!R147)),'Price History'!R147=0),"",'Price History'!R148/'Price History'!R147-1),"")</f>
        <v>7.3615526183703484E-3</v>
      </c>
      <c r="S147" s="76">
        <f>IFERROR(IF(OR(NOT(ISNUMBER('Price History'!S148)),NOT(ISNUMBER('Price History'!S147)),'Price History'!S147=0),"",'Price History'!S148/'Price History'!S147-1),"")</f>
        <v>1.0175634234736552E-2</v>
      </c>
      <c r="T147" s="76">
        <f>IFERROR(IF(OR(NOT(ISNUMBER('Price History'!T148)),NOT(ISNUMBER('Price History'!T147)),'Price History'!T147=0),"",'Price History'!T148/'Price History'!T147-1),"")</f>
        <v>3.9529411764705813E-2</v>
      </c>
      <c r="U147" s="76" t="str">
        <f>IFERROR(IF(OR(NOT(ISNUMBER('Price History'!U148)),NOT(ISNUMBER('Price History'!U147)),'Price History'!U147=0),"",'Price History'!U148/'Price History'!U147-1),"")</f>
        <v/>
      </c>
      <c r="W147" s="77">
        <f>'Price History'!B3+('Price History'!B158-'Price History'!B3)*0.935064935064935</f>
        <v>267.16584415584418</v>
      </c>
      <c r="X147" s="77">
        <f>'Price History'!C3+('Price History'!C158-'Price History'!C3)*0.935064935064935</f>
        <v>171.47922077922075</v>
      </c>
      <c r="Y147" s="77">
        <f>'Price History'!D3+('Price History'!D158-'Price History'!D3)*0.935064935064935</f>
        <v>1566.1935064935064</v>
      </c>
      <c r="Z147" s="77">
        <f>'Price History'!E3+('Price History'!E158-'Price History'!E3)*0.935064935064935</f>
        <v>369.3903896103896</v>
      </c>
      <c r="AA147" s="77">
        <f>'Price History'!F3+('Price History'!F158-'Price History'!F3)*0.935064935064935</f>
        <v>180.87298701298701</v>
      </c>
      <c r="AB147" s="77">
        <f>'Price History'!G3+('Price History'!G158-'Price History'!G3)*0.935064935064935</f>
        <v>174.05896103896103</v>
      </c>
      <c r="AC147" s="77">
        <f>'Price History'!H3+('Price History'!H158-'Price History'!H3)*0.935064935064935</f>
        <v>773.76636363636362</v>
      </c>
      <c r="AD147" s="77">
        <f>'Price History'!I3+('Price History'!I158-'Price History'!I3)*0.935064935064935</f>
        <v>190.36688311688312</v>
      </c>
      <c r="AE147" s="77">
        <f>'Price History'!J3+('Price History'!J158-'Price History'!J3)*0.935064935064935</f>
        <v>143.23987012987016</v>
      </c>
      <c r="AF147" s="77">
        <f>'Price History'!K3+('Price History'!K158-'Price History'!K3)*0.935064935064935</f>
        <v>116.06974025974026</v>
      </c>
      <c r="AG147" s="77">
        <f>'Price History'!L3+('Price History'!L158-'Price History'!L3)*0.935064935064935</f>
        <v>383.97337662337662</v>
      </c>
      <c r="AH147" s="77">
        <f>'Price History'!M3+('Price History'!M158-'Price History'!M3)*0.935064935064935</f>
        <v>228.05961038961038</v>
      </c>
      <c r="AI147" s="77">
        <f>'Price History'!N3+('Price History'!N158-'Price History'!N3)*0.935064935064935</f>
        <v>468.83766233766232</v>
      </c>
      <c r="AJ147" s="77">
        <f>'Price History'!O3+('Price History'!O158-'Price History'!O3)*0.935064935064935</f>
        <v>122.5248051948052</v>
      </c>
      <c r="AK147" s="77">
        <f>'Price History'!Q3+('Price History'!Q151-'Price History'!Q3)*0.935064935064935</f>
        <v>67.241558441558439</v>
      </c>
      <c r="AL147" s="77">
        <f>'Price History'!R3+('Price History'!R158-'Price History'!R3)*0.935064935064935</f>
        <v>57.572727272727271</v>
      </c>
      <c r="AM147" s="77">
        <f>'Price History'!S3+('Price History'!S158-'Price History'!S3)*0.935064935064935</f>
        <v>138.29168831168832</v>
      </c>
      <c r="AN147" s="77">
        <f>'Price History'!T3+('Price History'!T158-'Price History'!T3)*0.935064935064935</f>
        <v>48.257532467532471</v>
      </c>
    </row>
    <row r="148" spans="1:40" ht="15" customHeight="1" x14ac:dyDescent="0.2">
      <c r="A148" s="55">
        <f>IF('Price History'!A149="","",'Price History'!A149)</f>
        <v>46171</v>
      </c>
      <c r="B148" s="76">
        <f>IFERROR(IF(OR(NOT(ISNUMBER('Price History'!B149)),NOT(ISNUMBER('Price History'!B148)),'Price History'!B148=0),"",'Price History'!B149/'Price History'!B148-1),"")</f>
        <v>5.9037424415754103E-2</v>
      </c>
      <c r="C148" s="76">
        <f>IFERROR(IF(OR(NOT(ISNUMBER('Price History'!C149)),NOT(ISNUMBER('Price History'!C148)),'Price History'!C148=0),"",'Price History'!C149/'Price History'!C148-1),"")</f>
        <v>3.5317795234694582E-2</v>
      </c>
      <c r="D148" s="76">
        <f>IFERROR(IF(OR(NOT(ISNUMBER('Price History'!D149)),NOT(ISNUMBER('Price History'!D148)),'Price History'!D148=0),"",'Price History'!D149/'Price History'!D148-1),"")</f>
        <v>-1.2333884499969416E-2</v>
      </c>
      <c r="E148" s="76">
        <f>IFERROR(IF(OR(NOT(ISNUMBER('Price History'!E149)),NOT(ISNUMBER('Price History'!E148)),'Price History'!E148=0),"",'Price History'!E149/'Price History'!E148-1),"")</f>
        <v>7.8789781233399303E-2</v>
      </c>
      <c r="F148" s="76">
        <f>IFERROR(IF(OR(NOT(ISNUMBER('Price History'!F149)),NOT(ISNUMBER('Price History'!F148)),'Price History'!F148=0),"",'Price History'!F149/'Price History'!F148-1),"")</f>
        <v>0.10176644360040998</v>
      </c>
      <c r="G148" s="76">
        <f>IFERROR(IF(OR(NOT(ISNUMBER('Price History'!G149)),NOT(ISNUMBER('Price History'!G148)),'Price History'!G148=0),"",'Price History'!G149/'Price History'!G148-1),"")</f>
        <v>1.7633975852573425E-2</v>
      </c>
      <c r="H148" s="76">
        <f>IFERROR(IF(OR(NOT(ISNUMBER('Price History'!H149)),NOT(ISNUMBER('Price History'!H148)),'Price History'!H148=0),"",'Price History'!H149/'Price History'!H148-1),"")</f>
        <v>0.29294274300932099</v>
      </c>
      <c r="I148" s="76">
        <f>IFERROR(IF(OR(NOT(ISNUMBER('Price History'!I149)),NOT(ISNUMBER('Price History'!I148)),'Price History'!I148=0),"",'Price History'!I149/'Price History'!I148-1),"")</f>
        <v>-1.9458505549621585E-2</v>
      </c>
      <c r="J148" s="76">
        <f>IFERROR(IF(OR(NOT(ISNUMBER('Price History'!J149)),NOT(ISNUMBER('Price History'!J148)),'Price History'!J148=0),"",'Price History'!J149/'Price History'!J148-1),"")</f>
        <v>-1.6655243317340696E-2</v>
      </c>
      <c r="K148" s="76">
        <f>IFERROR(IF(OR(NOT(ISNUMBER('Price History'!K149)),NOT(ISNUMBER('Price History'!K148)),'Price History'!K148=0),"",'Price History'!K149/'Price History'!K148-1),"")</f>
        <v>0.14362945645821146</v>
      </c>
      <c r="L148" s="76">
        <f>IFERROR(IF(OR(NOT(ISNUMBER('Price History'!L149)),NOT(ISNUMBER('Price History'!L148)),'Price History'!L148=0),"",'Price History'!L149/'Price History'!L148-1),"")</f>
        <v>3.4435874616829842E-2</v>
      </c>
      <c r="M148" s="76">
        <f>IFERROR(IF(OR(NOT(ISNUMBER('Price History'!M149)),NOT(ISNUMBER('Price History'!M148)),'Price History'!M148=0),"",'Price History'!M149/'Price History'!M148-1),"")</f>
        <v>-3.5882245159714166E-2</v>
      </c>
      <c r="N148" s="76">
        <f>IFERROR(IF(OR(NOT(ISNUMBER('Price History'!N149)),NOT(ISNUMBER('Price History'!N148)),'Price History'!N148=0),"",'Price History'!N149/'Price History'!N148-1),"")</f>
        <v>2.9964098315382603E-2</v>
      </c>
      <c r="O148" s="76">
        <f>IFERROR(IF(OR(NOT(ISNUMBER('Price History'!O149)),NOT(ISNUMBER('Price History'!O148)),'Price History'!O148=0),"",'Price History'!O149/'Price History'!O148-1),"")</f>
        <v>1.6662501041397881E-4</v>
      </c>
      <c r="P148" s="76" t="str">
        <f>IFERROR(IF(OR(NOT(ISNUMBER('Price History'!P149)),NOT(ISNUMBER('Price History'!P148)),'Price History'!P148=0),"",'Price History'!P149/'Price History'!P148-1),"")</f>
        <v/>
      </c>
      <c r="Q148" s="76">
        <f>IFERROR(IF(OR(NOT(ISNUMBER('Price History'!Q149)),NOT(ISNUMBER('Price History'!Q148)),'Price History'!Q148=0),"",'Price History'!Q149/'Price History'!Q148-1),"")</f>
        <v>-9.2199619493633644E-3</v>
      </c>
      <c r="R148" s="76">
        <f>IFERROR(IF(OR(NOT(ISNUMBER('Price History'!R149)),NOT(ISNUMBER('Price History'!R148)),'Price History'!R148=0),"",'Price History'!R149/'Price History'!R148-1),"")</f>
        <v>1.5612024580634376E-2</v>
      </c>
      <c r="S148" s="76">
        <f>IFERROR(IF(OR(NOT(ISNUMBER('Price History'!S149)),NOT(ISNUMBER('Price History'!S148)),'Price History'!S148=0),"",'Price History'!S149/'Price History'!S148-1),"")</f>
        <v>3.8981647578308243E-2</v>
      </c>
      <c r="T148" s="76">
        <f>IFERROR(IF(OR(NOT(ISNUMBER('Price History'!T149)),NOT(ISNUMBER('Price History'!T148)),'Price History'!T148=0),"",'Price History'!T149/'Price History'!T148-1),"")</f>
        <v>5.4096876414667205E-2</v>
      </c>
      <c r="U148" s="76" t="str">
        <f>IFERROR(IF(OR(NOT(ISNUMBER('Price History'!U149)),NOT(ISNUMBER('Price History'!U148)),'Price History'!U148=0),"",'Price History'!U149/'Price History'!U148-1),"")</f>
        <v/>
      </c>
      <c r="W148" s="77">
        <f>'Price History'!B3+('Price History'!B158-'Price History'!B3)*0.941558441558442</f>
        <v>265.4902597402596</v>
      </c>
      <c r="X148" s="77">
        <f>'Price History'!C3+('Price History'!C158-'Price History'!C3)*0.941558441558442</f>
        <v>172.36629870129877</v>
      </c>
      <c r="Y148" s="77">
        <f>'Price History'!D3+('Price History'!D158-'Price History'!D3)*0.941558441558442</f>
        <v>1572.4741558441563</v>
      </c>
      <c r="Z148" s="77">
        <f>'Price History'!E3+('Price History'!E158-'Price History'!E3)*0.941558441558442</f>
        <v>371.37935064935078</v>
      </c>
      <c r="AA148" s="77">
        <f>'Price History'!F3+('Price History'!F158-'Price History'!F3)*0.941558441558442</f>
        <v>181.87168831168839</v>
      </c>
      <c r="AB148" s="77">
        <f>'Price History'!G3+('Price History'!G158-'Price History'!G3)*0.941558441558442</f>
        <v>174.93506493506499</v>
      </c>
      <c r="AC148" s="77">
        <f>'Price History'!H3+('Price History'!H158-'Price History'!H3)*0.941558441558442</f>
        <v>778.69272727272767</v>
      </c>
      <c r="AD148" s="77">
        <f>'Price History'!I3+('Price History'!I158-'Price History'!I3)*0.941558441558442</f>
        <v>191.4051948051949</v>
      </c>
      <c r="AE148" s="77">
        <f>'Price History'!J3+('Price History'!J158-'Price History'!J3)*0.941558441558442</f>
        <v>143.37688311688314</v>
      </c>
      <c r="AF148" s="77">
        <f>'Price History'!K3+('Price History'!K158-'Price History'!K3)*0.941558441558442</f>
        <v>116.76876623376629</v>
      </c>
      <c r="AG148" s="77">
        <f>'Price History'!L3+('Price History'!L158-'Price History'!L3)*0.941558441558442</f>
        <v>386.00103896103911</v>
      </c>
      <c r="AH148" s="77">
        <f>'Price History'!M3+('Price History'!M158-'Price History'!M3)*0.941558441558442</f>
        <v>229.41064935064944</v>
      </c>
      <c r="AI148" s="77">
        <f>'Price History'!N3+('Price History'!N158-'Price History'!N3)*0.941558441558442</f>
        <v>469.66389610389621</v>
      </c>
      <c r="AJ148" s="77">
        <f>'Price History'!O3+('Price History'!O158-'Price History'!O3)*0.941558441558442</f>
        <v>122.8003246753247</v>
      </c>
      <c r="AK148" s="77">
        <f>'Price History'!Q3+('Price History'!Q151-'Price History'!Q3)*0.941558441558442</f>
        <v>67.362402597402607</v>
      </c>
      <c r="AL148" s="77">
        <f>'Price History'!R3+('Price History'!R158-'Price History'!R3)*0.941558441558442</f>
        <v>57.640454545454553</v>
      </c>
      <c r="AM148" s="77">
        <f>'Price History'!S3+('Price History'!S158-'Price History'!S3)*0.941558441558442</f>
        <v>138.84551948051953</v>
      </c>
      <c r="AN148" s="77">
        <f>'Price History'!T3+('Price History'!T158-'Price History'!T3)*0.941558441558442</f>
        <v>48.405779220779237</v>
      </c>
    </row>
    <row r="149" spans="1:40" ht="15" customHeight="1" x14ac:dyDescent="0.2">
      <c r="A149" s="55">
        <f>IF('Price History'!A150="","",'Price History'!A150)</f>
        <v>46178</v>
      </c>
      <c r="B149" s="76">
        <f>IFERROR(IF(OR(NOT(ISNUMBER('Price History'!B150)),NOT(ISNUMBER('Price History'!B149)),'Price History'!B149=0),"",'Price History'!B150/'Price History'!B149-1),"")</f>
        <v>-2.9975695382122525E-2</v>
      </c>
      <c r="C149" s="76">
        <f>IFERROR(IF(OR(NOT(ISNUMBER('Price History'!C150)),NOT(ISNUMBER('Price History'!C149)),'Price History'!C149=0),"",'Price History'!C150/'Price History'!C149-1),"")</f>
        <v>-3.2608014046529021E-2</v>
      </c>
      <c r="D149" s="76">
        <f>IFERROR(IF(OR(NOT(ISNUMBER('Price History'!D150)),NOT(ISNUMBER('Price History'!D149)),'Price History'!D149=0),"",'Price History'!D150/'Price History'!D149-1),"")</f>
        <v>1.7969195664575111E-2</v>
      </c>
      <c r="E149" s="76">
        <f>IFERROR(IF(OR(NOT(ISNUMBER('Price History'!E150)),NOT(ISNUMBER('Price History'!E149)),'Price History'!E149=0),"",'Price History'!E150/'Price History'!E149-1),"")</f>
        <v>-0.13662510911654757</v>
      </c>
      <c r="F149" s="76">
        <f>IFERROR(IF(OR(NOT(ISNUMBER('Price History'!F150)),NOT(ISNUMBER('Price History'!F149)),'Price History'!F149=0),"",'Price History'!F150/'Price History'!F149-1),"")</f>
        <v>-8.2024623803009677E-2</v>
      </c>
      <c r="G149" s="76">
        <f>IFERROR(IF(OR(NOT(ISNUMBER('Price History'!G150)),NOT(ISNUMBER('Price History'!G149)),'Price History'!G149=0),"",'Price History'!G150/'Price History'!G149-1),"")</f>
        <v>3.9027944007909987E-3</v>
      </c>
      <c r="H149" s="76">
        <f>IFERROR(IF(OR(NOT(ISNUMBER('Price History'!H150)),NOT(ISNUMBER('Price History'!H149)),'Price History'!H149=0),"",'Price History'!H150/'Price History'!H149-1),"")</f>
        <v>-0.11018537590113286</v>
      </c>
      <c r="I149" s="76">
        <f>IFERROR(IF(OR(NOT(ISNUMBER('Price History'!I150)),NOT(ISNUMBER('Price History'!I149)),'Price History'!I149=0),"",'Price History'!I150/'Price History'!I149-1),"")</f>
        <v>-2.8606611726816333E-2</v>
      </c>
      <c r="J149" s="76">
        <f>IFERROR(IF(OR(NOT(ISNUMBER('Price History'!J150)),NOT(ISNUMBER('Price History'!J149)),'Price History'!J149=0),"",'Price History'!J150/'Price History'!J149-1),"")</f>
        <v>7.4580051578727602E-3</v>
      </c>
      <c r="K149" s="76">
        <f>IFERROR(IF(OR(NOT(ISNUMBER('Price History'!K150)),NOT(ISNUMBER('Price History'!K149)),'Price History'!K149=0),"",'Price History'!K150/'Price History'!K149-1),"")</f>
        <v>-0.13421489715088786</v>
      </c>
      <c r="L149" s="76">
        <f>IFERROR(IF(OR(NOT(ISNUMBER('Price History'!L150)),NOT(ISNUMBER('Price History'!L149)),'Price History'!L149=0),"",'Price History'!L150/'Price History'!L149-1),"")</f>
        <v>-7.8384514278885264E-3</v>
      </c>
      <c r="M149" s="76">
        <f>IFERROR(IF(OR(NOT(ISNUMBER('Price History'!M150)),NOT(ISNUMBER('Price History'!M149)),'Price History'!M149=0),"",'Price History'!M150/'Price History'!M149-1),"")</f>
        <v>-4.8145449938234441E-2</v>
      </c>
      <c r="N149" s="76">
        <f>IFERROR(IF(OR(NOT(ISNUMBER('Price History'!N150)),NOT(ISNUMBER('Price History'!N149)),'Price History'!N149=0),"",'Price History'!N150/'Price History'!N149-1),"")</f>
        <v>-1.5864503731510826E-3</v>
      </c>
      <c r="O149" s="76">
        <f>IFERROR(IF(OR(NOT(ISNUMBER('Price History'!O150)),NOT(ISNUMBER('Price History'!O149)),'Price History'!O149=0),"",'Price History'!O150/'Price History'!O149-1),"")</f>
        <v>-2.9154518950437192E-3</v>
      </c>
      <c r="P149" s="76" t="str">
        <f>IFERROR(IF(OR(NOT(ISNUMBER('Price History'!P150)),NOT(ISNUMBER('Price History'!P149)),'Price History'!P149=0),"",'Price History'!P150/'Price History'!P149-1),"")</f>
        <v/>
      </c>
      <c r="Q149" s="76">
        <f>IFERROR(IF(OR(NOT(ISNUMBER('Price History'!Q150)),NOT(ISNUMBER('Price History'!Q149)),'Price History'!Q149=0),"",'Price History'!Q150/'Price History'!Q149-1),"")</f>
        <v>-1.7725258493354046E-3</v>
      </c>
      <c r="R149" s="76">
        <f>IFERROR(IF(OR(NOT(ISNUMBER('Price History'!R150)),NOT(ISNUMBER('Price History'!R149)),'Price History'!R149=0),"",'Price History'!R150/'Price History'!R149-1),"")</f>
        <v>-3.6794766966475878E-2</v>
      </c>
      <c r="S149" s="76">
        <f>IFERROR(IF(OR(NOT(ISNUMBER('Price History'!S150)),NOT(ISNUMBER('Price History'!S149)),'Price History'!S149=0),"",'Price History'!S150/'Price History'!S149-1),"")</f>
        <v>-4.1901852712663556E-2</v>
      </c>
      <c r="T149" s="76">
        <f>IFERROR(IF(OR(NOT(ISNUMBER('Price History'!T150)),NOT(ISNUMBER('Price History'!T149)),'Price History'!T149=0),"",'Price History'!T150/'Price History'!T149-1),"")</f>
        <v>-1.1165986686708207E-2</v>
      </c>
      <c r="U149" s="76" t="str">
        <f>IFERROR(IF(OR(NOT(ISNUMBER('Price History'!U150)),NOT(ISNUMBER('Price History'!U149)),'Price History'!U149=0),"",'Price History'!U150/'Price History'!U149-1),"")</f>
        <v/>
      </c>
      <c r="W149" s="77">
        <f>'Price History'!B3+('Price History'!B158-'Price History'!B3)*0.948051948051948</f>
        <v>263.81467532467536</v>
      </c>
      <c r="X149" s="77">
        <f>'Price History'!C3+('Price History'!C158-'Price History'!C3)*0.948051948051948</f>
        <v>173.25337662337662</v>
      </c>
      <c r="Y149" s="77">
        <f>'Price History'!D3+('Price History'!D158-'Price History'!D3)*0.948051948051948</f>
        <v>1578.7548051948052</v>
      </c>
      <c r="Z149" s="77">
        <f>'Price History'!E3+('Price History'!E158-'Price History'!E3)*0.948051948051948</f>
        <v>373.36831168831168</v>
      </c>
      <c r="AA149" s="77">
        <f>'Price History'!F3+('Price History'!F158-'Price History'!F3)*0.948051948051948</f>
        <v>182.87038961038962</v>
      </c>
      <c r="AB149" s="77">
        <f>'Price History'!G3+('Price History'!G158-'Price History'!G3)*0.948051948051948</f>
        <v>175.81116883116883</v>
      </c>
      <c r="AC149" s="77">
        <f>'Price History'!H3+('Price History'!H158-'Price History'!H3)*0.948051948051948</f>
        <v>783.61909090909091</v>
      </c>
      <c r="AD149" s="77">
        <f>'Price History'!I3+('Price History'!I158-'Price History'!I3)*0.948051948051948</f>
        <v>192.4435064935065</v>
      </c>
      <c r="AE149" s="77">
        <f>'Price History'!J3+('Price History'!J158-'Price History'!J3)*0.948051948051948</f>
        <v>143.51389610389612</v>
      </c>
      <c r="AF149" s="77">
        <f>'Price History'!K3+('Price History'!K158-'Price History'!K3)*0.948051948051948</f>
        <v>117.46779220779221</v>
      </c>
      <c r="AG149" s="77">
        <f>'Price History'!L3+('Price History'!L158-'Price History'!L3)*0.948051948051948</f>
        <v>388.02870129870132</v>
      </c>
      <c r="AH149" s="77">
        <f>'Price History'!M3+('Price History'!M158-'Price History'!M3)*0.948051948051948</f>
        <v>230.76168831168829</v>
      </c>
      <c r="AI149" s="77">
        <f>'Price History'!N3+('Price History'!N158-'Price History'!N3)*0.948051948051948</f>
        <v>470.49012987012986</v>
      </c>
      <c r="AJ149" s="77">
        <f>'Price History'!O3+('Price History'!O158-'Price History'!O3)*0.948051948051948</f>
        <v>123.07584415584415</v>
      </c>
      <c r="AK149" s="77">
        <f>'Price History'!Q3+('Price History'!Q151-'Price History'!Q3)*0.948051948051948</f>
        <v>67.48324675324676</v>
      </c>
      <c r="AL149" s="77">
        <f>'Price History'!R3+('Price History'!R158-'Price History'!R3)*0.948051948051948</f>
        <v>57.708181818181814</v>
      </c>
      <c r="AM149" s="77">
        <f>'Price History'!S3+('Price History'!S158-'Price History'!S3)*0.948051948051948</f>
        <v>139.39935064935068</v>
      </c>
      <c r="AN149" s="77">
        <f>'Price History'!T3+('Price History'!T158-'Price History'!T3)*0.948051948051948</f>
        <v>48.554025974025976</v>
      </c>
    </row>
    <row r="150" spans="1:40" ht="15" customHeight="1" x14ac:dyDescent="0.2">
      <c r="A150" s="55">
        <f>IF('Price History'!A151="","",'Price History'!A151)</f>
        <v>46185</v>
      </c>
      <c r="B150" s="76">
        <f>IFERROR(IF(OR(NOT(ISNUMBER('Price History'!B151)),NOT(ISNUMBER('Price History'!B150)),'Price History'!B150=0),"",'Price History'!B151/'Price History'!B150-1),"")</f>
        <v>-0.18859370028635059</v>
      </c>
      <c r="C150" s="76">
        <f>IFERROR(IF(OR(NOT(ISNUMBER('Price History'!C151)),NOT(ISNUMBER('Price History'!C150)),'Price History'!C150=0),"",'Price History'!C151/'Price History'!C150-1),"")</f>
        <v>5.8144811045569345E-2</v>
      </c>
      <c r="D150" s="76">
        <f>IFERROR(IF(OR(NOT(ISNUMBER('Price History'!D151)),NOT(ISNUMBER('Price History'!D150)),'Price History'!D150=0),"",'Price History'!D151/'Price History'!D150-1),"")</f>
        <v>0.13510665513418685</v>
      </c>
      <c r="E150" s="76">
        <f>IFERROR(IF(OR(NOT(ISNUMBER('Price History'!E151)),NOT(ISNUMBER('Price History'!E150)),'Price History'!E150=0),"",'Price History'!E151/'Price History'!E150-1),"")</f>
        <v>-9.4885023202758711E-3</v>
      </c>
      <c r="F150" s="76">
        <f>IFERROR(IF(OR(NOT(ISNUMBER('Price History'!F151)),NOT(ISNUMBER('Price History'!F150)),'Price History'!F150=0),"",'Price History'!F151/'Price History'!F150-1),"")</f>
        <v>1.7525035765379116E-2</v>
      </c>
      <c r="G150" s="76">
        <f>IFERROR(IF(OR(NOT(ISNUMBER('Price History'!G151)),NOT(ISNUMBER('Price History'!G150)),'Price History'!G150=0),"",'Price History'!G151/'Price History'!G150-1),"")</f>
        <v>0.31940700808625344</v>
      </c>
      <c r="H150" s="76">
        <f>IFERROR(IF(OR(NOT(ISNUMBER('Price History'!H151)),NOT(ISNUMBER('Price History'!H150)),'Price History'!H150=0),"",'Price History'!H151/'Price History'!H150-1),"")</f>
        <v>0.13610953576926188</v>
      </c>
      <c r="I150" s="76">
        <f>IFERROR(IF(OR(NOT(ISNUMBER('Price History'!I151)),NOT(ISNUMBER('Price History'!I150)),'Price History'!I150=0),"",'Price History'!I151/'Price History'!I150-1),"")</f>
        <v>4.388103364212359E-4</v>
      </c>
      <c r="J150" s="76">
        <f>IFERROR(IF(OR(NOT(ISNUMBER('Price History'!J151)),NOT(ISNUMBER('Price History'!J150)),'Price History'!J150=0),"",'Price History'!J151/'Price History'!J150-1),"")</f>
        <v>2.9057700290577193E-2</v>
      </c>
      <c r="K150" s="76">
        <f>IFERROR(IF(OR(NOT(ISNUMBER('Price History'!K151)),NOT(ISNUMBER('Price History'!K150)),'Price History'!K150=0),"",'Price History'!K151/'Price History'!K150-1),"")</f>
        <v>-5.5633439090976178E-2</v>
      </c>
      <c r="L150" s="76">
        <f>IFERROR(IF(OR(NOT(ISNUMBER('Price History'!L151)),NOT(ISNUMBER('Price History'!L150)),'Price History'!L150=0),"",'Price History'!L151/'Price History'!L150-1),"")</f>
        <v>2.1099790447286715E-2</v>
      </c>
      <c r="M150" s="76">
        <f>IFERROR(IF(OR(NOT(ISNUMBER('Price History'!M151)),NOT(ISNUMBER('Price History'!M150)),'Price History'!M150=0),"",'Price History'!M151/'Price History'!M150-1),"")</f>
        <v>7.8533160294167459E-3</v>
      </c>
      <c r="N150" s="76">
        <f>IFERROR(IF(OR(NOT(ISNUMBER('Price History'!N151)),NOT(ISNUMBER('Price History'!N150)),'Price History'!N150=0),"",'Price History'!N151/'Price History'!N150-1),"")</f>
        <v>-4.2521764429424014E-3</v>
      </c>
      <c r="O150" s="76">
        <f>IFERROR(IF(OR(NOT(ISNUMBER('Price History'!O151)),NOT(ISNUMBER('Price History'!O150)),'Price History'!O150=0),"",'Price History'!O151/'Price History'!O150-1),"")</f>
        <v>3.9097744360902187E-2</v>
      </c>
      <c r="P150" s="76" t="str">
        <f>IFERROR(IF(OR(NOT(ISNUMBER('Price History'!P151)),NOT(ISNUMBER('Price History'!P150)),'Price History'!P150=0),"",'Price History'!P151/'Price History'!P150-1),"")</f>
        <v/>
      </c>
      <c r="Q150" s="76">
        <f>IFERROR(IF(OR(NOT(ISNUMBER('Price History'!Q151)),NOT(ISNUMBER('Price History'!Q150)),'Price History'!Q150=0),"",'Price History'!Q151/'Price History'!Q150-1),"")</f>
        <v>1.2873631251849815E-2</v>
      </c>
      <c r="R150" s="76">
        <f>IFERROR(IF(OR(NOT(ISNUMBER('Price History'!R151)),NOT(ISNUMBER('Price History'!R150)),'Price History'!R150=0),"",'Price History'!R151/'Price History'!R150-1),"")</f>
        <v>1.6298811544991576E-2</v>
      </c>
      <c r="S150" s="76">
        <f>IFERROR(IF(OR(NOT(ISNUMBER('Price History'!S151)),NOT(ISNUMBER('Price History'!S150)),'Price History'!S150=0),"",'Price History'!S151/'Price History'!S150-1),"")</f>
        <v>5.6833934017188614E-2</v>
      </c>
      <c r="T150" s="76">
        <f>IFERROR(IF(OR(NOT(ISNUMBER('Price History'!T151)),NOT(ISNUMBER('Price History'!T150)),'Price History'!T150=0),"",'Price History'!T151/'Price History'!T150-1),"")</f>
        <v>5.2117263843649564E-3</v>
      </c>
      <c r="U150" s="76" t="str">
        <f>IFERROR(IF(OR(NOT(ISNUMBER('Price History'!U151)),NOT(ISNUMBER('Price History'!U150)),'Price History'!U150=0),"",'Price History'!U151/'Price History'!U150-1),"")</f>
        <v/>
      </c>
      <c r="W150" s="77">
        <f>'Price History'!B3+('Price History'!B158-'Price History'!B3)*0.954545454545455</f>
        <v>262.13909090909078</v>
      </c>
      <c r="X150" s="77">
        <f>'Price History'!C3+('Price History'!C158-'Price History'!C3)*0.954545454545455</f>
        <v>174.14045454545462</v>
      </c>
      <c r="Y150" s="77">
        <f>'Price History'!D3+('Price History'!D158-'Price History'!D3)*0.954545454545455</f>
        <v>1585.035454545455</v>
      </c>
      <c r="Z150" s="77">
        <f>'Price History'!E3+('Price History'!E158-'Price History'!E3)*0.954545454545455</f>
        <v>375.35727272727286</v>
      </c>
      <c r="AA150" s="77">
        <f>'Price History'!F3+('Price History'!F158-'Price History'!F3)*0.954545454545455</f>
        <v>183.869090909091</v>
      </c>
      <c r="AB150" s="77">
        <f>'Price History'!G3+('Price History'!G158-'Price History'!G3)*0.954545454545455</f>
        <v>176.68727272727278</v>
      </c>
      <c r="AC150" s="77">
        <f>'Price History'!H3+('Price History'!H158-'Price History'!H3)*0.954545454545455</f>
        <v>788.54545454545485</v>
      </c>
      <c r="AD150" s="77">
        <f>'Price History'!I3+('Price History'!I158-'Price History'!I3)*0.954545454545455</f>
        <v>193.48181818181826</v>
      </c>
      <c r="AE150" s="77">
        <f>'Price History'!J3+('Price History'!J158-'Price History'!J3)*0.954545454545455</f>
        <v>143.65090909090912</v>
      </c>
      <c r="AF150" s="77">
        <f>'Price History'!K3+('Price History'!K158-'Price History'!K3)*0.954545454545455</f>
        <v>118.16681818181823</v>
      </c>
      <c r="AG150" s="77">
        <f>'Price History'!L3+('Price History'!L158-'Price History'!L3)*0.954545454545455</f>
        <v>390.05636363636381</v>
      </c>
      <c r="AH150" s="77">
        <f>'Price History'!M3+('Price History'!M158-'Price History'!M3)*0.954545454545455</f>
        <v>232.11272727272737</v>
      </c>
      <c r="AI150" s="77">
        <f>'Price History'!N3+('Price History'!N158-'Price History'!N3)*0.954545454545455</f>
        <v>471.31636363636369</v>
      </c>
      <c r="AJ150" s="77">
        <f>'Price History'!O3+('Price History'!O158-'Price History'!O3)*0.954545454545455</f>
        <v>123.35136363636366</v>
      </c>
      <c r="AK150" s="77">
        <f>'Price History'!Q3+('Price History'!Q151-'Price History'!Q3)*0.954545454545455</f>
        <v>67.604090909090928</v>
      </c>
      <c r="AL150" s="77">
        <f>'Price History'!R3+('Price History'!R158-'Price History'!R3)*0.954545454545455</f>
        <v>57.775909090909096</v>
      </c>
      <c r="AM150" s="77">
        <f>'Price History'!S3+('Price History'!S158-'Price History'!S3)*0.954545454545455</f>
        <v>139.95318181818189</v>
      </c>
      <c r="AN150" s="77">
        <f>'Price History'!T3+('Price History'!T158-'Price History'!T3)*0.954545454545455</f>
        <v>48.702272727272742</v>
      </c>
    </row>
    <row r="151" spans="1:40" ht="15" customHeight="1" x14ac:dyDescent="0.2">
      <c r="A151" s="55">
        <f>IF('Price History'!A152="","",'Price History'!A152)</f>
        <v>46191</v>
      </c>
      <c r="B151" s="76">
        <f>IFERROR(IF(OR(NOT(ISNUMBER('Price History'!B152)),NOT(ISNUMBER('Price History'!B151)),'Price History'!B151=0),"",'Price History'!B152/'Price History'!B151-1),"")</f>
        <v>-4.3427114988726645E-2</v>
      </c>
      <c r="C151" s="76">
        <f>IFERROR(IF(OR(NOT(ISNUMBER('Price History'!C152)),NOT(ISNUMBER('Price History'!C151)),'Price History'!C151=0),"",'Price History'!C152/'Price History'!C151-1),"")</f>
        <v>3.9389855427591103E-2</v>
      </c>
      <c r="D151" s="76">
        <f>IFERROR(IF(OR(NOT(ISNUMBER('Price History'!D152)),NOT(ISNUMBER('Price History'!D151)),'Price History'!D151=0),"",'Price History'!D152/'Price History'!D151-1),"")</f>
        <v>3.5486034718682058E-2</v>
      </c>
      <c r="E151" s="76">
        <f>IFERROR(IF(OR(NOT(ISNUMBER('Price History'!E152)),NOT(ISNUMBER('Price History'!E151)),'Price History'!E151=0),"",'Price History'!E152/'Price History'!E151-1),"")</f>
        <v>7.6635171565420102E-2</v>
      </c>
      <c r="F151" s="76">
        <f>IFERROR(IF(OR(NOT(ISNUMBER('Price History'!F152)),NOT(ISNUMBER('Price History'!F151)),'Price History'!F151=0),"",'Price History'!F152/'Price History'!F151-1),"")</f>
        <v>3.0462800234329901E-3</v>
      </c>
      <c r="G151" s="76">
        <f>IFERROR(IF(OR(NOT(ISNUMBER('Price History'!G152)),NOT(ISNUMBER('Price History'!G151)),'Price History'!G151=0),"",'Price History'!G152/'Price History'!G151-1),"")</f>
        <v>1.9721851182525452E-2</v>
      </c>
      <c r="H151" s="76">
        <f>IFERROR(IF(OR(NOT(ISNUMBER('Price History'!H152)),NOT(ISNUMBER('Price History'!H151)),'Price History'!H151=0),"",'Price History'!H152/'Price History'!H151-1),"")</f>
        <v>0.15523476737197051</v>
      </c>
      <c r="I151" s="76">
        <f>IFERROR(IF(OR(NOT(ISNUMBER('Price History'!I152)),NOT(ISNUMBER('Price History'!I151)),'Price History'!I151=0),"",'Price History'!I152/'Price History'!I151-1),"")</f>
        <v>2.6804425166918389E-2</v>
      </c>
      <c r="J151" s="76">
        <f>IFERROR(IF(OR(NOT(ISNUMBER('Price History'!J152)),NOT(ISNUMBER('Price History'!J151)),'Price History'!J151=0),"",'Price History'!J152/'Price History'!J151-1),"")</f>
        <v>-5.5129756622294024E-2</v>
      </c>
      <c r="K151" s="76">
        <f>IFERROR(IF(OR(NOT(ISNUMBER('Price History'!K152)),NOT(ISNUMBER('Price History'!K151)),'Price History'!K151=0),"",'Price History'!K152/'Price History'!K151-1),"")</f>
        <v>3.7502929916399808E-3</v>
      </c>
      <c r="L151" s="76">
        <f>IFERROR(IF(OR(NOT(ISNUMBER('Price History'!L152)),NOT(ISNUMBER('Price History'!L151)),'Price History'!L151=0),"",'Price History'!L152/'Price History'!L151-1),"")</f>
        <v>9.0085627344137054E-2</v>
      </c>
      <c r="M151" s="76">
        <f>IFERROR(IF(OR(NOT(ISNUMBER('Price History'!M152)),NOT(ISNUMBER('Price History'!M151)),'Price History'!M151=0),"",'Price History'!M152/'Price History'!M151-1),"")</f>
        <v>9.9646713111235963E-2</v>
      </c>
      <c r="N151" s="76">
        <f>IFERROR(IF(OR(NOT(ISNUMBER('Price History'!N152)),NOT(ISNUMBER('Price History'!N151)),'Price History'!N151=0),"",'Price History'!N152/'Price History'!N151-1),"")</f>
        <v>1.5058548535724636E-2</v>
      </c>
      <c r="O151" s="76">
        <f>IFERROR(IF(OR(NOT(ISNUMBER('Price History'!O152)),NOT(ISNUMBER('Price History'!O151)),'Price History'!O151=0),"",'Price History'!O152/'Price History'!O151-1),"")</f>
        <v>-1.9134909149380874E-2</v>
      </c>
      <c r="P151" s="76" t="str">
        <f>IFERROR(IF(OR(NOT(ISNUMBER('Price History'!P152)),NOT(ISNUMBER('Price History'!P151)),'Price History'!P151=0),"",'Price History'!P152/'Price History'!P151-1),"")</f>
        <v/>
      </c>
      <c r="Q151" s="76" t="str">
        <f>IFERROR(IF(OR(NOT(ISNUMBER('Price History'!Q152)),NOT(ISNUMBER('Price History'!Q151)),'Price History'!Q151=0),"",'Price History'!Q152/'Price History'!Q151-1),"")</f>
        <v/>
      </c>
      <c r="R151" s="76">
        <f>IFERROR(IF(OR(NOT(ISNUMBER('Price History'!R152)),NOT(ISNUMBER('Price History'!R151)),'Price History'!R151=0),"",'Price History'!R152/'Price History'!R151-1),"")</f>
        <v>2.4724356832609429E-2</v>
      </c>
      <c r="S151" s="76">
        <f>IFERROR(IF(OR(NOT(ISNUMBER('Price History'!S152)),NOT(ISNUMBER('Price History'!S151)),'Price History'!S151=0),"",'Price History'!S152/'Price History'!S151-1),"")</f>
        <v>4.8662119622245648E-2</v>
      </c>
      <c r="T151" s="76">
        <f>IFERROR(IF(OR(NOT(ISNUMBER('Price History'!T152)),NOT(ISNUMBER('Price History'!T151)),'Price History'!T151=0),"",'Price History'!T152/'Price History'!T151-1),"")</f>
        <v>-2.2467055519550638E-2</v>
      </c>
      <c r="U151" s="76" t="str">
        <f>IFERROR(IF(OR(NOT(ISNUMBER('Price History'!U152)),NOT(ISNUMBER('Price History'!U151)),'Price History'!U151=0),"",'Price History'!U152/'Price History'!U151-1),"")</f>
        <v/>
      </c>
      <c r="W151" s="77">
        <f>'Price History'!B3+('Price History'!B158-'Price History'!B3)*0.961038961038961</f>
        <v>260.46350649350654</v>
      </c>
      <c r="X151" s="77">
        <f>'Price History'!C3+('Price History'!C158-'Price History'!C3)*0.961038961038961</f>
        <v>175.02753246753247</v>
      </c>
      <c r="Y151" s="77">
        <f>'Price History'!D3+('Price History'!D158-'Price History'!D3)*0.961038961038961</f>
        <v>1591.3161038961039</v>
      </c>
      <c r="Z151" s="77">
        <f>'Price History'!E3+('Price History'!E158-'Price History'!E3)*0.961038961038961</f>
        <v>377.34623376623375</v>
      </c>
      <c r="AA151" s="77">
        <f>'Price History'!F3+('Price History'!F158-'Price History'!F3)*0.961038961038961</f>
        <v>184.86779220779221</v>
      </c>
      <c r="AB151" s="77">
        <f>'Price History'!G3+('Price History'!G158-'Price History'!G3)*0.961038961038961</f>
        <v>177.56337662337663</v>
      </c>
      <c r="AC151" s="77">
        <f>'Price History'!H3+('Price History'!H158-'Price History'!H3)*0.961038961038961</f>
        <v>793.47181818181809</v>
      </c>
      <c r="AD151" s="77">
        <f>'Price History'!I3+('Price History'!I158-'Price History'!I3)*0.961038961038961</f>
        <v>194.52012987012986</v>
      </c>
      <c r="AE151" s="77">
        <f>'Price History'!J3+('Price History'!J158-'Price History'!J3)*0.961038961038961</f>
        <v>143.78792207792208</v>
      </c>
      <c r="AF151" s="77">
        <f>'Price History'!K3+('Price History'!K158-'Price History'!K3)*0.961038961038961</f>
        <v>118.86584415584416</v>
      </c>
      <c r="AG151" s="77">
        <f>'Price History'!L3+('Price History'!L158-'Price History'!L3)*0.961038961038961</f>
        <v>392.08402597402596</v>
      </c>
      <c r="AH151" s="77">
        <f>'Price History'!M3+('Price History'!M158-'Price History'!M3)*0.961038961038961</f>
        <v>233.46376623376622</v>
      </c>
      <c r="AI151" s="77">
        <f>'Price History'!N3+('Price History'!N158-'Price History'!N3)*0.961038961038961</f>
        <v>472.1425974025974</v>
      </c>
      <c r="AJ151" s="77">
        <f>'Price History'!O3+('Price History'!O158-'Price History'!O3)*0.961038961038961</f>
        <v>123.62688311688311</v>
      </c>
      <c r="AK151" s="77">
        <f>'Price History'!Q3+('Price History'!Q151-'Price History'!Q3)*0.961038961038961</f>
        <v>67.724935064935067</v>
      </c>
      <c r="AL151" s="77">
        <f>'Price History'!R3+('Price History'!R158-'Price History'!R3)*0.961038961038961</f>
        <v>57.843636363636364</v>
      </c>
      <c r="AM151" s="77">
        <f>'Price History'!S3+('Price History'!S158-'Price History'!S3)*0.961038961038961</f>
        <v>140.50701298701301</v>
      </c>
      <c r="AN151" s="77">
        <f>'Price History'!T3+('Price History'!T158-'Price History'!T3)*0.961038961038961</f>
        <v>48.85051948051948</v>
      </c>
    </row>
    <row r="152" spans="1:40" ht="15" customHeight="1" x14ac:dyDescent="0.2">
      <c r="A152" s="55">
        <f>IF('Price History'!A153="","",'Price History'!A153)</f>
        <v>46199</v>
      </c>
      <c r="B152" s="76">
        <f>IFERROR(IF(OR(NOT(ISNUMBER('Price History'!B153)),NOT(ISNUMBER('Price History'!B152)),'Price History'!B152=0),"",'Price History'!B153/'Price History'!B152-1),"")</f>
        <v>3.8788686206189693E-2</v>
      </c>
      <c r="C152" s="76">
        <f>IFERROR(IF(OR(NOT(ISNUMBER('Price History'!C153)),NOT(ISNUMBER('Price History'!C152)),'Price History'!C152=0),"",'Price History'!C153/'Price History'!C152-1),"")</f>
        <v>-7.1138091589556196E-2</v>
      </c>
      <c r="D152" s="76">
        <f>IFERROR(IF(OR(NOT(ISNUMBER('Price History'!D153)),NOT(ISNUMBER('Price History'!D152)),'Price History'!D152=0),"",'Price History'!D153/'Price History'!D152-1),"")</f>
        <v>-6.9990879316778054E-2</v>
      </c>
      <c r="E152" s="76">
        <f>IFERROR(IF(OR(NOT(ISNUMBER('Price History'!E153)),NOT(ISNUMBER('Price History'!E152)),'Price History'!E152=0),"",'Price History'!E153/'Price History'!E152-1),"")</f>
        <v>-0.11262914792755574</v>
      </c>
      <c r="F152" s="76">
        <f>IFERROR(IF(OR(NOT(ISNUMBER('Price History'!F153)),NOT(ISNUMBER('Price History'!F152)),'Price History'!F152=0),"",'Price History'!F153/'Price History'!F152-1),"")</f>
        <v>2.365377876416308E-2</v>
      </c>
      <c r="G152" s="76">
        <f>IFERROR(IF(OR(NOT(ISNUMBER('Price History'!G153)),NOT(ISNUMBER('Price History'!G152)),'Price History'!G152=0),"",'Price History'!G153/'Price History'!G152-1),"")</f>
        <v>-4.2071197411003292E-2</v>
      </c>
      <c r="H152" s="76">
        <f>IFERROR(IF(OR(NOT(ISNUMBER('Price History'!H153)),NOT(ISNUMBER('Price History'!H152)),'Price History'!H152=0),"",'Price History'!H153/'Price History'!H152-1),"")</f>
        <v>-1.4638577059763458E-3</v>
      </c>
      <c r="I152" s="76">
        <f>IFERROR(IF(OR(NOT(ISNUMBER('Price History'!I153)),NOT(ISNUMBER('Price History'!I152)),'Price History'!I152=0),"",'Price History'!I153/'Price History'!I152-1),"")</f>
        <v>-8.6192984954198137E-2</v>
      </c>
      <c r="J152" s="76">
        <f>IFERROR(IF(OR(NOT(ISNUMBER('Price History'!J153)),NOT(ISNUMBER('Price History'!J152)),'Price History'!J152=0),"",'Price History'!J153/'Price History'!J152-1),"")</f>
        <v>-4.0557848299416221E-3</v>
      </c>
      <c r="K152" s="76">
        <f>IFERROR(IF(OR(NOT(ISNUMBER('Price History'!K153)),NOT(ISNUMBER('Price History'!K152)),'Price History'!K152=0),"",'Price History'!K153/'Price History'!K152-1),"")</f>
        <v>-0.12096209231727251</v>
      </c>
      <c r="L152" s="76">
        <f>IFERROR(IF(OR(NOT(ISNUMBER('Price History'!L153)),NOT(ISNUMBER('Price History'!L152)),'Price History'!L152=0),"",'Price History'!L153/'Price History'!L152-1),"")</f>
        <v>-6.4420496840647434E-2</v>
      </c>
      <c r="M152" s="76">
        <f>IFERROR(IF(OR(NOT(ISNUMBER('Price History'!M153)),NOT(ISNUMBER('Price History'!M152)),'Price History'!M152=0),"",'Price History'!M153/'Price History'!M152-1),"")</f>
        <v>-8.7374268127908827E-2</v>
      </c>
      <c r="N152" s="76">
        <f>IFERROR(IF(OR(NOT(ISNUMBER('Price History'!N153)),NOT(ISNUMBER('Price History'!N152)),'Price History'!N152=0),"",'Price History'!N153/'Price History'!N152-1),"")</f>
        <v>8.7925957088767381E-2</v>
      </c>
      <c r="O152" s="76">
        <f>IFERROR(IF(OR(NOT(ISNUMBER('Price History'!O153)),NOT(ISNUMBER('Price History'!O152)),'Price History'!O152=0),"",'Price History'!O153/'Price History'!O152-1),"")</f>
        <v>2.4098360655737672E-2</v>
      </c>
      <c r="P152" s="76" t="str">
        <f>IFERROR(IF(OR(NOT(ISNUMBER('Price History'!P153)),NOT(ISNUMBER('Price History'!P152)),'Price History'!P152=0),"",'Price History'!P153/'Price History'!P152-1),"")</f>
        <v/>
      </c>
      <c r="Q152" s="76" t="str">
        <f>IFERROR(IF(OR(NOT(ISNUMBER('Price History'!Q153)),NOT(ISNUMBER('Price History'!Q152)),'Price History'!Q152=0),"",'Price History'!Q153/'Price History'!Q152-1),"")</f>
        <v/>
      </c>
      <c r="R152" s="76">
        <f>IFERROR(IF(OR(NOT(ISNUMBER('Price History'!R153)),NOT(ISNUMBER('Price History'!R152)),'Price History'!R152=0),"",'Price History'!R153/'Price History'!R152-1),"")</f>
        <v>-3.1300945549396886E-2</v>
      </c>
      <c r="S152" s="76">
        <f>IFERROR(IF(OR(NOT(ISNUMBER('Price History'!S153)),NOT(ISNUMBER('Price History'!S152)),'Price History'!S152=0),"",'Price History'!S153/'Price History'!S152-1),"")</f>
        <v>-3.5647279549718691E-2</v>
      </c>
      <c r="T152" s="76">
        <f>IFERROR(IF(OR(NOT(ISNUMBER('Price History'!T153)),NOT(ISNUMBER('Price History'!T152)),'Price History'!T152=0),"",'Price History'!T153/'Price History'!T152-1),"")</f>
        <v>2.0773480662983346E-2</v>
      </c>
      <c r="U152" s="76" t="str">
        <f>IFERROR(IF(OR(NOT(ISNUMBER('Price History'!U153)),NOT(ISNUMBER('Price History'!U152)),'Price History'!U152=0),"",'Price History'!U153/'Price History'!U152-1),"")</f>
        <v/>
      </c>
      <c r="W152" s="77">
        <f>'Price History'!B3+('Price History'!B158-'Price History'!B3)*0.967532467532468</f>
        <v>258.78792207792196</v>
      </c>
      <c r="X152" s="77">
        <f>'Price History'!C3+('Price History'!C158-'Price History'!C3)*0.967532467532468</f>
        <v>175.91461038961046</v>
      </c>
      <c r="Y152" s="77">
        <f>'Price History'!D3+('Price History'!D158-'Price History'!D3)*0.967532467532468</f>
        <v>1597.5967532467537</v>
      </c>
      <c r="Z152" s="77">
        <f>'Price History'!E3+('Price History'!E158-'Price History'!E3)*0.967532467532468</f>
        <v>379.33519480519493</v>
      </c>
      <c r="AA152" s="77">
        <f>'Price History'!F3+('Price History'!F158-'Price History'!F3)*0.967532467532468</f>
        <v>185.86649350649358</v>
      </c>
      <c r="AB152" s="77">
        <f>'Price History'!G3+('Price History'!G158-'Price History'!G3)*0.967532467532468</f>
        <v>178.43948051948058</v>
      </c>
      <c r="AC152" s="77">
        <f>'Price History'!H3+('Price History'!H158-'Price History'!H3)*0.967532467532468</f>
        <v>798.39818181818214</v>
      </c>
      <c r="AD152" s="77">
        <f>'Price History'!I3+('Price History'!I158-'Price History'!I3)*0.967532467532468</f>
        <v>195.55844155844164</v>
      </c>
      <c r="AE152" s="77">
        <f>'Price History'!J3+('Price History'!J158-'Price History'!J3)*0.967532467532468</f>
        <v>143.92493506493508</v>
      </c>
      <c r="AF152" s="77">
        <f>'Price History'!K3+('Price History'!K158-'Price History'!K3)*0.967532467532468</f>
        <v>119.56487012987019</v>
      </c>
      <c r="AG152" s="77">
        <f>'Price History'!L3+('Price History'!L158-'Price History'!L3)*0.967532467532468</f>
        <v>394.11168831168845</v>
      </c>
      <c r="AH152" s="77">
        <f>'Price History'!M3+('Price History'!M158-'Price History'!M3)*0.967532467532468</f>
        <v>234.8148051948053</v>
      </c>
      <c r="AI152" s="77">
        <f>'Price History'!N3+('Price History'!N158-'Price History'!N3)*0.967532467532468</f>
        <v>472.96883116883123</v>
      </c>
      <c r="AJ152" s="77">
        <f>'Price History'!O3+('Price History'!O158-'Price History'!O3)*0.967532467532468</f>
        <v>123.90240259740261</v>
      </c>
      <c r="AK152" s="77">
        <f>'Price History'!Q3+('Price History'!Q151-'Price History'!Q3)*0.967532467532468</f>
        <v>67.845779220779235</v>
      </c>
      <c r="AL152" s="77">
        <f>'Price History'!R3+('Price History'!R158-'Price History'!R3)*0.967532467532468</f>
        <v>57.911363636363639</v>
      </c>
      <c r="AM152" s="77">
        <f>'Price History'!S3+('Price History'!S158-'Price History'!S3)*0.967532467532468</f>
        <v>141.06084415584422</v>
      </c>
      <c r="AN152" s="77">
        <f>'Price History'!T3+('Price History'!T158-'Price History'!T3)*0.967532467532468</f>
        <v>48.998766233766247</v>
      </c>
    </row>
    <row r="153" spans="1:40" ht="15" customHeight="1" x14ac:dyDescent="0.2">
      <c r="A153" s="55">
        <f>IF('Price History'!A154="","",'Price History'!A154)</f>
        <v>46205</v>
      </c>
      <c r="B153" s="76">
        <f>IFERROR(IF(OR(NOT(ISNUMBER('Price History'!B154)),NOT(ISNUMBER('Price History'!B153)),'Price History'!B153=0),"",'Price History'!B154/'Price History'!B153-1),"")</f>
        <v>8.3806047452276378E-2</v>
      </c>
      <c r="C153" s="76">
        <f>IFERROR(IF(OR(NOT(ISNUMBER('Price History'!C154)),NOT(ISNUMBER('Price History'!C153)),'Price History'!C153=0),"",'Price History'!C154/'Price History'!C153-1),"")</f>
        <v>1.5164974619289451E-2</v>
      </c>
      <c r="D153" s="76">
        <f>IFERROR(IF(OR(NOT(ISNUMBER('Price History'!D154)),NOT(ISNUMBER('Price History'!D153)),'Price History'!D153=0),"",'Price History'!D154/'Price History'!D153-1),"")</f>
        <v>-1.4097691990504924E-2</v>
      </c>
      <c r="E153" s="76">
        <f>IFERROR(IF(OR(NOT(ISNUMBER('Price History'!E154)),NOT(ISNUMBER('Price History'!E153)),'Price History'!E153=0),"",'Price History'!E154/'Price History'!E153-1),"")</f>
        <v>-1.251986192537391E-2</v>
      </c>
      <c r="F153" s="76">
        <f>IFERROR(IF(OR(NOT(ISNUMBER('Price History'!F154)),NOT(ISNUMBER('Price History'!F153)),'Price History'!F153=0),"",'Price History'!F154/'Price History'!F153-1),"")</f>
        <v>0.10674958635248455</v>
      </c>
      <c r="G153" s="76">
        <f>IFERROR(IF(OR(NOT(ISNUMBER('Price History'!G154)),NOT(ISNUMBER('Price History'!G153)),'Price History'!G153=0),"",'Price History'!G154/'Price History'!G153-1),"")</f>
        <v>-5.2646396396396344E-2</v>
      </c>
      <c r="H153" s="76">
        <f>IFERROR(IF(OR(NOT(ISNUMBER('Price History'!H154)),NOT(ISNUMBER('Price History'!H153)),'Price History'!H153=0),"",'Price History'!H154/'Price History'!H153-1),"")</f>
        <v>-0.13844903870779723</v>
      </c>
      <c r="I153" s="76">
        <f>IFERROR(IF(OR(NOT(ISNUMBER('Price History'!I154)),NOT(ISNUMBER('Price History'!I153)),'Price History'!I153=0),"",'Price History'!I154/'Price History'!I153-1),"")</f>
        <v>1.1946190204124019E-2</v>
      </c>
      <c r="J153" s="76">
        <f>IFERROR(IF(OR(NOT(ISNUMBER('Price History'!J154)),NOT(ISNUMBER('Price History'!J153)),'Price History'!J153=0),"",'Price History'!J154/'Price History'!J153-1),"")</f>
        <v>-3.8579695649066936E-3</v>
      </c>
      <c r="K153" s="76">
        <f>IFERROR(IF(OR(NOT(ISNUMBER('Price History'!K154)),NOT(ISNUMBER('Price History'!K153)),'Price History'!K153=0),"",'Price History'!K154/'Price History'!K153-1),"")</f>
        <v>0.14495705304170725</v>
      </c>
      <c r="L153" s="76">
        <f>IFERROR(IF(OR(NOT(ISNUMBER('Price History'!L154)),NOT(ISNUMBER('Price History'!L153)),'Price History'!L153=0),"",'Price History'!L154/'Price History'!L153-1),"")</f>
        <v>4.186423036891318E-3</v>
      </c>
      <c r="M153" s="76">
        <f>IFERROR(IF(OR(NOT(ISNUMBER('Price History'!M154)),NOT(ISNUMBER('Price History'!M153)),'Price History'!M153=0),"",'Price History'!M154/'Price History'!M153-1),"")</f>
        <v>-1.1251850633327898E-2</v>
      </c>
      <c r="N153" s="76">
        <f>IFERROR(IF(OR(NOT(ISNUMBER('Price History'!N154)),NOT(ISNUMBER('Price History'!N153)),'Price History'!N153=0),"",'Price History'!N154/'Price History'!N153-1),"")</f>
        <v>7.4693694793829035E-2</v>
      </c>
      <c r="O153" s="76">
        <f>IFERROR(IF(OR(NOT(ISNUMBER('Price History'!O154)),NOT(ISNUMBER('Price History'!O153)),'Price History'!O153=0),"",'Price History'!O154/'Price History'!O153-1),"")</f>
        <v>-1.1445493837041743E-2</v>
      </c>
      <c r="P153" s="76" t="str">
        <f>IFERROR(IF(OR(NOT(ISNUMBER('Price History'!P154)),NOT(ISNUMBER('Price History'!P153)),'Price History'!P153=0),"",'Price History'!P154/'Price History'!P153-1),"")</f>
        <v/>
      </c>
      <c r="Q153" s="76" t="str">
        <f>IFERROR(IF(OR(NOT(ISNUMBER('Price History'!Q154)),NOT(ISNUMBER('Price History'!Q153)),'Price History'!Q153=0),"",'Price History'!Q154/'Price History'!Q153-1),"")</f>
        <v/>
      </c>
      <c r="R153" s="76">
        <f>IFERROR(IF(OR(NOT(ISNUMBER('Price History'!R154)),NOT(ISNUMBER('Price History'!R153)),'Price History'!R153=0),"",'Price History'!R154/'Price History'!R153-1),"")</f>
        <v>-5.048805116122379E-4</v>
      </c>
      <c r="S153" s="76">
        <f>IFERROR(IF(OR(NOT(ISNUMBER('Price History'!S154)),NOT(ISNUMBER('Price History'!S153)),'Price History'!S153=0),"",'Price History'!S154/'Price History'!S153-1),"")</f>
        <v>-2.1854734111543261E-2</v>
      </c>
      <c r="T153" s="76">
        <f>IFERROR(IF(OR(NOT(ISNUMBER('Price History'!T154)),NOT(ISNUMBER('Price History'!T153)),'Price History'!T153=0),"",'Price History'!T154/'Price History'!T153-1),"")</f>
        <v>1.7536263260446106E-2</v>
      </c>
      <c r="U153" s="76" t="str">
        <f>IFERROR(IF(OR(NOT(ISNUMBER('Price History'!U154)),NOT(ISNUMBER('Price History'!U153)),'Price History'!U153=0),"",'Price History'!U154/'Price History'!U153-1),"")</f>
        <v/>
      </c>
      <c r="W153" s="77">
        <f>'Price History'!B3+('Price History'!B158-'Price History'!B3)*0.974025974025974</f>
        <v>257.11233766233772</v>
      </c>
      <c r="X153" s="77">
        <f>'Price History'!C3+('Price History'!C158-'Price History'!C3)*0.974025974025974</f>
        <v>176.80168831168831</v>
      </c>
      <c r="Y153" s="77">
        <f>'Price History'!D3+('Price History'!D158-'Price History'!D3)*0.974025974025974</f>
        <v>1603.8774025974026</v>
      </c>
      <c r="Z153" s="77">
        <f>'Price History'!E3+('Price History'!E158-'Price History'!E3)*0.974025974025974</f>
        <v>381.32415584415583</v>
      </c>
      <c r="AA153" s="77">
        <f>'Price History'!F3+('Price History'!F158-'Price History'!F3)*0.974025974025974</f>
        <v>186.86519480519482</v>
      </c>
      <c r="AB153" s="77">
        <f>'Price History'!G3+('Price History'!G158-'Price History'!G3)*0.974025974025974</f>
        <v>179.3155844155844</v>
      </c>
      <c r="AC153" s="77">
        <f>'Price History'!H3+('Price History'!H158-'Price History'!H3)*0.974025974025974</f>
        <v>803.32454545454539</v>
      </c>
      <c r="AD153" s="77">
        <f>'Price History'!I3+('Price History'!I158-'Price History'!I3)*0.974025974025974</f>
        <v>196.59675324675325</v>
      </c>
      <c r="AE153" s="77">
        <f>'Price History'!J3+('Price History'!J158-'Price History'!J3)*0.974025974025974</f>
        <v>144.06194805194806</v>
      </c>
      <c r="AF153" s="77">
        <f>'Price History'!K3+('Price History'!K158-'Price History'!K3)*0.974025974025974</f>
        <v>120.2638961038961</v>
      </c>
      <c r="AG153" s="77">
        <f>'Price History'!L3+('Price History'!L158-'Price History'!L3)*0.974025974025974</f>
        <v>396.13935064935066</v>
      </c>
      <c r="AH153" s="77">
        <f>'Price History'!M3+('Price History'!M158-'Price History'!M3)*0.974025974025974</f>
        <v>236.16584415584416</v>
      </c>
      <c r="AI153" s="77">
        <f>'Price History'!N3+('Price History'!N158-'Price History'!N3)*0.974025974025974</f>
        <v>473.79506493506494</v>
      </c>
      <c r="AJ153" s="77">
        <f>'Price History'!O3+('Price History'!O158-'Price History'!O3)*0.974025974025974</f>
        <v>124.17792207792208</v>
      </c>
      <c r="AK153" s="77">
        <f>'Price History'!Q3+('Price History'!Q151-'Price History'!Q3)*0.974025974025974</f>
        <v>67.966623376623374</v>
      </c>
      <c r="AL153" s="77">
        <f>'Price History'!R3+('Price History'!R158-'Price History'!R3)*0.974025974025974</f>
        <v>57.979090909090907</v>
      </c>
      <c r="AM153" s="77">
        <f>'Price History'!S3+('Price History'!S158-'Price History'!S3)*0.974025974025974</f>
        <v>141.61467532467535</v>
      </c>
      <c r="AN153" s="77">
        <f>'Price History'!T3+('Price History'!T158-'Price History'!T3)*0.974025974025974</f>
        <v>49.147012987012985</v>
      </c>
    </row>
    <row r="154" spans="1:40" ht="15" customHeight="1" x14ac:dyDescent="0.2">
      <c r="A154" s="55">
        <f>IF('Price History'!A155="","",'Price History'!A155)</f>
        <v>46213</v>
      </c>
      <c r="B154" s="76">
        <f>IFERROR(IF(OR(NOT(ISNUMBER('Price History'!B155)),NOT(ISNUMBER('Price History'!B154)),'Price History'!B154=0),"",'Price History'!B155/'Price History'!B154-1),"")</f>
        <v>1.7840888403422461E-2</v>
      </c>
      <c r="C154" s="76">
        <f>IFERROR(IF(OR(NOT(ISNUMBER('Price History'!C155)),NOT(ISNUMBER('Price History'!C154)),'Price History'!C154=0),"",'Price History'!C155/'Price History'!C154-1),"")</f>
        <v>0.16857303581473837</v>
      </c>
      <c r="D154" s="76">
        <f>IFERROR(IF(OR(NOT(ISNUMBER('Price History'!D155)),NOT(ISNUMBER('Price History'!D154)),'Price History'!D154=0),"",'Price History'!D155/'Price History'!D154-1),"")</f>
        <v>1.5825288811520899E-2</v>
      </c>
      <c r="E154" s="76">
        <f>IFERROR(IF(OR(NOT(ISNUMBER('Price History'!E155)),NOT(ISNUMBER('Price History'!E154)),'Price History'!E154=0),"",'Price History'!E155/'Price History'!E154-1),"")</f>
        <v>0.10964072686919146</v>
      </c>
      <c r="F154" s="76">
        <f>IFERROR(IF(OR(NOT(ISNUMBER('Price History'!F155)),NOT(ISNUMBER('Price History'!F154)),'Price History'!F154=0),"",'Price History'!F155/'Price History'!F154-1),"")</f>
        <v>-3.5055160325806689E-2</v>
      </c>
      <c r="G154" s="76">
        <f>IFERROR(IF(OR(NOT(ISNUMBER('Price History'!G155)),NOT(ISNUMBER('Price History'!G154)),'Price History'!G154=0),"",'Price History'!G155/'Price History'!G154-1),"")</f>
        <v>-1.7108894077690562E-2</v>
      </c>
      <c r="H154" s="76">
        <f>IFERROR(IF(OR(NOT(ISNUMBER('Price History'!H155)),NOT(ISNUMBER('Price History'!H154)),'Price History'!H154=0),"",'Price History'!H155/'Price History'!H154-1),"")</f>
        <v>3.8336955184714583E-3</v>
      </c>
      <c r="I154" s="76">
        <f>IFERROR(IF(OR(NOT(ISNUMBER('Price History'!I155)),NOT(ISNUMBER('Price History'!I154)),'Price History'!I154=0),"",'Price History'!I155/'Price History'!I154-1),"")</f>
        <v>8.2790124724118508E-2</v>
      </c>
      <c r="J154" s="76">
        <f>IFERROR(IF(OR(NOT(ISNUMBER('Price History'!J155)),NOT(ISNUMBER('Price History'!J154)),'Price History'!J154=0),"",'Price History'!J155/'Price History'!J154-1),"")</f>
        <v>1.0327763035214765E-2</v>
      </c>
      <c r="K154" s="76">
        <f>IFERROR(IF(OR(NOT(ISNUMBER('Price History'!K155)),NOT(ISNUMBER('Price History'!K154)),'Price History'!K154=0),"",'Price History'!K155/'Price History'!K154-1),"")</f>
        <v>-1.9412219644238227E-2</v>
      </c>
      <c r="L154" s="76">
        <f>IFERROR(IF(OR(NOT(ISNUMBER('Price History'!L155)),NOT(ISNUMBER('Price History'!L154)),'Price History'!L154=0),"",'Price History'!L155/'Price History'!L154-1),"")</f>
        <v>-1.1516491615992663E-4</v>
      </c>
      <c r="M154" s="76">
        <f>IFERROR(IF(OR(NOT(ISNUMBER('Price History'!M155)),NOT(ISNUMBER('Price History'!M154)),'Price History'!M154=0),"",'Price History'!M155/'Price History'!M154-1),"")</f>
        <v>6.0992247030246638E-2</v>
      </c>
      <c r="N154" s="76">
        <f>IFERROR(IF(OR(NOT(ISNUMBER('Price History'!N155)),NOT(ISNUMBER('Price History'!N154)),'Price History'!N154=0),"",'Price History'!N155/'Price History'!N154-1),"")</f>
        <v>-8.0770396182107351E-2</v>
      </c>
      <c r="O154" s="76">
        <f>IFERROR(IF(OR(NOT(ISNUMBER('Price History'!O155)),NOT(ISNUMBER('Price History'!O154)),'Price History'!O154=0),"",'Price History'!O155/'Price History'!O154-1),"")</f>
        <v>3.5624645777669883E-3</v>
      </c>
      <c r="P154" s="76" t="str">
        <f>IFERROR(IF(OR(NOT(ISNUMBER('Price History'!P155)),NOT(ISNUMBER('Price History'!P154)),'Price History'!P154=0),"",'Price History'!P155/'Price History'!P154-1),"")</f>
        <v/>
      </c>
      <c r="Q154" s="76" t="str">
        <f>IFERROR(IF(OR(NOT(ISNUMBER('Price History'!Q155)),NOT(ISNUMBER('Price History'!Q154)),'Price History'!Q154=0),"",'Price History'!Q155/'Price History'!Q154-1),"")</f>
        <v/>
      </c>
      <c r="R154" s="76">
        <f>IFERROR(IF(OR(NOT(ISNUMBER('Price History'!R155)),NOT(ISNUMBER('Price History'!R154)),'Price History'!R154=0),"",'Price History'!R155/'Price History'!R154-1),"")</f>
        <v>1.8858393668967688E-2</v>
      </c>
      <c r="S154" s="76">
        <f>IFERROR(IF(OR(NOT(ISNUMBER('Price History'!S155)),NOT(ISNUMBER('Price History'!S154)),'Price History'!S154=0),"",'Price History'!S155/'Price History'!S154-1),"")</f>
        <v>1.9359543857322636E-2</v>
      </c>
      <c r="T154" s="76">
        <f>IFERROR(IF(OR(NOT(ISNUMBER('Price History'!T155)),NOT(ISNUMBER('Price History'!T154)),'Price History'!T154=0),"",'Price History'!T155/'Price History'!T154-1),"")</f>
        <v>8.2978723404254495E-3</v>
      </c>
      <c r="U154" s="76" t="str">
        <f>IFERROR(IF(OR(NOT(ISNUMBER('Price History'!U155)),NOT(ISNUMBER('Price History'!U154)),'Price History'!U154=0),"",'Price History'!U155/'Price History'!U154-1),"")</f>
        <v/>
      </c>
      <c r="W154" s="77">
        <f>'Price History'!B3+('Price History'!B158-'Price History'!B3)*0.980519480519481</f>
        <v>255.43675324675314</v>
      </c>
      <c r="X154" s="77">
        <f>'Price History'!C3+('Price History'!C158-'Price History'!C3)*0.980519480519481</f>
        <v>177.6887662337663</v>
      </c>
      <c r="Y154" s="77">
        <f>'Price History'!D3+('Price History'!D158-'Price History'!D3)*0.980519480519481</f>
        <v>1610.1580519480524</v>
      </c>
      <c r="Z154" s="77">
        <f>'Price History'!E3+('Price History'!E158-'Price History'!E3)*0.980519480519481</f>
        <v>383.313116883117</v>
      </c>
      <c r="AA154" s="77">
        <f>'Price History'!F3+('Price History'!F158-'Price History'!F3)*0.980519480519481</f>
        <v>187.8638961038962</v>
      </c>
      <c r="AB154" s="77">
        <f>'Price History'!G3+('Price History'!G158-'Price History'!G3)*0.980519480519481</f>
        <v>180.19168831168838</v>
      </c>
      <c r="AC154" s="77">
        <f>'Price History'!H3+('Price History'!H158-'Price History'!H3)*0.980519480519481</f>
        <v>808.25090909090943</v>
      </c>
      <c r="AD154" s="77">
        <f>'Price History'!I3+('Price History'!I158-'Price History'!I3)*0.980519480519481</f>
        <v>197.635064935065</v>
      </c>
      <c r="AE154" s="77">
        <f>'Price History'!J3+('Price History'!J158-'Price History'!J3)*0.980519480519481</f>
        <v>144.19896103896107</v>
      </c>
      <c r="AF154" s="77">
        <f>'Price History'!K3+('Price History'!K158-'Price History'!K3)*0.980519480519481</f>
        <v>120.96292207792213</v>
      </c>
      <c r="AG154" s="77">
        <f>'Price History'!L3+('Price History'!L158-'Price History'!L3)*0.980519480519481</f>
        <v>398.16701298701315</v>
      </c>
      <c r="AH154" s="77">
        <f>'Price History'!M3+('Price History'!M158-'Price History'!M3)*0.980519480519481</f>
        <v>237.51688311688321</v>
      </c>
      <c r="AI154" s="77">
        <f>'Price History'!N3+('Price History'!N158-'Price History'!N3)*0.980519480519481</f>
        <v>474.62129870129877</v>
      </c>
      <c r="AJ154" s="77">
        <f>'Price History'!O3+('Price History'!O158-'Price History'!O3)*0.980519480519481</f>
        <v>124.45344155844158</v>
      </c>
      <c r="AK154" s="77">
        <f>'Price History'!Q3+('Price History'!Q151-'Price History'!Q3)*0.980519480519481</f>
        <v>68.087467532467542</v>
      </c>
      <c r="AL154" s="77">
        <f>'Price History'!R3+('Price History'!R158-'Price History'!R3)*0.980519480519481</f>
        <v>58.046818181818189</v>
      </c>
      <c r="AM154" s="77">
        <f>'Price History'!S3+('Price History'!S158-'Price History'!S3)*0.980519480519481</f>
        <v>142.16850649350656</v>
      </c>
      <c r="AN154" s="77">
        <f>'Price History'!T3+('Price History'!T158-'Price History'!T3)*0.980519480519481</f>
        <v>49.295259740259752</v>
      </c>
    </row>
    <row r="155" spans="1:40" ht="15" customHeight="1" x14ac:dyDescent="0.2">
      <c r="A155" s="55">
        <f>IF('Price History'!A156="","",'Price History'!A156)</f>
        <v>46220</v>
      </c>
      <c r="B155" s="76">
        <f>IFERROR(IF(OR(NOT(ISNUMBER('Price History'!B156)),NOT(ISNUMBER('Price History'!B155)),'Price History'!B155=0),"",'Price History'!B156/'Price History'!B155-1),"")</f>
        <v>6.0856734036844884E-2</v>
      </c>
      <c r="C155" s="76">
        <f>IFERROR(IF(OR(NOT(ISNUMBER('Price History'!C156)),NOT(ISNUMBER('Price History'!C155)),'Price History'!C155=0),"",'Price History'!C156/'Price History'!C155-1),"")</f>
        <v>-9.8149336756525374E-2</v>
      </c>
      <c r="D155" s="76">
        <f>IFERROR(IF(OR(NOT(ISNUMBER('Price History'!D156)),NOT(ISNUMBER('Price History'!D155)),'Price History'!D155=0),"",'Price History'!D156/'Price History'!D155-1),"")</f>
        <v>-2.7674537644937991E-2</v>
      </c>
      <c r="E155" s="76">
        <f>IFERROR(IF(OR(NOT(ISNUMBER('Price History'!E156)),NOT(ISNUMBER('Price History'!E155)),'Price History'!E155=0),"",'Price History'!E156/'Price History'!E155-1),"")</f>
        <v>-7.2855464159812144E-2</v>
      </c>
      <c r="F155" s="76">
        <f>IFERROR(IF(OR(NOT(ISNUMBER('Price History'!F156)),NOT(ISNUMBER('Price History'!F155)),'Price History'!F155=0),"",'Price History'!F156/'Price History'!F155-1),"")</f>
        <v>8.4944972753499437E-2</v>
      </c>
      <c r="G155" s="76">
        <f>IFERROR(IF(OR(NOT(ISNUMBER('Price History'!G156)),NOT(ISNUMBER('Price History'!G155)),'Price History'!G155=0),"",'Price History'!G156/'Price History'!G155-1),"")</f>
        <v>-8.1072909467864607E-2</v>
      </c>
      <c r="H155" s="76">
        <f>IFERROR(IF(OR(NOT(ISNUMBER('Price History'!H156)),NOT(ISNUMBER('Price History'!H155)),'Price History'!H155=0),"",'Price History'!H156/'Price History'!H155-1),"")</f>
        <v>-0.13310527928111904</v>
      </c>
      <c r="I155" s="76">
        <f>IFERROR(IF(OR(NOT(ISNUMBER('Price History'!I156)),NOT(ISNUMBER('Price History'!I155)),'Price History'!I155=0),"",'Price History'!I156/'Price History'!I155-1),"")</f>
        <v>-3.8632916192643196E-2</v>
      </c>
      <c r="J155" s="76">
        <f>IFERROR(IF(OR(NOT(ISNUMBER('Price History'!J156)),NOT(ISNUMBER('Price History'!J155)),'Price History'!J155=0),"",'Price History'!J156/'Price History'!J155-1),"")</f>
        <v>6.3320792219776934E-2</v>
      </c>
      <c r="K155" s="76">
        <f>IFERROR(IF(OR(NOT(ISNUMBER('Price History'!K156)),NOT(ISNUMBER('Price History'!K155)),'Price History'!K155=0),"",'Price History'!K156/'Price History'!K155-1),"")</f>
        <v>4.4088650524489292E-2</v>
      </c>
      <c r="L155" s="76">
        <f>IFERROR(IF(OR(NOT(ISNUMBER('Price History'!L156)),NOT(ISNUMBER('Price History'!L155)),'Price History'!L155=0),"",'Price History'!L156/'Price History'!L155-1),"")</f>
        <v>-8.2329363525373789E-2</v>
      </c>
      <c r="M155" s="76">
        <f>IFERROR(IF(OR(NOT(ISNUMBER('Price History'!M156)),NOT(ISNUMBER('Price History'!M155)),'Price History'!M155=0),"",'Price History'!M156/'Price History'!M155-1),"")</f>
        <v>-9.188985761776336E-2</v>
      </c>
      <c r="N155" s="76">
        <f>IFERROR(IF(OR(NOT(ISNUMBER('Price History'!N156)),NOT(ISNUMBER('Price History'!N155)),'Price History'!N155=0),"",'Price History'!N156/'Price History'!N155-1),"")</f>
        <v>5.3565174395853177E-4</v>
      </c>
      <c r="O155" s="76">
        <f>IFERROR(IF(OR(NOT(ISNUMBER('Price History'!O156)),NOT(ISNUMBER('Price History'!O155)),'Price History'!O155=0),"",'Price History'!O156/'Price History'!O155-1),"")</f>
        <v>1.1294876966518652E-2</v>
      </c>
      <c r="P155" s="76" t="str">
        <f>IFERROR(IF(OR(NOT(ISNUMBER('Price History'!P156)),NOT(ISNUMBER('Price History'!P155)),'Price History'!P155=0),"",'Price History'!P156/'Price History'!P155-1),"")</f>
        <v/>
      </c>
      <c r="Q155" s="76" t="str">
        <f>IFERROR(IF(OR(NOT(ISNUMBER('Price History'!Q156)),NOT(ISNUMBER('Price History'!Q155)),'Price History'!Q155=0),"",'Price History'!Q156/'Price History'!Q155-1),"")</f>
        <v/>
      </c>
      <c r="R155" s="76">
        <f>IFERROR(IF(OR(NOT(ISNUMBER('Price History'!R156)),NOT(ISNUMBER('Price History'!R155)),'Price History'!R155=0),"",'Price History'!R156/'Price History'!R155-1),"")</f>
        <v>-3.3052388035035518E-2</v>
      </c>
      <c r="S155" s="76">
        <f>IFERROR(IF(OR(NOT(ISNUMBER('Price History'!S156)),NOT(ISNUMBER('Price History'!S155)),'Price History'!S155=0),"",'Price History'!S156/'Price History'!S155-1),"")</f>
        <v>-6.4130081300813102E-2</v>
      </c>
      <c r="T155" s="76">
        <f>IFERROR(IF(OR(NOT(ISNUMBER('Price History'!T156)),NOT(ISNUMBER('Price History'!T155)),'Price History'!T155=0),"",'Price History'!T156/'Price History'!T155-1),"")</f>
        <v>8.6516142646126948E-3</v>
      </c>
      <c r="U155" s="76" t="str">
        <f>IFERROR(IF(OR(NOT(ISNUMBER('Price History'!U156)),NOT(ISNUMBER('Price History'!U155)),'Price History'!U155=0),"",'Price History'!U156/'Price History'!U155-1),"")</f>
        <v/>
      </c>
      <c r="W155" s="77">
        <f>'Price History'!B3+('Price History'!B158-'Price History'!B3)*0.987012987012987</f>
        <v>253.76116883116885</v>
      </c>
      <c r="X155" s="77">
        <f>'Price History'!C3+('Price History'!C158-'Price History'!C3)*0.987012987012987</f>
        <v>178.57584415584415</v>
      </c>
      <c r="Y155" s="77">
        <f>'Price History'!D3+('Price History'!D158-'Price History'!D3)*0.987012987012987</f>
        <v>1616.4387012987013</v>
      </c>
      <c r="Z155" s="77">
        <f>'Price History'!E3+('Price History'!E158-'Price History'!E3)*0.987012987012987</f>
        <v>385.3020779220779</v>
      </c>
      <c r="AA155" s="77">
        <f>'Price History'!F3+('Price History'!F158-'Price History'!F3)*0.987012987012987</f>
        <v>188.8625974025974</v>
      </c>
      <c r="AB155" s="77">
        <f>'Price History'!G3+('Price History'!G158-'Price History'!G3)*0.987012987012987</f>
        <v>181.06779220779219</v>
      </c>
      <c r="AC155" s="77">
        <f>'Price History'!H3+('Price History'!H158-'Price History'!H3)*0.987012987012987</f>
        <v>813.17727272727268</v>
      </c>
      <c r="AD155" s="77">
        <f>'Price History'!I3+('Price History'!I158-'Price History'!I3)*0.987012987012987</f>
        <v>198.67337662337661</v>
      </c>
      <c r="AE155" s="77">
        <f>'Price History'!J3+('Price History'!J158-'Price History'!J3)*0.987012987012987</f>
        <v>144.33597402597405</v>
      </c>
      <c r="AF155" s="77">
        <f>'Price History'!K3+('Price History'!K158-'Price History'!K3)*0.987012987012987</f>
        <v>121.66194805194806</v>
      </c>
      <c r="AG155" s="77">
        <f>'Price History'!L3+('Price History'!L158-'Price History'!L3)*0.987012987012987</f>
        <v>400.1946753246753</v>
      </c>
      <c r="AH155" s="77">
        <f>'Price History'!M3+('Price History'!M158-'Price History'!M3)*0.987012987012987</f>
        <v>238.86792207792206</v>
      </c>
      <c r="AI155" s="77">
        <f>'Price History'!N3+('Price History'!N158-'Price History'!N3)*0.987012987012987</f>
        <v>475.44753246753248</v>
      </c>
      <c r="AJ155" s="77">
        <f>'Price History'!O3+('Price History'!O158-'Price History'!O3)*0.987012987012987</f>
        <v>124.72896103896105</v>
      </c>
      <c r="AK155" s="77">
        <f>'Price History'!Q3+('Price History'!Q151-'Price History'!Q3)*0.987012987012987</f>
        <v>68.208311688311696</v>
      </c>
      <c r="AL155" s="77">
        <f>'Price History'!R3+('Price History'!R158-'Price History'!R3)*0.987012987012987</f>
        <v>58.114545454545457</v>
      </c>
      <c r="AM155" s="77">
        <f>'Price History'!S3+('Price History'!S158-'Price History'!S3)*0.987012987012987</f>
        <v>142.72233766233768</v>
      </c>
      <c r="AN155" s="77">
        <f>'Price History'!T3+('Price History'!T158-'Price History'!T3)*0.987012987012987</f>
        <v>49.44350649350649</v>
      </c>
    </row>
    <row r="156" spans="1:40" ht="15" customHeight="1" x14ac:dyDescent="0.2">
      <c r="A156" s="55">
        <f>IF('Price History'!A157="","",'Price History'!A157)</f>
        <v>46227</v>
      </c>
      <c r="B156" s="76">
        <f>IFERROR(IF(OR(NOT(ISNUMBER('Price History'!B157)),NOT(ISNUMBER('Price History'!B156)),'Price History'!B156=0),"",'Price History'!B157/'Price History'!B156-1),"")</f>
        <v>-5.1169652265542598E-2</v>
      </c>
      <c r="C156" s="76">
        <f>IFERROR(IF(OR(NOT(ISNUMBER('Price History'!C157)),NOT(ISNUMBER('Price History'!C156)),'Price History'!C156=0),"",'Price History'!C157/'Price History'!C156-1),"")</f>
        <v>3.1907953264930899E-2</v>
      </c>
      <c r="D156" s="76">
        <f>IFERROR(IF(OR(NOT(ISNUMBER('Price History'!D157)),NOT(ISNUMBER('Price History'!D156)),'Price History'!D156=0),"",'Price History'!D157/'Price History'!D156-1),"")</f>
        <v>5.4418109614438048E-3</v>
      </c>
      <c r="E156" s="76">
        <f>IFERROR(IF(OR(NOT(ISNUMBER('Price History'!E157)),NOT(ISNUMBER('Price History'!E156)),'Price History'!E156=0),"",'Price History'!E157/'Price History'!E156-1),"")</f>
        <v>2.9905886794488135E-2</v>
      </c>
      <c r="F156" s="76">
        <f>IFERROR(IF(OR(NOT(ISNUMBER('Price History'!F157)),NOT(ISNUMBER('Price History'!F156)),'Price History'!F156=0),"",'Price History'!F157/'Price History'!F156-1),"")</f>
        <v>-9.7498522749655314E-2</v>
      </c>
      <c r="G156" s="76">
        <f>IFERROR(IF(OR(NOT(ISNUMBER('Price History'!G157)),NOT(ISNUMBER('Price History'!G156)),'Price History'!G156=0),"",'Price History'!G157/'Price History'!G156-1),"")</f>
        <v>-1.0481786133960003E-2</v>
      </c>
      <c r="H156" s="76">
        <f>IFERROR(IF(OR(NOT(ISNUMBER('Price History'!H157)),NOT(ISNUMBER('Price History'!H156)),'Price History'!H156=0),"",'Price History'!H157/'Price History'!H156-1),"")</f>
        <v>8.4810648448082837E-2</v>
      </c>
      <c r="I156" s="76">
        <f>IFERROR(IF(OR(NOT(ISNUMBER('Price History'!I157)),NOT(ISNUMBER('Price History'!I156)),'Price History'!I156=0),"",'Price History'!I157/'Price History'!I156-1),"")</f>
        <v>1.9870815048567581E-2</v>
      </c>
      <c r="J156" s="76">
        <f>IFERROR(IF(OR(NOT(ISNUMBER('Price History'!J157)),NOT(ISNUMBER('Price History'!J156)),'Price History'!J156=0),"",'Price History'!J157/'Price History'!J156-1),"")</f>
        <v>-1.4420188263568945E-2</v>
      </c>
      <c r="K156" s="76">
        <f>IFERROR(IF(OR(NOT(ISNUMBER('Price History'!K157)),NOT(ISNUMBER('Price History'!K156)),'Price History'!K156=0),"",'Price History'!K157/'Price History'!K156-1),"")</f>
        <v>-7.1460945762199635E-2</v>
      </c>
      <c r="L156" s="76">
        <f>IFERROR(IF(OR(NOT(ISNUMBER('Price History'!L157)),NOT(ISNUMBER('Price History'!L156)),'Price History'!L156=0),"",'Price History'!L157/'Price History'!L156-1),"")</f>
        <v>1.265155508697946E-2</v>
      </c>
      <c r="M156" s="76">
        <f>IFERROR(IF(OR(NOT(ISNUMBER('Price History'!M157)),NOT(ISNUMBER('Price History'!M156)),'Price History'!M156=0),"",'Price History'!M157/'Price History'!M156-1),"")</f>
        <v>2.7628125431689021E-3</v>
      </c>
      <c r="N156" s="76">
        <f>IFERROR(IF(OR(NOT(ISNUMBER('Price History'!N157)),NOT(ISNUMBER('Price History'!N156)),'Price History'!N156=0),"",'Price History'!N157/'Price History'!N156-1),"")</f>
        <v>-1.7069906311129368E-2</v>
      </c>
      <c r="O156" s="76">
        <f>IFERROR(IF(OR(NOT(ISNUMBER('Price History'!O157)),NOT(ISNUMBER('Price History'!O156)),'Price History'!O156=0),"",'Price History'!O157/'Price History'!O156-1),"")</f>
        <v>-5.5843637814112501E-4</v>
      </c>
      <c r="P156" s="76" t="str">
        <f>IFERROR(IF(OR(NOT(ISNUMBER('Price History'!P157)),NOT(ISNUMBER('Price History'!P156)),'Price History'!P156=0),"",'Price History'!P157/'Price History'!P156-1),"")</f>
        <v/>
      </c>
      <c r="Q156" s="76" t="str">
        <f>IFERROR(IF(OR(NOT(ISNUMBER('Price History'!Q157)),NOT(ISNUMBER('Price History'!Q156)),'Price History'!Q156=0),"",'Price History'!Q157/'Price History'!Q156-1),"")</f>
        <v/>
      </c>
      <c r="R156" s="76">
        <f>IFERROR(IF(OR(NOT(ISNUMBER('Price History'!R157)),NOT(ISNUMBER('Price History'!R156)),'Price History'!R156=0),"",'Price History'!R157/'Price History'!R156-1),"")</f>
        <v>-9.4001025465731969E-3</v>
      </c>
      <c r="S156" s="76">
        <f>IFERROR(IF(OR(NOT(ISNUMBER('Price History'!S157)),NOT(ISNUMBER('Price History'!S156)),'Price History'!S156=0),"",'Price History'!S157/'Price History'!S156-1),"")</f>
        <v>1.8208353603447192E-2</v>
      </c>
      <c r="T156" s="76">
        <f>IFERROR(IF(OR(NOT(ISNUMBER('Price History'!T157)),NOT(ISNUMBER('Price History'!T156)),'Price History'!T156=0),"",'Price History'!T157/'Price History'!T156-1),"")</f>
        <v>7.1129707112971285E-3</v>
      </c>
      <c r="U156" s="76" t="str">
        <f>IFERROR(IF(OR(NOT(ISNUMBER('Price History'!U157)),NOT(ISNUMBER('Price History'!U156)),'Price History'!U156=0),"",'Price History'!U157/'Price History'!U156-1),"")</f>
        <v/>
      </c>
      <c r="W156" s="77">
        <f>'Price History'!B3+('Price History'!B158-'Price History'!B3)*0.993506493506494</f>
        <v>252.08558441558432</v>
      </c>
      <c r="X156" s="77">
        <f>'Price History'!C3+('Price History'!C158-'Price History'!C3)*0.993506493506494</f>
        <v>179.46292207792214</v>
      </c>
      <c r="Y156" s="77">
        <f>'Price History'!D3+('Price History'!D158-'Price History'!D3)*0.993506493506494</f>
        <v>1622.7193506493511</v>
      </c>
      <c r="Z156" s="77">
        <f>'Price History'!E3+('Price History'!E158-'Price History'!E3)*0.993506493506494</f>
        <v>387.29103896103908</v>
      </c>
      <c r="AA156" s="77">
        <f>'Price History'!F3+('Price History'!F158-'Price History'!F3)*0.993506493506494</f>
        <v>189.86129870129878</v>
      </c>
      <c r="AB156" s="77">
        <f>'Price History'!G3+('Price History'!G158-'Price History'!G3)*0.993506493506494</f>
        <v>181.94389610389615</v>
      </c>
      <c r="AC156" s="77">
        <f>'Price History'!H3+('Price History'!H158-'Price History'!H3)*0.993506493506494</f>
        <v>818.10363636363672</v>
      </c>
      <c r="AD156" s="77">
        <f>'Price History'!I3+('Price History'!I158-'Price History'!I3)*0.993506493506494</f>
        <v>199.71168831168839</v>
      </c>
      <c r="AE156" s="77">
        <f>'Price History'!J3+('Price History'!J158-'Price History'!J3)*0.993506493506494</f>
        <v>144.47298701298703</v>
      </c>
      <c r="AF156" s="77">
        <f>'Price History'!K3+('Price History'!K158-'Price History'!K3)*0.993506493506494</f>
        <v>122.36097402597409</v>
      </c>
      <c r="AG156" s="77">
        <f>'Price History'!L3+('Price History'!L158-'Price History'!L3)*0.993506493506494</f>
        <v>402.22233766233779</v>
      </c>
      <c r="AH156" s="77">
        <f>'Price History'!M3+('Price History'!M158-'Price History'!M3)*0.993506493506494</f>
        <v>240.21896103896114</v>
      </c>
      <c r="AI156" s="77">
        <f>'Price History'!N3+('Price History'!N158-'Price History'!N3)*0.993506493506494</f>
        <v>476.27376623376631</v>
      </c>
      <c r="AJ156" s="77">
        <f>'Price History'!O3+('Price History'!O158-'Price History'!O3)*0.993506493506494</f>
        <v>125.00448051948055</v>
      </c>
      <c r="AK156" s="77">
        <f>'Price History'!Q3+('Price History'!Q151-'Price History'!Q3)*0.993506493506494</f>
        <v>68.329155844155849</v>
      </c>
      <c r="AL156" s="77">
        <f>'Price History'!R3+('Price History'!R158-'Price History'!R3)*0.993506493506494</f>
        <v>58.182272727272732</v>
      </c>
      <c r="AM156" s="77">
        <f>'Price History'!S3+('Price History'!S158-'Price History'!S3)*0.993506493506494</f>
        <v>143.27616883116889</v>
      </c>
      <c r="AN156" s="77">
        <f>'Price History'!T3+('Price History'!T158-'Price History'!T3)*0.993506493506494</f>
        <v>49.591753246753257</v>
      </c>
    </row>
    <row r="157" spans="1:40" ht="15" customHeight="1" x14ac:dyDescent="0.2">
      <c r="A157" s="55">
        <f>IF('Price History'!A158="","",'Price History'!A158)</f>
        <v>46234</v>
      </c>
      <c r="B157" s="76">
        <f>IFERROR(IF(OR(NOT(ISNUMBER('Price History'!B158)),NOT(ISNUMBER('Price History'!B157)),'Price History'!B157=0),"",'Price History'!B158/'Price History'!B157-1),"")</f>
        <v>0.11238949846741586</v>
      </c>
      <c r="C157" s="76">
        <f>IFERROR(IF(OR(NOT(ISNUMBER('Price History'!C158)),NOT(ISNUMBER('Price History'!C157)),'Price History'!C157=0),"",'Price History'!C158/'Price History'!C157-1),"")</f>
        <v>3.6553824932467283E-2</v>
      </c>
      <c r="D157" s="76">
        <f>IFERROR(IF(OR(NOT(ISNUMBER('Price History'!D158)),NOT(ISNUMBER('Price History'!D157)),'Price History'!D157=0),"",'Price History'!D158/'Price History'!D157-1),"")</f>
        <v>-7.2898940862448636E-2</v>
      </c>
      <c r="E157" s="76">
        <f>IFERROR(IF(OR(NOT(ISNUMBER('Price History'!E158)),NOT(ISNUMBER('Price History'!E157)),'Price History'!E157=0),"",'Price History'!E158/'Price History'!E157-1),"")</f>
        <v>1.9271051529115901E-2</v>
      </c>
      <c r="F157" s="76">
        <f>IFERROR(IF(OR(NOT(ISNUMBER('Price History'!F158)),NOT(ISNUMBER('Price History'!F157)),'Price History'!F157=0),"",'Price History'!F158/'Price History'!F157-1),"")</f>
        <v>4.1357485814055073E-2</v>
      </c>
      <c r="G157" s="76">
        <f>IFERROR(IF(OR(NOT(ISNUMBER('Price History'!G158)),NOT(ISNUMBER('Price History'!G157)),'Price History'!G157=0),"",'Price History'!G158/'Price History'!G157-1),"")</f>
        <v>-0.13157894736842113</v>
      </c>
      <c r="H157" s="76">
        <f>IFERROR(IF(OR(NOT(ISNUMBER('Price History'!H158)),NOT(ISNUMBER('Price History'!H157)),'Price History'!H157=0),"",'Price History'!H158/'Price History'!H157-1),"")</f>
        <v>-0.1063249904989414</v>
      </c>
      <c r="I157" s="76">
        <f>IFERROR(IF(OR(NOT(ISNUMBER('Price History'!I158)),NOT(ISNUMBER('Price History'!I157)),'Price History'!I157=0),"",'Price History'!I158/'Price History'!I157-1),"")</f>
        <v>-2.9443047766389507E-2</v>
      </c>
      <c r="J157" s="76">
        <f>IFERROR(IF(OR(NOT(ISNUMBER('Price History'!J158)),NOT(ISNUMBER('Price History'!J157)),'Price History'!J157=0),"",'Price History'!J158/'Price History'!J157-1),"")</f>
        <v>-2.0456546772336104E-2</v>
      </c>
      <c r="K157" s="76">
        <f>IFERROR(IF(OR(NOT(ISNUMBER('Price History'!K158)),NOT(ISNUMBER('Price History'!K157)),'Price History'!K157=0),"",'Price History'!K158/'Price History'!K157-1),"")</f>
        <v>1.138952164009055E-3</v>
      </c>
      <c r="L157" s="76">
        <f>IFERROR(IF(OR(NOT(ISNUMBER('Price History'!L158)),NOT(ISNUMBER('Price History'!L157)),'Price History'!L157=0),"",'Price History'!L158/'Price History'!L157-1),"")</f>
        <v>2.0822488287348673E-3</v>
      </c>
      <c r="M157" s="76">
        <f>IFERROR(IF(OR(NOT(ISNUMBER('Price History'!M158)),NOT(ISNUMBER('Price History'!M157)),'Price History'!M157=0),"",'Price History'!M158/'Price History'!M157-1),"")</f>
        <v>-0.16803278688524592</v>
      </c>
      <c r="N157" s="76">
        <f>IFERROR(IF(OR(NOT(ISNUMBER('Price History'!N158)),NOT(ISNUMBER('Price History'!N157)),'Price History'!N157=0),"",'Price History'!N158/'Price History'!N157-1),"")</f>
        <v>-5.4466230936822679E-4</v>
      </c>
      <c r="O157" s="76">
        <f>IFERROR(IF(OR(NOT(ISNUMBER('Price History'!O158)),NOT(ISNUMBER('Price History'!O157)),'Price History'!O157=0),"",'Price History'!O158/'Price History'!O157-1),"")</f>
        <v>0</v>
      </c>
      <c r="P157" s="76" t="str">
        <f>IFERROR(IF(OR(NOT(ISNUMBER('Price History'!P158)),NOT(ISNUMBER('Price History'!P157)),'Price History'!P157=0),"",'Price History'!P158/'Price History'!P157-1),"")</f>
        <v/>
      </c>
      <c r="Q157" s="76" t="str">
        <f>IFERROR(IF(OR(NOT(ISNUMBER('Price History'!Q158)),NOT(ISNUMBER('Price History'!Q157)),'Price History'!Q157=0),"",'Price History'!Q158/'Price History'!Q157-1),"")</f>
        <v/>
      </c>
      <c r="R157" s="76">
        <f>IFERROR(IF(OR(NOT(ISNUMBER('Price History'!R158)),NOT(ISNUMBER('Price History'!R157)),'Price History'!R157=0),"",'Price History'!R158/'Price History'!R157-1),"")</f>
        <v>5.003450655624464E-3</v>
      </c>
      <c r="S157" s="76">
        <f>IFERROR(IF(OR(NOT(ISNUMBER('Price History'!S158)),NOT(ISNUMBER('Price History'!S157)),'Price History'!S157=0),"",'Price History'!S158/'Price History'!S157-1),"")</f>
        <v>-1.8292266739471597E-2</v>
      </c>
      <c r="T157" s="76">
        <f>IFERROR(IF(OR(NOT(ISNUMBER('Price History'!T158)),NOT(ISNUMBER('Price History'!T157)),'Price History'!T157=0),"",'Price History'!T158/'Price History'!T157-1),"")</f>
        <v>3.3236393851267199E-2</v>
      </c>
      <c r="U157" s="76" t="str">
        <f>IFERROR(IF(OR(NOT(ISNUMBER('Price History'!U158)),NOT(ISNUMBER('Price History'!U157)),'Price History'!U157=0),"",'Price History'!U158/'Price History'!U157-1),"")</f>
        <v/>
      </c>
      <c r="W157" s="77">
        <f>'Price History'!B3+('Price History'!B158-'Price History'!B3)*1</f>
        <v>250.41000000000003</v>
      </c>
      <c r="X157" s="77">
        <f>'Price History'!C3+('Price History'!C158-'Price History'!C3)*1</f>
        <v>180.35</v>
      </c>
      <c r="Y157" s="77">
        <f>'Price History'!D3+('Price History'!D158-'Price History'!D3)*1</f>
        <v>1629</v>
      </c>
      <c r="Z157" s="77">
        <f>'Price History'!E3+('Price History'!E158-'Price History'!E3)*1</f>
        <v>389.28</v>
      </c>
      <c r="AA157" s="77">
        <f>'Price History'!F3+('Price History'!F158-'Price History'!F3)*1</f>
        <v>190.86</v>
      </c>
      <c r="AB157" s="77">
        <f>'Price History'!G3+('Price History'!G158-'Price History'!G3)*1</f>
        <v>182.82</v>
      </c>
      <c r="AC157" s="77">
        <f>'Price History'!H3+('Price History'!H158-'Price History'!H3)*1</f>
        <v>823.03</v>
      </c>
      <c r="AD157" s="77">
        <f>'Price History'!I3+('Price History'!I158-'Price History'!I3)*1</f>
        <v>200.75</v>
      </c>
      <c r="AE157" s="77">
        <f>'Price History'!J3+('Price History'!J158-'Price History'!J3)*1</f>
        <v>144.61000000000001</v>
      </c>
      <c r="AF157" s="77">
        <f>'Price History'!K3+('Price History'!K158-'Price History'!K3)*1</f>
        <v>123.06</v>
      </c>
      <c r="AG157" s="77">
        <f>'Price History'!L3+('Price History'!L158-'Price History'!L3)*1</f>
        <v>404.25</v>
      </c>
      <c r="AH157" s="77">
        <f>'Price History'!M3+('Price History'!M158-'Price History'!M3)*1</f>
        <v>241.57</v>
      </c>
      <c r="AI157" s="77">
        <f>'Price History'!N3+('Price History'!N158-'Price History'!N3)*1</f>
        <v>477.1</v>
      </c>
      <c r="AJ157" s="77">
        <f>'Price History'!O3+('Price History'!O158-'Price History'!O3)*1</f>
        <v>125.28</v>
      </c>
      <c r="AK157" s="77">
        <f>'Price History'!Q3+('Price History'!Q151-'Price History'!Q3)*1</f>
        <v>68.45</v>
      </c>
      <c r="AL157" s="77">
        <f>'Price History'!R3+('Price History'!R158-'Price History'!R3)*1</f>
        <v>58.25</v>
      </c>
      <c r="AM157" s="77">
        <f>'Price History'!S3+('Price History'!S158-'Price History'!S3)*1</f>
        <v>143.83000000000001</v>
      </c>
      <c r="AN157" s="77">
        <f>'Price History'!T3+('Price History'!T158-'Price History'!T3)*1</f>
        <v>49.74</v>
      </c>
    </row>
    <row r="158" spans="1:40" ht="15" customHeight="1" x14ac:dyDescent="0.2">
      <c r="A158" s="55" t="str">
        <f>IF('Price History'!A159="","",'Price History'!A159)</f>
        <v/>
      </c>
      <c r="B158" s="76" t="str">
        <f>IFERROR(IF(OR(NOT(ISNUMBER('Price History'!B159)),NOT(ISNUMBER('Price History'!B158)),'Price History'!B158=0),"",'Price History'!B159/'Price History'!B158-1),"")</f>
        <v/>
      </c>
      <c r="C158" s="76" t="str">
        <f>IFERROR(IF(OR(NOT(ISNUMBER('Price History'!C159)),NOT(ISNUMBER('Price History'!C158)),'Price History'!C158=0),"",'Price History'!C159/'Price History'!C158-1),"")</f>
        <v/>
      </c>
      <c r="D158" s="76" t="str">
        <f>IFERROR(IF(OR(NOT(ISNUMBER('Price History'!D159)),NOT(ISNUMBER('Price History'!D158)),'Price History'!D158=0),"",'Price History'!D159/'Price History'!D158-1),"")</f>
        <v/>
      </c>
      <c r="E158" s="76" t="str">
        <f>IFERROR(IF(OR(NOT(ISNUMBER('Price History'!E159)),NOT(ISNUMBER('Price History'!E158)),'Price History'!E158=0),"",'Price History'!E159/'Price History'!E158-1),"")</f>
        <v/>
      </c>
      <c r="F158" s="76" t="str">
        <f>IFERROR(IF(OR(NOT(ISNUMBER('Price History'!F159)),NOT(ISNUMBER('Price History'!F158)),'Price History'!F158=0),"",'Price History'!F159/'Price History'!F158-1),"")</f>
        <v/>
      </c>
      <c r="G158" s="76" t="str">
        <f>IFERROR(IF(OR(NOT(ISNUMBER('Price History'!G159)),NOT(ISNUMBER('Price History'!G158)),'Price History'!G158=0),"",'Price History'!G159/'Price History'!G158-1),"")</f>
        <v/>
      </c>
      <c r="H158" s="76" t="str">
        <f>IFERROR(IF(OR(NOT(ISNUMBER('Price History'!H159)),NOT(ISNUMBER('Price History'!H158)),'Price History'!H158=0),"",'Price History'!H159/'Price History'!H158-1),"")</f>
        <v/>
      </c>
      <c r="I158" s="76" t="str">
        <f>IFERROR(IF(OR(NOT(ISNUMBER('Price History'!I159)),NOT(ISNUMBER('Price History'!I158)),'Price History'!I158=0),"",'Price History'!I159/'Price History'!I158-1),"")</f>
        <v/>
      </c>
      <c r="J158" s="76" t="str">
        <f>IFERROR(IF(OR(NOT(ISNUMBER('Price History'!J159)),NOT(ISNUMBER('Price History'!J158)),'Price History'!J158=0),"",'Price History'!J159/'Price History'!J158-1),"")</f>
        <v/>
      </c>
      <c r="K158" s="76" t="str">
        <f>IFERROR(IF(OR(NOT(ISNUMBER('Price History'!K159)),NOT(ISNUMBER('Price History'!K158)),'Price History'!K158=0),"",'Price History'!K159/'Price History'!K158-1),"")</f>
        <v/>
      </c>
      <c r="L158" s="76" t="str">
        <f>IFERROR(IF(OR(NOT(ISNUMBER('Price History'!L159)),NOT(ISNUMBER('Price History'!L158)),'Price History'!L158=0),"",'Price History'!L159/'Price History'!L158-1),"")</f>
        <v/>
      </c>
      <c r="M158" s="76" t="str">
        <f>IFERROR(IF(OR(NOT(ISNUMBER('Price History'!M159)),NOT(ISNUMBER('Price History'!M158)),'Price History'!M158=0),"",'Price History'!M159/'Price History'!M158-1),"")</f>
        <v/>
      </c>
      <c r="N158" s="76" t="str">
        <f>IFERROR(IF(OR(NOT(ISNUMBER('Price History'!N159)),NOT(ISNUMBER('Price History'!N158)),'Price History'!N158=0),"",'Price History'!N159/'Price History'!N158-1),"")</f>
        <v/>
      </c>
      <c r="O158" s="76" t="str">
        <f>IFERROR(IF(OR(NOT(ISNUMBER('Price History'!O159)),NOT(ISNUMBER('Price History'!O158)),'Price History'!O158=0),"",'Price History'!O159/'Price History'!O158-1),"")</f>
        <v/>
      </c>
      <c r="P158" s="76" t="str">
        <f>IFERROR(IF(OR(NOT(ISNUMBER('Price History'!P159)),NOT(ISNUMBER('Price History'!P158)),'Price History'!P158=0),"",'Price History'!P159/'Price History'!P158-1),"")</f>
        <v/>
      </c>
      <c r="Q158" s="76" t="str">
        <f>IFERROR(IF(OR(NOT(ISNUMBER('Price History'!Q159)),NOT(ISNUMBER('Price History'!Q158)),'Price History'!Q158=0),"",'Price History'!Q159/'Price History'!Q158-1),"")</f>
        <v/>
      </c>
      <c r="R158" s="76" t="str">
        <f>IFERROR(IF(OR(NOT(ISNUMBER('Price History'!R159)),NOT(ISNUMBER('Price History'!R158)),'Price History'!R158=0),"",'Price History'!R159/'Price History'!R158-1),"")</f>
        <v/>
      </c>
      <c r="S158" s="76" t="str">
        <f>IFERROR(IF(OR(NOT(ISNUMBER('Price History'!S159)),NOT(ISNUMBER('Price History'!S158)),'Price History'!S158=0),"",'Price History'!S159/'Price History'!S158-1),"")</f>
        <v/>
      </c>
      <c r="T158" s="76" t="str">
        <f>IFERROR(IF(OR(NOT(ISNUMBER('Price History'!T159)),NOT(ISNUMBER('Price History'!T158)),'Price History'!T158=0),"",'Price History'!T159/'Price History'!T158-1),"")</f>
        <v/>
      </c>
      <c r="U158" s="76" t="str">
        <f>IFERROR(IF(OR(NOT(ISNUMBER('Price History'!U159)),NOT(ISNUMBER('Price History'!U158)),'Price History'!U158=0),"",'Price History'!U159/'Price History'!U158-1),"")</f>
        <v/>
      </c>
    </row>
    <row r="159" spans="1:40" ht="15" customHeight="1" x14ac:dyDescent="0.2">
      <c r="A159" s="55" t="str">
        <f>IF('Price History'!A160="","",'Price History'!A160)</f>
        <v/>
      </c>
      <c r="B159" s="76" t="str">
        <f>IFERROR(IF(OR(NOT(ISNUMBER('Price History'!B160)),NOT(ISNUMBER('Price History'!B159)),'Price History'!B159=0),"",'Price History'!B160/'Price History'!B159-1),"")</f>
        <v/>
      </c>
      <c r="C159" s="76" t="str">
        <f>IFERROR(IF(OR(NOT(ISNUMBER('Price History'!C160)),NOT(ISNUMBER('Price History'!C159)),'Price History'!C159=0),"",'Price History'!C160/'Price History'!C159-1),"")</f>
        <v/>
      </c>
      <c r="D159" s="76" t="str">
        <f>IFERROR(IF(OR(NOT(ISNUMBER('Price History'!D160)),NOT(ISNUMBER('Price History'!D159)),'Price History'!D159=0),"",'Price History'!D160/'Price History'!D159-1),"")</f>
        <v/>
      </c>
      <c r="E159" s="76" t="str">
        <f>IFERROR(IF(OR(NOT(ISNUMBER('Price History'!E160)),NOT(ISNUMBER('Price History'!E159)),'Price History'!E159=0),"",'Price History'!E160/'Price History'!E159-1),"")</f>
        <v/>
      </c>
      <c r="F159" s="76" t="str">
        <f>IFERROR(IF(OR(NOT(ISNUMBER('Price History'!F160)),NOT(ISNUMBER('Price History'!F159)),'Price History'!F159=0),"",'Price History'!F160/'Price History'!F159-1),"")</f>
        <v/>
      </c>
      <c r="G159" s="76" t="str">
        <f>IFERROR(IF(OR(NOT(ISNUMBER('Price History'!G160)),NOT(ISNUMBER('Price History'!G159)),'Price History'!G159=0),"",'Price History'!G160/'Price History'!G159-1),"")</f>
        <v/>
      </c>
      <c r="H159" s="76" t="str">
        <f>IFERROR(IF(OR(NOT(ISNUMBER('Price History'!H160)),NOT(ISNUMBER('Price History'!H159)),'Price History'!H159=0),"",'Price History'!H160/'Price History'!H159-1),"")</f>
        <v/>
      </c>
      <c r="I159" s="76" t="str">
        <f>IFERROR(IF(OR(NOT(ISNUMBER('Price History'!I160)),NOT(ISNUMBER('Price History'!I159)),'Price History'!I159=0),"",'Price History'!I160/'Price History'!I159-1),"")</f>
        <v/>
      </c>
      <c r="J159" s="76" t="str">
        <f>IFERROR(IF(OR(NOT(ISNUMBER('Price History'!J160)),NOT(ISNUMBER('Price History'!J159)),'Price History'!J159=0),"",'Price History'!J160/'Price History'!J159-1),"")</f>
        <v/>
      </c>
      <c r="K159" s="76" t="str">
        <f>IFERROR(IF(OR(NOT(ISNUMBER('Price History'!K160)),NOT(ISNUMBER('Price History'!K159)),'Price History'!K159=0),"",'Price History'!K160/'Price History'!K159-1),"")</f>
        <v/>
      </c>
      <c r="L159" s="76" t="str">
        <f>IFERROR(IF(OR(NOT(ISNUMBER('Price History'!L160)),NOT(ISNUMBER('Price History'!L159)),'Price History'!L159=0),"",'Price History'!L160/'Price History'!L159-1),"")</f>
        <v/>
      </c>
      <c r="M159" s="76" t="str">
        <f>IFERROR(IF(OR(NOT(ISNUMBER('Price History'!M160)),NOT(ISNUMBER('Price History'!M159)),'Price History'!M159=0),"",'Price History'!M160/'Price History'!M159-1),"")</f>
        <v/>
      </c>
      <c r="N159" s="76" t="str">
        <f>IFERROR(IF(OR(NOT(ISNUMBER('Price History'!N160)),NOT(ISNUMBER('Price History'!N159)),'Price History'!N159=0),"",'Price History'!N160/'Price History'!N159-1),"")</f>
        <v/>
      </c>
      <c r="O159" s="76" t="str">
        <f>IFERROR(IF(OR(NOT(ISNUMBER('Price History'!O160)),NOT(ISNUMBER('Price History'!O159)),'Price History'!O159=0),"",'Price History'!O160/'Price History'!O159-1),"")</f>
        <v/>
      </c>
      <c r="P159" s="76" t="str">
        <f>IFERROR(IF(OR(NOT(ISNUMBER('Price History'!P160)),NOT(ISNUMBER('Price History'!P159)),'Price History'!P159=0),"",'Price History'!P160/'Price History'!P159-1),"")</f>
        <v/>
      </c>
      <c r="Q159" s="76" t="str">
        <f>IFERROR(IF(OR(NOT(ISNUMBER('Price History'!Q160)),NOT(ISNUMBER('Price History'!Q159)),'Price History'!Q159=0),"",'Price History'!Q160/'Price History'!Q159-1),"")</f>
        <v/>
      </c>
      <c r="R159" s="76" t="str">
        <f>IFERROR(IF(OR(NOT(ISNUMBER('Price History'!R160)),NOT(ISNUMBER('Price History'!R159)),'Price History'!R159=0),"",'Price History'!R160/'Price History'!R159-1),"")</f>
        <v/>
      </c>
      <c r="S159" s="76" t="str">
        <f>IFERROR(IF(OR(NOT(ISNUMBER('Price History'!S160)),NOT(ISNUMBER('Price History'!S159)),'Price History'!S159=0),"",'Price History'!S160/'Price History'!S159-1),"")</f>
        <v/>
      </c>
      <c r="T159" s="76" t="str">
        <f>IFERROR(IF(OR(NOT(ISNUMBER('Price History'!T160)),NOT(ISNUMBER('Price History'!T159)),'Price History'!T159=0),"",'Price History'!T160/'Price History'!T159-1),"")</f>
        <v/>
      </c>
      <c r="U159" s="76" t="str">
        <f>IFERROR(IF(OR(NOT(ISNUMBER('Price History'!U160)),NOT(ISNUMBER('Price History'!U159)),'Price History'!U159=0),"",'Price History'!U160/'Price History'!U159-1),"")</f>
        <v/>
      </c>
    </row>
    <row r="160" spans="1:40" ht="15" customHeight="1" x14ac:dyDescent="0.2">
      <c r="A160" s="55" t="str">
        <f>IF('Price History'!A161="","",'Price History'!A161)</f>
        <v/>
      </c>
      <c r="B160" s="76" t="str">
        <f>IFERROR(IF(OR(NOT(ISNUMBER('Price History'!B161)),NOT(ISNUMBER('Price History'!B160)),'Price History'!B160=0),"",'Price History'!B161/'Price History'!B160-1),"")</f>
        <v/>
      </c>
      <c r="C160" s="76" t="str">
        <f>IFERROR(IF(OR(NOT(ISNUMBER('Price History'!C161)),NOT(ISNUMBER('Price History'!C160)),'Price History'!C160=0),"",'Price History'!C161/'Price History'!C160-1),"")</f>
        <v/>
      </c>
      <c r="D160" s="76" t="str">
        <f>IFERROR(IF(OR(NOT(ISNUMBER('Price History'!D161)),NOT(ISNUMBER('Price History'!D160)),'Price History'!D160=0),"",'Price History'!D161/'Price History'!D160-1),"")</f>
        <v/>
      </c>
      <c r="E160" s="76" t="str">
        <f>IFERROR(IF(OR(NOT(ISNUMBER('Price History'!E161)),NOT(ISNUMBER('Price History'!E160)),'Price History'!E160=0),"",'Price History'!E161/'Price History'!E160-1),"")</f>
        <v/>
      </c>
      <c r="F160" s="76" t="str">
        <f>IFERROR(IF(OR(NOT(ISNUMBER('Price History'!F161)),NOT(ISNUMBER('Price History'!F160)),'Price History'!F160=0),"",'Price History'!F161/'Price History'!F160-1),"")</f>
        <v/>
      </c>
      <c r="G160" s="76" t="str">
        <f>IFERROR(IF(OR(NOT(ISNUMBER('Price History'!G161)),NOT(ISNUMBER('Price History'!G160)),'Price History'!G160=0),"",'Price History'!G161/'Price History'!G160-1),"")</f>
        <v/>
      </c>
      <c r="H160" s="76" t="str">
        <f>IFERROR(IF(OR(NOT(ISNUMBER('Price History'!H161)),NOT(ISNUMBER('Price History'!H160)),'Price History'!H160=0),"",'Price History'!H161/'Price History'!H160-1),"")</f>
        <v/>
      </c>
      <c r="I160" s="76" t="str">
        <f>IFERROR(IF(OR(NOT(ISNUMBER('Price History'!I161)),NOT(ISNUMBER('Price History'!I160)),'Price History'!I160=0),"",'Price History'!I161/'Price History'!I160-1),"")</f>
        <v/>
      </c>
      <c r="J160" s="76" t="str">
        <f>IFERROR(IF(OR(NOT(ISNUMBER('Price History'!J161)),NOT(ISNUMBER('Price History'!J160)),'Price History'!J160=0),"",'Price History'!J161/'Price History'!J160-1),"")</f>
        <v/>
      </c>
      <c r="K160" s="76" t="str">
        <f>IFERROR(IF(OR(NOT(ISNUMBER('Price History'!K161)),NOT(ISNUMBER('Price History'!K160)),'Price History'!K160=0),"",'Price History'!K161/'Price History'!K160-1),"")</f>
        <v/>
      </c>
      <c r="L160" s="76" t="str">
        <f>IFERROR(IF(OR(NOT(ISNUMBER('Price History'!L161)),NOT(ISNUMBER('Price History'!L160)),'Price History'!L160=0),"",'Price History'!L161/'Price History'!L160-1),"")</f>
        <v/>
      </c>
      <c r="M160" s="76" t="str">
        <f>IFERROR(IF(OR(NOT(ISNUMBER('Price History'!M161)),NOT(ISNUMBER('Price History'!M160)),'Price History'!M160=0),"",'Price History'!M161/'Price History'!M160-1),"")</f>
        <v/>
      </c>
      <c r="N160" s="76" t="str">
        <f>IFERROR(IF(OR(NOT(ISNUMBER('Price History'!N161)),NOT(ISNUMBER('Price History'!N160)),'Price History'!N160=0),"",'Price History'!N161/'Price History'!N160-1),"")</f>
        <v/>
      </c>
      <c r="O160" s="76" t="str">
        <f>IFERROR(IF(OR(NOT(ISNUMBER('Price History'!O161)),NOT(ISNUMBER('Price History'!O160)),'Price History'!O160=0),"",'Price History'!O161/'Price History'!O160-1),"")</f>
        <v/>
      </c>
      <c r="P160" s="76" t="str">
        <f>IFERROR(IF(OR(NOT(ISNUMBER('Price History'!P161)),NOT(ISNUMBER('Price History'!P160)),'Price History'!P160=0),"",'Price History'!P161/'Price History'!P160-1),"")</f>
        <v/>
      </c>
      <c r="Q160" s="76" t="str">
        <f>IFERROR(IF(OR(NOT(ISNUMBER('Price History'!Q161)),NOT(ISNUMBER('Price History'!Q160)),'Price History'!Q160=0),"",'Price History'!Q161/'Price History'!Q160-1),"")</f>
        <v/>
      </c>
      <c r="R160" s="76" t="str">
        <f>IFERROR(IF(OR(NOT(ISNUMBER('Price History'!R161)),NOT(ISNUMBER('Price History'!R160)),'Price History'!R160=0),"",'Price History'!R161/'Price History'!R160-1),"")</f>
        <v/>
      </c>
      <c r="S160" s="76" t="str">
        <f>IFERROR(IF(OR(NOT(ISNUMBER('Price History'!S161)),NOT(ISNUMBER('Price History'!S160)),'Price History'!S160=0),"",'Price History'!S161/'Price History'!S160-1),"")</f>
        <v/>
      </c>
      <c r="T160" s="76" t="str">
        <f>IFERROR(IF(OR(NOT(ISNUMBER('Price History'!T161)),NOT(ISNUMBER('Price History'!T160)),'Price History'!T160=0),"",'Price History'!T161/'Price History'!T160-1),"")</f>
        <v/>
      </c>
      <c r="U160" s="76" t="str">
        <f>IFERROR(IF(OR(NOT(ISNUMBER('Price History'!U161)),NOT(ISNUMBER('Price History'!U160)),'Price History'!U160=0),"",'Price History'!U161/'Price History'!U160-1),"")</f>
        <v/>
      </c>
    </row>
    <row r="161" spans="1:21" ht="15" customHeight="1" x14ac:dyDescent="0.2">
      <c r="A161" s="55" t="str">
        <f>IF('Price History'!A162="","",'Price History'!A162)</f>
        <v/>
      </c>
      <c r="B161" s="76" t="str">
        <f>IFERROR(IF(OR(NOT(ISNUMBER('Price History'!B162)),NOT(ISNUMBER('Price History'!B161)),'Price History'!B161=0),"",'Price History'!B162/'Price History'!B161-1),"")</f>
        <v/>
      </c>
      <c r="C161" s="76" t="str">
        <f>IFERROR(IF(OR(NOT(ISNUMBER('Price History'!C162)),NOT(ISNUMBER('Price History'!C161)),'Price History'!C161=0),"",'Price History'!C162/'Price History'!C161-1),"")</f>
        <v/>
      </c>
      <c r="D161" s="76" t="str">
        <f>IFERROR(IF(OR(NOT(ISNUMBER('Price History'!D162)),NOT(ISNUMBER('Price History'!D161)),'Price History'!D161=0),"",'Price History'!D162/'Price History'!D161-1),"")</f>
        <v/>
      </c>
      <c r="E161" s="76" t="str">
        <f>IFERROR(IF(OR(NOT(ISNUMBER('Price History'!E162)),NOT(ISNUMBER('Price History'!E161)),'Price History'!E161=0),"",'Price History'!E162/'Price History'!E161-1),"")</f>
        <v/>
      </c>
      <c r="F161" s="76" t="str">
        <f>IFERROR(IF(OR(NOT(ISNUMBER('Price History'!F162)),NOT(ISNUMBER('Price History'!F161)),'Price History'!F161=0),"",'Price History'!F162/'Price History'!F161-1),"")</f>
        <v/>
      </c>
      <c r="G161" s="76" t="str">
        <f>IFERROR(IF(OR(NOT(ISNUMBER('Price History'!G162)),NOT(ISNUMBER('Price History'!G161)),'Price History'!G161=0),"",'Price History'!G162/'Price History'!G161-1),"")</f>
        <v/>
      </c>
      <c r="H161" s="76" t="str">
        <f>IFERROR(IF(OR(NOT(ISNUMBER('Price History'!H162)),NOT(ISNUMBER('Price History'!H161)),'Price History'!H161=0),"",'Price History'!H162/'Price History'!H161-1),"")</f>
        <v/>
      </c>
      <c r="I161" s="76" t="str">
        <f>IFERROR(IF(OR(NOT(ISNUMBER('Price History'!I162)),NOT(ISNUMBER('Price History'!I161)),'Price History'!I161=0),"",'Price History'!I162/'Price History'!I161-1),"")</f>
        <v/>
      </c>
      <c r="J161" s="76" t="str">
        <f>IFERROR(IF(OR(NOT(ISNUMBER('Price History'!J162)),NOT(ISNUMBER('Price History'!J161)),'Price History'!J161=0),"",'Price History'!J162/'Price History'!J161-1),"")</f>
        <v/>
      </c>
      <c r="K161" s="76" t="str">
        <f>IFERROR(IF(OR(NOT(ISNUMBER('Price History'!K162)),NOT(ISNUMBER('Price History'!K161)),'Price History'!K161=0),"",'Price History'!K162/'Price History'!K161-1),"")</f>
        <v/>
      </c>
      <c r="L161" s="76" t="str">
        <f>IFERROR(IF(OR(NOT(ISNUMBER('Price History'!L162)),NOT(ISNUMBER('Price History'!L161)),'Price History'!L161=0),"",'Price History'!L162/'Price History'!L161-1),"")</f>
        <v/>
      </c>
      <c r="M161" s="76" t="str">
        <f>IFERROR(IF(OR(NOT(ISNUMBER('Price History'!M162)),NOT(ISNUMBER('Price History'!M161)),'Price History'!M161=0),"",'Price History'!M162/'Price History'!M161-1),"")</f>
        <v/>
      </c>
      <c r="N161" s="76" t="str">
        <f>IFERROR(IF(OR(NOT(ISNUMBER('Price History'!N162)),NOT(ISNUMBER('Price History'!N161)),'Price History'!N161=0),"",'Price History'!N162/'Price History'!N161-1),"")</f>
        <v/>
      </c>
      <c r="O161" s="76" t="str">
        <f>IFERROR(IF(OR(NOT(ISNUMBER('Price History'!O162)),NOT(ISNUMBER('Price History'!O161)),'Price History'!O161=0),"",'Price History'!O162/'Price History'!O161-1),"")</f>
        <v/>
      </c>
      <c r="P161" s="76" t="str">
        <f>IFERROR(IF(OR(NOT(ISNUMBER('Price History'!P162)),NOT(ISNUMBER('Price History'!P161)),'Price History'!P161=0),"",'Price History'!P162/'Price History'!P161-1),"")</f>
        <v/>
      </c>
      <c r="Q161" s="76" t="str">
        <f>IFERROR(IF(OR(NOT(ISNUMBER('Price History'!Q162)),NOT(ISNUMBER('Price History'!Q161)),'Price History'!Q161=0),"",'Price History'!Q162/'Price History'!Q161-1),"")</f>
        <v/>
      </c>
      <c r="R161" s="76" t="str">
        <f>IFERROR(IF(OR(NOT(ISNUMBER('Price History'!R162)),NOT(ISNUMBER('Price History'!R161)),'Price History'!R161=0),"",'Price History'!R162/'Price History'!R161-1),"")</f>
        <v/>
      </c>
      <c r="S161" s="76" t="str">
        <f>IFERROR(IF(OR(NOT(ISNUMBER('Price History'!S162)),NOT(ISNUMBER('Price History'!S161)),'Price History'!S161=0),"",'Price History'!S162/'Price History'!S161-1),"")</f>
        <v/>
      </c>
      <c r="T161" s="76" t="str">
        <f>IFERROR(IF(OR(NOT(ISNUMBER('Price History'!T162)),NOT(ISNUMBER('Price History'!T161)),'Price History'!T161=0),"",'Price History'!T162/'Price History'!T161-1),"")</f>
        <v/>
      </c>
      <c r="U161" s="76" t="str">
        <f>IFERROR(IF(OR(NOT(ISNUMBER('Price History'!U162)),NOT(ISNUMBER('Price History'!U161)),'Price History'!U161=0),"",'Price History'!U162/'Price History'!U161-1),"")</f>
        <v/>
      </c>
    </row>
  </sheetData>
  <mergeCells count="1">
    <mergeCell ref="A1:U1"/>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25"/>
  <sheetViews>
    <sheetView showGridLines="0" zoomScaleNormal="100" workbookViewId="0">
      <pane xSplit="1" ySplit="2" topLeftCell="B3" activePane="bottomRight" state="frozen"/>
      <selection pane="topRight" activeCell="B1" sqref="B1"/>
      <selection pane="bottomLeft" activeCell="A3" sqref="A3"/>
      <selection pane="bottomRight" activeCell="O28" sqref="O28"/>
    </sheetView>
  </sheetViews>
  <sheetFormatPr baseColWidth="10" defaultColWidth="8.6640625" defaultRowHeight="15" x14ac:dyDescent="0.2"/>
  <cols>
    <col min="1" max="1" width="10" customWidth="1"/>
    <col min="2" max="21" width="8" customWidth="1"/>
    <col min="22" max="22" width="16" customWidth="1"/>
  </cols>
  <sheetData>
    <row r="1" spans="1:22" ht="15" customHeight="1" x14ac:dyDescent="0.2">
      <c r="A1" s="2" t="s">
        <v>369</v>
      </c>
      <c r="B1" s="2"/>
      <c r="C1" s="2"/>
      <c r="D1" s="2"/>
      <c r="E1" s="2"/>
      <c r="F1" s="2"/>
      <c r="G1" s="2"/>
      <c r="H1" s="2"/>
      <c r="I1" s="2"/>
      <c r="J1" s="2"/>
      <c r="K1" s="2"/>
      <c r="L1" s="2"/>
      <c r="M1" s="2"/>
      <c r="N1" s="2"/>
      <c r="O1" s="2"/>
      <c r="P1" s="2"/>
      <c r="Q1" s="2"/>
      <c r="R1" s="2"/>
      <c r="S1" s="2"/>
      <c r="T1" s="2"/>
      <c r="U1" s="2"/>
      <c r="V1" s="2"/>
    </row>
    <row r="2" spans="1:22" ht="15" customHeight="1" x14ac:dyDescent="0.2">
      <c r="A2" s="22" t="s">
        <v>71</v>
      </c>
      <c r="B2" s="22" t="str">
        <f>'Returns (Calc)'!B2</f>
        <v>ADBE</v>
      </c>
      <c r="C2" s="22" t="str">
        <f>'Returns (Calc)'!C2</f>
        <v>ANET</v>
      </c>
      <c r="D2" s="22" t="str">
        <f>'Returns (Calc)'!D2</f>
        <v>ASML</v>
      </c>
      <c r="E2" s="22" t="str">
        <f>'Returns (Calc)'!E2</f>
        <v>AVGO</v>
      </c>
      <c r="F2" s="22" t="str">
        <f>'Returns (Calc)'!F2</f>
        <v>CRWD</v>
      </c>
      <c r="G2" s="22" t="str">
        <f>'Returns (Calc)'!G2</f>
        <v>KLAC</v>
      </c>
      <c r="H2" s="22" t="str">
        <f>'Returns (Calc)'!H2</f>
        <v>MU</v>
      </c>
      <c r="I2" s="22" t="str">
        <f>'Returns (Calc)'!I2</f>
        <v>NVDA</v>
      </c>
      <c r="J2" s="22" t="str">
        <f>'Returns (Calc)'!J2</f>
        <v>PLD</v>
      </c>
      <c r="K2" s="22" t="str">
        <f>'Returns (Calc)'!K2</f>
        <v>PLTR</v>
      </c>
      <c r="L2" s="22" t="str">
        <f>'Returns (Calc)'!L2</f>
        <v>TSM</v>
      </c>
      <c r="M2" s="22" t="str">
        <f>'Returns (Calc)'!M2</f>
        <v>VRT</v>
      </c>
      <c r="N2" s="22" t="str">
        <f>'Returns (Calc)'!N2</f>
        <v>VRTX</v>
      </c>
      <c r="O2" s="22" t="str">
        <f>'Returns (Calc)'!O2</f>
        <v>AVUV</v>
      </c>
      <c r="P2" s="22">
        <f>'Returns (Calc)'!P2</f>
        <v>0</v>
      </c>
      <c r="Q2" s="22" t="str">
        <f>'Returns (Calc)'!Q2</f>
        <v>HELO</v>
      </c>
      <c r="R2" s="22" t="str">
        <f>'Returns (Calc)'!R2</f>
        <v>JEPQ</v>
      </c>
      <c r="S2" s="22" t="str">
        <f>'Returns (Calc)'!S2</f>
        <v>SPMO</v>
      </c>
      <c r="T2" s="22" t="str">
        <f>'Returns (Calc)'!T2</f>
        <v>VFLO</v>
      </c>
      <c r="U2" s="22">
        <f>'Returns (Calc)'!U2</f>
        <v>0</v>
      </c>
      <c r="V2" s="22" t="s">
        <v>370</v>
      </c>
    </row>
    <row r="3" spans="1:22" ht="15" customHeight="1" x14ac:dyDescent="0.2">
      <c r="A3" s="78" t="str">
        <f>'Returns (Calc)'!B2</f>
        <v>ADBE</v>
      </c>
      <c r="B3" s="79">
        <v>1</v>
      </c>
      <c r="C3" s="79">
        <f>IFERROR(ROUND(CORREL('Returns (Calc)'!$B$3:$B$161,'Returns (Calc)'!$C$3:$C$161),2),"")</f>
        <v>0.22</v>
      </c>
      <c r="D3" s="79">
        <f>IFERROR(ROUND(CORREL('Returns (Calc)'!$B$3:$B$161,'Returns (Calc)'!$D$3:$D$161),2),"")</f>
        <v>0.03</v>
      </c>
      <c r="E3" s="79">
        <f>IFERROR(ROUND(CORREL('Returns (Calc)'!$B$3:$B$161,'Returns (Calc)'!$E$3:$E$161),2),"")</f>
        <v>0.16</v>
      </c>
      <c r="F3" s="79">
        <f>IFERROR(ROUND(CORREL('Returns (Calc)'!$B$3:$B$161,'Returns (Calc)'!$F$3:$F$161),2),"")</f>
        <v>0.42</v>
      </c>
      <c r="G3" s="79">
        <f>IFERROR(ROUND(CORREL('Returns (Calc)'!$B$3:$B$161,'Returns (Calc)'!$G$3:$G$161),2),"")</f>
        <v>-0.03</v>
      </c>
      <c r="H3" s="79">
        <f>IFERROR(ROUND(CORREL('Returns (Calc)'!$B$3:$B$161,'Returns (Calc)'!$H$3:$H$161),2),"")</f>
        <v>7.0000000000000007E-2</v>
      </c>
      <c r="I3" s="79">
        <f>IFERROR(ROUND(CORREL('Returns (Calc)'!$B$3:$B$161,'Returns (Calc)'!$I$3:$I$161),2),"")</f>
        <v>0.23</v>
      </c>
      <c r="J3" s="79">
        <f>IFERROR(ROUND(CORREL('Returns (Calc)'!$B$3:$B$161,'Returns (Calc)'!$J$3:$J$161),2),"")</f>
        <v>0.19</v>
      </c>
      <c r="K3" s="79">
        <f>IFERROR(ROUND(CORREL('Returns (Calc)'!$B$3:$B$161,'Returns (Calc)'!$K$3:$K$161),2),"")</f>
        <v>0.36</v>
      </c>
      <c r="L3" s="79">
        <f>IFERROR(ROUND(CORREL('Returns (Calc)'!$B$3:$B$161,'Returns (Calc)'!$L$3:$L$161),2),"")</f>
        <v>0.17</v>
      </c>
      <c r="M3" s="79">
        <f>IFERROR(ROUND(CORREL('Returns (Calc)'!$B$3:$B$161,'Returns (Calc)'!$M$3:$M$161),2),"")</f>
        <v>0.08</v>
      </c>
      <c r="N3" s="79">
        <f>IFERROR(ROUND(CORREL('Returns (Calc)'!$B$3:$B$161,'Returns (Calc)'!$N$3:$N$161),2),"")</f>
        <v>0.13</v>
      </c>
      <c r="O3" s="79">
        <f>IFERROR(ROUND(CORREL('Returns (Calc)'!$B$3:$B$161,'Returns (Calc)'!$O$3:$O$161),2),"")</f>
        <v>0.17</v>
      </c>
      <c r="P3" s="79" t="str">
        <f>IFERROR(ROUND(CORREL('Returns (Calc)'!$B$3:$B$161,'Returns (Calc)'!$P$3:$P$161),2),"")</f>
        <v/>
      </c>
      <c r="Q3" s="79">
        <f>IFERROR(ROUND(CORREL('Returns (Calc)'!$B$3:$B$161,'Returns (Calc)'!$Q$3:$Q$161),2),"")</f>
        <v>-0.1</v>
      </c>
      <c r="R3" s="79">
        <f>IFERROR(ROUND(CORREL('Returns (Calc)'!$B$3:$B$161,'Returns (Calc)'!$R$3:$R$161),2),"")</f>
        <v>0.32</v>
      </c>
      <c r="S3" s="79">
        <f>IFERROR(ROUND(CORREL('Returns (Calc)'!$B$3:$B$161,'Returns (Calc)'!$S$3:$S$161),2),"")</f>
        <v>0.25</v>
      </c>
      <c r="T3" s="79">
        <f>IFERROR(ROUND(CORREL('Returns (Calc)'!$B$3:$B$161,'Returns (Calc)'!$T$3:$T$161),2),"")</f>
        <v>0.41</v>
      </c>
      <c r="U3" s="79" t="str">
        <f>IFERROR(ROUND(CORREL('Returns (Calc)'!$B$3:$B$161,'Returns (Calc)'!$U$3:$U$161),2),"")</f>
        <v/>
      </c>
      <c r="V3" s="47">
        <f t="shared" ref="V3:V22" si="0">COUNTIF(B3:U3,"&gt;0.7")-1</f>
        <v>0</v>
      </c>
    </row>
    <row r="4" spans="1:22" ht="15" customHeight="1" x14ac:dyDescent="0.2">
      <c r="A4" s="78" t="str">
        <f>'Returns (Calc)'!C2</f>
        <v>ANET</v>
      </c>
      <c r="B4" s="79">
        <f>IFERROR(ROUND(CORREL('Returns (Calc)'!$C$3:$C$161,'Returns (Calc)'!$B$3:$B$161),2),"")</f>
        <v>0.22</v>
      </c>
      <c r="C4" s="79">
        <v>1</v>
      </c>
      <c r="D4" s="79">
        <f>IFERROR(ROUND(CORREL('Returns (Calc)'!$C$3:$C$161,'Returns (Calc)'!$D$3:$D$161),2),"")</f>
        <v>0.39</v>
      </c>
      <c r="E4" s="79">
        <f>IFERROR(ROUND(CORREL('Returns (Calc)'!$C$3:$C$161,'Returns (Calc)'!$E$3:$E$161),2),"")</f>
        <v>0.59</v>
      </c>
      <c r="F4" s="79">
        <f>IFERROR(ROUND(CORREL('Returns (Calc)'!$C$3:$C$161,'Returns (Calc)'!$F$3:$F$161),2),"")</f>
        <v>0.38</v>
      </c>
      <c r="G4" s="79">
        <f>IFERROR(ROUND(CORREL('Returns (Calc)'!$C$3:$C$161,'Returns (Calc)'!$G$3:$G$161),2),"")</f>
        <v>0.44</v>
      </c>
      <c r="H4" s="79">
        <f>IFERROR(ROUND(CORREL('Returns (Calc)'!$C$3:$C$161,'Returns (Calc)'!$H$3:$H$161),2),"")</f>
        <v>0.35</v>
      </c>
      <c r="I4" s="79">
        <f>IFERROR(ROUND(CORREL('Returns (Calc)'!$C$3:$C$161,'Returns (Calc)'!$I$3:$I$161),2),"")</f>
        <v>0.53</v>
      </c>
      <c r="J4" s="79">
        <f>IFERROR(ROUND(CORREL('Returns (Calc)'!$C$3:$C$161,'Returns (Calc)'!$J$3:$J$161),2),"")</f>
        <v>0.19</v>
      </c>
      <c r="K4" s="79">
        <f>IFERROR(ROUND(CORREL('Returns (Calc)'!$C$3:$C$161,'Returns (Calc)'!$K$3:$K$161),2),"")</f>
        <v>0.34</v>
      </c>
      <c r="L4" s="79">
        <f>IFERROR(ROUND(CORREL('Returns (Calc)'!$C$3:$C$161,'Returns (Calc)'!$L$3:$L$161),2),"")</f>
        <v>0.55000000000000004</v>
      </c>
      <c r="M4" s="79">
        <f>IFERROR(ROUND(CORREL('Returns (Calc)'!$C$3:$C$161,'Returns (Calc)'!$M$3:$M$161),2),"")</f>
        <v>0.59</v>
      </c>
      <c r="N4" s="79">
        <f>IFERROR(ROUND(CORREL('Returns (Calc)'!$C$3:$C$161,'Returns (Calc)'!$N$3:$N$161),2),"")</f>
        <v>0.05</v>
      </c>
      <c r="O4" s="79">
        <f>IFERROR(ROUND(CORREL('Returns (Calc)'!$C$3:$C$161,'Returns (Calc)'!$O$3:$O$161),2),"")</f>
        <v>0.35</v>
      </c>
      <c r="P4" s="79" t="str">
        <f>IFERROR(ROUND(CORREL('Returns (Calc)'!$C$3:$C$161,'Returns (Calc)'!$P$3:$P$161),2),"")</f>
        <v/>
      </c>
      <c r="Q4" s="79">
        <f>IFERROR(ROUND(CORREL('Returns (Calc)'!$C$3:$C$161,'Returns (Calc)'!$Q$3:$Q$161),2),"")</f>
        <v>-0.01</v>
      </c>
      <c r="R4" s="79">
        <f>IFERROR(ROUND(CORREL('Returns (Calc)'!$C$3:$C$161,'Returns (Calc)'!$R$3:$R$161),2),"")</f>
        <v>0.64</v>
      </c>
      <c r="S4" s="79">
        <f>IFERROR(ROUND(CORREL('Returns (Calc)'!$C$3:$C$161,'Returns (Calc)'!$S$3:$S$161),2),"")</f>
        <v>0.64</v>
      </c>
      <c r="T4" s="79">
        <f>IFERROR(ROUND(CORREL('Returns (Calc)'!$C$3:$C$161,'Returns (Calc)'!$T$3:$T$161),2),"")</f>
        <v>0.35</v>
      </c>
      <c r="U4" s="79" t="str">
        <f>IFERROR(ROUND(CORREL('Returns (Calc)'!$C$3:$C$161,'Returns (Calc)'!$U$3:$U$161),2),"")</f>
        <v/>
      </c>
      <c r="V4" s="47">
        <f t="shared" si="0"/>
        <v>0</v>
      </c>
    </row>
    <row r="5" spans="1:22" ht="15" customHeight="1" x14ac:dyDescent="0.2">
      <c r="A5" s="78" t="str">
        <f>'Returns (Calc)'!D2</f>
        <v>ASML</v>
      </c>
      <c r="B5" s="79">
        <f>IFERROR(ROUND(CORREL('Returns (Calc)'!$D$3:$D$161,'Returns (Calc)'!$B$3:$B$161),2),"")</f>
        <v>0.03</v>
      </c>
      <c r="C5" s="79">
        <f>IFERROR(ROUND(CORREL('Returns (Calc)'!$D$3:$D$161,'Returns (Calc)'!$C$3:$C$161),2),"")</f>
        <v>0.39</v>
      </c>
      <c r="D5" s="79">
        <v>1</v>
      </c>
      <c r="E5" s="79">
        <f>IFERROR(ROUND(CORREL('Returns (Calc)'!$D$3:$D$161,'Returns (Calc)'!$E$3:$E$161),2),"")</f>
        <v>0.5</v>
      </c>
      <c r="F5" s="79">
        <f>IFERROR(ROUND(CORREL('Returns (Calc)'!$D$3:$D$161,'Returns (Calc)'!$F$3:$F$161),2),"")</f>
        <v>0.33</v>
      </c>
      <c r="G5" s="79">
        <f>IFERROR(ROUND(CORREL('Returns (Calc)'!$D$3:$D$161,'Returns (Calc)'!$G$3:$G$161),2),"")</f>
        <v>0.77</v>
      </c>
      <c r="H5" s="79">
        <f>IFERROR(ROUND(CORREL('Returns (Calc)'!$D$3:$D$161,'Returns (Calc)'!$H$3:$H$161),2),"")</f>
        <v>0.6</v>
      </c>
      <c r="I5" s="79">
        <f>IFERROR(ROUND(CORREL('Returns (Calc)'!$D$3:$D$161,'Returns (Calc)'!$I$3:$I$161),2),"")</f>
        <v>0.48</v>
      </c>
      <c r="J5" s="79">
        <f>IFERROR(ROUND(CORREL('Returns (Calc)'!$D$3:$D$161,'Returns (Calc)'!$J$3:$J$161),2),"")</f>
        <v>0.28999999999999998</v>
      </c>
      <c r="K5" s="79">
        <f>IFERROR(ROUND(CORREL('Returns (Calc)'!$D$3:$D$161,'Returns (Calc)'!$K$3:$K$161),2),"")</f>
        <v>0.2</v>
      </c>
      <c r="L5" s="79">
        <f>IFERROR(ROUND(CORREL('Returns (Calc)'!$D$3:$D$161,'Returns (Calc)'!$L$3:$L$161),2),"")</f>
        <v>0.63</v>
      </c>
      <c r="M5" s="79">
        <f>IFERROR(ROUND(CORREL('Returns (Calc)'!$D$3:$D$161,'Returns (Calc)'!$M$3:$M$161),2),"")</f>
        <v>0.41</v>
      </c>
      <c r="N5" s="79">
        <f>IFERROR(ROUND(CORREL('Returns (Calc)'!$D$3:$D$161,'Returns (Calc)'!$N$3:$N$161),2),"")</f>
        <v>0.12</v>
      </c>
      <c r="O5" s="79">
        <f>IFERROR(ROUND(CORREL('Returns (Calc)'!$D$3:$D$161,'Returns (Calc)'!$O$3:$O$161),2),"")</f>
        <v>0.38</v>
      </c>
      <c r="P5" s="79" t="str">
        <f>IFERROR(ROUND(CORREL('Returns (Calc)'!$D$3:$D$161,'Returns (Calc)'!$P$3:$P$161),2),"")</f>
        <v/>
      </c>
      <c r="Q5" s="79">
        <f>IFERROR(ROUND(CORREL('Returns (Calc)'!$D$3:$D$161,'Returns (Calc)'!$Q$3:$Q$161),2),"")</f>
        <v>-0.06</v>
      </c>
      <c r="R5" s="79">
        <f>IFERROR(ROUND(CORREL('Returns (Calc)'!$D$3:$D$161,'Returns (Calc)'!$R$3:$R$161),2),"")</f>
        <v>0.6</v>
      </c>
      <c r="S5" s="79">
        <f>IFERROR(ROUND(CORREL('Returns (Calc)'!$D$3:$D$161,'Returns (Calc)'!$S$3:$S$161),2),"")</f>
        <v>0.6</v>
      </c>
      <c r="T5" s="79">
        <f>IFERROR(ROUND(CORREL('Returns (Calc)'!$D$3:$D$161,'Returns (Calc)'!$T$3:$T$161),2),"")</f>
        <v>0.31</v>
      </c>
      <c r="U5" s="79" t="str">
        <f>IFERROR(ROUND(CORREL('Returns (Calc)'!$D$3:$D$161,'Returns (Calc)'!$U$3:$U$161),2),"")</f>
        <v/>
      </c>
      <c r="V5" s="47">
        <f t="shared" si="0"/>
        <v>1</v>
      </c>
    </row>
    <row r="6" spans="1:22" ht="15" customHeight="1" x14ac:dyDescent="0.2">
      <c r="A6" s="78" t="str">
        <f>'Returns (Calc)'!E2</f>
        <v>AVGO</v>
      </c>
      <c r="B6" s="79">
        <f>IFERROR(ROUND(CORREL('Returns (Calc)'!$E$3:$E$161,'Returns (Calc)'!$B$3:$B$161),2),"")</f>
        <v>0.16</v>
      </c>
      <c r="C6" s="79">
        <f>IFERROR(ROUND(CORREL('Returns (Calc)'!$E$3:$E$161,'Returns (Calc)'!$C$3:$C$161),2),"")</f>
        <v>0.59</v>
      </c>
      <c r="D6" s="79">
        <f>IFERROR(ROUND(CORREL('Returns (Calc)'!$E$3:$E$161,'Returns (Calc)'!$D$3:$D$161),2),"")</f>
        <v>0.5</v>
      </c>
      <c r="E6" s="79">
        <v>1</v>
      </c>
      <c r="F6" s="79">
        <f>IFERROR(ROUND(CORREL('Returns (Calc)'!$E$3:$E$161,'Returns (Calc)'!$F$3:$F$161),2),"")</f>
        <v>0.4</v>
      </c>
      <c r="G6" s="79">
        <f>IFERROR(ROUND(CORREL('Returns (Calc)'!$E$3:$E$161,'Returns (Calc)'!$G$3:$G$161),2),"")</f>
        <v>0.54</v>
      </c>
      <c r="H6" s="79">
        <f>IFERROR(ROUND(CORREL('Returns (Calc)'!$E$3:$E$161,'Returns (Calc)'!$H$3:$H$161),2),"")</f>
        <v>0.5</v>
      </c>
      <c r="I6" s="79">
        <f>IFERROR(ROUND(CORREL('Returns (Calc)'!$E$3:$E$161,'Returns (Calc)'!$I$3:$I$161),2),"")</f>
        <v>0.62</v>
      </c>
      <c r="J6" s="79">
        <f>IFERROR(ROUND(CORREL('Returns (Calc)'!$E$3:$E$161,'Returns (Calc)'!$J$3:$J$161),2),"")</f>
        <v>0.23</v>
      </c>
      <c r="K6" s="79">
        <f>IFERROR(ROUND(CORREL('Returns (Calc)'!$E$3:$E$161,'Returns (Calc)'!$K$3:$K$161),2),"")</f>
        <v>0.37</v>
      </c>
      <c r="L6" s="79">
        <f>IFERROR(ROUND(CORREL('Returns (Calc)'!$E$3:$E$161,'Returns (Calc)'!$L$3:$L$161),2),"")</f>
        <v>0.63</v>
      </c>
      <c r="M6" s="79">
        <f>IFERROR(ROUND(CORREL('Returns (Calc)'!$E$3:$E$161,'Returns (Calc)'!$M$3:$M$161),2),"")</f>
        <v>0.53</v>
      </c>
      <c r="N6" s="79">
        <f>IFERROR(ROUND(CORREL('Returns (Calc)'!$E$3:$E$161,'Returns (Calc)'!$N$3:$N$161),2),"")</f>
        <v>0.16</v>
      </c>
      <c r="O6" s="79">
        <f>IFERROR(ROUND(CORREL('Returns (Calc)'!$E$3:$E$161,'Returns (Calc)'!$O$3:$O$161),2),"")</f>
        <v>0.28999999999999998</v>
      </c>
      <c r="P6" s="79" t="str">
        <f>IFERROR(ROUND(CORREL('Returns (Calc)'!$E$3:$E$161,'Returns (Calc)'!$P$3:$P$161),2),"")</f>
        <v/>
      </c>
      <c r="Q6" s="79">
        <f>IFERROR(ROUND(CORREL('Returns (Calc)'!$E$3:$E$161,'Returns (Calc)'!$Q$3:$Q$161),2),"")</f>
        <v>-0.08</v>
      </c>
      <c r="R6" s="79">
        <f>IFERROR(ROUND(CORREL('Returns (Calc)'!$E$3:$E$161,'Returns (Calc)'!$R$3:$R$161),2),"")</f>
        <v>0.73</v>
      </c>
      <c r="S6" s="79">
        <f>IFERROR(ROUND(CORREL('Returns (Calc)'!$E$3:$E$161,'Returns (Calc)'!$S$3:$S$161),2),"")</f>
        <v>0.74</v>
      </c>
      <c r="T6" s="79">
        <f>IFERROR(ROUND(CORREL('Returns (Calc)'!$E$3:$E$161,'Returns (Calc)'!$T$3:$T$161),2),"")</f>
        <v>0.28999999999999998</v>
      </c>
      <c r="U6" s="79" t="str">
        <f>IFERROR(ROUND(CORREL('Returns (Calc)'!$E$3:$E$161,'Returns (Calc)'!$U$3:$U$161),2),"")</f>
        <v/>
      </c>
      <c r="V6" s="47">
        <f t="shared" si="0"/>
        <v>2</v>
      </c>
    </row>
    <row r="7" spans="1:22" ht="15" customHeight="1" x14ac:dyDescent="0.2">
      <c r="A7" s="78" t="str">
        <f>'Returns (Calc)'!F2</f>
        <v>CRWD</v>
      </c>
      <c r="B7" s="79">
        <f>IFERROR(ROUND(CORREL('Returns (Calc)'!$F$3:$F$161,'Returns (Calc)'!$B$3:$B$161),2),"")</f>
        <v>0.42</v>
      </c>
      <c r="C7" s="79">
        <f>IFERROR(ROUND(CORREL('Returns (Calc)'!$F$3:$F$161,'Returns (Calc)'!$C$3:$C$161),2),"")</f>
        <v>0.38</v>
      </c>
      <c r="D7" s="79">
        <f>IFERROR(ROUND(CORREL('Returns (Calc)'!$F$3:$F$161,'Returns (Calc)'!$D$3:$D$161),2),"")</f>
        <v>0.33</v>
      </c>
      <c r="E7" s="79">
        <f>IFERROR(ROUND(CORREL('Returns (Calc)'!$F$3:$F$161,'Returns (Calc)'!$E$3:$E$161),2),"")</f>
        <v>0.4</v>
      </c>
      <c r="F7" s="79">
        <v>1</v>
      </c>
      <c r="G7" s="79">
        <f>IFERROR(ROUND(CORREL('Returns (Calc)'!$F$3:$F$161,'Returns (Calc)'!$G$3:$G$161),2),"")</f>
        <v>0.34</v>
      </c>
      <c r="H7" s="79">
        <f>IFERROR(ROUND(CORREL('Returns (Calc)'!$F$3:$F$161,'Returns (Calc)'!$H$3:$H$161),2),"")</f>
        <v>0.34</v>
      </c>
      <c r="I7" s="79">
        <f>IFERROR(ROUND(CORREL('Returns (Calc)'!$F$3:$F$161,'Returns (Calc)'!$I$3:$I$161),2),"")</f>
        <v>0.45</v>
      </c>
      <c r="J7" s="79">
        <f>IFERROR(ROUND(CORREL('Returns (Calc)'!$F$3:$F$161,'Returns (Calc)'!$J$3:$J$161),2),"")</f>
        <v>0.12</v>
      </c>
      <c r="K7" s="79">
        <f>IFERROR(ROUND(CORREL('Returns (Calc)'!$F$3:$F$161,'Returns (Calc)'!$K$3:$K$161),2),"")</f>
        <v>0.5</v>
      </c>
      <c r="L7" s="79">
        <f>IFERROR(ROUND(CORREL('Returns (Calc)'!$F$3:$F$161,'Returns (Calc)'!$L$3:$L$161),2),"")</f>
        <v>0.39</v>
      </c>
      <c r="M7" s="79">
        <f>IFERROR(ROUND(CORREL('Returns (Calc)'!$F$3:$F$161,'Returns (Calc)'!$M$3:$M$161),2),"")</f>
        <v>0.41</v>
      </c>
      <c r="N7" s="79">
        <f>IFERROR(ROUND(CORREL('Returns (Calc)'!$F$3:$F$161,'Returns (Calc)'!$N$3:$N$161),2),"")</f>
        <v>0.21</v>
      </c>
      <c r="O7" s="79">
        <f>IFERROR(ROUND(CORREL('Returns (Calc)'!$F$3:$F$161,'Returns (Calc)'!$O$3:$O$161),2),"")</f>
        <v>0.22</v>
      </c>
      <c r="P7" s="79" t="str">
        <f>IFERROR(ROUND(CORREL('Returns (Calc)'!$F$3:$F$161,'Returns (Calc)'!$P$3:$P$161),2),"")</f>
        <v/>
      </c>
      <c r="Q7" s="79">
        <f>IFERROR(ROUND(CORREL('Returns (Calc)'!$F$3:$F$161,'Returns (Calc)'!$Q$3:$Q$161),2),"")</f>
        <v>-7.0000000000000007E-2</v>
      </c>
      <c r="R7" s="79">
        <f>IFERROR(ROUND(CORREL('Returns (Calc)'!$F$3:$F$161,'Returns (Calc)'!$R$3:$R$161),2),"")</f>
        <v>0.54</v>
      </c>
      <c r="S7" s="79">
        <f>IFERROR(ROUND(CORREL('Returns (Calc)'!$F$3:$F$161,'Returns (Calc)'!$S$3:$S$161),2),"")</f>
        <v>0.53</v>
      </c>
      <c r="T7" s="79">
        <f>IFERROR(ROUND(CORREL('Returns (Calc)'!$F$3:$F$161,'Returns (Calc)'!$T$3:$T$161),2),"")</f>
        <v>0.33</v>
      </c>
      <c r="U7" s="79" t="str">
        <f>IFERROR(ROUND(CORREL('Returns (Calc)'!$F$3:$F$161,'Returns (Calc)'!$U$3:$U$161),2),"")</f>
        <v/>
      </c>
      <c r="V7" s="47">
        <f t="shared" si="0"/>
        <v>0</v>
      </c>
    </row>
    <row r="8" spans="1:22" ht="15" customHeight="1" x14ac:dyDescent="0.2">
      <c r="A8" s="78" t="str">
        <f>'Returns (Calc)'!G2</f>
        <v>KLAC</v>
      </c>
      <c r="B8" s="79">
        <f>IFERROR(ROUND(CORREL('Returns (Calc)'!$G$3:$G$161,'Returns (Calc)'!$B$3:$B$161),2),"")</f>
        <v>-0.03</v>
      </c>
      <c r="C8" s="79">
        <f>IFERROR(ROUND(CORREL('Returns (Calc)'!$G$3:$G$161,'Returns (Calc)'!$C$3:$C$161),2),"")</f>
        <v>0.44</v>
      </c>
      <c r="D8" s="79">
        <f>IFERROR(ROUND(CORREL('Returns (Calc)'!$G$3:$G$161,'Returns (Calc)'!$D$3:$D$161),2),"")</f>
        <v>0.77</v>
      </c>
      <c r="E8" s="79">
        <f>IFERROR(ROUND(CORREL('Returns (Calc)'!$G$3:$G$161,'Returns (Calc)'!$E$3:$E$161),2),"")</f>
        <v>0.54</v>
      </c>
      <c r="F8" s="79">
        <f>IFERROR(ROUND(CORREL('Returns (Calc)'!$G$3:$G$161,'Returns (Calc)'!$F$3:$F$161),2),"")</f>
        <v>0.34</v>
      </c>
      <c r="G8" s="79">
        <v>1</v>
      </c>
      <c r="H8" s="79">
        <f>IFERROR(ROUND(CORREL('Returns (Calc)'!$G$3:$G$161,'Returns (Calc)'!$H$3:$H$161),2),"")</f>
        <v>0.6</v>
      </c>
      <c r="I8" s="79">
        <f>IFERROR(ROUND(CORREL('Returns (Calc)'!$G$3:$G$161,'Returns (Calc)'!$I$3:$I$161),2),"")</f>
        <v>0.51</v>
      </c>
      <c r="J8" s="79">
        <f>IFERROR(ROUND(CORREL('Returns (Calc)'!$G$3:$G$161,'Returns (Calc)'!$J$3:$J$161),2),"")</f>
        <v>0.28999999999999998</v>
      </c>
      <c r="K8" s="79">
        <f>IFERROR(ROUND(CORREL('Returns (Calc)'!$G$3:$G$161,'Returns (Calc)'!$K$3:$K$161),2),"")</f>
        <v>0.24</v>
      </c>
      <c r="L8" s="79">
        <f>IFERROR(ROUND(CORREL('Returns (Calc)'!$G$3:$G$161,'Returns (Calc)'!$L$3:$L$161),2),"")</f>
        <v>0.61</v>
      </c>
      <c r="M8" s="79">
        <f>IFERROR(ROUND(CORREL('Returns (Calc)'!$G$3:$G$161,'Returns (Calc)'!$M$3:$M$161),2),"")</f>
        <v>0.49</v>
      </c>
      <c r="N8" s="79">
        <f>IFERROR(ROUND(CORREL('Returns (Calc)'!$G$3:$G$161,'Returns (Calc)'!$N$3:$N$161),2),"")</f>
        <v>0.18</v>
      </c>
      <c r="O8" s="79">
        <f>IFERROR(ROUND(CORREL('Returns (Calc)'!$G$3:$G$161,'Returns (Calc)'!$O$3:$O$161),2),"")</f>
        <v>0.43</v>
      </c>
      <c r="P8" s="79" t="str">
        <f>IFERROR(ROUND(CORREL('Returns (Calc)'!$G$3:$G$161,'Returns (Calc)'!$P$3:$P$161),2),"")</f>
        <v/>
      </c>
      <c r="Q8" s="79">
        <f>IFERROR(ROUND(CORREL('Returns (Calc)'!$G$3:$G$161,'Returns (Calc)'!$Q$3:$Q$161),2),"")</f>
        <v>-0.04</v>
      </c>
      <c r="R8" s="79">
        <f>IFERROR(ROUND(CORREL('Returns (Calc)'!$G$3:$G$161,'Returns (Calc)'!$R$3:$R$161),2),"")</f>
        <v>0.62</v>
      </c>
      <c r="S8" s="79">
        <f>IFERROR(ROUND(CORREL('Returns (Calc)'!$G$3:$G$161,'Returns (Calc)'!$S$3:$S$161),2),"")</f>
        <v>0.66</v>
      </c>
      <c r="T8" s="79">
        <f>IFERROR(ROUND(CORREL('Returns (Calc)'!$G$3:$G$161,'Returns (Calc)'!$T$3:$T$161),2),"")</f>
        <v>0.33</v>
      </c>
      <c r="U8" s="79" t="str">
        <f>IFERROR(ROUND(CORREL('Returns (Calc)'!$G$3:$G$161,'Returns (Calc)'!$U$3:$U$161),2),"")</f>
        <v/>
      </c>
      <c r="V8" s="47">
        <f t="shared" si="0"/>
        <v>1</v>
      </c>
    </row>
    <row r="9" spans="1:22" ht="15" customHeight="1" x14ac:dyDescent="0.2">
      <c r="A9" s="78" t="str">
        <f>'Returns (Calc)'!H2</f>
        <v>MU</v>
      </c>
      <c r="B9" s="79">
        <f>IFERROR(ROUND(CORREL('Returns (Calc)'!$H$3:$H$161,'Returns (Calc)'!$B$3:$B$161),2),"")</f>
        <v>7.0000000000000007E-2</v>
      </c>
      <c r="C9" s="79">
        <f>IFERROR(ROUND(CORREL('Returns (Calc)'!$H$3:$H$161,'Returns (Calc)'!$C$3:$C$161),2),"")</f>
        <v>0.35</v>
      </c>
      <c r="D9" s="79">
        <f>IFERROR(ROUND(CORREL('Returns (Calc)'!$H$3:$H$161,'Returns (Calc)'!$D$3:$D$161),2),"")</f>
        <v>0.6</v>
      </c>
      <c r="E9" s="79">
        <f>IFERROR(ROUND(CORREL('Returns (Calc)'!$H$3:$H$161,'Returns (Calc)'!$E$3:$E$161),2),"")</f>
        <v>0.5</v>
      </c>
      <c r="F9" s="79">
        <f>IFERROR(ROUND(CORREL('Returns (Calc)'!$H$3:$H$161,'Returns (Calc)'!$F$3:$F$161),2),"")</f>
        <v>0.34</v>
      </c>
      <c r="G9" s="79">
        <f>IFERROR(ROUND(CORREL('Returns (Calc)'!$H$3:$H$161,'Returns (Calc)'!$G$3:$G$161),2),"")</f>
        <v>0.6</v>
      </c>
      <c r="H9" s="79">
        <v>1</v>
      </c>
      <c r="I9" s="79">
        <f>IFERROR(ROUND(CORREL('Returns (Calc)'!$H$3:$H$161,'Returns (Calc)'!$I$3:$I$161),2),"")</f>
        <v>0.5</v>
      </c>
      <c r="J9" s="79">
        <f>IFERROR(ROUND(CORREL('Returns (Calc)'!$H$3:$H$161,'Returns (Calc)'!$J$3:$J$161),2),"")</f>
        <v>0.21</v>
      </c>
      <c r="K9" s="79">
        <f>IFERROR(ROUND(CORREL('Returns (Calc)'!$H$3:$H$161,'Returns (Calc)'!$K$3:$K$161),2),"")</f>
        <v>0.17</v>
      </c>
      <c r="L9" s="79">
        <f>IFERROR(ROUND(CORREL('Returns (Calc)'!$H$3:$H$161,'Returns (Calc)'!$L$3:$L$161),2),"")</f>
        <v>0.55000000000000004</v>
      </c>
      <c r="M9" s="79">
        <f>IFERROR(ROUND(CORREL('Returns (Calc)'!$H$3:$H$161,'Returns (Calc)'!$M$3:$M$161),2),"")</f>
        <v>0.49</v>
      </c>
      <c r="N9" s="79">
        <f>IFERROR(ROUND(CORREL('Returns (Calc)'!$H$3:$H$161,'Returns (Calc)'!$N$3:$N$161),2),"")</f>
        <v>0.18</v>
      </c>
      <c r="O9" s="79">
        <f>IFERROR(ROUND(CORREL('Returns (Calc)'!$H$3:$H$161,'Returns (Calc)'!$O$3:$O$161),2),"")</f>
        <v>0.36</v>
      </c>
      <c r="P9" s="79" t="str">
        <f>IFERROR(ROUND(CORREL('Returns (Calc)'!$H$3:$H$161,'Returns (Calc)'!$P$3:$P$161),2),"")</f>
        <v/>
      </c>
      <c r="Q9" s="79">
        <f>IFERROR(ROUND(CORREL('Returns (Calc)'!$H$3:$H$161,'Returns (Calc)'!$Q$3:$Q$161),2),"")</f>
        <v>-0.12</v>
      </c>
      <c r="R9" s="79">
        <f>IFERROR(ROUND(CORREL('Returns (Calc)'!$H$3:$H$161,'Returns (Calc)'!$R$3:$R$161),2),"")</f>
        <v>0.61</v>
      </c>
      <c r="S9" s="79">
        <f>IFERROR(ROUND(CORREL('Returns (Calc)'!$H$3:$H$161,'Returns (Calc)'!$S$3:$S$161),2),"")</f>
        <v>0.66</v>
      </c>
      <c r="T9" s="79">
        <f>IFERROR(ROUND(CORREL('Returns (Calc)'!$H$3:$H$161,'Returns (Calc)'!$T$3:$T$161),2),"")</f>
        <v>0.43</v>
      </c>
      <c r="U9" s="79" t="str">
        <f>IFERROR(ROUND(CORREL('Returns (Calc)'!$H$3:$H$161,'Returns (Calc)'!$U$3:$U$161),2),"")</f>
        <v/>
      </c>
      <c r="V9" s="47">
        <f t="shared" si="0"/>
        <v>0</v>
      </c>
    </row>
    <row r="10" spans="1:22" ht="15" customHeight="1" x14ac:dyDescent="0.2">
      <c r="A10" s="78" t="str">
        <f>'Returns (Calc)'!I2</f>
        <v>NVDA</v>
      </c>
      <c r="B10" s="79">
        <f>IFERROR(ROUND(CORREL('Returns (Calc)'!$I$3:$I$161,'Returns (Calc)'!$B$3:$B$161),2),"")</f>
        <v>0.23</v>
      </c>
      <c r="C10" s="79">
        <f>IFERROR(ROUND(CORREL('Returns (Calc)'!$I$3:$I$161,'Returns (Calc)'!$C$3:$C$161),2),"")</f>
        <v>0.53</v>
      </c>
      <c r="D10" s="79">
        <f>IFERROR(ROUND(CORREL('Returns (Calc)'!$I$3:$I$161,'Returns (Calc)'!$D$3:$D$161),2),"")</f>
        <v>0.48</v>
      </c>
      <c r="E10" s="79">
        <f>IFERROR(ROUND(CORREL('Returns (Calc)'!$I$3:$I$161,'Returns (Calc)'!$E$3:$E$161),2),"")</f>
        <v>0.62</v>
      </c>
      <c r="F10" s="79">
        <f>IFERROR(ROUND(CORREL('Returns (Calc)'!$I$3:$I$161,'Returns (Calc)'!$F$3:$F$161),2),"")</f>
        <v>0.45</v>
      </c>
      <c r="G10" s="79">
        <f>IFERROR(ROUND(CORREL('Returns (Calc)'!$I$3:$I$161,'Returns (Calc)'!$G$3:$G$161),2),"")</f>
        <v>0.51</v>
      </c>
      <c r="H10" s="79">
        <f>IFERROR(ROUND(CORREL('Returns (Calc)'!$I$3:$I$161,'Returns (Calc)'!$H$3:$H$161),2),"")</f>
        <v>0.5</v>
      </c>
      <c r="I10" s="79">
        <v>1</v>
      </c>
      <c r="J10" s="79">
        <f>IFERROR(ROUND(CORREL('Returns (Calc)'!$I$3:$I$161,'Returns (Calc)'!$J$3:$J$161),2),"")</f>
        <v>0.19</v>
      </c>
      <c r="K10" s="79">
        <f>IFERROR(ROUND(CORREL('Returns (Calc)'!$I$3:$I$161,'Returns (Calc)'!$K$3:$K$161),2),"")</f>
        <v>0.44</v>
      </c>
      <c r="L10" s="79">
        <f>IFERROR(ROUND(CORREL('Returns (Calc)'!$I$3:$I$161,'Returns (Calc)'!$L$3:$L$161),2),"")</f>
        <v>0.64</v>
      </c>
      <c r="M10" s="79">
        <f>IFERROR(ROUND(CORREL('Returns (Calc)'!$I$3:$I$161,'Returns (Calc)'!$M$3:$M$161),2),"")</f>
        <v>0.65</v>
      </c>
      <c r="N10" s="79">
        <f>IFERROR(ROUND(CORREL('Returns (Calc)'!$I$3:$I$161,'Returns (Calc)'!$N$3:$N$161),2),"")</f>
        <v>0.14000000000000001</v>
      </c>
      <c r="O10" s="79">
        <f>IFERROR(ROUND(CORREL('Returns (Calc)'!$I$3:$I$161,'Returns (Calc)'!$O$3:$O$161),2),"")</f>
        <v>0.27</v>
      </c>
      <c r="P10" s="79" t="str">
        <f>IFERROR(ROUND(CORREL('Returns (Calc)'!$I$3:$I$161,'Returns (Calc)'!$P$3:$P$161),2),"")</f>
        <v/>
      </c>
      <c r="Q10" s="79">
        <f>IFERROR(ROUND(CORREL('Returns (Calc)'!$I$3:$I$161,'Returns (Calc)'!$Q$3:$Q$161),2),"")</f>
        <v>-0.1</v>
      </c>
      <c r="R10" s="79">
        <f>IFERROR(ROUND(CORREL('Returns (Calc)'!$I$3:$I$161,'Returns (Calc)'!$R$3:$R$161),2),"")</f>
        <v>0.71</v>
      </c>
      <c r="S10" s="79">
        <f>IFERROR(ROUND(CORREL('Returns (Calc)'!$I$3:$I$161,'Returns (Calc)'!$S$3:$S$161),2),"")</f>
        <v>0.73</v>
      </c>
      <c r="T10" s="79">
        <f>IFERROR(ROUND(CORREL('Returns (Calc)'!$I$3:$I$161,'Returns (Calc)'!$T$3:$T$161),2),"")</f>
        <v>0.3</v>
      </c>
      <c r="U10" s="79" t="str">
        <f>IFERROR(ROUND(CORREL('Returns (Calc)'!$I$3:$I$161,'Returns (Calc)'!$U$3:$U$161),2),"")</f>
        <v/>
      </c>
      <c r="V10" s="47">
        <f t="shared" si="0"/>
        <v>2</v>
      </c>
    </row>
    <row r="11" spans="1:22" ht="15" customHeight="1" x14ac:dyDescent="0.2">
      <c r="A11" s="78" t="str">
        <f>'Returns (Calc)'!J2</f>
        <v>PLD</v>
      </c>
      <c r="B11" s="79">
        <f>IFERROR(ROUND(CORREL('Returns (Calc)'!$J$3:$J$161,'Returns (Calc)'!$B$3:$B$161),2),"")</f>
        <v>0.19</v>
      </c>
      <c r="C11" s="79">
        <f>IFERROR(ROUND(CORREL('Returns (Calc)'!$J$3:$J$161,'Returns (Calc)'!$C$3:$C$161),2),"")</f>
        <v>0.19</v>
      </c>
      <c r="D11" s="79">
        <f>IFERROR(ROUND(CORREL('Returns (Calc)'!$J$3:$J$161,'Returns (Calc)'!$D$3:$D$161),2),"")</f>
        <v>0.28999999999999998</v>
      </c>
      <c r="E11" s="79">
        <f>IFERROR(ROUND(CORREL('Returns (Calc)'!$J$3:$J$161,'Returns (Calc)'!$E$3:$E$161),2),"")</f>
        <v>0.23</v>
      </c>
      <c r="F11" s="79">
        <f>IFERROR(ROUND(CORREL('Returns (Calc)'!$J$3:$J$161,'Returns (Calc)'!$F$3:$F$161),2),"")</f>
        <v>0.12</v>
      </c>
      <c r="G11" s="79">
        <f>IFERROR(ROUND(CORREL('Returns (Calc)'!$J$3:$J$161,'Returns (Calc)'!$G$3:$G$161),2),"")</f>
        <v>0.28999999999999998</v>
      </c>
      <c r="H11" s="79">
        <f>IFERROR(ROUND(CORREL('Returns (Calc)'!$J$3:$J$161,'Returns (Calc)'!$H$3:$H$161),2),"")</f>
        <v>0.21</v>
      </c>
      <c r="I11" s="79">
        <f>IFERROR(ROUND(CORREL('Returns (Calc)'!$J$3:$J$161,'Returns (Calc)'!$I$3:$I$161),2),"")</f>
        <v>0.19</v>
      </c>
      <c r="J11" s="79">
        <v>1</v>
      </c>
      <c r="K11" s="79">
        <f>IFERROR(ROUND(CORREL('Returns (Calc)'!$J$3:$J$161,'Returns (Calc)'!$K$3:$K$161),2),"")</f>
        <v>0.16</v>
      </c>
      <c r="L11" s="79">
        <f>IFERROR(ROUND(CORREL('Returns (Calc)'!$J$3:$J$161,'Returns (Calc)'!$L$3:$L$161),2),"")</f>
        <v>0.22</v>
      </c>
      <c r="M11" s="79">
        <f>IFERROR(ROUND(CORREL('Returns (Calc)'!$J$3:$J$161,'Returns (Calc)'!$M$3:$M$161),2),"")</f>
        <v>0.16</v>
      </c>
      <c r="N11" s="79">
        <f>IFERROR(ROUND(CORREL('Returns (Calc)'!$J$3:$J$161,'Returns (Calc)'!$N$3:$N$161),2),"")</f>
        <v>0.26</v>
      </c>
      <c r="O11" s="79">
        <f>IFERROR(ROUND(CORREL('Returns (Calc)'!$J$3:$J$161,'Returns (Calc)'!$O$3:$O$161),2),"")</f>
        <v>0.62</v>
      </c>
      <c r="P11" s="79" t="str">
        <f>IFERROR(ROUND(CORREL('Returns (Calc)'!$J$3:$J$161,'Returns (Calc)'!$P$3:$P$161),2),"")</f>
        <v/>
      </c>
      <c r="Q11" s="79">
        <f>IFERROR(ROUND(CORREL('Returns (Calc)'!$J$3:$J$161,'Returns (Calc)'!$Q$3:$Q$161),2),"")</f>
        <v>-0.09</v>
      </c>
      <c r="R11" s="79">
        <f>IFERROR(ROUND(CORREL('Returns (Calc)'!$J$3:$J$161,'Returns (Calc)'!$R$3:$R$161),2),"")</f>
        <v>0.38</v>
      </c>
      <c r="S11" s="79">
        <f>IFERROR(ROUND(CORREL('Returns (Calc)'!$J$3:$J$161,'Returns (Calc)'!$S$3:$S$161),2),"")</f>
        <v>0.36</v>
      </c>
      <c r="T11" s="79">
        <f>IFERROR(ROUND(CORREL('Returns (Calc)'!$J$3:$J$161,'Returns (Calc)'!$T$3:$T$161),2),"")</f>
        <v>0.54</v>
      </c>
      <c r="U11" s="79" t="str">
        <f>IFERROR(ROUND(CORREL('Returns (Calc)'!$J$3:$J$161,'Returns (Calc)'!$U$3:$U$161),2),"")</f>
        <v/>
      </c>
      <c r="V11" s="47">
        <f t="shared" si="0"/>
        <v>0</v>
      </c>
    </row>
    <row r="12" spans="1:22" ht="15" customHeight="1" x14ac:dyDescent="0.2">
      <c r="A12" s="78" t="str">
        <f>'Returns (Calc)'!K2</f>
        <v>PLTR</v>
      </c>
      <c r="B12" s="79">
        <f>IFERROR(ROUND(CORREL('Returns (Calc)'!$K$3:$K$161,'Returns (Calc)'!$B$3:$B$161),2),"")</f>
        <v>0.36</v>
      </c>
      <c r="C12" s="79">
        <f>IFERROR(ROUND(CORREL('Returns (Calc)'!$K$3:$K$161,'Returns (Calc)'!$C$3:$C$161),2),"")</f>
        <v>0.34</v>
      </c>
      <c r="D12" s="79">
        <f>IFERROR(ROUND(CORREL('Returns (Calc)'!$K$3:$K$161,'Returns (Calc)'!$D$3:$D$161),2),"")</f>
        <v>0.2</v>
      </c>
      <c r="E12" s="79">
        <f>IFERROR(ROUND(CORREL('Returns (Calc)'!$K$3:$K$161,'Returns (Calc)'!$E$3:$E$161),2),"")</f>
        <v>0.37</v>
      </c>
      <c r="F12" s="79">
        <f>IFERROR(ROUND(CORREL('Returns (Calc)'!$K$3:$K$161,'Returns (Calc)'!$F$3:$F$161),2),"")</f>
        <v>0.5</v>
      </c>
      <c r="G12" s="79">
        <f>IFERROR(ROUND(CORREL('Returns (Calc)'!$K$3:$K$161,'Returns (Calc)'!$G$3:$G$161),2),"")</f>
        <v>0.24</v>
      </c>
      <c r="H12" s="79">
        <f>IFERROR(ROUND(CORREL('Returns (Calc)'!$K$3:$K$161,'Returns (Calc)'!$H$3:$H$161),2),"")</f>
        <v>0.17</v>
      </c>
      <c r="I12" s="79">
        <f>IFERROR(ROUND(CORREL('Returns (Calc)'!$K$3:$K$161,'Returns (Calc)'!$I$3:$I$161),2),"")</f>
        <v>0.44</v>
      </c>
      <c r="J12" s="79">
        <f>IFERROR(ROUND(CORREL('Returns (Calc)'!$K$3:$K$161,'Returns (Calc)'!$J$3:$J$161),2),"")</f>
        <v>0.16</v>
      </c>
      <c r="K12" s="79">
        <v>1</v>
      </c>
      <c r="L12" s="79">
        <f>IFERROR(ROUND(CORREL('Returns (Calc)'!$K$3:$K$161,'Returns (Calc)'!$L$3:$L$161),2),"")</f>
        <v>0.39</v>
      </c>
      <c r="M12" s="79">
        <f>IFERROR(ROUND(CORREL('Returns (Calc)'!$K$3:$K$161,'Returns (Calc)'!$M$3:$M$161),2),"")</f>
        <v>0.32</v>
      </c>
      <c r="N12" s="79">
        <f>IFERROR(ROUND(CORREL('Returns (Calc)'!$K$3:$K$161,'Returns (Calc)'!$N$3:$N$161),2),"")</f>
        <v>0.05</v>
      </c>
      <c r="O12" s="79">
        <f>IFERROR(ROUND(CORREL('Returns (Calc)'!$K$3:$K$161,'Returns (Calc)'!$O$3:$O$161),2),"")</f>
        <v>0.25</v>
      </c>
      <c r="P12" s="79" t="str">
        <f>IFERROR(ROUND(CORREL('Returns (Calc)'!$K$3:$K$161,'Returns (Calc)'!$P$3:$P$161),2),"")</f>
        <v/>
      </c>
      <c r="Q12" s="79">
        <f>IFERROR(ROUND(CORREL('Returns (Calc)'!$K$3:$K$161,'Returns (Calc)'!$Q$3:$Q$161),2),"")</f>
        <v>-0.08</v>
      </c>
      <c r="R12" s="79">
        <f>IFERROR(ROUND(CORREL('Returns (Calc)'!$K$3:$K$161,'Returns (Calc)'!$R$3:$R$161),2),"")</f>
        <v>0.48</v>
      </c>
      <c r="S12" s="79">
        <f>IFERROR(ROUND(CORREL('Returns (Calc)'!$K$3:$K$161,'Returns (Calc)'!$S$3:$S$161),2),"")</f>
        <v>0.45</v>
      </c>
      <c r="T12" s="79">
        <f>IFERROR(ROUND(CORREL('Returns (Calc)'!$K$3:$K$161,'Returns (Calc)'!$T$3:$T$161),2),"")</f>
        <v>0.34</v>
      </c>
      <c r="U12" s="79" t="str">
        <f>IFERROR(ROUND(CORREL('Returns (Calc)'!$K$3:$K$161,'Returns (Calc)'!$U$3:$U$161),2),"")</f>
        <v/>
      </c>
      <c r="V12" s="47">
        <f t="shared" si="0"/>
        <v>0</v>
      </c>
    </row>
    <row r="13" spans="1:22" ht="15" customHeight="1" x14ac:dyDescent="0.2">
      <c r="A13" s="78" t="str">
        <f>'Returns (Calc)'!L2</f>
        <v>TSM</v>
      </c>
      <c r="B13" s="79">
        <f>IFERROR(ROUND(CORREL('Returns (Calc)'!$L$3:$L$161,'Returns (Calc)'!$B$3:$B$161),2),"")</f>
        <v>0.17</v>
      </c>
      <c r="C13" s="79">
        <f>IFERROR(ROUND(CORREL('Returns (Calc)'!$L$3:$L$161,'Returns (Calc)'!$C$3:$C$161),2),"")</f>
        <v>0.55000000000000004</v>
      </c>
      <c r="D13" s="79">
        <f>IFERROR(ROUND(CORREL('Returns (Calc)'!$L$3:$L$161,'Returns (Calc)'!$D$3:$D$161),2),"")</f>
        <v>0.63</v>
      </c>
      <c r="E13" s="79">
        <f>IFERROR(ROUND(CORREL('Returns (Calc)'!$L$3:$L$161,'Returns (Calc)'!$E$3:$E$161),2),"")</f>
        <v>0.63</v>
      </c>
      <c r="F13" s="79">
        <f>IFERROR(ROUND(CORREL('Returns (Calc)'!$L$3:$L$161,'Returns (Calc)'!$F$3:$F$161),2),"")</f>
        <v>0.39</v>
      </c>
      <c r="G13" s="79">
        <f>IFERROR(ROUND(CORREL('Returns (Calc)'!$L$3:$L$161,'Returns (Calc)'!$G$3:$G$161),2),"")</f>
        <v>0.61</v>
      </c>
      <c r="H13" s="79">
        <f>IFERROR(ROUND(CORREL('Returns (Calc)'!$L$3:$L$161,'Returns (Calc)'!$H$3:$H$161),2),"")</f>
        <v>0.55000000000000004</v>
      </c>
      <c r="I13" s="79">
        <f>IFERROR(ROUND(CORREL('Returns (Calc)'!$L$3:$L$161,'Returns (Calc)'!$I$3:$I$161),2),"")</f>
        <v>0.64</v>
      </c>
      <c r="J13" s="79">
        <f>IFERROR(ROUND(CORREL('Returns (Calc)'!$L$3:$L$161,'Returns (Calc)'!$J$3:$J$161),2),"")</f>
        <v>0.22</v>
      </c>
      <c r="K13" s="79">
        <f>IFERROR(ROUND(CORREL('Returns (Calc)'!$L$3:$L$161,'Returns (Calc)'!$K$3:$K$161),2),"")</f>
        <v>0.39</v>
      </c>
      <c r="L13" s="79">
        <v>1</v>
      </c>
      <c r="M13" s="79">
        <f>IFERROR(ROUND(CORREL('Returns (Calc)'!$L$3:$L$161,'Returns (Calc)'!$M$3:$M$161),2),"")</f>
        <v>0.6</v>
      </c>
      <c r="N13" s="79">
        <f>IFERROR(ROUND(CORREL('Returns (Calc)'!$L$3:$L$161,'Returns (Calc)'!$N$3:$N$161),2),"")</f>
        <v>0.16</v>
      </c>
      <c r="O13" s="79">
        <f>IFERROR(ROUND(CORREL('Returns (Calc)'!$L$3:$L$161,'Returns (Calc)'!$O$3:$O$161),2),"")</f>
        <v>0.33</v>
      </c>
      <c r="P13" s="79" t="str">
        <f>IFERROR(ROUND(CORREL('Returns (Calc)'!$L$3:$L$161,'Returns (Calc)'!$P$3:$P$161),2),"")</f>
        <v/>
      </c>
      <c r="Q13" s="79">
        <f>IFERROR(ROUND(CORREL('Returns (Calc)'!$L$3:$L$161,'Returns (Calc)'!$Q$3:$Q$161),2),"")</f>
        <v>0</v>
      </c>
      <c r="R13" s="79">
        <f>IFERROR(ROUND(CORREL('Returns (Calc)'!$L$3:$L$161,'Returns (Calc)'!$R$3:$R$161),2),"")</f>
        <v>0.66</v>
      </c>
      <c r="S13" s="79">
        <f>IFERROR(ROUND(CORREL('Returns (Calc)'!$L$3:$L$161,'Returns (Calc)'!$S$3:$S$161),2),"")</f>
        <v>0.69</v>
      </c>
      <c r="T13" s="79">
        <f>IFERROR(ROUND(CORREL('Returns (Calc)'!$L$3:$L$161,'Returns (Calc)'!$T$3:$T$161),2),"")</f>
        <v>0.28999999999999998</v>
      </c>
      <c r="U13" s="79" t="str">
        <f>IFERROR(ROUND(CORREL('Returns (Calc)'!$L$3:$L$161,'Returns (Calc)'!$U$3:$U$161),2),"")</f>
        <v/>
      </c>
      <c r="V13" s="47">
        <f t="shared" si="0"/>
        <v>0</v>
      </c>
    </row>
    <row r="14" spans="1:22" ht="15" customHeight="1" x14ac:dyDescent="0.2">
      <c r="A14" s="78" t="str">
        <f>'Returns (Calc)'!M2</f>
        <v>VRT</v>
      </c>
      <c r="B14" s="79">
        <f>IFERROR(ROUND(CORREL('Returns (Calc)'!$M$3:$M$161,'Returns (Calc)'!$B$3:$B$161),2),"")</f>
        <v>0.08</v>
      </c>
      <c r="C14" s="79">
        <f>IFERROR(ROUND(CORREL('Returns (Calc)'!$M$3:$M$161,'Returns (Calc)'!$C$3:$C$161),2),"")</f>
        <v>0.59</v>
      </c>
      <c r="D14" s="79">
        <f>IFERROR(ROUND(CORREL('Returns (Calc)'!$M$3:$M$161,'Returns (Calc)'!$D$3:$D$161),2),"")</f>
        <v>0.41</v>
      </c>
      <c r="E14" s="79">
        <f>IFERROR(ROUND(CORREL('Returns (Calc)'!$M$3:$M$161,'Returns (Calc)'!$E$3:$E$161),2),"")</f>
        <v>0.53</v>
      </c>
      <c r="F14" s="79">
        <f>IFERROR(ROUND(CORREL('Returns (Calc)'!$M$3:$M$161,'Returns (Calc)'!$F$3:$F$161),2),"")</f>
        <v>0.41</v>
      </c>
      <c r="G14" s="79">
        <f>IFERROR(ROUND(CORREL('Returns (Calc)'!$M$3:$M$161,'Returns (Calc)'!$G$3:$G$161),2),"")</f>
        <v>0.49</v>
      </c>
      <c r="H14" s="79">
        <f>IFERROR(ROUND(CORREL('Returns (Calc)'!$M$3:$M$161,'Returns (Calc)'!$H$3:$H$161),2),"")</f>
        <v>0.49</v>
      </c>
      <c r="I14" s="79">
        <f>IFERROR(ROUND(CORREL('Returns (Calc)'!$M$3:$M$161,'Returns (Calc)'!$I$3:$I$161),2),"")</f>
        <v>0.65</v>
      </c>
      <c r="J14" s="79">
        <f>IFERROR(ROUND(CORREL('Returns (Calc)'!$M$3:$M$161,'Returns (Calc)'!$J$3:$J$161),2),"")</f>
        <v>0.16</v>
      </c>
      <c r="K14" s="79">
        <f>IFERROR(ROUND(CORREL('Returns (Calc)'!$M$3:$M$161,'Returns (Calc)'!$K$3:$K$161),2),"")</f>
        <v>0.32</v>
      </c>
      <c r="L14" s="79">
        <f>IFERROR(ROUND(CORREL('Returns (Calc)'!$M$3:$M$161,'Returns (Calc)'!$L$3:$L$161),2),"")</f>
        <v>0.6</v>
      </c>
      <c r="M14" s="79">
        <v>1</v>
      </c>
      <c r="N14" s="79">
        <f>IFERROR(ROUND(CORREL('Returns (Calc)'!$M$3:$M$161,'Returns (Calc)'!$N$3:$N$161),2),"")</f>
        <v>0.12</v>
      </c>
      <c r="O14" s="79">
        <f>IFERROR(ROUND(CORREL('Returns (Calc)'!$M$3:$M$161,'Returns (Calc)'!$O$3:$O$161),2),"")</f>
        <v>0.34</v>
      </c>
      <c r="P14" s="79" t="str">
        <f>IFERROR(ROUND(CORREL('Returns (Calc)'!$M$3:$M$161,'Returns (Calc)'!$P$3:$P$161),2),"")</f>
        <v/>
      </c>
      <c r="Q14" s="79">
        <f>IFERROR(ROUND(CORREL('Returns (Calc)'!$M$3:$M$161,'Returns (Calc)'!$Q$3:$Q$161),2),"")</f>
        <v>-0.02</v>
      </c>
      <c r="R14" s="79">
        <f>IFERROR(ROUND(CORREL('Returns (Calc)'!$M$3:$M$161,'Returns (Calc)'!$R$3:$R$161),2),"")</f>
        <v>0.61</v>
      </c>
      <c r="S14" s="79">
        <f>IFERROR(ROUND(CORREL('Returns (Calc)'!$M$3:$M$161,'Returns (Calc)'!$S$3:$S$161),2),"")</f>
        <v>0.65</v>
      </c>
      <c r="T14" s="79">
        <f>IFERROR(ROUND(CORREL('Returns (Calc)'!$M$3:$M$161,'Returns (Calc)'!$T$3:$T$161),2),"")</f>
        <v>0.28999999999999998</v>
      </c>
      <c r="U14" s="79" t="str">
        <f>IFERROR(ROUND(CORREL('Returns (Calc)'!$M$3:$M$161,'Returns (Calc)'!$U$3:$U$161),2),"")</f>
        <v/>
      </c>
      <c r="V14" s="47">
        <f t="shared" si="0"/>
        <v>0</v>
      </c>
    </row>
    <row r="15" spans="1:22" ht="15" customHeight="1" x14ac:dyDescent="0.2">
      <c r="A15" s="78" t="str">
        <f>'Returns (Calc)'!N2</f>
        <v>VRTX</v>
      </c>
      <c r="B15" s="79">
        <f>IFERROR(ROUND(CORREL('Returns (Calc)'!$N$3:$N$161,'Returns (Calc)'!$B$3:$B$161),2),"")</f>
        <v>0.13</v>
      </c>
      <c r="C15" s="79">
        <f>IFERROR(ROUND(CORREL('Returns (Calc)'!$N$3:$N$161,'Returns (Calc)'!$C$3:$C$161),2),"")</f>
        <v>0.05</v>
      </c>
      <c r="D15" s="79">
        <f>IFERROR(ROUND(CORREL('Returns (Calc)'!$N$3:$N$161,'Returns (Calc)'!$D$3:$D$161),2),"")</f>
        <v>0.12</v>
      </c>
      <c r="E15" s="79">
        <f>IFERROR(ROUND(CORREL('Returns (Calc)'!$N$3:$N$161,'Returns (Calc)'!$E$3:$E$161),2),"")</f>
        <v>0.16</v>
      </c>
      <c r="F15" s="79">
        <f>IFERROR(ROUND(CORREL('Returns (Calc)'!$N$3:$N$161,'Returns (Calc)'!$F$3:$F$161),2),"")</f>
        <v>0.21</v>
      </c>
      <c r="G15" s="79">
        <f>IFERROR(ROUND(CORREL('Returns (Calc)'!$N$3:$N$161,'Returns (Calc)'!$G$3:$G$161),2),"")</f>
        <v>0.18</v>
      </c>
      <c r="H15" s="79">
        <f>IFERROR(ROUND(CORREL('Returns (Calc)'!$N$3:$N$161,'Returns (Calc)'!$H$3:$H$161),2),"")</f>
        <v>0.18</v>
      </c>
      <c r="I15" s="79">
        <f>IFERROR(ROUND(CORREL('Returns (Calc)'!$N$3:$N$161,'Returns (Calc)'!$I$3:$I$161),2),"")</f>
        <v>0.14000000000000001</v>
      </c>
      <c r="J15" s="79">
        <f>IFERROR(ROUND(CORREL('Returns (Calc)'!$N$3:$N$161,'Returns (Calc)'!$J$3:$J$161),2),"")</f>
        <v>0.26</v>
      </c>
      <c r="K15" s="79">
        <f>IFERROR(ROUND(CORREL('Returns (Calc)'!$N$3:$N$161,'Returns (Calc)'!$K$3:$K$161),2),"")</f>
        <v>0.05</v>
      </c>
      <c r="L15" s="79">
        <f>IFERROR(ROUND(CORREL('Returns (Calc)'!$N$3:$N$161,'Returns (Calc)'!$L$3:$L$161),2),"")</f>
        <v>0.16</v>
      </c>
      <c r="M15" s="79">
        <f>IFERROR(ROUND(CORREL('Returns (Calc)'!$N$3:$N$161,'Returns (Calc)'!$M$3:$M$161),2),"")</f>
        <v>0.12</v>
      </c>
      <c r="N15" s="79">
        <v>1</v>
      </c>
      <c r="O15" s="79">
        <f>IFERROR(ROUND(CORREL('Returns (Calc)'!$N$3:$N$161,'Returns (Calc)'!$O$3:$O$161),2),"")</f>
        <v>0.24</v>
      </c>
      <c r="P15" s="79" t="str">
        <f>IFERROR(ROUND(CORREL('Returns (Calc)'!$N$3:$N$161,'Returns (Calc)'!$P$3:$P$161),2),"")</f>
        <v/>
      </c>
      <c r="Q15" s="79">
        <f>IFERROR(ROUND(CORREL('Returns (Calc)'!$N$3:$N$161,'Returns (Calc)'!$Q$3:$Q$161),2),"")</f>
        <v>0.04</v>
      </c>
      <c r="R15" s="79">
        <f>IFERROR(ROUND(CORREL('Returns (Calc)'!$N$3:$N$161,'Returns (Calc)'!$R$3:$R$161),2),"")</f>
        <v>0.2</v>
      </c>
      <c r="S15" s="79">
        <f>IFERROR(ROUND(CORREL('Returns (Calc)'!$N$3:$N$161,'Returns (Calc)'!$S$3:$S$161),2),"")</f>
        <v>0.17</v>
      </c>
      <c r="T15" s="79">
        <f>IFERROR(ROUND(CORREL('Returns (Calc)'!$N$3:$N$161,'Returns (Calc)'!$T$3:$T$161),2),"")</f>
        <v>0.31</v>
      </c>
      <c r="U15" s="79" t="str">
        <f>IFERROR(ROUND(CORREL('Returns (Calc)'!$N$3:$N$161,'Returns (Calc)'!$U$3:$U$161),2),"")</f>
        <v/>
      </c>
      <c r="V15" s="47">
        <f t="shared" si="0"/>
        <v>0</v>
      </c>
    </row>
    <row r="16" spans="1:22" ht="15" customHeight="1" x14ac:dyDescent="0.2">
      <c r="A16" s="78" t="str">
        <f>'Returns (Calc)'!O2</f>
        <v>AVUV</v>
      </c>
      <c r="B16" s="79">
        <f>IFERROR(ROUND(CORREL('Returns (Calc)'!$O$3:$O$161,'Returns (Calc)'!$B$3:$B$161),2),"")</f>
        <v>0.17</v>
      </c>
      <c r="C16" s="79">
        <f>IFERROR(ROUND(CORREL('Returns (Calc)'!$O$3:$O$161,'Returns (Calc)'!$C$3:$C$161),2),"")</f>
        <v>0.35</v>
      </c>
      <c r="D16" s="79">
        <f>IFERROR(ROUND(CORREL('Returns (Calc)'!$O$3:$O$161,'Returns (Calc)'!$D$3:$D$161),2),"")</f>
        <v>0.38</v>
      </c>
      <c r="E16" s="79">
        <f>IFERROR(ROUND(CORREL('Returns (Calc)'!$O$3:$O$161,'Returns (Calc)'!$E$3:$E$161),2),"")</f>
        <v>0.28999999999999998</v>
      </c>
      <c r="F16" s="79">
        <f>IFERROR(ROUND(CORREL('Returns (Calc)'!$O$3:$O$161,'Returns (Calc)'!$F$3:$F$161),2),"")</f>
        <v>0.22</v>
      </c>
      <c r="G16" s="79">
        <f>IFERROR(ROUND(CORREL('Returns (Calc)'!$O$3:$O$161,'Returns (Calc)'!$G$3:$G$161),2),"")</f>
        <v>0.43</v>
      </c>
      <c r="H16" s="79">
        <f>IFERROR(ROUND(CORREL('Returns (Calc)'!$O$3:$O$161,'Returns (Calc)'!$H$3:$H$161),2),"")</f>
        <v>0.36</v>
      </c>
      <c r="I16" s="79">
        <f>IFERROR(ROUND(CORREL('Returns (Calc)'!$O$3:$O$161,'Returns (Calc)'!$I$3:$I$161),2),"")</f>
        <v>0.27</v>
      </c>
      <c r="J16" s="79">
        <f>IFERROR(ROUND(CORREL('Returns (Calc)'!$O$3:$O$161,'Returns (Calc)'!$J$3:$J$161),2),"")</f>
        <v>0.62</v>
      </c>
      <c r="K16" s="79">
        <f>IFERROR(ROUND(CORREL('Returns (Calc)'!$O$3:$O$161,'Returns (Calc)'!$K$3:$K$161),2),"")</f>
        <v>0.25</v>
      </c>
      <c r="L16" s="79">
        <f>IFERROR(ROUND(CORREL('Returns (Calc)'!$O$3:$O$161,'Returns (Calc)'!$L$3:$L$161),2),"")</f>
        <v>0.33</v>
      </c>
      <c r="M16" s="79">
        <f>IFERROR(ROUND(CORREL('Returns (Calc)'!$O$3:$O$161,'Returns (Calc)'!$M$3:$M$161),2),"")</f>
        <v>0.34</v>
      </c>
      <c r="N16" s="79">
        <f>IFERROR(ROUND(CORREL('Returns (Calc)'!$O$3:$O$161,'Returns (Calc)'!$N$3:$N$161),2),"")</f>
        <v>0.24</v>
      </c>
      <c r="O16" s="79">
        <v>1</v>
      </c>
      <c r="P16" s="79" t="str">
        <f>IFERROR(ROUND(CORREL('Returns (Calc)'!$O$3:$O$161,'Returns (Calc)'!$P$3:$P$161),2),"")</f>
        <v/>
      </c>
      <c r="Q16" s="79">
        <f>IFERROR(ROUND(CORREL('Returns (Calc)'!$O$3:$O$161,'Returns (Calc)'!$Q$3:$Q$161),2),"")</f>
        <v>-0.04</v>
      </c>
      <c r="R16" s="79">
        <f>IFERROR(ROUND(CORREL('Returns (Calc)'!$O$3:$O$161,'Returns (Calc)'!$R$3:$R$161),2),"")</f>
        <v>0.54</v>
      </c>
      <c r="S16" s="79">
        <f>IFERROR(ROUND(CORREL('Returns (Calc)'!$O$3:$O$161,'Returns (Calc)'!$S$3:$S$161),2),"")</f>
        <v>0.49</v>
      </c>
      <c r="T16" s="79">
        <f>IFERROR(ROUND(CORREL('Returns (Calc)'!$O$3:$O$161,'Returns (Calc)'!$T$3:$T$161),2),"")</f>
        <v>0.81</v>
      </c>
      <c r="U16" s="79" t="str">
        <f>IFERROR(ROUND(CORREL('Returns (Calc)'!$O$3:$O$161,'Returns (Calc)'!$U$3:$U$161),2),"")</f>
        <v/>
      </c>
      <c r="V16" s="47">
        <f t="shared" si="0"/>
        <v>1</v>
      </c>
    </row>
    <row r="17" spans="1:22" ht="15" customHeight="1" x14ac:dyDescent="0.2">
      <c r="A17" s="78">
        <f>'Returns (Calc)'!P2</f>
        <v>0</v>
      </c>
      <c r="B17" s="79" t="str">
        <f>IFERROR(ROUND(CORREL('Returns (Calc)'!$P$3:$P$161,'Returns (Calc)'!$B$3:$B$161),2),"")</f>
        <v/>
      </c>
      <c r="C17" s="79" t="str">
        <f>IFERROR(ROUND(CORREL('Returns (Calc)'!$P$3:$P$161,'Returns (Calc)'!$C$3:$C$161),2),"")</f>
        <v/>
      </c>
      <c r="D17" s="79" t="str">
        <f>IFERROR(ROUND(CORREL('Returns (Calc)'!$P$3:$P$161,'Returns (Calc)'!$D$3:$D$161),2),"")</f>
        <v/>
      </c>
      <c r="E17" s="79" t="str">
        <f>IFERROR(ROUND(CORREL('Returns (Calc)'!$P$3:$P$161,'Returns (Calc)'!$E$3:$E$161),2),"")</f>
        <v/>
      </c>
      <c r="F17" s="79" t="str">
        <f>IFERROR(ROUND(CORREL('Returns (Calc)'!$P$3:$P$161,'Returns (Calc)'!$F$3:$F$161),2),"")</f>
        <v/>
      </c>
      <c r="G17" s="79" t="str">
        <f>IFERROR(ROUND(CORREL('Returns (Calc)'!$P$3:$P$161,'Returns (Calc)'!$G$3:$G$161),2),"")</f>
        <v/>
      </c>
      <c r="H17" s="79" t="str">
        <f>IFERROR(ROUND(CORREL('Returns (Calc)'!$P$3:$P$161,'Returns (Calc)'!$H$3:$H$161),2),"")</f>
        <v/>
      </c>
      <c r="I17" s="79" t="str">
        <f>IFERROR(ROUND(CORREL('Returns (Calc)'!$P$3:$P$161,'Returns (Calc)'!$I$3:$I$161),2),"")</f>
        <v/>
      </c>
      <c r="J17" s="79" t="str">
        <f>IFERROR(ROUND(CORREL('Returns (Calc)'!$P$3:$P$161,'Returns (Calc)'!$J$3:$J$161),2),"")</f>
        <v/>
      </c>
      <c r="K17" s="79" t="str">
        <f>IFERROR(ROUND(CORREL('Returns (Calc)'!$P$3:$P$161,'Returns (Calc)'!$K$3:$K$161),2),"")</f>
        <v/>
      </c>
      <c r="L17" s="79" t="str">
        <f>IFERROR(ROUND(CORREL('Returns (Calc)'!$P$3:$P$161,'Returns (Calc)'!$L$3:$L$161),2),"")</f>
        <v/>
      </c>
      <c r="M17" s="79" t="str">
        <f>IFERROR(ROUND(CORREL('Returns (Calc)'!$P$3:$P$161,'Returns (Calc)'!$M$3:$M$161),2),"")</f>
        <v/>
      </c>
      <c r="N17" s="79" t="str">
        <f>IFERROR(ROUND(CORREL('Returns (Calc)'!$P$3:$P$161,'Returns (Calc)'!$N$3:$N$161),2),"")</f>
        <v/>
      </c>
      <c r="O17" s="79" t="str">
        <f>IFERROR(ROUND(CORREL('Returns (Calc)'!$P$3:$P$161,'Returns (Calc)'!$O$3:$O$161),2),"")</f>
        <v/>
      </c>
      <c r="P17" s="79">
        <v>1</v>
      </c>
      <c r="Q17" s="79" t="str">
        <f>IFERROR(ROUND(CORREL('Returns (Calc)'!$P$3:$P$161,'Returns (Calc)'!$Q$3:$Q$161),2),"")</f>
        <v/>
      </c>
      <c r="R17" s="79" t="str">
        <f>IFERROR(ROUND(CORREL('Returns (Calc)'!$P$3:$P$161,'Returns (Calc)'!$R$3:$R$161),2),"")</f>
        <v/>
      </c>
      <c r="S17" s="79" t="str">
        <f>IFERROR(ROUND(CORREL('Returns (Calc)'!$P$3:$P$161,'Returns (Calc)'!$S$3:$S$161),2),"")</f>
        <v/>
      </c>
      <c r="T17" s="79" t="str">
        <f>IFERROR(ROUND(CORREL('Returns (Calc)'!$P$3:$P$161,'Returns (Calc)'!$T$3:$T$161),2),"")</f>
        <v/>
      </c>
      <c r="U17" s="79" t="str">
        <f>IFERROR(ROUND(CORREL('Returns (Calc)'!$P$3:$P$161,'Returns (Calc)'!$U$3:$U$161),2),"")</f>
        <v/>
      </c>
      <c r="V17" s="47">
        <f t="shared" si="0"/>
        <v>0</v>
      </c>
    </row>
    <row r="18" spans="1:22" ht="15" customHeight="1" x14ac:dyDescent="0.2">
      <c r="A18" s="78" t="str">
        <f>'Returns (Calc)'!Q2</f>
        <v>HELO</v>
      </c>
      <c r="B18" s="79">
        <f>IFERROR(ROUND(CORREL('Returns (Calc)'!$Q$3:$Q$161,'Returns (Calc)'!$B$3:$B$161),2),"")</f>
        <v>-0.1</v>
      </c>
      <c r="C18" s="79">
        <f>IFERROR(ROUND(CORREL('Returns (Calc)'!$Q$3:$Q$161,'Returns (Calc)'!$C$3:$C$161),2),"")</f>
        <v>-0.01</v>
      </c>
      <c r="D18" s="79">
        <f>IFERROR(ROUND(CORREL('Returns (Calc)'!$Q$3:$Q$161,'Returns (Calc)'!$D$3:$D$161),2),"")</f>
        <v>-0.06</v>
      </c>
      <c r="E18" s="79">
        <f>IFERROR(ROUND(CORREL('Returns (Calc)'!$Q$3:$Q$161,'Returns (Calc)'!$E$3:$E$161),2),"")</f>
        <v>-0.08</v>
      </c>
      <c r="F18" s="79">
        <f>IFERROR(ROUND(CORREL('Returns (Calc)'!$Q$3:$Q$161,'Returns (Calc)'!$F$3:$F$161),2),"")</f>
        <v>-7.0000000000000007E-2</v>
      </c>
      <c r="G18" s="79">
        <f>IFERROR(ROUND(CORREL('Returns (Calc)'!$Q$3:$Q$161,'Returns (Calc)'!$G$3:$G$161),2),"")</f>
        <v>-0.04</v>
      </c>
      <c r="H18" s="79">
        <f>IFERROR(ROUND(CORREL('Returns (Calc)'!$Q$3:$Q$161,'Returns (Calc)'!$H$3:$H$161),2),"")</f>
        <v>-0.12</v>
      </c>
      <c r="I18" s="79">
        <f>IFERROR(ROUND(CORREL('Returns (Calc)'!$Q$3:$Q$161,'Returns (Calc)'!$I$3:$I$161),2),"")</f>
        <v>-0.1</v>
      </c>
      <c r="J18" s="79">
        <f>IFERROR(ROUND(CORREL('Returns (Calc)'!$Q$3:$Q$161,'Returns (Calc)'!$J$3:$J$161),2),"")</f>
        <v>-0.09</v>
      </c>
      <c r="K18" s="79">
        <f>IFERROR(ROUND(CORREL('Returns (Calc)'!$Q$3:$Q$161,'Returns (Calc)'!$K$3:$K$161),2),"")</f>
        <v>-0.08</v>
      </c>
      <c r="L18" s="79">
        <f>IFERROR(ROUND(CORREL('Returns (Calc)'!$Q$3:$Q$161,'Returns (Calc)'!$L$3:$L$161),2),"")</f>
        <v>0</v>
      </c>
      <c r="M18" s="79">
        <f>IFERROR(ROUND(CORREL('Returns (Calc)'!$Q$3:$Q$161,'Returns (Calc)'!$M$3:$M$161),2),"")</f>
        <v>-0.02</v>
      </c>
      <c r="N18" s="79">
        <f>IFERROR(ROUND(CORREL('Returns (Calc)'!$Q$3:$Q$161,'Returns (Calc)'!$N$3:$N$161),2),"")</f>
        <v>0.04</v>
      </c>
      <c r="O18" s="79">
        <f>IFERROR(ROUND(CORREL('Returns (Calc)'!$Q$3:$Q$161,'Returns (Calc)'!$O$3:$O$161),2),"")</f>
        <v>-0.04</v>
      </c>
      <c r="P18" s="79" t="str">
        <f>IFERROR(ROUND(CORREL('Returns (Calc)'!$Q$3:$Q$161,'Returns (Calc)'!$P$3:$P$161),2),"")</f>
        <v/>
      </c>
      <c r="Q18" s="79">
        <v>1</v>
      </c>
      <c r="R18" s="79">
        <f>IFERROR(ROUND(CORREL('Returns (Calc)'!$Q$3:$Q$161,'Returns (Calc)'!$R$3:$R$161),2),"")</f>
        <v>-0.04</v>
      </c>
      <c r="S18" s="79">
        <f>IFERROR(ROUND(CORREL('Returns (Calc)'!$Q$3:$Q$161,'Returns (Calc)'!$S$3:$S$161),2),"")</f>
        <v>-0.05</v>
      </c>
      <c r="T18" s="79">
        <f>IFERROR(ROUND(CORREL('Returns (Calc)'!$Q$3:$Q$161,'Returns (Calc)'!$T$3:$T$161),2),"")</f>
        <v>-0.08</v>
      </c>
      <c r="U18" s="79" t="str">
        <f>IFERROR(ROUND(CORREL('Returns (Calc)'!$Q$3:$Q$161,'Returns (Calc)'!$U$3:$U$161),2),"")</f>
        <v/>
      </c>
      <c r="V18" s="47">
        <f t="shared" si="0"/>
        <v>0</v>
      </c>
    </row>
    <row r="19" spans="1:22" ht="15" customHeight="1" x14ac:dyDescent="0.2">
      <c r="A19" s="78" t="str">
        <f>'Returns (Calc)'!R2</f>
        <v>JEPQ</v>
      </c>
      <c r="B19" s="79">
        <f>IFERROR(ROUND(CORREL('Returns (Calc)'!$R$3:$R$161,'Returns (Calc)'!$B$3:$B$161),2),"")</f>
        <v>0.32</v>
      </c>
      <c r="C19" s="79">
        <f>IFERROR(ROUND(CORREL('Returns (Calc)'!$R$3:$R$161,'Returns (Calc)'!$C$3:$C$161),2),"")</f>
        <v>0.64</v>
      </c>
      <c r="D19" s="79">
        <f>IFERROR(ROUND(CORREL('Returns (Calc)'!$R$3:$R$161,'Returns (Calc)'!$D$3:$D$161),2),"")</f>
        <v>0.6</v>
      </c>
      <c r="E19" s="79">
        <f>IFERROR(ROUND(CORREL('Returns (Calc)'!$R$3:$R$161,'Returns (Calc)'!$E$3:$E$161),2),"")</f>
        <v>0.73</v>
      </c>
      <c r="F19" s="79">
        <f>IFERROR(ROUND(CORREL('Returns (Calc)'!$R$3:$R$161,'Returns (Calc)'!$F$3:$F$161),2),"")</f>
        <v>0.54</v>
      </c>
      <c r="G19" s="79">
        <f>IFERROR(ROUND(CORREL('Returns (Calc)'!$R$3:$R$161,'Returns (Calc)'!$G$3:$G$161),2),"")</f>
        <v>0.62</v>
      </c>
      <c r="H19" s="79">
        <f>IFERROR(ROUND(CORREL('Returns (Calc)'!$R$3:$R$161,'Returns (Calc)'!$H$3:$H$161),2),"")</f>
        <v>0.61</v>
      </c>
      <c r="I19" s="79">
        <f>IFERROR(ROUND(CORREL('Returns (Calc)'!$R$3:$R$161,'Returns (Calc)'!$I$3:$I$161),2),"")</f>
        <v>0.71</v>
      </c>
      <c r="J19" s="79">
        <f>IFERROR(ROUND(CORREL('Returns (Calc)'!$R$3:$R$161,'Returns (Calc)'!$J$3:$J$161),2),"")</f>
        <v>0.38</v>
      </c>
      <c r="K19" s="79">
        <f>IFERROR(ROUND(CORREL('Returns (Calc)'!$R$3:$R$161,'Returns (Calc)'!$K$3:$K$161),2),"")</f>
        <v>0.48</v>
      </c>
      <c r="L19" s="79">
        <f>IFERROR(ROUND(CORREL('Returns (Calc)'!$R$3:$R$161,'Returns (Calc)'!$L$3:$L$161),2),"")</f>
        <v>0.66</v>
      </c>
      <c r="M19" s="79">
        <f>IFERROR(ROUND(CORREL('Returns (Calc)'!$R$3:$R$161,'Returns (Calc)'!$M$3:$M$161),2),"")</f>
        <v>0.61</v>
      </c>
      <c r="N19" s="79">
        <f>IFERROR(ROUND(CORREL('Returns (Calc)'!$R$3:$R$161,'Returns (Calc)'!$N$3:$N$161),2),"")</f>
        <v>0.2</v>
      </c>
      <c r="O19" s="79">
        <f>IFERROR(ROUND(CORREL('Returns (Calc)'!$R$3:$R$161,'Returns (Calc)'!$O$3:$O$161),2),"")</f>
        <v>0.54</v>
      </c>
      <c r="P19" s="79" t="str">
        <f>IFERROR(ROUND(CORREL('Returns (Calc)'!$R$3:$R$161,'Returns (Calc)'!$P$3:$P$161),2),"")</f>
        <v/>
      </c>
      <c r="Q19" s="79">
        <f>IFERROR(ROUND(CORREL('Returns (Calc)'!$R$3:$R$161,'Returns (Calc)'!$Q$3:$Q$161),2),"")</f>
        <v>-0.04</v>
      </c>
      <c r="R19" s="79">
        <v>1</v>
      </c>
      <c r="S19" s="79">
        <f>IFERROR(ROUND(CORREL('Returns (Calc)'!$R$3:$R$161,'Returns (Calc)'!$S$3:$S$161),2),"")</f>
        <v>0.88</v>
      </c>
      <c r="T19" s="79">
        <f>IFERROR(ROUND(CORREL('Returns (Calc)'!$R$3:$R$161,'Returns (Calc)'!$T$3:$T$161),2),"")</f>
        <v>0.56999999999999995</v>
      </c>
      <c r="U19" s="79" t="str">
        <f>IFERROR(ROUND(CORREL('Returns (Calc)'!$R$3:$R$161,'Returns (Calc)'!$U$3:$U$161),2),"")</f>
        <v/>
      </c>
      <c r="V19" s="47">
        <f t="shared" si="0"/>
        <v>3</v>
      </c>
    </row>
    <row r="20" spans="1:22" ht="15" customHeight="1" x14ac:dyDescent="0.2">
      <c r="A20" s="78" t="str">
        <f>'Returns (Calc)'!S2</f>
        <v>SPMO</v>
      </c>
      <c r="B20" s="79">
        <f>IFERROR(ROUND(CORREL('Returns (Calc)'!$S$3:$S$161,'Returns (Calc)'!$B$3:$B$161),2),"")</f>
        <v>0.25</v>
      </c>
      <c r="C20" s="79">
        <f>IFERROR(ROUND(CORREL('Returns (Calc)'!$S$3:$S$161,'Returns (Calc)'!$C$3:$C$161),2),"")</f>
        <v>0.64</v>
      </c>
      <c r="D20" s="79">
        <f>IFERROR(ROUND(CORREL('Returns (Calc)'!$S$3:$S$161,'Returns (Calc)'!$D$3:$D$161),2),"")</f>
        <v>0.6</v>
      </c>
      <c r="E20" s="79">
        <f>IFERROR(ROUND(CORREL('Returns (Calc)'!$S$3:$S$161,'Returns (Calc)'!$E$3:$E$161),2),"")</f>
        <v>0.74</v>
      </c>
      <c r="F20" s="79">
        <f>IFERROR(ROUND(CORREL('Returns (Calc)'!$S$3:$S$161,'Returns (Calc)'!$F$3:$F$161),2),"")</f>
        <v>0.53</v>
      </c>
      <c r="G20" s="79">
        <f>IFERROR(ROUND(CORREL('Returns (Calc)'!$S$3:$S$161,'Returns (Calc)'!$G$3:$G$161),2),"")</f>
        <v>0.66</v>
      </c>
      <c r="H20" s="79">
        <f>IFERROR(ROUND(CORREL('Returns (Calc)'!$S$3:$S$161,'Returns (Calc)'!$H$3:$H$161),2),"")</f>
        <v>0.66</v>
      </c>
      <c r="I20" s="79">
        <f>IFERROR(ROUND(CORREL('Returns (Calc)'!$S$3:$S$161,'Returns (Calc)'!$I$3:$I$161),2),"")</f>
        <v>0.73</v>
      </c>
      <c r="J20" s="79">
        <f>IFERROR(ROUND(CORREL('Returns (Calc)'!$S$3:$S$161,'Returns (Calc)'!$J$3:$J$161),2),"")</f>
        <v>0.36</v>
      </c>
      <c r="K20" s="79">
        <f>IFERROR(ROUND(CORREL('Returns (Calc)'!$S$3:$S$161,'Returns (Calc)'!$K$3:$K$161),2),"")</f>
        <v>0.45</v>
      </c>
      <c r="L20" s="79">
        <f>IFERROR(ROUND(CORREL('Returns (Calc)'!$S$3:$S$161,'Returns (Calc)'!$L$3:$L$161),2),"")</f>
        <v>0.69</v>
      </c>
      <c r="M20" s="79">
        <f>IFERROR(ROUND(CORREL('Returns (Calc)'!$S$3:$S$161,'Returns (Calc)'!$M$3:$M$161),2),"")</f>
        <v>0.65</v>
      </c>
      <c r="N20" s="79">
        <f>IFERROR(ROUND(CORREL('Returns (Calc)'!$S$3:$S$161,'Returns (Calc)'!$N$3:$N$161),2),"")</f>
        <v>0.17</v>
      </c>
      <c r="O20" s="79">
        <f>IFERROR(ROUND(CORREL('Returns (Calc)'!$S$3:$S$161,'Returns (Calc)'!$O$3:$O$161),2),"")</f>
        <v>0.49</v>
      </c>
      <c r="P20" s="79" t="str">
        <f>IFERROR(ROUND(CORREL('Returns (Calc)'!$S$3:$S$161,'Returns (Calc)'!$P$3:$P$161),2),"")</f>
        <v/>
      </c>
      <c r="Q20" s="79">
        <f>IFERROR(ROUND(CORREL('Returns (Calc)'!$S$3:$S$161,'Returns (Calc)'!$Q$3:$Q$161),2),"")</f>
        <v>-0.05</v>
      </c>
      <c r="R20" s="79">
        <f>IFERROR(ROUND(CORREL('Returns (Calc)'!$S$3:$S$161,'Returns (Calc)'!$R$3:$R$161),2),"")</f>
        <v>0.88</v>
      </c>
      <c r="S20" s="79">
        <v>1</v>
      </c>
      <c r="T20" s="79">
        <f>IFERROR(ROUND(CORREL('Returns (Calc)'!$S$3:$S$161,'Returns (Calc)'!$T$3:$T$161),2),"")</f>
        <v>0.53</v>
      </c>
      <c r="U20" s="79" t="str">
        <f>IFERROR(ROUND(CORREL('Returns (Calc)'!$S$3:$S$161,'Returns (Calc)'!$U$3:$U$161),2),"")</f>
        <v/>
      </c>
      <c r="V20" s="47">
        <f t="shared" si="0"/>
        <v>3</v>
      </c>
    </row>
    <row r="21" spans="1:22" ht="15" customHeight="1" x14ac:dyDescent="0.2">
      <c r="A21" s="78" t="str">
        <f>'Returns (Calc)'!T2</f>
        <v>VFLO</v>
      </c>
      <c r="B21" s="79">
        <f>IFERROR(ROUND(CORREL('Returns (Calc)'!$T$3:$T$161,'Returns (Calc)'!$B$3:$B$161),2),"")</f>
        <v>0.41</v>
      </c>
      <c r="C21" s="79">
        <f>IFERROR(ROUND(CORREL('Returns (Calc)'!$T$3:$T$161,'Returns (Calc)'!$C$3:$C$161),2),"")</f>
        <v>0.35</v>
      </c>
      <c r="D21" s="79">
        <f>IFERROR(ROUND(CORREL('Returns (Calc)'!$T$3:$T$161,'Returns (Calc)'!$D$3:$D$161),2),"")</f>
        <v>0.31</v>
      </c>
      <c r="E21" s="79">
        <f>IFERROR(ROUND(CORREL('Returns (Calc)'!$T$3:$T$161,'Returns (Calc)'!$E$3:$E$161),2),"")</f>
        <v>0.28999999999999998</v>
      </c>
      <c r="F21" s="79">
        <f>IFERROR(ROUND(CORREL('Returns (Calc)'!$T$3:$T$161,'Returns (Calc)'!$F$3:$F$161),2),"")</f>
        <v>0.33</v>
      </c>
      <c r="G21" s="79">
        <f>IFERROR(ROUND(CORREL('Returns (Calc)'!$T$3:$T$161,'Returns (Calc)'!$G$3:$G$161),2),"")</f>
        <v>0.33</v>
      </c>
      <c r="H21" s="79">
        <f>IFERROR(ROUND(CORREL('Returns (Calc)'!$T$3:$T$161,'Returns (Calc)'!$H$3:$H$161),2),"")</f>
        <v>0.43</v>
      </c>
      <c r="I21" s="79">
        <f>IFERROR(ROUND(CORREL('Returns (Calc)'!$T$3:$T$161,'Returns (Calc)'!$I$3:$I$161),2),"")</f>
        <v>0.3</v>
      </c>
      <c r="J21" s="79">
        <f>IFERROR(ROUND(CORREL('Returns (Calc)'!$T$3:$T$161,'Returns (Calc)'!$J$3:$J$161),2),"")</f>
        <v>0.54</v>
      </c>
      <c r="K21" s="79">
        <f>IFERROR(ROUND(CORREL('Returns (Calc)'!$T$3:$T$161,'Returns (Calc)'!$K$3:$K$161),2),"")</f>
        <v>0.34</v>
      </c>
      <c r="L21" s="79">
        <f>IFERROR(ROUND(CORREL('Returns (Calc)'!$T$3:$T$161,'Returns (Calc)'!$L$3:$L$161),2),"")</f>
        <v>0.28999999999999998</v>
      </c>
      <c r="M21" s="79">
        <f>IFERROR(ROUND(CORREL('Returns (Calc)'!$T$3:$T$161,'Returns (Calc)'!$M$3:$M$161),2),"")</f>
        <v>0.28999999999999998</v>
      </c>
      <c r="N21" s="79">
        <f>IFERROR(ROUND(CORREL('Returns (Calc)'!$T$3:$T$161,'Returns (Calc)'!$N$3:$N$161),2),"")</f>
        <v>0.31</v>
      </c>
      <c r="O21" s="79">
        <f>IFERROR(ROUND(CORREL('Returns (Calc)'!$T$3:$T$161,'Returns (Calc)'!$O$3:$O$161),2),"")</f>
        <v>0.81</v>
      </c>
      <c r="P21" s="79" t="str">
        <f>IFERROR(ROUND(CORREL('Returns (Calc)'!$T$3:$T$161,'Returns (Calc)'!$P$3:$P$161),2),"")</f>
        <v/>
      </c>
      <c r="Q21" s="79">
        <f>IFERROR(ROUND(CORREL('Returns (Calc)'!$T$3:$T$161,'Returns (Calc)'!$Q$3:$Q$161),2),"")</f>
        <v>-0.08</v>
      </c>
      <c r="R21" s="79">
        <f>IFERROR(ROUND(CORREL('Returns (Calc)'!$T$3:$T$161,'Returns (Calc)'!$R$3:$R$161),2),"")</f>
        <v>0.56999999999999995</v>
      </c>
      <c r="S21" s="79">
        <f>IFERROR(ROUND(CORREL('Returns (Calc)'!$T$3:$T$161,'Returns (Calc)'!$S$3:$S$161),2),"")</f>
        <v>0.53</v>
      </c>
      <c r="T21" s="79">
        <v>1</v>
      </c>
      <c r="U21" s="79" t="str">
        <f>IFERROR(ROUND(CORREL('Returns (Calc)'!$T$3:$T$161,'Returns (Calc)'!$U$3:$U$161),2),"")</f>
        <v/>
      </c>
      <c r="V21" s="47">
        <f t="shared" si="0"/>
        <v>1</v>
      </c>
    </row>
    <row r="22" spans="1:22" ht="15" customHeight="1" x14ac:dyDescent="0.2">
      <c r="A22" s="78">
        <f>'Returns (Calc)'!U2</f>
        <v>0</v>
      </c>
      <c r="B22" s="79" t="str">
        <f>IFERROR(ROUND(CORREL('Returns (Calc)'!$U$3:$U$161,'Returns (Calc)'!$B$3:$B$161),2),"")</f>
        <v/>
      </c>
      <c r="C22" s="79" t="str">
        <f>IFERROR(ROUND(CORREL('Returns (Calc)'!$U$3:$U$161,'Returns (Calc)'!$C$3:$C$161),2),"")</f>
        <v/>
      </c>
      <c r="D22" s="79" t="str">
        <f>IFERROR(ROUND(CORREL('Returns (Calc)'!$U$3:$U$161,'Returns (Calc)'!$D$3:$D$161),2),"")</f>
        <v/>
      </c>
      <c r="E22" s="79" t="str">
        <f>IFERROR(ROUND(CORREL('Returns (Calc)'!$U$3:$U$161,'Returns (Calc)'!$E$3:$E$161),2),"")</f>
        <v/>
      </c>
      <c r="F22" s="79" t="str">
        <f>IFERROR(ROUND(CORREL('Returns (Calc)'!$U$3:$U$161,'Returns (Calc)'!$F$3:$F$161),2),"")</f>
        <v/>
      </c>
      <c r="G22" s="79" t="str">
        <f>IFERROR(ROUND(CORREL('Returns (Calc)'!$U$3:$U$161,'Returns (Calc)'!$G$3:$G$161),2),"")</f>
        <v/>
      </c>
      <c r="H22" s="79" t="str">
        <f>IFERROR(ROUND(CORREL('Returns (Calc)'!$U$3:$U$161,'Returns (Calc)'!$H$3:$H$161),2),"")</f>
        <v/>
      </c>
      <c r="I22" s="79" t="str">
        <f>IFERROR(ROUND(CORREL('Returns (Calc)'!$U$3:$U$161,'Returns (Calc)'!$I$3:$I$161),2),"")</f>
        <v/>
      </c>
      <c r="J22" s="79" t="str">
        <f>IFERROR(ROUND(CORREL('Returns (Calc)'!$U$3:$U$161,'Returns (Calc)'!$J$3:$J$161),2),"")</f>
        <v/>
      </c>
      <c r="K22" s="79" t="str">
        <f>IFERROR(ROUND(CORREL('Returns (Calc)'!$U$3:$U$161,'Returns (Calc)'!$K$3:$K$161),2),"")</f>
        <v/>
      </c>
      <c r="L22" s="79" t="str">
        <f>IFERROR(ROUND(CORREL('Returns (Calc)'!$U$3:$U$161,'Returns (Calc)'!$L$3:$L$161),2),"")</f>
        <v/>
      </c>
      <c r="M22" s="79" t="str">
        <f>IFERROR(ROUND(CORREL('Returns (Calc)'!$U$3:$U$161,'Returns (Calc)'!$M$3:$M$161),2),"")</f>
        <v/>
      </c>
      <c r="N22" s="79" t="str">
        <f>IFERROR(ROUND(CORREL('Returns (Calc)'!$U$3:$U$161,'Returns (Calc)'!$N$3:$N$161),2),"")</f>
        <v/>
      </c>
      <c r="O22" s="79" t="str">
        <f>IFERROR(ROUND(CORREL('Returns (Calc)'!$U$3:$U$161,'Returns (Calc)'!$O$3:$O$161),2),"")</f>
        <v/>
      </c>
      <c r="P22" s="79" t="str">
        <f>IFERROR(ROUND(CORREL('Returns (Calc)'!$U$3:$U$161,'Returns (Calc)'!$P$3:$P$161),2),"")</f>
        <v/>
      </c>
      <c r="Q22" s="79" t="str">
        <f>IFERROR(ROUND(CORREL('Returns (Calc)'!$U$3:$U$161,'Returns (Calc)'!$Q$3:$Q$161),2),"")</f>
        <v/>
      </c>
      <c r="R22" s="79" t="str">
        <f>IFERROR(ROUND(CORREL('Returns (Calc)'!$U$3:$U$161,'Returns (Calc)'!$R$3:$R$161),2),"")</f>
        <v/>
      </c>
      <c r="S22" s="79" t="str">
        <f>IFERROR(ROUND(CORREL('Returns (Calc)'!$U$3:$U$161,'Returns (Calc)'!$S$3:$S$161),2),"")</f>
        <v/>
      </c>
      <c r="T22" s="79" t="str">
        <f>IFERROR(ROUND(CORREL('Returns (Calc)'!$U$3:$U$161,'Returns (Calc)'!$T$3:$T$161),2),"")</f>
        <v/>
      </c>
      <c r="U22" s="79">
        <v>1</v>
      </c>
      <c r="V22" s="47">
        <f t="shared" si="0"/>
        <v>0</v>
      </c>
    </row>
    <row r="24" spans="1:22" ht="15" customHeight="1" x14ac:dyDescent="0.2">
      <c r="A24" s="80" t="s">
        <v>371</v>
      </c>
      <c r="B24" s="81"/>
      <c r="I24" s="82">
        <f>COUNTIF(V3:V22,"&gt;1")</f>
        <v>4</v>
      </c>
    </row>
    <row r="25" spans="1:22" ht="15" customHeight="1" x14ac:dyDescent="0.2">
      <c r="A25" s="80" t="s">
        <v>372</v>
      </c>
      <c r="B25" s="48"/>
      <c r="I25" s="83" t="str">
        <f>IF(B24&gt;0,"REVIEW REQUIRED","OK")</f>
        <v>OK</v>
      </c>
    </row>
  </sheetData>
  <mergeCells count="1">
    <mergeCell ref="A1:V1"/>
  </mergeCells>
  <conditionalFormatting sqref="B3:U22">
    <cfRule type="expression" dxfId="31" priority="2">
      <formula>AND(B3&lt;&gt;1,ABS(B3)&gt;0.7)</formula>
    </cfRule>
  </conditionalFormatting>
  <conditionalFormatting sqref="I25">
    <cfRule type="cellIs" dxfId="30" priority="4" operator="equal">
      <formula>"REVIEW REQUIRED"</formula>
    </cfRule>
    <cfRule type="cellIs" dxfId="29" priority="5" operator="equal">
      <formula>"OK"</formula>
    </cfRule>
  </conditionalFormatting>
  <conditionalFormatting sqref="V3:V22">
    <cfRule type="cellIs" dxfId="28" priority="3" operator="greaterThan">
      <formula>1</formula>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customWidth="1"/>
  </cols>
  <sheetData>
    <row r="1" spans="1:8" ht="15" customHeight="1" x14ac:dyDescent="0.2">
      <c r="A1" s="2" t="s">
        <v>373</v>
      </c>
      <c r="B1" s="2"/>
      <c r="C1" s="2"/>
      <c r="D1" s="2"/>
      <c r="E1" s="2"/>
      <c r="F1" s="2"/>
      <c r="G1" s="2"/>
      <c r="H1" s="2"/>
    </row>
    <row r="2" spans="1:8" ht="21.75" customHeight="1" x14ac:dyDescent="0.2">
      <c r="A2" s="52" t="s">
        <v>374</v>
      </c>
      <c r="B2" s="52" t="s">
        <v>375</v>
      </c>
      <c r="C2" s="52" t="s">
        <v>376</v>
      </c>
      <c r="D2" s="52" t="s">
        <v>377</v>
      </c>
      <c r="E2" s="52" t="s">
        <v>378</v>
      </c>
      <c r="F2" s="52" t="s">
        <v>379</v>
      </c>
      <c r="G2" s="52" t="s">
        <v>380</v>
      </c>
      <c r="H2" s="52" t="s">
        <v>172</v>
      </c>
    </row>
    <row r="3" spans="1:8" ht="15" customHeight="1" x14ac:dyDescent="0.2">
      <c r="A3" s="50">
        <v>46245</v>
      </c>
      <c r="B3" s="24">
        <v>700739.19</v>
      </c>
      <c r="C3" s="84">
        <f>IF(B3="","",B3)</f>
        <v>700739.19</v>
      </c>
      <c r="D3" s="85">
        <f t="shared" ref="D3:D42" si="0">IF(OR(B3="",C3=""),"",B3/C3-1)</f>
        <v>0</v>
      </c>
      <c r="E3" s="66" t="str">
        <f t="shared" ref="E3:E42" si="1">IF(D3="","",IF(D3&gt;=-0.1,"Normal",IF(D3&gt;=-0.2,"Elevated",IF(D3&gt;=-0.3,"Severe","Critical"))))</f>
        <v>Normal</v>
      </c>
      <c r="F3" s="53" t="str">
        <f t="shared" ref="F3:F42" si="2">IF(E3="","",IF(E3="Normal","5-15%",IF(E3="Elevated","15%",IF(E3="Severe","20%","25%"))))</f>
        <v>5-15%</v>
      </c>
      <c r="G3" s="53" t="str">
        <f t="shared" ref="G3:G42" si="3">IF(E3="","",IF(E3="Normal","Standard (score &gt;=65)",IF(E3="Elevated","Restricted (score &gt;=80 only)","Suspended")))</f>
        <v>Standard (score &gt;=65)</v>
      </c>
      <c r="H3" s="63"/>
    </row>
    <row r="4" spans="1:8" ht="15" customHeight="1" x14ac:dyDescent="0.2">
      <c r="A4" s="50"/>
      <c r="B4" s="24"/>
      <c r="C4" s="84" t="str">
        <f t="shared" ref="C4:C42" si="4">IF(B4="","",MAX(C3,B4))</f>
        <v/>
      </c>
      <c r="D4" s="85" t="str">
        <f t="shared" si="0"/>
        <v/>
      </c>
      <c r="E4" s="66" t="str">
        <f t="shared" si="1"/>
        <v/>
      </c>
      <c r="F4" s="53" t="str">
        <f t="shared" si="2"/>
        <v/>
      </c>
      <c r="G4" s="53" t="str">
        <f t="shared" si="3"/>
        <v/>
      </c>
      <c r="H4" s="63"/>
    </row>
    <row r="5" spans="1:8" ht="15" customHeight="1" x14ac:dyDescent="0.2">
      <c r="A5" s="50"/>
      <c r="B5" s="24"/>
      <c r="C5" s="84" t="str">
        <f t="shared" si="4"/>
        <v/>
      </c>
      <c r="D5" s="85" t="str">
        <f t="shared" si="0"/>
        <v/>
      </c>
      <c r="E5" s="66" t="str">
        <f t="shared" si="1"/>
        <v/>
      </c>
      <c r="F5" s="53" t="str">
        <f t="shared" si="2"/>
        <v/>
      </c>
      <c r="G5" s="53" t="str">
        <f t="shared" si="3"/>
        <v/>
      </c>
      <c r="H5" s="63"/>
    </row>
    <row r="6" spans="1:8" ht="15" customHeight="1" x14ac:dyDescent="0.2">
      <c r="A6" s="50"/>
      <c r="B6" s="24"/>
      <c r="C6" s="84" t="str">
        <f t="shared" si="4"/>
        <v/>
      </c>
      <c r="D6" s="85" t="str">
        <f t="shared" si="0"/>
        <v/>
      </c>
      <c r="E6" s="66" t="str">
        <f t="shared" si="1"/>
        <v/>
      </c>
      <c r="F6" s="53" t="str">
        <f t="shared" si="2"/>
        <v/>
      </c>
      <c r="G6" s="53" t="str">
        <f t="shared" si="3"/>
        <v/>
      </c>
      <c r="H6" s="63"/>
    </row>
    <row r="7" spans="1:8" ht="15" customHeight="1" x14ac:dyDescent="0.2">
      <c r="A7" s="50"/>
      <c r="B7" s="24"/>
      <c r="C7" s="84" t="str">
        <f t="shared" si="4"/>
        <v/>
      </c>
      <c r="D7" s="85" t="str">
        <f t="shared" si="0"/>
        <v/>
      </c>
      <c r="E7" s="66" t="str">
        <f t="shared" si="1"/>
        <v/>
      </c>
      <c r="F7" s="53" t="str">
        <f t="shared" si="2"/>
        <v/>
      </c>
      <c r="G7" s="53" t="str">
        <f t="shared" si="3"/>
        <v/>
      </c>
      <c r="H7" s="63"/>
    </row>
    <row r="8" spans="1:8" ht="15" customHeight="1" x14ac:dyDescent="0.2">
      <c r="A8" s="50"/>
      <c r="B8" s="24"/>
      <c r="C8" s="84" t="str">
        <f t="shared" si="4"/>
        <v/>
      </c>
      <c r="D8" s="85" t="str">
        <f t="shared" si="0"/>
        <v/>
      </c>
      <c r="E8" s="66" t="str">
        <f t="shared" si="1"/>
        <v/>
      </c>
      <c r="F8" s="53" t="str">
        <f t="shared" si="2"/>
        <v/>
      </c>
      <c r="G8" s="53" t="str">
        <f t="shared" si="3"/>
        <v/>
      </c>
      <c r="H8" s="63"/>
    </row>
    <row r="9" spans="1:8" ht="15" customHeight="1" x14ac:dyDescent="0.2">
      <c r="A9" s="50"/>
      <c r="B9" s="24"/>
      <c r="C9" s="84" t="str">
        <f t="shared" si="4"/>
        <v/>
      </c>
      <c r="D9" s="85" t="str">
        <f t="shared" si="0"/>
        <v/>
      </c>
      <c r="E9" s="66" t="str">
        <f t="shared" si="1"/>
        <v/>
      </c>
      <c r="F9" s="53" t="str">
        <f t="shared" si="2"/>
        <v/>
      </c>
      <c r="G9" s="53" t="str">
        <f t="shared" si="3"/>
        <v/>
      </c>
      <c r="H9" s="63"/>
    </row>
    <row r="10" spans="1:8" ht="15" customHeight="1" x14ac:dyDescent="0.2">
      <c r="A10" s="50"/>
      <c r="B10" s="24"/>
      <c r="C10" s="84" t="str">
        <f t="shared" si="4"/>
        <v/>
      </c>
      <c r="D10" s="85" t="str">
        <f t="shared" si="0"/>
        <v/>
      </c>
      <c r="E10" s="66" t="str">
        <f t="shared" si="1"/>
        <v/>
      </c>
      <c r="F10" s="53" t="str">
        <f t="shared" si="2"/>
        <v/>
      </c>
      <c r="G10" s="53" t="str">
        <f t="shared" si="3"/>
        <v/>
      </c>
      <c r="H10" s="63"/>
    </row>
    <row r="11" spans="1:8" ht="15" customHeight="1" x14ac:dyDescent="0.2">
      <c r="A11" s="50"/>
      <c r="B11" s="24"/>
      <c r="C11" s="84" t="str">
        <f t="shared" si="4"/>
        <v/>
      </c>
      <c r="D11" s="85" t="str">
        <f t="shared" si="0"/>
        <v/>
      </c>
      <c r="E11" s="66" t="str">
        <f t="shared" si="1"/>
        <v/>
      </c>
      <c r="F11" s="53" t="str">
        <f t="shared" si="2"/>
        <v/>
      </c>
      <c r="G11" s="53" t="str">
        <f t="shared" si="3"/>
        <v/>
      </c>
      <c r="H11" s="63"/>
    </row>
    <row r="12" spans="1:8" ht="15" customHeight="1" x14ac:dyDescent="0.2">
      <c r="A12" s="50"/>
      <c r="B12" s="24"/>
      <c r="C12" s="84" t="str">
        <f t="shared" si="4"/>
        <v/>
      </c>
      <c r="D12" s="85" t="str">
        <f t="shared" si="0"/>
        <v/>
      </c>
      <c r="E12" s="66" t="str">
        <f t="shared" si="1"/>
        <v/>
      </c>
      <c r="F12" s="53" t="str">
        <f t="shared" si="2"/>
        <v/>
      </c>
      <c r="G12" s="53" t="str">
        <f t="shared" si="3"/>
        <v/>
      </c>
      <c r="H12" s="63"/>
    </row>
    <row r="13" spans="1:8" ht="15" customHeight="1" x14ac:dyDescent="0.2">
      <c r="A13" s="50"/>
      <c r="B13" s="24"/>
      <c r="C13" s="84" t="str">
        <f t="shared" si="4"/>
        <v/>
      </c>
      <c r="D13" s="85" t="str">
        <f t="shared" si="0"/>
        <v/>
      </c>
      <c r="E13" s="66" t="str">
        <f t="shared" si="1"/>
        <v/>
      </c>
      <c r="F13" s="53" t="str">
        <f t="shared" si="2"/>
        <v/>
      </c>
      <c r="G13" s="53" t="str">
        <f t="shared" si="3"/>
        <v/>
      </c>
      <c r="H13" s="63"/>
    </row>
    <row r="14" spans="1:8" ht="15" customHeight="1" x14ac:dyDescent="0.2">
      <c r="A14" s="50"/>
      <c r="B14" s="24"/>
      <c r="C14" s="84" t="str">
        <f t="shared" si="4"/>
        <v/>
      </c>
      <c r="D14" s="85" t="str">
        <f t="shared" si="0"/>
        <v/>
      </c>
      <c r="E14" s="66" t="str">
        <f t="shared" si="1"/>
        <v/>
      </c>
      <c r="F14" s="53" t="str">
        <f t="shared" si="2"/>
        <v/>
      </c>
      <c r="G14" s="53" t="str">
        <f t="shared" si="3"/>
        <v/>
      </c>
      <c r="H14" s="63"/>
    </row>
    <row r="15" spans="1:8" ht="15" customHeight="1" x14ac:dyDescent="0.2">
      <c r="A15" s="50"/>
      <c r="B15" s="24"/>
      <c r="C15" s="84" t="str">
        <f t="shared" si="4"/>
        <v/>
      </c>
      <c r="D15" s="85" t="str">
        <f t="shared" si="0"/>
        <v/>
      </c>
      <c r="E15" s="66" t="str">
        <f t="shared" si="1"/>
        <v/>
      </c>
      <c r="F15" s="53" t="str">
        <f t="shared" si="2"/>
        <v/>
      </c>
      <c r="G15" s="53" t="str">
        <f t="shared" si="3"/>
        <v/>
      </c>
      <c r="H15" s="63"/>
    </row>
    <row r="16" spans="1:8" ht="15" customHeight="1" x14ac:dyDescent="0.2">
      <c r="A16" s="50"/>
      <c r="B16" s="24"/>
      <c r="C16" s="84" t="str">
        <f t="shared" si="4"/>
        <v/>
      </c>
      <c r="D16" s="85" t="str">
        <f t="shared" si="0"/>
        <v/>
      </c>
      <c r="E16" s="66" t="str">
        <f t="shared" si="1"/>
        <v/>
      </c>
      <c r="F16" s="53" t="str">
        <f t="shared" si="2"/>
        <v/>
      </c>
      <c r="G16" s="53" t="str">
        <f t="shared" si="3"/>
        <v/>
      </c>
      <c r="H16" s="63"/>
    </row>
    <row r="17" spans="1:8" ht="15" customHeight="1" x14ac:dyDescent="0.2">
      <c r="A17" s="50"/>
      <c r="B17" s="24"/>
      <c r="C17" s="84" t="str">
        <f t="shared" si="4"/>
        <v/>
      </c>
      <c r="D17" s="85" t="str">
        <f t="shared" si="0"/>
        <v/>
      </c>
      <c r="E17" s="66" t="str">
        <f t="shared" si="1"/>
        <v/>
      </c>
      <c r="F17" s="53" t="str">
        <f t="shared" si="2"/>
        <v/>
      </c>
      <c r="G17" s="53" t="str">
        <f t="shared" si="3"/>
        <v/>
      </c>
      <c r="H17" s="63"/>
    </row>
    <row r="18" spans="1:8" ht="15" customHeight="1" x14ac:dyDescent="0.2">
      <c r="A18" s="50"/>
      <c r="B18" s="24"/>
      <c r="C18" s="84" t="str">
        <f t="shared" si="4"/>
        <v/>
      </c>
      <c r="D18" s="85" t="str">
        <f t="shared" si="0"/>
        <v/>
      </c>
      <c r="E18" s="66" t="str">
        <f t="shared" si="1"/>
        <v/>
      </c>
      <c r="F18" s="53" t="str">
        <f t="shared" si="2"/>
        <v/>
      </c>
      <c r="G18" s="53" t="str">
        <f t="shared" si="3"/>
        <v/>
      </c>
      <c r="H18" s="63"/>
    </row>
    <row r="19" spans="1:8" ht="15" customHeight="1" x14ac:dyDescent="0.2">
      <c r="A19" s="50"/>
      <c r="B19" s="24"/>
      <c r="C19" s="84" t="str">
        <f t="shared" si="4"/>
        <v/>
      </c>
      <c r="D19" s="85" t="str">
        <f t="shared" si="0"/>
        <v/>
      </c>
      <c r="E19" s="66" t="str">
        <f t="shared" si="1"/>
        <v/>
      </c>
      <c r="F19" s="53" t="str">
        <f t="shared" si="2"/>
        <v/>
      </c>
      <c r="G19" s="53" t="str">
        <f t="shared" si="3"/>
        <v/>
      </c>
      <c r="H19" s="63"/>
    </row>
    <row r="20" spans="1:8" ht="15" customHeight="1" x14ac:dyDescent="0.2">
      <c r="A20" s="50"/>
      <c r="B20" s="24"/>
      <c r="C20" s="84" t="str">
        <f t="shared" si="4"/>
        <v/>
      </c>
      <c r="D20" s="85" t="str">
        <f t="shared" si="0"/>
        <v/>
      </c>
      <c r="E20" s="66" t="str">
        <f t="shared" si="1"/>
        <v/>
      </c>
      <c r="F20" s="53" t="str">
        <f t="shared" si="2"/>
        <v/>
      </c>
      <c r="G20" s="53" t="str">
        <f t="shared" si="3"/>
        <v/>
      </c>
      <c r="H20" s="63"/>
    </row>
    <row r="21" spans="1:8" ht="15" customHeight="1" x14ac:dyDescent="0.2">
      <c r="A21" s="50"/>
      <c r="B21" s="24"/>
      <c r="C21" s="84" t="str">
        <f t="shared" si="4"/>
        <v/>
      </c>
      <c r="D21" s="85" t="str">
        <f t="shared" si="0"/>
        <v/>
      </c>
      <c r="E21" s="66" t="str">
        <f t="shared" si="1"/>
        <v/>
      </c>
      <c r="F21" s="53" t="str">
        <f t="shared" si="2"/>
        <v/>
      </c>
      <c r="G21" s="53" t="str">
        <f t="shared" si="3"/>
        <v/>
      </c>
      <c r="H21" s="63"/>
    </row>
    <row r="22" spans="1:8" ht="15" customHeight="1" x14ac:dyDescent="0.2">
      <c r="A22" s="50"/>
      <c r="B22" s="24"/>
      <c r="C22" s="84" t="str">
        <f t="shared" si="4"/>
        <v/>
      </c>
      <c r="D22" s="85" t="str">
        <f t="shared" si="0"/>
        <v/>
      </c>
      <c r="E22" s="66" t="str">
        <f t="shared" si="1"/>
        <v/>
      </c>
      <c r="F22" s="53" t="str">
        <f t="shared" si="2"/>
        <v/>
      </c>
      <c r="G22" s="53" t="str">
        <f t="shared" si="3"/>
        <v/>
      </c>
      <c r="H22" s="63"/>
    </row>
    <row r="23" spans="1:8" ht="15" customHeight="1" x14ac:dyDescent="0.2">
      <c r="A23" s="50"/>
      <c r="B23" s="24"/>
      <c r="C23" s="84" t="str">
        <f t="shared" si="4"/>
        <v/>
      </c>
      <c r="D23" s="85" t="str">
        <f t="shared" si="0"/>
        <v/>
      </c>
      <c r="E23" s="66" t="str">
        <f t="shared" si="1"/>
        <v/>
      </c>
      <c r="F23" s="53" t="str">
        <f t="shared" si="2"/>
        <v/>
      </c>
      <c r="G23" s="53" t="str">
        <f t="shared" si="3"/>
        <v/>
      </c>
      <c r="H23" s="63"/>
    </row>
    <row r="24" spans="1:8" ht="15" customHeight="1" x14ac:dyDescent="0.2">
      <c r="A24" s="50"/>
      <c r="B24" s="24"/>
      <c r="C24" s="84" t="str">
        <f t="shared" si="4"/>
        <v/>
      </c>
      <c r="D24" s="85" t="str">
        <f t="shared" si="0"/>
        <v/>
      </c>
      <c r="E24" s="66" t="str">
        <f t="shared" si="1"/>
        <v/>
      </c>
      <c r="F24" s="53" t="str">
        <f t="shared" si="2"/>
        <v/>
      </c>
      <c r="G24" s="53" t="str">
        <f t="shared" si="3"/>
        <v/>
      </c>
      <c r="H24" s="63"/>
    </row>
    <row r="25" spans="1:8" ht="15" customHeight="1" x14ac:dyDescent="0.2">
      <c r="A25" s="50"/>
      <c r="B25" s="24"/>
      <c r="C25" s="84" t="str">
        <f t="shared" si="4"/>
        <v/>
      </c>
      <c r="D25" s="85" t="str">
        <f t="shared" si="0"/>
        <v/>
      </c>
      <c r="E25" s="66" t="str">
        <f t="shared" si="1"/>
        <v/>
      </c>
      <c r="F25" s="53" t="str">
        <f t="shared" si="2"/>
        <v/>
      </c>
      <c r="G25" s="53" t="str">
        <f t="shared" si="3"/>
        <v/>
      </c>
      <c r="H25" s="63"/>
    </row>
    <row r="26" spans="1:8" ht="15" customHeight="1" x14ac:dyDescent="0.2">
      <c r="A26" s="50"/>
      <c r="B26" s="24"/>
      <c r="C26" s="84" t="str">
        <f t="shared" si="4"/>
        <v/>
      </c>
      <c r="D26" s="85" t="str">
        <f t="shared" si="0"/>
        <v/>
      </c>
      <c r="E26" s="66" t="str">
        <f t="shared" si="1"/>
        <v/>
      </c>
      <c r="F26" s="53" t="str">
        <f t="shared" si="2"/>
        <v/>
      </c>
      <c r="G26" s="53" t="str">
        <f t="shared" si="3"/>
        <v/>
      </c>
      <c r="H26" s="63"/>
    </row>
    <row r="27" spans="1:8" ht="15" customHeight="1" x14ac:dyDescent="0.2">
      <c r="A27" s="50"/>
      <c r="B27" s="24"/>
      <c r="C27" s="84" t="str">
        <f t="shared" si="4"/>
        <v/>
      </c>
      <c r="D27" s="85" t="str">
        <f t="shared" si="0"/>
        <v/>
      </c>
      <c r="E27" s="66" t="str">
        <f t="shared" si="1"/>
        <v/>
      </c>
      <c r="F27" s="53" t="str">
        <f t="shared" si="2"/>
        <v/>
      </c>
      <c r="G27" s="53" t="str">
        <f t="shared" si="3"/>
        <v/>
      </c>
      <c r="H27" s="63"/>
    </row>
    <row r="28" spans="1:8" ht="15" customHeight="1" x14ac:dyDescent="0.2">
      <c r="A28" s="50"/>
      <c r="B28" s="24"/>
      <c r="C28" s="84" t="str">
        <f t="shared" si="4"/>
        <v/>
      </c>
      <c r="D28" s="85" t="str">
        <f t="shared" si="0"/>
        <v/>
      </c>
      <c r="E28" s="66" t="str">
        <f t="shared" si="1"/>
        <v/>
      </c>
      <c r="F28" s="53" t="str">
        <f t="shared" si="2"/>
        <v/>
      </c>
      <c r="G28" s="53" t="str">
        <f t="shared" si="3"/>
        <v/>
      </c>
      <c r="H28" s="63"/>
    </row>
    <row r="29" spans="1:8" ht="15" customHeight="1" x14ac:dyDescent="0.2">
      <c r="A29" s="50"/>
      <c r="B29" s="24"/>
      <c r="C29" s="84" t="str">
        <f t="shared" si="4"/>
        <v/>
      </c>
      <c r="D29" s="85" t="str">
        <f t="shared" si="0"/>
        <v/>
      </c>
      <c r="E29" s="66" t="str">
        <f t="shared" si="1"/>
        <v/>
      </c>
      <c r="F29" s="53" t="str">
        <f t="shared" si="2"/>
        <v/>
      </c>
      <c r="G29" s="53" t="str">
        <f t="shared" si="3"/>
        <v/>
      </c>
      <c r="H29" s="63"/>
    </row>
    <row r="30" spans="1:8" ht="15" customHeight="1" x14ac:dyDescent="0.2">
      <c r="A30" s="50"/>
      <c r="B30" s="24"/>
      <c r="C30" s="84" t="str">
        <f t="shared" si="4"/>
        <v/>
      </c>
      <c r="D30" s="85" t="str">
        <f t="shared" si="0"/>
        <v/>
      </c>
      <c r="E30" s="66" t="str">
        <f t="shared" si="1"/>
        <v/>
      </c>
      <c r="F30" s="53" t="str">
        <f t="shared" si="2"/>
        <v/>
      </c>
      <c r="G30" s="53" t="str">
        <f t="shared" si="3"/>
        <v/>
      </c>
      <c r="H30" s="63"/>
    </row>
    <row r="31" spans="1:8" ht="15" customHeight="1" x14ac:dyDescent="0.2">
      <c r="A31" s="50"/>
      <c r="B31" s="24"/>
      <c r="C31" s="84" t="str">
        <f t="shared" si="4"/>
        <v/>
      </c>
      <c r="D31" s="85" t="str">
        <f t="shared" si="0"/>
        <v/>
      </c>
      <c r="E31" s="66" t="str">
        <f t="shared" si="1"/>
        <v/>
      </c>
      <c r="F31" s="53" t="str">
        <f t="shared" si="2"/>
        <v/>
      </c>
      <c r="G31" s="53" t="str">
        <f t="shared" si="3"/>
        <v/>
      </c>
      <c r="H31" s="63"/>
    </row>
    <row r="32" spans="1:8" ht="15" customHeight="1" x14ac:dyDescent="0.2">
      <c r="A32" s="50"/>
      <c r="B32" s="24"/>
      <c r="C32" s="84" t="str">
        <f t="shared" si="4"/>
        <v/>
      </c>
      <c r="D32" s="85" t="str">
        <f t="shared" si="0"/>
        <v/>
      </c>
      <c r="E32" s="66" t="str">
        <f t="shared" si="1"/>
        <v/>
      </c>
      <c r="F32" s="53" t="str">
        <f t="shared" si="2"/>
        <v/>
      </c>
      <c r="G32" s="53" t="str">
        <f t="shared" si="3"/>
        <v/>
      </c>
      <c r="H32" s="63"/>
    </row>
    <row r="33" spans="1:8" ht="15" customHeight="1" x14ac:dyDescent="0.2">
      <c r="A33" s="50"/>
      <c r="B33" s="24"/>
      <c r="C33" s="84" t="str">
        <f t="shared" si="4"/>
        <v/>
      </c>
      <c r="D33" s="85" t="str">
        <f t="shared" si="0"/>
        <v/>
      </c>
      <c r="E33" s="66" t="str">
        <f t="shared" si="1"/>
        <v/>
      </c>
      <c r="F33" s="53" t="str">
        <f t="shared" si="2"/>
        <v/>
      </c>
      <c r="G33" s="53" t="str">
        <f t="shared" si="3"/>
        <v/>
      </c>
      <c r="H33" s="63"/>
    </row>
    <row r="34" spans="1:8" ht="15" customHeight="1" x14ac:dyDescent="0.2">
      <c r="A34" s="50"/>
      <c r="B34" s="24"/>
      <c r="C34" s="84" t="str">
        <f t="shared" si="4"/>
        <v/>
      </c>
      <c r="D34" s="85" t="str">
        <f t="shared" si="0"/>
        <v/>
      </c>
      <c r="E34" s="66" t="str">
        <f t="shared" si="1"/>
        <v/>
      </c>
      <c r="F34" s="53" t="str">
        <f t="shared" si="2"/>
        <v/>
      </c>
      <c r="G34" s="53" t="str">
        <f t="shared" si="3"/>
        <v/>
      </c>
      <c r="H34" s="63"/>
    </row>
    <row r="35" spans="1:8" ht="15" customHeight="1" x14ac:dyDescent="0.2">
      <c r="A35" s="50"/>
      <c r="B35" s="24"/>
      <c r="C35" s="84" t="str">
        <f t="shared" si="4"/>
        <v/>
      </c>
      <c r="D35" s="85" t="str">
        <f t="shared" si="0"/>
        <v/>
      </c>
      <c r="E35" s="66" t="str">
        <f t="shared" si="1"/>
        <v/>
      </c>
      <c r="F35" s="53" t="str">
        <f t="shared" si="2"/>
        <v/>
      </c>
      <c r="G35" s="53" t="str">
        <f t="shared" si="3"/>
        <v/>
      </c>
      <c r="H35" s="63"/>
    </row>
    <row r="36" spans="1:8" ht="15" customHeight="1" x14ac:dyDescent="0.2">
      <c r="A36" s="50"/>
      <c r="B36" s="24"/>
      <c r="C36" s="84" t="str">
        <f t="shared" si="4"/>
        <v/>
      </c>
      <c r="D36" s="85" t="str">
        <f t="shared" si="0"/>
        <v/>
      </c>
      <c r="E36" s="66" t="str">
        <f t="shared" si="1"/>
        <v/>
      </c>
      <c r="F36" s="53" t="str">
        <f t="shared" si="2"/>
        <v/>
      </c>
      <c r="G36" s="53" t="str">
        <f t="shared" si="3"/>
        <v/>
      </c>
      <c r="H36" s="63"/>
    </row>
    <row r="37" spans="1:8" ht="15" customHeight="1" x14ac:dyDescent="0.2">
      <c r="A37" s="50"/>
      <c r="B37" s="24"/>
      <c r="C37" s="84" t="str">
        <f t="shared" si="4"/>
        <v/>
      </c>
      <c r="D37" s="85" t="str">
        <f t="shared" si="0"/>
        <v/>
      </c>
      <c r="E37" s="66" t="str">
        <f t="shared" si="1"/>
        <v/>
      </c>
      <c r="F37" s="53" t="str">
        <f t="shared" si="2"/>
        <v/>
      </c>
      <c r="G37" s="53" t="str">
        <f t="shared" si="3"/>
        <v/>
      </c>
      <c r="H37" s="63"/>
    </row>
    <row r="38" spans="1:8" ht="15" customHeight="1" x14ac:dyDescent="0.2">
      <c r="A38" s="50"/>
      <c r="B38" s="24"/>
      <c r="C38" s="84" t="str">
        <f t="shared" si="4"/>
        <v/>
      </c>
      <c r="D38" s="85" t="str">
        <f t="shared" si="0"/>
        <v/>
      </c>
      <c r="E38" s="66" t="str">
        <f t="shared" si="1"/>
        <v/>
      </c>
      <c r="F38" s="53" t="str">
        <f t="shared" si="2"/>
        <v/>
      </c>
      <c r="G38" s="53" t="str">
        <f t="shared" si="3"/>
        <v/>
      </c>
      <c r="H38" s="63"/>
    </row>
    <row r="39" spans="1:8" ht="15" customHeight="1" x14ac:dyDescent="0.2">
      <c r="A39" s="50"/>
      <c r="B39" s="24"/>
      <c r="C39" s="84" t="str">
        <f t="shared" si="4"/>
        <v/>
      </c>
      <c r="D39" s="85" t="str">
        <f t="shared" si="0"/>
        <v/>
      </c>
      <c r="E39" s="66" t="str">
        <f t="shared" si="1"/>
        <v/>
      </c>
      <c r="F39" s="53" t="str">
        <f t="shared" si="2"/>
        <v/>
      </c>
      <c r="G39" s="53" t="str">
        <f t="shared" si="3"/>
        <v/>
      </c>
      <c r="H39" s="63"/>
    </row>
    <row r="40" spans="1:8" ht="15" customHeight="1" x14ac:dyDescent="0.2">
      <c r="A40" s="50"/>
      <c r="B40" s="24"/>
      <c r="C40" s="84" t="str">
        <f t="shared" si="4"/>
        <v/>
      </c>
      <c r="D40" s="85" t="str">
        <f t="shared" si="0"/>
        <v/>
      </c>
      <c r="E40" s="66" t="str">
        <f t="shared" si="1"/>
        <v/>
      </c>
      <c r="F40" s="53" t="str">
        <f t="shared" si="2"/>
        <v/>
      </c>
      <c r="G40" s="53" t="str">
        <f t="shared" si="3"/>
        <v/>
      </c>
      <c r="H40" s="63"/>
    </row>
    <row r="41" spans="1:8" ht="15" customHeight="1" x14ac:dyDescent="0.2">
      <c r="A41" s="50"/>
      <c r="B41" s="24"/>
      <c r="C41" s="84" t="str">
        <f t="shared" si="4"/>
        <v/>
      </c>
      <c r="D41" s="85" t="str">
        <f t="shared" si="0"/>
        <v/>
      </c>
      <c r="E41" s="66" t="str">
        <f t="shared" si="1"/>
        <v/>
      </c>
      <c r="F41" s="53" t="str">
        <f t="shared" si="2"/>
        <v/>
      </c>
      <c r="G41" s="53" t="str">
        <f t="shared" si="3"/>
        <v/>
      </c>
      <c r="H41" s="63"/>
    </row>
    <row r="42" spans="1:8" ht="15" customHeight="1" x14ac:dyDescent="0.2">
      <c r="A42" s="50"/>
      <c r="B42" s="24"/>
      <c r="C42" s="84" t="str">
        <f t="shared" si="4"/>
        <v/>
      </c>
      <c r="D42" s="85" t="str">
        <f t="shared" si="0"/>
        <v/>
      </c>
      <c r="E42" s="66" t="str">
        <f t="shared" si="1"/>
        <v/>
      </c>
      <c r="F42" s="53" t="str">
        <f t="shared" si="2"/>
        <v/>
      </c>
      <c r="G42" s="53" t="str">
        <f t="shared" si="3"/>
        <v/>
      </c>
      <c r="H42" s="63"/>
    </row>
  </sheetData>
  <mergeCells count="1">
    <mergeCell ref="A1:H1"/>
  </mergeCells>
  <conditionalFormatting sqref="E3:E42">
    <cfRule type="cellIs" dxfId="27" priority="2" operator="equal">
      <formula>"Normal"</formula>
    </cfRule>
    <cfRule type="cellIs" dxfId="26" priority="3" operator="equal">
      <formula>"Elevated"</formula>
    </cfRule>
    <cfRule type="cellIs" dxfId="25" priority="4" operator="equal">
      <formula>"Severe"</formula>
    </cfRule>
    <cfRule type="cellIs" dxfId="24" priority="5" operator="equal">
      <formula>"Critical"</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ySplit="2" topLeftCell="A3" activePane="bottomLeft" state="frozen"/>
      <selection pane="bottomLeft" activeCell="E32" sqref="E32"/>
    </sheetView>
  </sheetViews>
  <sheetFormatPr baseColWidth="10" defaultColWidth="8.6640625" defaultRowHeight="15" x14ac:dyDescent="0.2"/>
  <cols>
    <col min="1" max="1" width="9" customWidth="1"/>
    <col min="2" max="2" width="16" customWidth="1"/>
    <col min="3" max="3" width="13" customWidth="1"/>
    <col min="4" max="4" width="12" customWidth="1"/>
    <col min="5" max="6" width="8" customWidth="1"/>
    <col min="7" max="9" width="12" customWidth="1"/>
    <col min="10" max="10" width="10" customWidth="1"/>
    <col min="11" max="11" width="20" customWidth="1"/>
    <col min="12" max="12" width="30" customWidth="1"/>
  </cols>
  <sheetData>
    <row r="1" spans="1:13" ht="25.5" customHeight="1" x14ac:dyDescent="0.2">
      <c r="A1" s="13" t="s">
        <v>381</v>
      </c>
      <c r="B1" s="13"/>
      <c r="C1" s="13"/>
      <c r="D1" s="13"/>
      <c r="E1" s="13"/>
      <c r="F1" s="13"/>
      <c r="G1" s="13"/>
      <c r="H1" s="13"/>
      <c r="I1" s="13"/>
      <c r="J1" s="13"/>
      <c r="K1" s="13"/>
      <c r="L1" s="13"/>
      <c r="M1" s="13"/>
    </row>
    <row r="2" spans="1:13" ht="33.75" customHeight="1" x14ac:dyDescent="0.2">
      <c r="A2" s="52" t="s">
        <v>71</v>
      </c>
      <c r="B2" s="52" t="s">
        <v>182</v>
      </c>
      <c r="C2" s="52" t="s">
        <v>382</v>
      </c>
      <c r="D2" s="52" t="s">
        <v>383</v>
      </c>
      <c r="E2" s="52" t="s">
        <v>384</v>
      </c>
      <c r="F2" s="52" t="s">
        <v>385</v>
      </c>
      <c r="G2" s="52" t="s">
        <v>386</v>
      </c>
      <c r="H2" s="52" t="s">
        <v>387</v>
      </c>
      <c r="I2" s="52" t="s">
        <v>388</v>
      </c>
      <c r="J2" s="52" t="s">
        <v>389</v>
      </c>
      <c r="K2" s="52" t="s">
        <v>390</v>
      </c>
      <c r="L2" s="52" t="s">
        <v>391</v>
      </c>
    </row>
    <row r="3" spans="1:13" ht="15" customHeight="1" x14ac:dyDescent="0.2">
      <c r="A3" s="63"/>
      <c r="B3" s="63"/>
      <c r="C3" s="63"/>
      <c r="D3" s="50"/>
      <c r="E3" s="63"/>
      <c r="F3" s="63"/>
      <c r="G3" s="50"/>
      <c r="H3" s="63"/>
      <c r="I3" s="55" t="str">
        <f t="shared" ref="I3:I22" si="0">IF(D3="","",D3+90)</f>
        <v/>
      </c>
      <c r="J3" s="86" t="str">
        <f t="shared" ref="J3:J22" ca="1" si="1">IF(I3="","",I3-TODAY())</f>
        <v/>
      </c>
      <c r="K3" s="66" t="str">
        <f t="shared" ref="K3:K22" si="2">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3"/>
    </row>
    <row r="4" spans="1:13" ht="15" customHeight="1" x14ac:dyDescent="0.2">
      <c r="A4" s="63"/>
      <c r="B4" s="63"/>
      <c r="C4" s="63"/>
      <c r="D4" s="50"/>
      <c r="E4" s="63"/>
      <c r="F4" s="63"/>
      <c r="G4" s="50"/>
      <c r="H4" s="63"/>
      <c r="I4" s="55" t="str">
        <f t="shared" si="0"/>
        <v/>
      </c>
      <c r="J4" s="86" t="str">
        <f t="shared" ca="1" si="1"/>
        <v/>
      </c>
      <c r="K4" s="66" t="str">
        <f t="shared" si="2"/>
        <v/>
      </c>
      <c r="L4" s="63"/>
    </row>
    <row r="5" spans="1:13" ht="15" customHeight="1" x14ac:dyDescent="0.2">
      <c r="A5" s="63"/>
      <c r="B5" s="63"/>
      <c r="C5" s="63"/>
      <c r="D5" s="50"/>
      <c r="E5" s="63"/>
      <c r="F5" s="63"/>
      <c r="G5" s="50"/>
      <c r="H5" s="63"/>
      <c r="I5" s="55" t="str">
        <f t="shared" si="0"/>
        <v/>
      </c>
      <c r="J5" s="86" t="str">
        <f t="shared" ca="1" si="1"/>
        <v/>
      </c>
      <c r="K5" s="66" t="str">
        <f t="shared" si="2"/>
        <v/>
      </c>
      <c r="L5" s="63"/>
    </row>
    <row r="6" spans="1:13" ht="15" customHeight="1" x14ac:dyDescent="0.2">
      <c r="A6" s="63"/>
      <c r="B6" s="63"/>
      <c r="C6" s="63"/>
      <c r="D6" s="50"/>
      <c r="E6" s="63"/>
      <c r="F6" s="63"/>
      <c r="G6" s="50"/>
      <c r="H6" s="63"/>
      <c r="I6" s="55" t="str">
        <f t="shared" si="0"/>
        <v/>
      </c>
      <c r="J6" s="86" t="str">
        <f t="shared" ca="1" si="1"/>
        <v/>
      </c>
      <c r="K6" s="66" t="str">
        <f t="shared" si="2"/>
        <v/>
      </c>
      <c r="L6" s="63"/>
    </row>
    <row r="7" spans="1:13" ht="15" customHeight="1" x14ac:dyDescent="0.2">
      <c r="A7" s="63"/>
      <c r="B7" s="63"/>
      <c r="C7" s="63"/>
      <c r="D7" s="50"/>
      <c r="E7" s="63"/>
      <c r="F7" s="63"/>
      <c r="G7" s="50"/>
      <c r="H7" s="63"/>
      <c r="I7" s="55" t="str">
        <f t="shared" si="0"/>
        <v/>
      </c>
      <c r="J7" s="86" t="str">
        <f t="shared" ca="1" si="1"/>
        <v/>
      </c>
      <c r="K7" s="66" t="str">
        <f t="shared" si="2"/>
        <v/>
      </c>
      <c r="L7" s="63"/>
    </row>
    <row r="8" spans="1:13" ht="15" customHeight="1" x14ac:dyDescent="0.2">
      <c r="A8" s="63"/>
      <c r="B8" s="63"/>
      <c r="C8" s="63"/>
      <c r="D8" s="50"/>
      <c r="E8" s="63"/>
      <c r="F8" s="63"/>
      <c r="G8" s="50"/>
      <c r="H8" s="63"/>
      <c r="I8" s="55" t="str">
        <f t="shared" si="0"/>
        <v/>
      </c>
      <c r="J8" s="86" t="str">
        <f t="shared" ca="1" si="1"/>
        <v/>
      </c>
      <c r="K8" s="66" t="str">
        <f t="shared" si="2"/>
        <v/>
      </c>
      <c r="L8" s="63"/>
    </row>
    <row r="9" spans="1:13" ht="15" customHeight="1" x14ac:dyDescent="0.2">
      <c r="A9" s="63"/>
      <c r="B9" s="63"/>
      <c r="C9" s="63"/>
      <c r="D9" s="50"/>
      <c r="E9" s="63"/>
      <c r="F9" s="63"/>
      <c r="G9" s="50"/>
      <c r="H9" s="63"/>
      <c r="I9" s="55" t="str">
        <f t="shared" si="0"/>
        <v/>
      </c>
      <c r="J9" s="86" t="str">
        <f t="shared" ca="1" si="1"/>
        <v/>
      </c>
      <c r="K9" s="66" t="str">
        <f t="shared" si="2"/>
        <v/>
      </c>
      <c r="L9" s="63"/>
    </row>
    <row r="10" spans="1:13" ht="15" customHeight="1" x14ac:dyDescent="0.2">
      <c r="A10" s="63"/>
      <c r="B10" s="63"/>
      <c r="C10" s="63"/>
      <c r="D10" s="50"/>
      <c r="E10" s="63"/>
      <c r="F10" s="63"/>
      <c r="G10" s="50"/>
      <c r="H10" s="63"/>
      <c r="I10" s="55" t="str">
        <f t="shared" si="0"/>
        <v/>
      </c>
      <c r="J10" s="86" t="str">
        <f t="shared" ca="1" si="1"/>
        <v/>
      </c>
      <c r="K10" s="66" t="str">
        <f t="shared" si="2"/>
        <v/>
      </c>
      <c r="L10" s="63"/>
    </row>
    <row r="11" spans="1:13" ht="15" customHeight="1" x14ac:dyDescent="0.2">
      <c r="A11" s="63"/>
      <c r="B11" s="63"/>
      <c r="C11" s="63"/>
      <c r="D11" s="50"/>
      <c r="E11" s="63"/>
      <c r="F11" s="63"/>
      <c r="G11" s="50"/>
      <c r="H11" s="63"/>
      <c r="I11" s="55" t="str">
        <f t="shared" si="0"/>
        <v/>
      </c>
      <c r="J11" s="86" t="str">
        <f t="shared" ca="1" si="1"/>
        <v/>
      </c>
      <c r="K11" s="66" t="str">
        <f t="shared" si="2"/>
        <v/>
      </c>
      <c r="L11" s="63"/>
    </row>
    <row r="12" spans="1:13" ht="15" customHeight="1" x14ac:dyDescent="0.2">
      <c r="A12" s="63"/>
      <c r="B12" s="63"/>
      <c r="C12" s="63"/>
      <c r="D12" s="50"/>
      <c r="E12" s="63"/>
      <c r="F12" s="63"/>
      <c r="G12" s="50"/>
      <c r="H12" s="63"/>
      <c r="I12" s="55" t="str">
        <f t="shared" si="0"/>
        <v/>
      </c>
      <c r="J12" s="86" t="str">
        <f t="shared" ca="1" si="1"/>
        <v/>
      </c>
      <c r="K12" s="66" t="str">
        <f t="shared" si="2"/>
        <v/>
      </c>
      <c r="L12" s="63"/>
    </row>
    <row r="13" spans="1:13" ht="15" customHeight="1" x14ac:dyDescent="0.2">
      <c r="A13" s="63"/>
      <c r="B13" s="63"/>
      <c r="C13" s="63"/>
      <c r="D13" s="50"/>
      <c r="E13" s="63"/>
      <c r="F13" s="63"/>
      <c r="G13" s="50"/>
      <c r="H13" s="63"/>
      <c r="I13" s="55" t="str">
        <f t="shared" si="0"/>
        <v/>
      </c>
      <c r="J13" s="86" t="str">
        <f t="shared" ca="1" si="1"/>
        <v/>
      </c>
      <c r="K13" s="66" t="str">
        <f t="shared" si="2"/>
        <v/>
      </c>
      <c r="L13" s="63"/>
    </row>
    <row r="14" spans="1:13" ht="15" customHeight="1" x14ac:dyDescent="0.2">
      <c r="A14" s="63"/>
      <c r="B14" s="63"/>
      <c r="C14" s="63"/>
      <c r="D14" s="50"/>
      <c r="E14" s="63"/>
      <c r="F14" s="63"/>
      <c r="G14" s="50"/>
      <c r="H14" s="63"/>
      <c r="I14" s="55" t="str">
        <f t="shared" si="0"/>
        <v/>
      </c>
      <c r="J14" s="86" t="str">
        <f t="shared" ca="1" si="1"/>
        <v/>
      </c>
      <c r="K14" s="66" t="str">
        <f t="shared" si="2"/>
        <v/>
      </c>
      <c r="L14" s="63"/>
    </row>
    <row r="15" spans="1:13" ht="15" customHeight="1" x14ac:dyDescent="0.2">
      <c r="A15" s="63"/>
      <c r="B15" s="63"/>
      <c r="C15" s="63"/>
      <c r="D15" s="50"/>
      <c r="E15" s="63"/>
      <c r="F15" s="63"/>
      <c r="G15" s="50"/>
      <c r="H15" s="63"/>
      <c r="I15" s="55" t="str">
        <f t="shared" si="0"/>
        <v/>
      </c>
      <c r="J15" s="86" t="str">
        <f t="shared" ca="1" si="1"/>
        <v/>
      </c>
      <c r="K15" s="66" t="str">
        <f t="shared" si="2"/>
        <v/>
      </c>
      <c r="L15" s="63"/>
    </row>
    <row r="16" spans="1:13" ht="15" customHeight="1" x14ac:dyDescent="0.2">
      <c r="A16" s="63"/>
      <c r="B16" s="63"/>
      <c r="C16" s="63"/>
      <c r="D16" s="50"/>
      <c r="E16" s="63"/>
      <c r="F16" s="63"/>
      <c r="G16" s="50"/>
      <c r="H16" s="63"/>
      <c r="I16" s="55" t="str">
        <f t="shared" si="0"/>
        <v/>
      </c>
      <c r="J16" s="86" t="str">
        <f t="shared" ca="1" si="1"/>
        <v/>
      </c>
      <c r="K16" s="66" t="str">
        <f t="shared" si="2"/>
        <v/>
      </c>
      <c r="L16" s="63"/>
    </row>
    <row r="17" spans="1:12" ht="15" customHeight="1" x14ac:dyDescent="0.2">
      <c r="A17" s="63"/>
      <c r="B17" s="63"/>
      <c r="C17" s="63"/>
      <c r="D17" s="50"/>
      <c r="E17" s="63"/>
      <c r="F17" s="63"/>
      <c r="G17" s="50"/>
      <c r="H17" s="63"/>
      <c r="I17" s="55" t="str">
        <f t="shared" si="0"/>
        <v/>
      </c>
      <c r="J17" s="86" t="str">
        <f t="shared" ca="1" si="1"/>
        <v/>
      </c>
      <c r="K17" s="66" t="str">
        <f t="shared" si="2"/>
        <v/>
      </c>
      <c r="L17" s="63"/>
    </row>
    <row r="18" spans="1:12" ht="15" customHeight="1" x14ac:dyDescent="0.2">
      <c r="A18" s="63"/>
      <c r="B18" s="63"/>
      <c r="C18" s="63"/>
      <c r="D18" s="50"/>
      <c r="E18" s="63"/>
      <c r="F18" s="63"/>
      <c r="G18" s="50"/>
      <c r="H18" s="63"/>
      <c r="I18" s="55" t="str">
        <f t="shared" si="0"/>
        <v/>
      </c>
      <c r="J18" s="86" t="str">
        <f t="shared" ca="1" si="1"/>
        <v/>
      </c>
      <c r="K18" s="66" t="str">
        <f t="shared" si="2"/>
        <v/>
      </c>
      <c r="L18" s="63"/>
    </row>
    <row r="19" spans="1:12" ht="15" customHeight="1" x14ac:dyDescent="0.2">
      <c r="A19" s="63"/>
      <c r="B19" s="63"/>
      <c r="C19" s="63"/>
      <c r="D19" s="50"/>
      <c r="E19" s="63"/>
      <c r="F19" s="63"/>
      <c r="G19" s="50"/>
      <c r="H19" s="63"/>
      <c r="I19" s="55" t="str">
        <f t="shared" si="0"/>
        <v/>
      </c>
      <c r="J19" s="86" t="str">
        <f t="shared" ca="1" si="1"/>
        <v/>
      </c>
      <c r="K19" s="66" t="str">
        <f t="shared" si="2"/>
        <v/>
      </c>
      <c r="L19" s="63"/>
    </row>
    <row r="20" spans="1:12" ht="15" customHeight="1" x14ac:dyDescent="0.2">
      <c r="A20" s="63"/>
      <c r="B20" s="63"/>
      <c r="C20" s="63"/>
      <c r="D20" s="50"/>
      <c r="E20" s="63"/>
      <c r="F20" s="63"/>
      <c r="G20" s="50"/>
      <c r="H20" s="63"/>
      <c r="I20" s="55" t="str">
        <f t="shared" si="0"/>
        <v/>
      </c>
      <c r="J20" s="86" t="str">
        <f t="shared" ca="1" si="1"/>
        <v/>
      </c>
      <c r="K20" s="66" t="str">
        <f t="shared" si="2"/>
        <v/>
      </c>
      <c r="L20" s="63"/>
    </row>
    <row r="21" spans="1:12" ht="15" customHeight="1" x14ac:dyDescent="0.2">
      <c r="A21" s="63"/>
      <c r="B21" s="63"/>
      <c r="C21" s="63"/>
      <c r="D21" s="50"/>
      <c r="E21" s="63"/>
      <c r="F21" s="63"/>
      <c r="G21" s="50"/>
      <c r="H21" s="63"/>
      <c r="I21" s="55" t="str">
        <f t="shared" si="0"/>
        <v/>
      </c>
      <c r="J21" s="86" t="str">
        <f t="shared" ca="1" si="1"/>
        <v/>
      </c>
      <c r="K21" s="66" t="str">
        <f t="shared" si="2"/>
        <v/>
      </c>
      <c r="L21" s="63"/>
    </row>
    <row r="22" spans="1:12" ht="15" customHeight="1" x14ac:dyDescent="0.2">
      <c r="A22" s="63"/>
      <c r="B22" s="63"/>
      <c r="C22" s="63"/>
      <c r="D22" s="50"/>
      <c r="E22" s="63"/>
      <c r="F22" s="63"/>
      <c r="G22" s="50"/>
      <c r="H22" s="63"/>
      <c r="I22" s="55" t="str">
        <f t="shared" si="0"/>
        <v/>
      </c>
      <c r="J22" s="86" t="str">
        <f t="shared" ca="1" si="1"/>
        <v/>
      </c>
      <c r="K22" s="66" t="str">
        <f t="shared" si="2"/>
        <v/>
      </c>
      <c r="L22" s="63"/>
    </row>
  </sheetData>
  <mergeCells count="1">
    <mergeCell ref="A1:M1"/>
  </mergeCells>
  <conditionalFormatting sqref="K3:K22">
    <cfRule type="expression" dxfId="23" priority="2">
      <formula>ISNUMBER(SEARCH("RECOVERED",K3))</formula>
    </cfRule>
    <cfRule type="expression" dxfId="22" priority="3">
      <formula>ISNUMBER(SEARCH("ON TRACK",K3))</formula>
    </cfRule>
    <cfRule type="expression" dxfId="21" priority="4">
      <formula>ISNUMBER(SEARCH("DEADLINE APPROACHING",K3))</formula>
    </cfRule>
    <cfRule type="expression" dxfId="20"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
  <sheetViews>
    <sheetView showGridLines="0" zoomScaleNormal="100" workbookViewId="0">
      <pane xSplit="3" ySplit="3" topLeftCell="D4" activePane="bottomRight" state="frozen"/>
      <selection pane="topRight" activeCell="D1" sqref="D1"/>
      <selection pane="bottomLeft" activeCell="A4" sqref="A4"/>
      <selection pane="bottomRight"/>
    </sheetView>
  </sheetViews>
  <sheetFormatPr baseColWidth="10" defaultColWidth="8.6640625" defaultRowHeight="15" x14ac:dyDescent="0.2"/>
  <cols>
    <col min="1" max="1" width="8" customWidth="1"/>
    <col min="2" max="2" width="14" customWidth="1"/>
    <col min="3" max="21" width="9.5" customWidth="1"/>
  </cols>
  <sheetData>
    <row r="1" spans="1:21" ht="25.5" customHeight="1" x14ac:dyDescent="0.2">
      <c r="A1" s="2" t="s">
        <v>392</v>
      </c>
      <c r="B1" s="2"/>
      <c r="C1" s="2"/>
      <c r="D1" s="2"/>
      <c r="E1" s="2"/>
      <c r="F1" s="2"/>
      <c r="G1" s="2"/>
      <c r="H1" s="2"/>
      <c r="I1" s="2"/>
      <c r="J1" s="2"/>
      <c r="K1" s="2"/>
      <c r="L1" s="2"/>
      <c r="M1" s="2"/>
      <c r="N1" s="2"/>
      <c r="O1" s="2"/>
      <c r="P1" s="2"/>
      <c r="Q1" s="2"/>
      <c r="R1" s="2"/>
      <c r="S1" s="2"/>
      <c r="T1" s="2"/>
    </row>
    <row r="2" spans="1:21" ht="15.75" customHeight="1" x14ac:dyDescent="0.2">
      <c r="D2" s="92" t="s">
        <v>393</v>
      </c>
      <c r="E2" s="92"/>
      <c r="F2" s="92"/>
      <c r="G2" s="92"/>
      <c r="H2" s="92"/>
      <c r="I2" s="93" t="s">
        <v>394</v>
      </c>
      <c r="J2" s="93"/>
      <c r="K2" s="93"/>
      <c r="L2" s="93"/>
      <c r="M2" s="93"/>
      <c r="N2" s="97" t="s">
        <v>395</v>
      </c>
      <c r="O2" s="97"/>
      <c r="P2" s="97"/>
      <c r="Q2" s="97"/>
      <c r="R2" s="97"/>
      <c r="S2" s="98" t="s">
        <v>396</v>
      </c>
      <c r="T2" s="98"/>
      <c r="U2" s="98"/>
    </row>
    <row r="3" spans="1:21" ht="30" customHeight="1" x14ac:dyDescent="0.2">
      <c r="A3" s="22" t="s">
        <v>71</v>
      </c>
      <c r="B3" s="22" t="s">
        <v>182</v>
      </c>
      <c r="C3" s="22" t="s">
        <v>397</v>
      </c>
      <c r="D3" s="22" t="s">
        <v>398</v>
      </c>
      <c r="E3" s="22" t="s">
        <v>399</v>
      </c>
      <c r="F3" s="22" t="s">
        <v>400</v>
      </c>
      <c r="G3" s="22" t="s">
        <v>401</v>
      </c>
      <c r="H3" s="22" t="s">
        <v>402</v>
      </c>
      <c r="I3" s="22" t="s">
        <v>398</v>
      </c>
      <c r="J3" s="22" t="s">
        <v>399</v>
      </c>
      <c r="K3" s="22" t="s">
        <v>400</v>
      </c>
      <c r="L3" s="22" t="s">
        <v>401</v>
      </c>
      <c r="M3" s="22" t="s">
        <v>402</v>
      </c>
      <c r="N3" s="22" t="s">
        <v>398</v>
      </c>
      <c r="O3" s="22" t="s">
        <v>399</v>
      </c>
      <c r="P3" s="22" t="s">
        <v>400</v>
      </c>
      <c r="Q3" s="22" t="s">
        <v>401</v>
      </c>
      <c r="R3" s="22" t="s">
        <v>402</v>
      </c>
      <c r="S3" s="22" t="s">
        <v>403</v>
      </c>
      <c r="T3" s="22" t="s">
        <v>404</v>
      </c>
      <c r="U3" s="22" t="s">
        <v>405</v>
      </c>
    </row>
    <row r="4" spans="1:21" ht="15" customHeight="1" x14ac:dyDescent="0.2">
      <c r="A4" s="26"/>
      <c r="B4" s="26"/>
      <c r="C4" s="44"/>
      <c r="D4" s="44"/>
      <c r="E4" s="68"/>
      <c r="F4" s="44"/>
      <c r="G4" s="45" t="str">
        <f t="shared" ref="G4:G23" si="0">IF(OR(C4="",D4="",E4="",F4=""),"",IFERROR(((D4*E4+F4)/C4)^(1/5)-1,"n/a"))</f>
        <v/>
      </c>
      <c r="H4" s="26"/>
      <c r="I4" s="44"/>
      <c r="J4" s="68"/>
      <c r="K4" s="44"/>
      <c r="L4" s="45" t="str">
        <f t="shared" ref="L4:L23" si="1">IF(OR(C4="",I4="",J4="",K4=""),"",IFERROR(((I4*J4+K4)/C4)^(1/5)-1,"n/a"))</f>
        <v/>
      </c>
      <c r="M4" s="26"/>
      <c r="N4" s="44"/>
      <c r="O4" s="68"/>
      <c r="P4" s="44"/>
      <c r="Q4" s="45" t="str">
        <f t="shared" ref="Q4:Q23" si="2">IF(OR(C4="",N4="",O4="",P4=""),"",IFERROR(((N4*O4+P4)/C4)^(1/5)-1,"n/a"))</f>
        <v/>
      </c>
      <c r="R4" s="26"/>
      <c r="S4" s="48" t="str">
        <f t="shared" ref="S4:S23" si="3">IF(G4="","",IF(G4&gt;0.1,"PASS","FAIL"))</f>
        <v/>
      </c>
      <c r="T4" s="48" t="str">
        <f t="shared" ref="T4:T23" si="4">IF(L4="","",IF(L4&gt;=0,"PASS","FAIL"))</f>
        <v/>
      </c>
      <c r="U4" s="48" t="str">
        <f t="shared" ref="U4:U23" si="5">IF(COUNTA(H4,M4,R4)=0,"",IF((COUNTIF(H4,"Likely")+COUNTIF(M4,"Likely")+COUNTIF(R4,"Likely"))=1,"OK","CHECK TAGS"))</f>
        <v/>
      </c>
    </row>
    <row r="5" spans="1:21" ht="15" customHeight="1" x14ac:dyDescent="0.2">
      <c r="A5" s="26"/>
      <c r="B5" s="26"/>
      <c r="C5" s="44"/>
      <c r="D5" s="44"/>
      <c r="E5" s="68"/>
      <c r="F5" s="44"/>
      <c r="G5" s="45" t="str">
        <f t="shared" si="0"/>
        <v/>
      </c>
      <c r="H5" s="26"/>
      <c r="I5" s="44"/>
      <c r="J5" s="68"/>
      <c r="K5" s="44"/>
      <c r="L5" s="45" t="str">
        <f t="shared" si="1"/>
        <v/>
      </c>
      <c r="M5" s="26"/>
      <c r="N5" s="44"/>
      <c r="O5" s="68"/>
      <c r="P5" s="44"/>
      <c r="Q5" s="45" t="str">
        <f t="shared" si="2"/>
        <v/>
      </c>
      <c r="R5" s="26"/>
      <c r="S5" s="48" t="str">
        <f t="shared" si="3"/>
        <v/>
      </c>
      <c r="T5" s="48" t="str">
        <f t="shared" si="4"/>
        <v/>
      </c>
      <c r="U5" s="48" t="str">
        <f t="shared" si="5"/>
        <v/>
      </c>
    </row>
    <row r="6" spans="1:21" ht="15" customHeight="1" x14ac:dyDescent="0.2">
      <c r="A6" s="26"/>
      <c r="B6" s="26"/>
      <c r="C6" s="44"/>
      <c r="D6" s="44"/>
      <c r="E6" s="68"/>
      <c r="F6" s="44"/>
      <c r="G6" s="45" t="str">
        <f t="shared" si="0"/>
        <v/>
      </c>
      <c r="H6" s="26"/>
      <c r="I6" s="44"/>
      <c r="J6" s="68"/>
      <c r="K6" s="44"/>
      <c r="L6" s="45" t="str">
        <f t="shared" si="1"/>
        <v/>
      </c>
      <c r="M6" s="26"/>
      <c r="N6" s="44"/>
      <c r="O6" s="68"/>
      <c r="P6" s="44"/>
      <c r="Q6" s="45" t="str">
        <f t="shared" si="2"/>
        <v/>
      </c>
      <c r="R6" s="26"/>
      <c r="S6" s="48" t="str">
        <f t="shared" si="3"/>
        <v/>
      </c>
      <c r="T6" s="48" t="str">
        <f t="shared" si="4"/>
        <v/>
      </c>
      <c r="U6" s="48" t="str">
        <f t="shared" si="5"/>
        <v/>
      </c>
    </row>
    <row r="7" spans="1:21" ht="15" customHeight="1" x14ac:dyDescent="0.2">
      <c r="A7" s="26"/>
      <c r="B7" s="26"/>
      <c r="C7" s="44"/>
      <c r="D7" s="44"/>
      <c r="E7" s="68"/>
      <c r="F7" s="44"/>
      <c r="G7" s="45" t="str">
        <f t="shared" si="0"/>
        <v/>
      </c>
      <c r="H7" s="26"/>
      <c r="I7" s="44"/>
      <c r="J7" s="68"/>
      <c r="K7" s="44"/>
      <c r="L7" s="45" t="str">
        <f t="shared" si="1"/>
        <v/>
      </c>
      <c r="M7" s="26"/>
      <c r="N7" s="44"/>
      <c r="O7" s="68"/>
      <c r="P7" s="44"/>
      <c r="Q7" s="45" t="str">
        <f t="shared" si="2"/>
        <v/>
      </c>
      <c r="R7" s="26"/>
      <c r="S7" s="48" t="str">
        <f t="shared" si="3"/>
        <v/>
      </c>
      <c r="T7" s="48" t="str">
        <f t="shared" si="4"/>
        <v/>
      </c>
      <c r="U7" s="48" t="str">
        <f t="shared" si="5"/>
        <v/>
      </c>
    </row>
    <row r="8" spans="1:21" ht="15" customHeight="1" x14ac:dyDescent="0.2">
      <c r="A8" s="26"/>
      <c r="B8" s="26"/>
      <c r="C8" s="44"/>
      <c r="D8" s="44"/>
      <c r="E8" s="68"/>
      <c r="F8" s="44"/>
      <c r="G8" s="45" t="str">
        <f t="shared" si="0"/>
        <v/>
      </c>
      <c r="H8" s="26"/>
      <c r="I8" s="44"/>
      <c r="J8" s="68"/>
      <c r="K8" s="44"/>
      <c r="L8" s="45" t="str">
        <f t="shared" si="1"/>
        <v/>
      </c>
      <c r="M8" s="26"/>
      <c r="N8" s="44"/>
      <c r="O8" s="68"/>
      <c r="P8" s="44"/>
      <c r="Q8" s="45" t="str">
        <f t="shared" si="2"/>
        <v/>
      </c>
      <c r="R8" s="26"/>
      <c r="S8" s="48" t="str">
        <f t="shared" si="3"/>
        <v/>
      </c>
      <c r="T8" s="48" t="str">
        <f t="shared" si="4"/>
        <v/>
      </c>
      <c r="U8" s="48" t="str">
        <f t="shared" si="5"/>
        <v/>
      </c>
    </row>
    <row r="9" spans="1:21" ht="15" customHeight="1" x14ac:dyDescent="0.2">
      <c r="A9" s="26"/>
      <c r="B9" s="26"/>
      <c r="C9" s="44"/>
      <c r="D9" s="44"/>
      <c r="E9" s="68"/>
      <c r="F9" s="44"/>
      <c r="G9" s="45" t="str">
        <f t="shared" si="0"/>
        <v/>
      </c>
      <c r="H9" s="26"/>
      <c r="I9" s="44"/>
      <c r="J9" s="68"/>
      <c r="K9" s="44"/>
      <c r="L9" s="45" t="str">
        <f t="shared" si="1"/>
        <v/>
      </c>
      <c r="M9" s="26"/>
      <c r="N9" s="44"/>
      <c r="O9" s="68"/>
      <c r="P9" s="44"/>
      <c r="Q9" s="45" t="str">
        <f t="shared" si="2"/>
        <v/>
      </c>
      <c r="R9" s="26"/>
      <c r="S9" s="48" t="str">
        <f t="shared" si="3"/>
        <v/>
      </c>
      <c r="T9" s="48" t="str">
        <f t="shared" si="4"/>
        <v/>
      </c>
      <c r="U9" s="48" t="str">
        <f t="shared" si="5"/>
        <v/>
      </c>
    </row>
    <row r="10" spans="1:21" ht="15" customHeight="1" x14ac:dyDescent="0.2">
      <c r="A10" s="26"/>
      <c r="B10" s="26"/>
      <c r="C10" s="44"/>
      <c r="D10" s="44"/>
      <c r="E10" s="68"/>
      <c r="F10" s="44"/>
      <c r="G10" s="45" t="str">
        <f t="shared" si="0"/>
        <v/>
      </c>
      <c r="H10" s="26"/>
      <c r="I10" s="44"/>
      <c r="J10" s="68"/>
      <c r="K10" s="44"/>
      <c r="L10" s="45" t="str">
        <f t="shared" si="1"/>
        <v/>
      </c>
      <c r="M10" s="26"/>
      <c r="N10" s="44"/>
      <c r="O10" s="68"/>
      <c r="P10" s="44"/>
      <c r="Q10" s="45" t="str">
        <f t="shared" si="2"/>
        <v/>
      </c>
      <c r="R10" s="26"/>
      <c r="S10" s="48" t="str">
        <f t="shared" si="3"/>
        <v/>
      </c>
      <c r="T10" s="48" t="str">
        <f t="shared" si="4"/>
        <v/>
      </c>
      <c r="U10" s="48" t="str">
        <f t="shared" si="5"/>
        <v/>
      </c>
    </row>
    <row r="11" spans="1:21" ht="15" customHeight="1" x14ac:dyDescent="0.2">
      <c r="A11" s="26"/>
      <c r="B11" s="26"/>
      <c r="C11" s="44"/>
      <c r="D11" s="44"/>
      <c r="E11" s="68"/>
      <c r="F11" s="44"/>
      <c r="G11" s="45" t="str">
        <f t="shared" si="0"/>
        <v/>
      </c>
      <c r="H11" s="26"/>
      <c r="I11" s="44"/>
      <c r="J11" s="68"/>
      <c r="K11" s="44"/>
      <c r="L11" s="45" t="str">
        <f t="shared" si="1"/>
        <v/>
      </c>
      <c r="M11" s="26"/>
      <c r="N11" s="44"/>
      <c r="O11" s="68"/>
      <c r="P11" s="44"/>
      <c r="Q11" s="45" t="str">
        <f t="shared" si="2"/>
        <v/>
      </c>
      <c r="R11" s="26"/>
      <c r="S11" s="48" t="str">
        <f t="shared" si="3"/>
        <v/>
      </c>
      <c r="T11" s="48" t="str">
        <f t="shared" si="4"/>
        <v/>
      </c>
      <c r="U11" s="48" t="str">
        <f t="shared" si="5"/>
        <v/>
      </c>
    </row>
    <row r="12" spans="1:21" ht="15" customHeight="1" x14ac:dyDescent="0.2">
      <c r="A12" s="26"/>
      <c r="B12" s="26"/>
      <c r="C12" s="44"/>
      <c r="D12" s="44"/>
      <c r="E12" s="68"/>
      <c r="F12" s="44"/>
      <c r="G12" s="45" t="str">
        <f t="shared" si="0"/>
        <v/>
      </c>
      <c r="H12" s="26"/>
      <c r="I12" s="44"/>
      <c r="J12" s="68"/>
      <c r="K12" s="44"/>
      <c r="L12" s="45" t="str">
        <f t="shared" si="1"/>
        <v/>
      </c>
      <c r="M12" s="26"/>
      <c r="N12" s="44"/>
      <c r="O12" s="68"/>
      <c r="P12" s="44"/>
      <c r="Q12" s="45" t="str">
        <f t="shared" si="2"/>
        <v/>
      </c>
      <c r="R12" s="26"/>
      <c r="S12" s="48" t="str">
        <f t="shared" si="3"/>
        <v/>
      </c>
      <c r="T12" s="48" t="str">
        <f t="shared" si="4"/>
        <v/>
      </c>
      <c r="U12" s="48" t="str">
        <f t="shared" si="5"/>
        <v/>
      </c>
    </row>
    <row r="13" spans="1:21" ht="15" customHeight="1" x14ac:dyDescent="0.2">
      <c r="A13" s="26"/>
      <c r="B13" s="26"/>
      <c r="C13" s="44"/>
      <c r="D13" s="44"/>
      <c r="E13" s="68"/>
      <c r="F13" s="44"/>
      <c r="G13" s="45" t="str">
        <f t="shared" si="0"/>
        <v/>
      </c>
      <c r="H13" s="26"/>
      <c r="I13" s="44"/>
      <c r="J13" s="68"/>
      <c r="K13" s="44"/>
      <c r="L13" s="45" t="str">
        <f t="shared" si="1"/>
        <v/>
      </c>
      <c r="M13" s="26"/>
      <c r="N13" s="44"/>
      <c r="O13" s="68"/>
      <c r="P13" s="44"/>
      <c r="Q13" s="45" t="str">
        <f t="shared" si="2"/>
        <v/>
      </c>
      <c r="R13" s="26"/>
      <c r="S13" s="48" t="str">
        <f t="shared" si="3"/>
        <v/>
      </c>
      <c r="T13" s="48" t="str">
        <f t="shared" si="4"/>
        <v/>
      </c>
      <c r="U13" s="48" t="str">
        <f t="shared" si="5"/>
        <v/>
      </c>
    </row>
    <row r="14" spans="1:21" ht="15" customHeight="1" x14ac:dyDescent="0.2">
      <c r="A14" s="26"/>
      <c r="B14" s="26"/>
      <c r="C14" s="44"/>
      <c r="D14" s="44"/>
      <c r="E14" s="68"/>
      <c r="F14" s="44"/>
      <c r="G14" s="45" t="str">
        <f t="shared" si="0"/>
        <v/>
      </c>
      <c r="H14" s="26"/>
      <c r="I14" s="44"/>
      <c r="J14" s="68"/>
      <c r="K14" s="44"/>
      <c r="L14" s="45" t="str">
        <f t="shared" si="1"/>
        <v/>
      </c>
      <c r="M14" s="26"/>
      <c r="N14" s="44"/>
      <c r="O14" s="68"/>
      <c r="P14" s="44"/>
      <c r="Q14" s="45" t="str">
        <f t="shared" si="2"/>
        <v/>
      </c>
      <c r="R14" s="26"/>
      <c r="S14" s="48" t="str">
        <f t="shared" si="3"/>
        <v/>
      </c>
      <c r="T14" s="48" t="str">
        <f t="shared" si="4"/>
        <v/>
      </c>
      <c r="U14" s="48" t="str">
        <f t="shared" si="5"/>
        <v/>
      </c>
    </row>
    <row r="15" spans="1:21" ht="15" customHeight="1" x14ac:dyDescent="0.2">
      <c r="A15" s="26"/>
      <c r="B15" s="26"/>
      <c r="C15" s="44"/>
      <c r="D15" s="44"/>
      <c r="E15" s="68"/>
      <c r="F15" s="44"/>
      <c r="G15" s="45" t="str">
        <f t="shared" si="0"/>
        <v/>
      </c>
      <c r="H15" s="26"/>
      <c r="I15" s="44"/>
      <c r="J15" s="68"/>
      <c r="K15" s="44"/>
      <c r="L15" s="45" t="str">
        <f t="shared" si="1"/>
        <v/>
      </c>
      <c r="M15" s="26"/>
      <c r="N15" s="44"/>
      <c r="O15" s="68"/>
      <c r="P15" s="44"/>
      <c r="Q15" s="45" t="str">
        <f t="shared" si="2"/>
        <v/>
      </c>
      <c r="R15" s="26"/>
      <c r="S15" s="48" t="str">
        <f t="shared" si="3"/>
        <v/>
      </c>
      <c r="T15" s="48" t="str">
        <f t="shared" si="4"/>
        <v/>
      </c>
      <c r="U15" s="48" t="str">
        <f t="shared" si="5"/>
        <v/>
      </c>
    </row>
    <row r="16" spans="1:21" ht="15" customHeight="1" x14ac:dyDescent="0.2">
      <c r="A16" s="26"/>
      <c r="B16" s="26"/>
      <c r="C16" s="44"/>
      <c r="D16" s="44"/>
      <c r="E16" s="68"/>
      <c r="F16" s="44"/>
      <c r="G16" s="45" t="str">
        <f t="shared" si="0"/>
        <v/>
      </c>
      <c r="H16" s="26"/>
      <c r="I16" s="44"/>
      <c r="J16" s="68"/>
      <c r="K16" s="44"/>
      <c r="L16" s="45" t="str">
        <f t="shared" si="1"/>
        <v/>
      </c>
      <c r="M16" s="26"/>
      <c r="N16" s="44"/>
      <c r="O16" s="68"/>
      <c r="P16" s="44"/>
      <c r="Q16" s="45" t="str">
        <f t="shared" si="2"/>
        <v/>
      </c>
      <c r="R16" s="26"/>
      <c r="S16" s="48" t="str">
        <f t="shared" si="3"/>
        <v/>
      </c>
      <c r="T16" s="48" t="str">
        <f t="shared" si="4"/>
        <v/>
      </c>
      <c r="U16" s="48" t="str">
        <f t="shared" si="5"/>
        <v/>
      </c>
    </row>
    <row r="17" spans="1:21" ht="15" customHeight="1" x14ac:dyDescent="0.2">
      <c r="A17" s="26"/>
      <c r="B17" s="26"/>
      <c r="C17" s="44"/>
      <c r="D17" s="44"/>
      <c r="E17" s="68"/>
      <c r="F17" s="44"/>
      <c r="G17" s="45" t="str">
        <f t="shared" si="0"/>
        <v/>
      </c>
      <c r="H17" s="26"/>
      <c r="I17" s="44"/>
      <c r="J17" s="68"/>
      <c r="K17" s="44"/>
      <c r="L17" s="45" t="str">
        <f t="shared" si="1"/>
        <v/>
      </c>
      <c r="M17" s="26"/>
      <c r="N17" s="44"/>
      <c r="O17" s="68"/>
      <c r="P17" s="44"/>
      <c r="Q17" s="45" t="str">
        <f t="shared" si="2"/>
        <v/>
      </c>
      <c r="R17" s="26"/>
      <c r="S17" s="48" t="str">
        <f t="shared" si="3"/>
        <v/>
      </c>
      <c r="T17" s="48" t="str">
        <f t="shared" si="4"/>
        <v/>
      </c>
      <c r="U17" s="48" t="str">
        <f t="shared" si="5"/>
        <v/>
      </c>
    </row>
    <row r="18" spans="1:21" ht="15" customHeight="1" x14ac:dyDescent="0.2">
      <c r="A18" s="26"/>
      <c r="B18" s="26"/>
      <c r="C18" s="44"/>
      <c r="D18" s="44"/>
      <c r="E18" s="68"/>
      <c r="F18" s="44"/>
      <c r="G18" s="45" t="str">
        <f t="shared" si="0"/>
        <v/>
      </c>
      <c r="H18" s="26"/>
      <c r="I18" s="44"/>
      <c r="J18" s="68"/>
      <c r="K18" s="44"/>
      <c r="L18" s="45" t="str">
        <f t="shared" si="1"/>
        <v/>
      </c>
      <c r="M18" s="26"/>
      <c r="N18" s="44"/>
      <c r="O18" s="68"/>
      <c r="P18" s="44"/>
      <c r="Q18" s="45" t="str">
        <f t="shared" si="2"/>
        <v/>
      </c>
      <c r="R18" s="26"/>
      <c r="S18" s="48" t="str">
        <f t="shared" si="3"/>
        <v/>
      </c>
      <c r="T18" s="48" t="str">
        <f t="shared" si="4"/>
        <v/>
      </c>
      <c r="U18" s="48" t="str">
        <f t="shared" si="5"/>
        <v/>
      </c>
    </row>
    <row r="19" spans="1:21" ht="15" customHeight="1" x14ac:dyDescent="0.2">
      <c r="A19" s="26"/>
      <c r="B19" s="26"/>
      <c r="C19" s="44"/>
      <c r="D19" s="44"/>
      <c r="E19" s="68"/>
      <c r="F19" s="44"/>
      <c r="G19" s="45" t="str">
        <f t="shared" si="0"/>
        <v/>
      </c>
      <c r="H19" s="26"/>
      <c r="I19" s="44"/>
      <c r="J19" s="68"/>
      <c r="K19" s="44"/>
      <c r="L19" s="45" t="str">
        <f t="shared" si="1"/>
        <v/>
      </c>
      <c r="M19" s="26"/>
      <c r="N19" s="44"/>
      <c r="O19" s="68"/>
      <c r="P19" s="44"/>
      <c r="Q19" s="45" t="str">
        <f t="shared" si="2"/>
        <v/>
      </c>
      <c r="R19" s="26"/>
      <c r="S19" s="48" t="str">
        <f t="shared" si="3"/>
        <v/>
      </c>
      <c r="T19" s="48" t="str">
        <f t="shared" si="4"/>
        <v/>
      </c>
      <c r="U19" s="48" t="str">
        <f t="shared" si="5"/>
        <v/>
      </c>
    </row>
    <row r="20" spans="1:21" ht="15" customHeight="1" x14ac:dyDescent="0.2">
      <c r="A20" s="26"/>
      <c r="B20" s="26"/>
      <c r="C20" s="44"/>
      <c r="D20" s="44"/>
      <c r="E20" s="68"/>
      <c r="F20" s="44"/>
      <c r="G20" s="45" t="str">
        <f t="shared" si="0"/>
        <v/>
      </c>
      <c r="H20" s="26"/>
      <c r="I20" s="44"/>
      <c r="J20" s="68"/>
      <c r="K20" s="44"/>
      <c r="L20" s="45" t="str">
        <f t="shared" si="1"/>
        <v/>
      </c>
      <c r="M20" s="26"/>
      <c r="N20" s="44"/>
      <c r="O20" s="68"/>
      <c r="P20" s="44"/>
      <c r="Q20" s="45" t="str">
        <f t="shared" si="2"/>
        <v/>
      </c>
      <c r="R20" s="26"/>
      <c r="S20" s="48" t="str">
        <f t="shared" si="3"/>
        <v/>
      </c>
      <c r="T20" s="48" t="str">
        <f t="shared" si="4"/>
        <v/>
      </c>
      <c r="U20" s="48" t="str">
        <f t="shared" si="5"/>
        <v/>
      </c>
    </row>
    <row r="21" spans="1:21" ht="15" customHeight="1" x14ac:dyDescent="0.2">
      <c r="A21" s="26"/>
      <c r="B21" s="26"/>
      <c r="C21" s="44"/>
      <c r="D21" s="44"/>
      <c r="E21" s="68"/>
      <c r="F21" s="44"/>
      <c r="G21" s="45" t="str">
        <f t="shared" si="0"/>
        <v/>
      </c>
      <c r="H21" s="26"/>
      <c r="I21" s="44"/>
      <c r="J21" s="68"/>
      <c r="K21" s="44"/>
      <c r="L21" s="45" t="str">
        <f t="shared" si="1"/>
        <v/>
      </c>
      <c r="M21" s="26"/>
      <c r="N21" s="44"/>
      <c r="O21" s="68"/>
      <c r="P21" s="44"/>
      <c r="Q21" s="45" t="str">
        <f t="shared" si="2"/>
        <v/>
      </c>
      <c r="R21" s="26"/>
      <c r="S21" s="48" t="str">
        <f t="shared" si="3"/>
        <v/>
      </c>
      <c r="T21" s="48" t="str">
        <f t="shared" si="4"/>
        <v/>
      </c>
      <c r="U21" s="48" t="str">
        <f t="shared" si="5"/>
        <v/>
      </c>
    </row>
    <row r="22" spans="1:21" ht="15" customHeight="1" x14ac:dyDescent="0.2">
      <c r="A22" s="26"/>
      <c r="B22" s="26"/>
      <c r="C22" s="44"/>
      <c r="D22" s="44"/>
      <c r="E22" s="68"/>
      <c r="F22" s="44"/>
      <c r="G22" s="45" t="str">
        <f t="shared" si="0"/>
        <v/>
      </c>
      <c r="H22" s="26"/>
      <c r="I22" s="44"/>
      <c r="J22" s="68"/>
      <c r="K22" s="44"/>
      <c r="L22" s="45" t="str">
        <f t="shared" si="1"/>
        <v/>
      </c>
      <c r="M22" s="26"/>
      <c r="N22" s="44"/>
      <c r="O22" s="68"/>
      <c r="P22" s="44"/>
      <c r="Q22" s="45" t="str">
        <f t="shared" si="2"/>
        <v/>
      </c>
      <c r="R22" s="26"/>
      <c r="S22" s="48" t="str">
        <f t="shared" si="3"/>
        <v/>
      </c>
      <c r="T22" s="48" t="str">
        <f t="shared" si="4"/>
        <v/>
      </c>
      <c r="U22" s="48" t="str">
        <f t="shared" si="5"/>
        <v/>
      </c>
    </row>
    <row r="23" spans="1:21" ht="15" customHeight="1" x14ac:dyDescent="0.2">
      <c r="A23" s="26"/>
      <c r="B23" s="26"/>
      <c r="C23" s="44"/>
      <c r="D23" s="44"/>
      <c r="E23" s="68"/>
      <c r="F23" s="44"/>
      <c r="G23" s="45" t="str">
        <f t="shared" si="0"/>
        <v/>
      </c>
      <c r="H23" s="26"/>
      <c r="I23" s="44"/>
      <c r="J23" s="68"/>
      <c r="K23" s="44"/>
      <c r="L23" s="45" t="str">
        <f t="shared" si="1"/>
        <v/>
      </c>
      <c r="M23" s="26"/>
      <c r="N23" s="44"/>
      <c r="O23" s="68"/>
      <c r="P23" s="44"/>
      <c r="Q23" s="45" t="str">
        <f t="shared" si="2"/>
        <v/>
      </c>
      <c r="R23" s="26"/>
      <c r="S23" s="48" t="str">
        <f t="shared" si="3"/>
        <v/>
      </c>
      <c r="T23" s="48" t="str">
        <f t="shared" si="4"/>
        <v/>
      </c>
      <c r="U23" s="48" t="str">
        <f t="shared" si="5"/>
        <v/>
      </c>
    </row>
  </sheetData>
  <mergeCells count="5">
    <mergeCell ref="A1:T1"/>
    <mergeCell ref="D2:H2"/>
    <mergeCell ref="I2:M2"/>
    <mergeCell ref="N2:R2"/>
    <mergeCell ref="S2:U2"/>
  </mergeCells>
  <conditionalFormatting sqref="S4:T23">
    <cfRule type="cellIs" dxfId="19" priority="2" operator="equal">
      <formula>"PASS"</formula>
    </cfRule>
    <cfRule type="cellIs" dxfId="18" priority="3" operator="equal">
      <formula>"FAIL"</formula>
    </cfRule>
  </conditionalFormatting>
  <conditionalFormatting sqref="U4:U23">
    <cfRule type="cellIs" dxfId="17" priority="4" operator="equal">
      <formula>"OK"</formula>
    </cfRule>
    <cfRule type="cellIs" dxfId="16" priority="5"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A2" sqref="A2"/>
    </sheetView>
  </sheetViews>
  <sheetFormatPr baseColWidth="10" defaultColWidth="8.6640625" defaultRowHeight="15" x14ac:dyDescent="0.2"/>
  <cols>
    <col min="1" max="1" width="8" customWidth="1"/>
    <col min="2" max="2" width="14" customWidth="1"/>
    <col min="3" max="25" width="9" customWidth="1"/>
    <col min="26" max="26" width="16" customWidth="1"/>
    <col min="27" max="27" width="9" customWidth="1"/>
    <col min="28" max="28" width="20" customWidth="1"/>
  </cols>
  <sheetData>
    <row r="1" spans="1:28" ht="25.5" customHeight="1" x14ac:dyDescent="0.2">
      <c r="A1" s="13" t="s">
        <v>406</v>
      </c>
      <c r="B1" s="13"/>
      <c r="C1" s="13"/>
      <c r="D1" s="13"/>
      <c r="E1" s="13"/>
      <c r="F1" s="13"/>
      <c r="G1" s="13"/>
      <c r="H1" s="13"/>
      <c r="I1" s="13"/>
      <c r="J1" s="13"/>
      <c r="K1" s="13"/>
      <c r="L1" s="13"/>
      <c r="M1" s="13"/>
      <c r="N1" s="13"/>
      <c r="O1" s="13"/>
      <c r="P1" s="13"/>
      <c r="Q1" s="13"/>
      <c r="R1" s="13"/>
      <c r="S1" s="13"/>
      <c r="T1" s="13"/>
      <c r="U1" s="13"/>
      <c r="V1" s="13"/>
    </row>
    <row r="2" spans="1:28" ht="25.5" customHeight="1" x14ac:dyDescent="0.2">
      <c r="E2" s="93" t="s">
        <v>407</v>
      </c>
      <c r="F2" s="93"/>
      <c r="G2" s="93"/>
      <c r="H2" s="93"/>
      <c r="I2" s="93"/>
      <c r="J2" s="93"/>
      <c r="K2" s="93"/>
      <c r="L2" s="93"/>
      <c r="M2" s="93"/>
      <c r="N2" s="93"/>
      <c r="O2" s="93"/>
      <c r="P2" s="93"/>
      <c r="Q2" s="93"/>
      <c r="R2" s="93"/>
      <c r="S2" s="93"/>
      <c r="T2" s="98" t="s">
        <v>408</v>
      </c>
      <c r="U2" s="98"/>
      <c r="V2" s="98"/>
      <c r="W2" s="98"/>
      <c r="X2" s="98"/>
      <c r="Y2" s="98"/>
      <c r="Z2" s="98"/>
    </row>
    <row r="3" spans="1:28" ht="27.75" customHeight="1" x14ac:dyDescent="0.2">
      <c r="A3" s="22" t="s">
        <v>71</v>
      </c>
      <c r="B3" s="22" t="s">
        <v>182</v>
      </c>
      <c r="C3" s="22" t="s">
        <v>409</v>
      </c>
      <c r="D3" s="22" t="s">
        <v>410</v>
      </c>
      <c r="E3" s="22" t="s">
        <v>411</v>
      </c>
      <c r="F3" s="22" t="s">
        <v>412</v>
      </c>
      <c r="G3" s="22" t="s">
        <v>413</v>
      </c>
      <c r="H3" s="22" t="s">
        <v>414</v>
      </c>
      <c r="I3" s="22" t="s">
        <v>415</v>
      </c>
      <c r="J3" s="22" t="s">
        <v>413</v>
      </c>
      <c r="K3" s="22" t="s">
        <v>416</v>
      </c>
      <c r="L3" s="22" t="s">
        <v>417</v>
      </c>
      <c r="M3" s="22" t="s">
        <v>413</v>
      </c>
      <c r="N3" s="22" t="s">
        <v>418</v>
      </c>
      <c r="O3" s="22" t="s">
        <v>419</v>
      </c>
      <c r="P3" s="22" t="s">
        <v>413</v>
      </c>
      <c r="Q3" s="22" t="s">
        <v>420</v>
      </c>
      <c r="R3" s="22" t="s">
        <v>421</v>
      </c>
      <c r="S3" s="22" t="s">
        <v>413</v>
      </c>
      <c r="T3" s="22" t="s">
        <v>422</v>
      </c>
      <c r="U3" s="22" t="s">
        <v>423</v>
      </c>
      <c r="V3" s="22" t="s">
        <v>424</v>
      </c>
      <c r="W3" s="22" t="s">
        <v>425</v>
      </c>
      <c r="X3" s="22" t="s">
        <v>426</v>
      </c>
      <c r="Y3" s="22" t="s">
        <v>427</v>
      </c>
      <c r="Z3" s="22" t="s">
        <v>428</v>
      </c>
      <c r="AA3" s="22" t="s">
        <v>429</v>
      </c>
      <c r="AB3" s="22" t="s">
        <v>390</v>
      </c>
    </row>
    <row r="4" spans="1:28" ht="15" customHeight="1" x14ac:dyDescent="0.2">
      <c r="A4" s="26"/>
      <c r="B4" s="26"/>
      <c r="C4" s="69"/>
      <c r="D4" s="69"/>
      <c r="E4" s="26"/>
      <c r="F4" s="26"/>
      <c r="G4" s="67" t="str">
        <f t="shared" ref="G4:G23" si="0">IF(OR(E4="",F4=""),"",IF(AND(E4&lt;=2,F4&lt;=2),"TRIGGER","OK"))</f>
        <v/>
      </c>
      <c r="H4" s="26"/>
      <c r="I4" s="26"/>
      <c r="J4" s="67" t="str">
        <f t="shared" ref="J4:J23" si="1">IF(OR(H4="",I4=""),"",IF(AND(H4&lt;=2,I4&lt;=2),"TRIGGER","OK"))</f>
        <v/>
      </c>
      <c r="K4" s="26"/>
      <c r="L4" s="26"/>
      <c r="M4" s="67" t="str">
        <f t="shared" ref="M4:M23" si="2">IF(OR(K4="",L4=""),"",IF(AND(K4&lt;=2,L4&lt;=2),"TRIGGER","OK"))</f>
        <v/>
      </c>
      <c r="N4" s="26"/>
      <c r="O4" s="26"/>
      <c r="P4" s="67" t="str">
        <f t="shared" ref="P4:P23" si="3">IF(OR(N4="",O4=""),"",IF(AND(N4&lt;=2,O4&lt;=2),"TRIGGER","OK"))</f>
        <v/>
      </c>
      <c r="Q4" s="26"/>
      <c r="R4" s="26"/>
      <c r="S4" s="67" t="str">
        <f t="shared" ref="S4:S23" si="4">IF(OR(Q4="",R4=""),"",IF(AND(Q4&lt;=2,R4&lt;=2),"TRIGGER","OK"))</f>
        <v/>
      </c>
      <c r="T4" s="68"/>
      <c r="U4" s="68"/>
      <c r="V4" s="69"/>
      <c r="W4" s="69"/>
      <c r="X4" s="26"/>
      <c r="Y4" s="26"/>
      <c r="Z4" s="67"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6"/>
      <c r="AB4" s="48"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26"/>
      <c r="B5" s="26"/>
      <c r="C5" s="69"/>
      <c r="D5" s="69"/>
      <c r="E5" s="26"/>
      <c r="F5" s="26"/>
      <c r="G5" s="67" t="str">
        <f t="shared" si="0"/>
        <v/>
      </c>
      <c r="H5" s="26"/>
      <c r="I5" s="26"/>
      <c r="J5" s="67" t="str">
        <f t="shared" si="1"/>
        <v/>
      </c>
      <c r="K5" s="26"/>
      <c r="L5" s="26"/>
      <c r="M5" s="67" t="str">
        <f t="shared" si="2"/>
        <v/>
      </c>
      <c r="N5" s="26"/>
      <c r="O5" s="26"/>
      <c r="P5" s="67" t="str">
        <f t="shared" si="3"/>
        <v/>
      </c>
      <c r="Q5" s="26"/>
      <c r="R5" s="26"/>
      <c r="S5" s="67" t="str">
        <f t="shared" si="4"/>
        <v/>
      </c>
      <c r="T5" s="68"/>
      <c r="U5" s="68"/>
      <c r="V5" s="69"/>
      <c r="W5" s="69"/>
      <c r="X5" s="26"/>
      <c r="Y5" s="26"/>
      <c r="Z5" s="67" t="str">
        <f t="shared" si="5"/>
        <v>OK</v>
      </c>
      <c r="AA5" s="26"/>
      <c r="AB5" s="48" t="str">
        <f t="shared" si="6"/>
        <v>OK — no active trigger</v>
      </c>
    </row>
    <row r="6" spans="1:28" ht="15" customHeight="1" x14ac:dyDescent="0.2">
      <c r="A6" s="26"/>
      <c r="B6" s="26"/>
      <c r="C6" s="69"/>
      <c r="D6" s="69"/>
      <c r="E6" s="26"/>
      <c r="F6" s="26"/>
      <c r="G6" s="67" t="str">
        <f t="shared" si="0"/>
        <v/>
      </c>
      <c r="H6" s="26"/>
      <c r="I6" s="26"/>
      <c r="J6" s="67" t="str">
        <f t="shared" si="1"/>
        <v/>
      </c>
      <c r="K6" s="26"/>
      <c r="L6" s="26"/>
      <c r="M6" s="67" t="str">
        <f t="shared" si="2"/>
        <v/>
      </c>
      <c r="N6" s="26"/>
      <c r="O6" s="26"/>
      <c r="P6" s="67" t="str">
        <f t="shared" si="3"/>
        <v/>
      </c>
      <c r="Q6" s="26"/>
      <c r="R6" s="26"/>
      <c r="S6" s="67" t="str">
        <f t="shared" si="4"/>
        <v/>
      </c>
      <c r="T6" s="68"/>
      <c r="U6" s="68"/>
      <c r="V6" s="69"/>
      <c r="W6" s="69"/>
      <c r="X6" s="26"/>
      <c r="Y6" s="26"/>
      <c r="Z6" s="67" t="str">
        <f t="shared" si="5"/>
        <v>OK</v>
      </c>
      <c r="AA6" s="26"/>
      <c r="AB6" s="48" t="str">
        <f t="shared" si="6"/>
        <v>OK — no active trigger</v>
      </c>
    </row>
    <row r="7" spans="1:28" ht="15" customHeight="1" x14ac:dyDescent="0.2">
      <c r="A7" s="26"/>
      <c r="B7" s="26"/>
      <c r="C7" s="69"/>
      <c r="D7" s="69"/>
      <c r="E7" s="26"/>
      <c r="F7" s="26"/>
      <c r="G7" s="67" t="str">
        <f t="shared" si="0"/>
        <v/>
      </c>
      <c r="H7" s="26"/>
      <c r="I7" s="26"/>
      <c r="J7" s="67" t="str">
        <f t="shared" si="1"/>
        <v/>
      </c>
      <c r="K7" s="26"/>
      <c r="L7" s="26"/>
      <c r="M7" s="67" t="str">
        <f t="shared" si="2"/>
        <v/>
      </c>
      <c r="N7" s="26"/>
      <c r="O7" s="26"/>
      <c r="P7" s="67" t="str">
        <f t="shared" si="3"/>
        <v/>
      </c>
      <c r="Q7" s="26"/>
      <c r="R7" s="26"/>
      <c r="S7" s="67" t="str">
        <f t="shared" si="4"/>
        <v/>
      </c>
      <c r="T7" s="68"/>
      <c r="U7" s="68"/>
      <c r="V7" s="69"/>
      <c r="W7" s="69"/>
      <c r="X7" s="26"/>
      <c r="Y7" s="26"/>
      <c r="Z7" s="67" t="str">
        <f t="shared" si="5"/>
        <v>OK</v>
      </c>
      <c r="AA7" s="26"/>
      <c r="AB7" s="48" t="str">
        <f t="shared" si="6"/>
        <v>OK — no active trigger</v>
      </c>
    </row>
    <row r="8" spans="1:28" ht="15" customHeight="1" x14ac:dyDescent="0.2">
      <c r="A8" s="26"/>
      <c r="B8" s="26"/>
      <c r="C8" s="69"/>
      <c r="D8" s="69"/>
      <c r="E8" s="26"/>
      <c r="F8" s="26"/>
      <c r="G8" s="67" t="str">
        <f t="shared" si="0"/>
        <v/>
      </c>
      <c r="H8" s="26"/>
      <c r="I8" s="26"/>
      <c r="J8" s="67" t="str">
        <f t="shared" si="1"/>
        <v/>
      </c>
      <c r="K8" s="26"/>
      <c r="L8" s="26"/>
      <c r="M8" s="67" t="str">
        <f t="shared" si="2"/>
        <v/>
      </c>
      <c r="N8" s="26"/>
      <c r="O8" s="26"/>
      <c r="P8" s="67" t="str">
        <f t="shared" si="3"/>
        <v/>
      </c>
      <c r="Q8" s="26"/>
      <c r="R8" s="26"/>
      <c r="S8" s="67" t="str">
        <f t="shared" si="4"/>
        <v/>
      </c>
      <c r="T8" s="68"/>
      <c r="U8" s="68"/>
      <c r="V8" s="69"/>
      <c r="W8" s="69"/>
      <c r="X8" s="26"/>
      <c r="Y8" s="26"/>
      <c r="Z8" s="67" t="str">
        <f t="shared" si="5"/>
        <v>OK</v>
      </c>
      <c r="AA8" s="26"/>
      <c r="AB8" s="48" t="str">
        <f t="shared" si="6"/>
        <v>OK — no active trigger</v>
      </c>
    </row>
    <row r="9" spans="1:28" ht="15" customHeight="1" x14ac:dyDescent="0.2">
      <c r="A9" s="26"/>
      <c r="B9" s="26"/>
      <c r="C9" s="69"/>
      <c r="D9" s="69"/>
      <c r="E9" s="26"/>
      <c r="F9" s="26"/>
      <c r="G9" s="67" t="str">
        <f t="shared" si="0"/>
        <v/>
      </c>
      <c r="H9" s="26"/>
      <c r="I9" s="26"/>
      <c r="J9" s="67" t="str">
        <f t="shared" si="1"/>
        <v/>
      </c>
      <c r="K9" s="26"/>
      <c r="L9" s="26"/>
      <c r="M9" s="67" t="str">
        <f t="shared" si="2"/>
        <v/>
      </c>
      <c r="N9" s="26"/>
      <c r="O9" s="26"/>
      <c r="P9" s="67" t="str">
        <f t="shared" si="3"/>
        <v/>
      </c>
      <c r="Q9" s="26"/>
      <c r="R9" s="26"/>
      <c r="S9" s="67" t="str">
        <f t="shared" si="4"/>
        <v/>
      </c>
      <c r="T9" s="68"/>
      <c r="U9" s="68"/>
      <c r="V9" s="69"/>
      <c r="W9" s="69"/>
      <c r="X9" s="26"/>
      <c r="Y9" s="26"/>
      <c r="Z9" s="67" t="str">
        <f t="shared" si="5"/>
        <v>OK</v>
      </c>
      <c r="AA9" s="26"/>
      <c r="AB9" s="48" t="str">
        <f t="shared" si="6"/>
        <v>OK — no active trigger</v>
      </c>
    </row>
    <row r="10" spans="1:28" ht="15" customHeight="1" x14ac:dyDescent="0.2">
      <c r="A10" s="26"/>
      <c r="B10" s="26"/>
      <c r="C10" s="69"/>
      <c r="D10" s="69"/>
      <c r="E10" s="26"/>
      <c r="F10" s="26"/>
      <c r="G10" s="67" t="str">
        <f t="shared" si="0"/>
        <v/>
      </c>
      <c r="H10" s="26"/>
      <c r="I10" s="26"/>
      <c r="J10" s="67" t="str">
        <f t="shared" si="1"/>
        <v/>
      </c>
      <c r="K10" s="26"/>
      <c r="L10" s="26"/>
      <c r="M10" s="67" t="str">
        <f t="shared" si="2"/>
        <v/>
      </c>
      <c r="N10" s="26"/>
      <c r="O10" s="26"/>
      <c r="P10" s="67" t="str">
        <f t="shared" si="3"/>
        <v/>
      </c>
      <c r="Q10" s="26"/>
      <c r="R10" s="26"/>
      <c r="S10" s="67" t="str">
        <f t="shared" si="4"/>
        <v/>
      </c>
      <c r="T10" s="68"/>
      <c r="U10" s="68"/>
      <c r="V10" s="69"/>
      <c r="W10" s="69"/>
      <c r="X10" s="26"/>
      <c r="Y10" s="26"/>
      <c r="Z10" s="67" t="str">
        <f t="shared" si="5"/>
        <v>OK</v>
      </c>
      <c r="AA10" s="26"/>
      <c r="AB10" s="48" t="str">
        <f t="shared" si="6"/>
        <v>OK — no active trigger</v>
      </c>
    </row>
    <row r="11" spans="1:28" ht="15" customHeight="1" x14ac:dyDescent="0.2">
      <c r="A11" s="26"/>
      <c r="B11" s="26"/>
      <c r="C11" s="69"/>
      <c r="D11" s="69"/>
      <c r="E11" s="26"/>
      <c r="F11" s="26"/>
      <c r="G11" s="67" t="str">
        <f t="shared" si="0"/>
        <v/>
      </c>
      <c r="H11" s="26"/>
      <c r="I11" s="26"/>
      <c r="J11" s="67" t="str">
        <f t="shared" si="1"/>
        <v/>
      </c>
      <c r="K11" s="26"/>
      <c r="L11" s="26"/>
      <c r="M11" s="67" t="str">
        <f t="shared" si="2"/>
        <v/>
      </c>
      <c r="N11" s="26"/>
      <c r="O11" s="26"/>
      <c r="P11" s="67" t="str">
        <f t="shared" si="3"/>
        <v/>
      </c>
      <c r="Q11" s="26"/>
      <c r="R11" s="26"/>
      <c r="S11" s="67" t="str">
        <f t="shared" si="4"/>
        <v/>
      </c>
      <c r="T11" s="68"/>
      <c r="U11" s="68"/>
      <c r="V11" s="69"/>
      <c r="W11" s="69"/>
      <c r="X11" s="26"/>
      <c r="Y11" s="26"/>
      <c r="Z11" s="67" t="str">
        <f t="shared" si="5"/>
        <v>OK</v>
      </c>
      <c r="AA11" s="26"/>
      <c r="AB11" s="48" t="str">
        <f t="shared" si="6"/>
        <v>OK — no active trigger</v>
      </c>
    </row>
    <row r="12" spans="1:28" ht="15" customHeight="1" x14ac:dyDescent="0.2">
      <c r="A12" s="26"/>
      <c r="B12" s="26"/>
      <c r="C12" s="69"/>
      <c r="D12" s="69"/>
      <c r="E12" s="26"/>
      <c r="F12" s="26"/>
      <c r="G12" s="67" t="str">
        <f t="shared" si="0"/>
        <v/>
      </c>
      <c r="H12" s="26"/>
      <c r="I12" s="26"/>
      <c r="J12" s="67" t="str">
        <f t="shared" si="1"/>
        <v/>
      </c>
      <c r="K12" s="26"/>
      <c r="L12" s="26"/>
      <c r="M12" s="67" t="str">
        <f t="shared" si="2"/>
        <v/>
      </c>
      <c r="N12" s="26"/>
      <c r="O12" s="26"/>
      <c r="P12" s="67" t="str">
        <f t="shared" si="3"/>
        <v/>
      </c>
      <c r="Q12" s="26"/>
      <c r="R12" s="26"/>
      <c r="S12" s="67" t="str">
        <f t="shared" si="4"/>
        <v/>
      </c>
      <c r="T12" s="68"/>
      <c r="U12" s="68"/>
      <c r="V12" s="69"/>
      <c r="W12" s="69"/>
      <c r="X12" s="26"/>
      <c r="Y12" s="26"/>
      <c r="Z12" s="67" t="str">
        <f t="shared" si="5"/>
        <v>OK</v>
      </c>
      <c r="AA12" s="26"/>
      <c r="AB12" s="48" t="str">
        <f t="shared" si="6"/>
        <v>OK — no active trigger</v>
      </c>
    </row>
    <row r="13" spans="1:28" ht="15" customHeight="1" x14ac:dyDescent="0.2">
      <c r="A13" s="26"/>
      <c r="B13" s="26"/>
      <c r="C13" s="69"/>
      <c r="D13" s="69"/>
      <c r="E13" s="26"/>
      <c r="F13" s="26"/>
      <c r="G13" s="67" t="str">
        <f t="shared" si="0"/>
        <v/>
      </c>
      <c r="H13" s="26"/>
      <c r="I13" s="26"/>
      <c r="J13" s="67" t="str">
        <f t="shared" si="1"/>
        <v/>
      </c>
      <c r="K13" s="26"/>
      <c r="L13" s="26"/>
      <c r="M13" s="67" t="str">
        <f t="shared" si="2"/>
        <v/>
      </c>
      <c r="N13" s="26"/>
      <c r="O13" s="26"/>
      <c r="P13" s="67" t="str">
        <f t="shared" si="3"/>
        <v/>
      </c>
      <c r="Q13" s="26"/>
      <c r="R13" s="26"/>
      <c r="S13" s="67" t="str">
        <f t="shared" si="4"/>
        <v/>
      </c>
      <c r="T13" s="68"/>
      <c r="U13" s="68"/>
      <c r="V13" s="69"/>
      <c r="W13" s="69"/>
      <c r="X13" s="26"/>
      <c r="Y13" s="26"/>
      <c r="Z13" s="67" t="str">
        <f t="shared" si="5"/>
        <v>OK</v>
      </c>
      <c r="AA13" s="26"/>
      <c r="AB13" s="48" t="str">
        <f t="shared" si="6"/>
        <v>OK — no active trigger</v>
      </c>
    </row>
    <row r="14" spans="1:28" ht="15" customHeight="1" x14ac:dyDescent="0.2">
      <c r="A14" s="26"/>
      <c r="B14" s="26"/>
      <c r="C14" s="69"/>
      <c r="D14" s="69"/>
      <c r="E14" s="26"/>
      <c r="F14" s="26"/>
      <c r="G14" s="67" t="str">
        <f t="shared" si="0"/>
        <v/>
      </c>
      <c r="H14" s="26"/>
      <c r="I14" s="26"/>
      <c r="J14" s="67" t="str">
        <f t="shared" si="1"/>
        <v/>
      </c>
      <c r="K14" s="26"/>
      <c r="L14" s="26"/>
      <c r="M14" s="67" t="str">
        <f t="shared" si="2"/>
        <v/>
      </c>
      <c r="N14" s="26"/>
      <c r="O14" s="26"/>
      <c r="P14" s="67" t="str">
        <f t="shared" si="3"/>
        <v/>
      </c>
      <c r="Q14" s="26"/>
      <c r="R14" s="26"/>
      <c r="S14" s="67" t="str">
        <f t="shared" si="4"/>
        <v/>
      </c>
      <c r="T14" s="68"/>
      <c r="U14" s="68"/>
      <c r="V14" s="69"/>
      <c r="W14" s="69"/>
      <c r="X14" s="26"/>
      <c r="Y14" s="26"/>
      <c r="Z14" s="67" t="str">
        <f t="shared" si="5"/>
        <v>OK</v>
      </c>
      <c r="AA14" s="26"/>
      <c r="AB14" s="48" t="str">
        <f t="shared" si="6"/>
        <v>OK — no active trigger</v>
      </c>
    </row>
    <row r="15" spans="1:28" ht="15" customHeight="1" x14ac:dyDescent="0.2">
      <c r="A15" s="26"/>
      <c r="B15" s="26"/>
      <c r="C15" s="69"/>
      <c r="D15" s="69"/>
      <c r="E15" s="26"/>
      <c r="F15" s="26"/>
      <c r="G15" s="67" t="str">
        <f t="shared" si="0"/>
        <v/>
      </c>
      <c r="H15" s="26"/>
      <c r="I15" s="26"/>
      <c r="J15" s="67" t="str">
        <f t="shared" si="1"/>
        <v/>
      </c>
      <c r="K15" s="26"/>
      <c r="L15" s="26"/>
      <c r="M15" s="67" t="str">
        <f t="shared" si="2"/>
        <v/>
      </c>
      <c r="N15" s="26"/>
      <c r="O15" s="26"/>
      <c r="P15" s="67" t="str">
        <f t="shared" si="3"/>
        <v/>
      </c>
      <c r="Q15" s="26"/>
      <c r="R15" s="26"/>
      <c r="S15" s="67" t="str">
        <f t="shared" si="4"/>
        <v/>
      </c>
      <c r="T15" s="68"/>
      <c r="U15" s="68"/>
      <c r="V15" s="69"/>
      <c r="W15" s="69"/>
      <c r="X15" s="26"/>
      <c r="Y15" s="26"/>
      <c r="Z15" s="67" t="str">
        <f t="shared" si="5"/>
        <v>OK</v>
      </c>
      <c r="AA15" s="26"/>
      <c r="AB15" s="48" t="str">
        <f t="shared" si="6"/>
        <v>OK — no active trigger</v>
      </c>
    </row>
    <row r="16" spans="1:28" ht="15" customHeight="1" x14ac:dyDescent="0.2">
      <c r="A16" s="26"/>
      <c r="B16" s="26"/>
      <c r="C16" s="69"/>
      <c r="D16" s="69"/>
      <c r="E16" s="26"/>
      <c r="F16" s="26"/>
      <c r="G16" s="67" t="str">
        <f t="shared" si="0"/>
        <v/>
      </c>
      <c r="H16" s="26"/>
      <c r="I16" s="26"/>
      <c r="J16" s="67" t="str">
        <f t="shared" si="1"/>
        <v/>
      </c>
      <c r="K16" s="26"/>
      <c r="L16" s="26"/>
      <c r="M16" s="67" t="str">
        <f t="shared" si="2"/>
        <v/>
      </c>
      <c r="N16" s="26"/>
      <c r="O16" s="26"/>
      <c r="P16" s="67" t="str">
        <f t="shared" si="3"/>
        <v/>
      </c>
      <c r="Q16" s="26"/>
      <c r="R16" s="26"/>
      <c r="S16" s="67" t="str">
        <f t="shared" si="4"/>
        <v/>
      </c>
      <c r="T16" s="68"/>
      <c r="U16" s="68"/>
      <c r="V16" s="69"/>
      <c r="W16" s="69"/>
      <c r="X16" s="26"/>
      <c r="Y16" s="26"/>
      <c r="Z16" s="67" t="str">
        <f t="shared" si="5"/>
        <v>OK</v>
      </c>
      <c r="AA16" s="26"/>
      <c r="AB16" s="48" t="str">
        <f t="shared" si="6"/>
        <v>OK — no active trigger</v>
      </c>
    </row>
    <row r="17" spans="1:28" ht="15" customHeight="1" x14ac:dyDescent="0.2">
      <c r="A17" s="26"/>
      <c r="B17" s="26"/>
      <c r="C17" s="69"/>
      <c r="D17" s="69"/>
      <c r="E17" s="26"/>
      <c r="F17" s="26"/>
      <c r="G17" s="67" t="str">
        <f t="shared" si="0"/>
        <v/>
      </c>
      <c r="H17" s="26"/>
      <c r="I17" s="26"/>
      <c r="J17" s="67" t="str">
        <f t="shared" si="1"/>
        <v/>
      </c>
      <c r="K17" s="26"/>
      <c r="L17" s="26"/>
      <c r="M17" s="67" t="str">
        <f t="shared" si="2"/>
        <v/>
      </c>
      <c r="N17" s="26"/>
      <c r="O17" s="26"/>
      <c r="P17" s="67" t="str">
        <f t="shared" si="3"/>
        <v/>
      </c>
      <c r="Q17" s="26"/>
      <c r="R17" s="26"/>
      <c r="S17" s="67" t="str">
        <f t="shared" si="4"/>
        <v/>
      </c>
      <c r="T17" s="68"/>
      <c r="U17" s="68"/>
      <c r="V17" s="69"/>
      <c r="W17" s="69"/>
      <c r="X17" s="26"/>
      <c r="Y17" s="26"/>
      <c r="Z17" s="67" t="str">
        <f t="shared" si="5"/>
        <v>OK</v>
      </c>
      <c r="AA17" s="26"/>
      <c r="AB17" s="48" t="str">
        <f t="shared" si="6"/>
        <v>OK — no active trigger</v>
      </c>
    </row>
    <row r="18" spans="1:28" ht="15" customHeight="1" x14ac:dyDescent="0.2">
      <c r="A18" s="26"/>
      <c r="B18" s="26"/>
      <c r="C18" s="69"/>
      <c r="D18" s="69"/>
      <c r="E18" s="26"/>
      <c r="F18" s="26"/>
      <c r="G18" s="67" t="str">
        <f t="shared" si="0"/>
        <v/>
      </c>
      <c r="H18" s="26"/>
      <c r="I18" s="26"/>
      <c r="J18" s="67" t="str">
        <f t="shared" si="1"/>
        <v/>
      </c>
      <c r="K18" s="26"/>
      <c r="L18" s="26"/>
      <c r="M18" s="67" t="str">
        <f t="shared" si="2"/>
        <v/>
      </c>
      <c r="N18" s="26"/>
      <c r="O18" s="26"/>
      <c r="P18" s="67" t="str">
        <f t="shared" si="3"/>
        <v/>
      </c>
      <c r="Q18" s="26"/>
      <c r="R18" s="26"/>
      <c r="S18" s="67" t="str">
        <f t="shared" si="4"/>
        <v/>
      </c>
      <c r="T18" s="68"/>
      <c r="U18" s="68"/>
      <c r="V18" s="69"/>
      <c r="W18" s="69"/>
      <c r="X18" s="26"/>
      <c r="Y18" s="26"/>
      <c r="Z18" s="67" t="str">
        <f t="shared" si="5"/>
        <v>OK</v>
      </c>
      <c r="AA18" s="26"/>
      <c r="AB18" s="48" t="str">
        <f t="shared" si="6"/>
        <v>OK — no active trigger</v>
      </c>
    </row>
    <row r="19" spans="1:28" ht="15" customHeight="1" x14ac:dyDescent="0.2">
      <c r="A19" s="26"/>
      <c r="B19" s="26"/>
      <c r="C19" s="69"/>
      <c r="D19" s="69"/>
      <c r="E19" s="26"/>
      <c r="F19" s="26"/>
      <c r="G19" s="67" t="str">
        <f t="shared" si="0"/>
        <v/>
      </c>
      <c r="H19" s="26"/>
      <c r="I19" s="26"/>
      <c r="J19" s="67" t="str">
        <f t="shared" si="1"/>
        <v/>
      </c>
      <c r="K19" s="26"/>
      <c r="L19" s="26"/>
      <c r="M19" s="67" t="str">
        <f t="shared" si="2"/>
        <v/>
      </c>
      <c r="N19" s="26"/>
      <c r="O19" s="26"/>
      <c r="P19" s="67" t="str">
        <f t="shared" si="3"/>
        <v/>
      </c>
      <c r="Q19" s="26"/>
      <c r="R19" s="26"/>
      <c r="S19" s="67" t="str">
        <f t="shared" si="4"/>
        <v/>
      </c>
      <c r="T19" s="68"/>
      <c r="U19" s="68"/>
      <c r="V19" s="69"/>
      <c r="W19" s="69"/>
      <c r="X19" s="26"/>
      <c r="Y19" s="26"/>
      <c r="Z19" s="67" t="str">
        <f t="shared" si="5"/>
        <v>OK</v>
      </c>
      <c r="AA19" s="26"/>
      <c r="AB19" s="48" t="str">
        <f t="shared" si="6"/>
        <v>OK — no active trigger</v>
      </c>
    </row>
    <row r="20" spans="1:28" ht="15" customHeight="1" x14ac:dyDescent="0.2">
      <c r="A20" s="26"/>
      <c r="B20" s="26"/>
      <c r="C20" s="69"/>
      <c r="D20" s="69"/>
      <c r="E20" s="26"/>
      <c r="F20" s="26"/>
      <c r="G20" s="67" t="str">
        <f t="shared" si="0"/>
        <v/>
      </c>
      <c r="H20" s="26"/>
      <c r="I20" s="26"/>
      <c r="J20" s="67" t="str">
        <f t="shared" si="1"/>
        <v/>
      </c>
      <c r="K20" s="26"/>
      <c r="L20" s="26"/>
      <c r="M20" s="67" t="str">
        <f t="shared" si="2"/>
        <v/>
      </c>
      <c r="N20" s="26"/>
      <c r="O20" s="26"/>
      <c r="P20" s="67" t="str">
        <f t="shared" si="3"/>
        <v/>
      </c>
      <c r="Q20" s="26"/>
      <c r="R20" s="26"/>
      <c r="S20" s="67" t="str">
        <f t="shared" si="4"/>
        <v/>
      </c>
      <c r="T20" s="68"/>
      <c r="U20" s="68"/>
      <c r="V20" s="69"/>
      <c r="W20" s="69"/>
      <c r="X20" s="26"/>
      <c r="Y20" s="26"/>
      <c r="Z20" s="67" t="str">
        <f t="shared" si="5"/>
        <v>OK</v>
      </c>
      <c r="AA20" s="26"/>
      <c r="AB20" s="48" t="str">
        <f t="shared" si="6"/>
        <v>OK — no active trigger</v>
      </c>
    </row>
    <row r="21" spans="1:28" ht="15" customHeight="1" x14ac:dyDescent="0.2">
      <c r="A21" s="26"/>
      <c r="B21" s="26"/>
      <c r="C21" s="69"/>
      <c r="D21" s="69"/>
      <c r="E21" s="26"/>
      <c r="F21" s="26"/>
      <c r="G21" s="67" t="str">
        <f t="shared" si="0"/>
        <v/>
      </c>
      <c r="H21" s="26"/>
      <c r="I21" s="26"/>
      <c r="J21" s="67" t="str">
        <f t="shared" si="1"/>
        <v/>
      </c>
      <c r="K21" s="26"/>
      <c r="L21" s="26"/>
      <c r="M21" s="67" t="str">
        <f t="shared" si="2"/>
        <v/>
      </c>
      <c r="N21" s="26"/>
      <c r="O21" s="26"/>
      <c r="P21" s="67" t="str">
        <f t="shared" si="3"/>
        <v/>
      </c>
      <c r="Q21" s="26"/>
      <c r="R21" s="26"/>
      <c r="S21" s="67" t="str">
        <f t="shared" si="4"/>
        <v/>
      </c>
      <c r="T21" s="68"/>
      <c r="U21" s="68"/>
      <c r="V21" s="69"/>
      <c r="W21" s="69"/>
      <c r="X21" s="26"/>
      <c r="Y21" s="26"/>
      <c r="Z21" s="67" t="str">
        <f t="shared" si="5"/>
        <v>OK</v>
      </c>
      <c r="AA21" s="26"/>
      <c r="AB21" s="48" t="str">
        <f t="shared" si="6"/>
        <v>OK — no active trigger</v>
      </c>
    </row>
    <row r="22" spans="1:28" ht="15" customHeight="1" x14ac:dyDescent="0.2">
      <c r="A22" s="26"/>
      <c r="B22" s="26"/>
      <c r="C22" s="69"/>
      <c r="D22" s="69"/>
      <c r="E22" s="26"/>
      <c r="F22" s="26"/>
      <c r="G22" s="67" t="str">
        <f t="shared" si="0"/>
        <v/>
      </c>
      <c r="H22" s="26"/>
      <c r="I22" s="26"/>
      <c r="J22" s="67" t="str">
        <f t="shared" si="1"/>
        <v/>
      </c>
      <c r="K22" s="26"/>
      <c r="L22" s="26"/>
      <c r="M22" s="67" t="str">
        <f t="shared" si="2"/>
        <v/>
      </c>
      <c r="N22" s="26"/>
      <c r="O22" s="26"/>
      <c r="P22" s="67" t="str">
        <f t="shared" si="3"/>
        <v/>
      </c>
      <c r="Q22" s="26"/>
      <c r="R22" s="26"/>
      <c r="S22" s="67" t="str">
        <f t="shared" si="4"/>
        <v/>
      </c>
      <c r="T22" s="68"/>
      <c r="U22" s="68"/>
      <c r="V22" s="69"/>
      <c r="W22" s="69"/>
      <c r="X22" s="26"/>
      <c r="Y22" s="26"/>
      <c r="Z22" s="67" t="str">
        <f t="shared" si="5"/>
        <v>OK</v>
      </c>
      <c r="AA22" s="26"/>
      <c r="AB22" s="48" t="str">
        <f t="shared" si="6"/>
        <v>OK — no active trigger</v>
      </c>
    </row>
    <row r="23" spans="1:28" ht="15" customHeight="1" x14ac:dyDescent="0.2">
      <c r="A23" s="26"/>
      <c r="B23" s="26"/>
      <c r="C23" s="69"/>
      <c r="D23" s="69"/>
      <c r="E23" s="26"/>
      <c r="F23" s="26"/>
      <c r="G23" s="67" t="str">
        <f t="shared" si="0"/>
        <v/>
      </c>
      <c r="H23" s="26"/>
      <c r="I23" s="26"/>
      <c r="J23" s="67" t="str">
        <f t="shared" si="1"/>
        <v/>
      </c>
      <c r="K23" s="26"/>
      <c r="L23" s="26"/>
      <c r="M23" s="67" t="str">
        <f t="shared" si="2"/>
        <v/>
      </c>
      <c r="N23" s="26"/>
      <c r="O23" s="26"/>
      <c r="P23" s="67" t="str">
        <f t="shared" si="3"/>
        <v/>
      </c>
      <c r="Q23" s="26"/>
      <c r="R23" s="26"/>
      <c r="S23" s="67" t="str">
        <f t="shared" si="4"/>
        <v/>
      </c>
      <c r="T23" s="68"/>
      <c r="U23" s="68"/>
      <c r="V23" s="69"/>
      <c r="W23" s="69"/>
      <c r="X23" s="26"/>
      <c r="Y23" s="26"/>
      <c r="Z23" s="67" t="str">
        <f t="shared" si="5"/>
        <v>OK</v>
      </c>
      <c r="AA23" s="26"/>
      <c r="AB23" s="48" t="str">
        <f t="shared" si="6"/>
        <v>OK — no active trigger</v>
      </c>
    </row>
  </sheetData>
  <mergeCells count="3">
    <mergeCell ref="A1:V1"/>
    <mergeCell ref="E2:S2"/>
    <mergeCell ref="T2:Z2"/>
  </mergeCells>
  <conditionalFormatting sqref="G4:G23">
    <cfRule type="cellIs" dxfId="15" priority="2" operator="equal">
      <formula>"TRIGGER"</formula>
    </cfRule>
    <cfRule type="cellIs" dxfId="14" priority="3" operator="equal">
      <formula>"OK"</formula>
    </cfRule>
  </conditionalFormatting>
  <conditionalFormatting sqref="J4:J23">
    <cfRule type="cellIs" dxfId="13" priority="4" operator="equal">
      <formula>"TRIGGER"</formula>
    </cfRule>
    <cfRule type="cellIs" dxfId="12" priority="5" operator="equal">
      <formula>"OK"</formula>
    </cfRule>
  </conditionalFormatting>
  <conditionalFormatting sqref="M4:M23">
    <cfRule type="cellIs" dxfId="11" priority="6" operator="equal">
      <formula>"TRIGGER"</formula>
    </cfRule>
    <cfRule type="cellIs" dxfId="10" priority="7" operator="equal">
      <formula>"OK"</formula>
    </cfRule>
  </conditionalFormatting>
  <conditionalFormatting sqref="P4:P23">
    <cfRule type="cellIs" dxfId="9" priority="8" operator="equal">
      <formula>"TRIGGER"</formula>
    </cfRule>
    <cfRule type="cellIs" dxfId="8" priority="9" operator="equal">
      <formula>"OK"</formula>
    </cfRule>
  </conditionalFormatting>
  <conditionalFormatting sqref="S4:S23">
    <cfRule type="cellIs" dxfId="7" priority="10" operator="equal">
      <formula>"TRIGGER"</formula>
    </cfRule>
    <cfRule type="cellIs" dxfId="6" priority="11" operator="equal">
      <formula>"OK"</formula>
    </cfRule>
  </conditionalFormatting>
  <conditionalFormatting sqref="Z4:Z23">
    <cfRule type="expression" dxfId="5" priority="12">
      <formula>Z4&lt;&gt;"OK"</formula>
    </cfRule>
  </conditionalFormatting>
  <conditionalFormatting sqref="AB4:AB23">
    <cfRule type="expression" dxfId="4" priority="13">
      <formula>ISNUMBER(SEARCH("ACTION REQUIRED",AB4))</formula>
    </cfRule>
    <cfRule type="expression" dxfId="3" priority="14">
      <formula>ISNUMBER(SEARCH("OK",AB4))</formula>
    </cfRule>
    <cfRule type="expression" dxfId="2"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2" topLeftCell="A3" activePane="bottomLeft" state="frozen"/>
      <selection pane="bottomLeft" activeCell="G15" sqref="G15"/>
    </sheetView>
  </sheetViews>
  <sheetFormatPr baseColWidth="10" defaultColWidth="8.6640625" defaultRowHeight="15" x14ac:dyDescent="0.2"/>
  <cols>
    <col min="1" max="1" width="8" customWidth="1"/>
    <col min="2" max="2" width="14" customWidth="1"/>
    <col min="3" max="3" width="11" customWidth="1"/>
    <col min="4" max="4" width="9" customWidth="1"/>
    <col min="5" max="5" width="8" customWidth="1"/>
    <col min="6" max="6" width="9" customWidth="1"/>
    <col min="7" max="7" width="12" customWidth="1"/>
    <col min="8" max="8" width="10" customWidth="1"/>
    <col min="9" max="10" width="11" customWidth="1"/>
    <col min="11" max="11" width="9" customWidth="1"/>
    <col min="12" max="12" width="20" customWidth="1"/>
    <col min="13" max="14" width="11" customWidth="1"/>
    <col min="15" max="16" width="12" customWidth="1"/>
    <col min="17" max="17" width="11" customWidth="1"/>
  </cols>
  <sheetData>
    <row r="1" spans="1:17" ht="25.5" customHeight="1" x14ac:dyDescent="0.2">
      <c r="A1" s="13" t="s">
        <v>430</v>
      </c>
      <c r="B1" s="13"/>
      <c r="C1" s="13"/>
      <c r="D1" s="13"/>
      <c r="E1" s="13"/>
      <c r="F1" s="13"/>
      <c r="G1" s="13"/>
      <c r="H1" s="13"/>
      <c r="I1" s="13"/>
      <c r="J1" s="13"/>
      <c r="K1" s="13"/>
      <c r="L1" s="13"/>
      <c r="M1" s="13"/>
      <c r="N1" s="13"/>
      <c r="O1" s="13"/>
      <c r="P1" s="13"/>
      <c r="Q1" s="13"/>
    </row>
    <row r="2" spans="1:17" ht="31.5" customHeight="1" x14ac:dyDescent="0.2">
      <c r="A2" s="22" t="s">
        <v>71</v>
      </c>
      <c r="B2" s="22" t="s">
        <v>182</v>
      </c>
      <c r="C2" s="22" t="s">
        <v>431</v>
      </c>
      <c r="D2" s="22" t="s">
        <v>432</v>
      </c>
      <c r="E2" s="22" t="s">
        <v>384</v>
      </c>
      <c r="F2" s="22" t="s">
        <v>433</v>
      </c>
      <c r="G2" s="22" t="s">
        <v>434</v>
      </c>
      <c r="H2" s="22" t="s">
        <v>435</v>
      </c>
      <c r="I2" s="22" t="s">
        <v>436</v>
      </c>
      <c r="J2" s="22" t="s">
        <v>437</v>
      </c>
      <c r="K2" s="22" t="s">
        <v>438</v>
      </c>
      <c r="L2" s="22" t="s">
        <v>439</v>
      </c>
      <c r="M2" s="22" t="s">
        <v>440</v>
      </c>
      <c r="N2" s="22" t="s">
        <v>441</v>
      </c>
      <c r="O2" s="22" t="s">
        <v>442</v>
      </c>
      <c r="P2" s="22" t="s">
        <v>443</v>
      </c>
      <c r="Q2" s="22" t="s">
        <v>444</v>
      </c>
    </row>
    <row r="3" spans="1:17" ht="15" customHeight="1" x14ac:dyDescent="0.2">
      <c r="A3" s="26"/>
      <c r="B3" s="26"/>
      <c r="C3" s="46"/>
      <c r="D3" s="44"/>
      <c r="E3" s="26"/>
      <c r="F3" s="26"/>
      <c r="G3" s="26"/>
      <c r="H3" s="44"/>
      <c r="I3" s="26"/>
      <c r="J3" s="46"/>
      <c r="K3" s="44"/>
      <c r="L3" s="26"/>
      <c r="M3" s="44"/>
      <c r="N3" s="44"/>
      <c r="O3" s="45" t="str">
        <f t="shared" ref="O3:O32" si="0">IF(OR(D3="",M3=""),"",M3/D3-1)</f>
        <v/>
      </c>
      <c r="P3" s="30" t="str">
        <f t="shared" ref="P3:P32" si="1">IF(OR(H3="",N3=""),"",N3/H3-1)</f>
        <v/>
      </c>
      <c r="Q3" s="45" t="str">
        <f t="shared" ref="Q3:Q32" si="2">IF(OR(O3="",P3=""),"",O3-P3)</f>
        <v/>
      </c>
    </row>
    <row r="4" spans="1:17" ht="15" customHeight="1" x14ac:dyDescent="0.2">
      <c r="A4" s="26"/>
      <c r="B4" s="26"/>
      <c r="C4" s="46"/>
      <c r="D4" s="44"/>
      <c r="E4" s="26"/>
      <c r="F4" s="26"/>
      <c r="G4" s="26"/>
      <c r="H4" s="44"/>
      <c r="I4" s="26"/>
      <c r="J4" s="46"/>
      <c r="K4" s="44"/>
      <c r="L4" s="26"/>
      <c r="M4" s="44"/>
      <c r="N4" s="44"/>
      <c r="O4" s="45" t="str">
        <f t="shared" si="0"/>
        <v/>
      </c>
      <c r="P4" s="30" t="str">
        <f t="shared" si="1"/>
        <v/>
      </c>
      <c r="Q4" s="45" t="str">
        <f t="shared" si="2"/>
        <v/>
      </c>
    </row>
    <row r="5" spans="1:17" ht="15" customHeight="1" x14ac:dyDescent="0.2">
      <c r="A5" s="26"/>
      <c r="B5" s="26"/>
      <c r="C5" s="46"/>
      <c r="D5" s="44"/>
      <c r="E5" s="26"/>
      <c r="F5" s="26"/>
      <c r="G5" s="26"/>
      <c r="H5" s="44"/>
      <c r="I5" s="26"/>
      <c r="J5" s="46"/>
      <c r="K5" s="44"/>
      <c r="L5" s="26"/>
      <c r="M5" s="44"/>
      <c r="N5" s="44"/>
      <c r="O5" s="45" t="str">
        <f t="shared" si="0"/>
        <v/>
      </c>
      <c r="P5" s="30" t="str">
        <f t="shared" si="1"/>
        <v/>
      </c>
      <c r="Q5" s="45" t="str">
        <f t="shared" si="2"/>
        <v/>
      </c>
    </row>
    <row r="6" spans="1:17" ht="15" customHeight="1" x14ac:dyDescent="0.2">
      <c r="A6" s="26"/>
      <c r="B6" s="26"/>
      <c r="C6" s="46"/>
      <c r="D6" s="44"/>
      <c r="E6" s="26"/>
      <c r="F6" s="26"/>
      <c r="G6" s="26"/>
      <c r="H6" s="44"/>
      <c r="I6" s="26"/>
      <c r="J6" s="46"/>
      <c r="K6" s="44"/>
      <c r="L6" s="26"/>
      <c r="M6" s="44"/>
      <c r="N6" s="44"/>
      <c r="O6" s="45" t="str">
        <f t="shared" si="0"/>
        <v/>
      </c>
      <c r="P6" s="30" t="str">
        <f t="shared" si="1"/>
        <v/>
      </c>
      <c r="Q6" s="45" t="str">
        <f t="shared" si="2"/>
        <v/>
      </c>
    </row>
    <row r="7" spans="1:17" ht="15" customHeight="1" x14ac:dyDescent="0.2">
      <c r="A7" s="26"/>
      <c r="B7" s="26"/>
      <c r="C7" s="46"/>
      <c r="D7" s="44"/>
      <c r="E7" s="26"/>
      <c r="F7" s="26"/>
      <c r="G7" s="26"/>
      <c r="H7" s="44"/>
      <c r="I7" s="26"/>
      <c r="J7" s="46"/>
      <c r="K7" s="44"/>
      <c r="L7" s="26"/>
      <c r="M7" s="44"/>
      <c r="N7" s="44"/>
      <c r="O7" s="45" t="str">
        <f t="shared" si="0"/>
        <v/>
      </c>
      <c r="P7" s="30" t="str">
        <f t="shared" si="1"/>
        <v/>
      </c>
      <c r="Q7" s="45" t="str">
        <f t="shared" si="2"/>
        <v/>
      </c>
    </row>
    <row r="8" spans="1:17" ht="15" customHeight="1" x14ac:dyDescent="0.2">
      <c r="A8" s="26"/>
      <c r="B8" s="26"/>
      <c r="C8" s="46"/>
      <c r="D8" s="44"/>
      <c r="E8" s="26"/>
      <c r="F8" s="26"/>
      <c r="G8" s="26"/>
      <c r="H8" s="44"/>
      <c r="I8" s="26"/>
      <c r="J8" s="46"/>
      <c r="K8" s="44"/>
      <c r="L8" s="26"/>
      <c r="M8" s="44"/>
      <c r="N8" s="44"/>
      <c r="O8" s="45" t="str">
        <f t="shared" si="0"/>
        <v/>
      </c>
      <c r="P8" s="30" t="str">
        <f t="shared" si="1"/>
        <v/>
      </c>
      <c r="Q8" s="45" t="str">
        <f t="shared" si="2"/>
        <v/>
      </c>
    </row>
    <row r="9" spans="1:17" ht="15" customHeight="1" x14ac:dyDescent="0.2">
      <c r="A9" s="26"/>
      <c r="B9" s="26"/>
      <c r="C9" s="46"/>
      <c r="D9" s="44"/>
      <c r="E9" s="26"/>
      <c r="F9" s="26"/>
      <c r="G9" s="26"/>
      <c r="H9" s="44"/>
      <c r="I9" s="26"/>
      <c r="J9" s="46"/>
      <c r="K9" s="44"/>
      <c r="L9" s="26"/>
      <c r="M9" s="44"/>
      <c r="N9" s="44"/>
      <c r="O9" s="45" t="str">
        <f t="shared" si="0"/>
        <v/>
      </c>
      <c r="P9" s="30" t="str">
        <f t="shared" si="1"/>
        <v/>
      </c>
      <c r="Q9" s="45" t="str">
        <f t="shared" si="2"/>
        <v/>
      </c>
    </row>
    <row r="10" spans="1:17" ht="15" customHeight="1" x14ac:dyDescent="0.2">
      <c r="A10" s="26"/>
      <c r="B10" s="26"/>
      <c r="C10" s="46"/>
      <c r="D10" s="44"/>
      <c r="E10" s="26"/>
      <c r="F10" s="26"/>
      <c r="G10" s="26"/>
      <c r="H10" s="44"/>
      <c r="I10" s="26"/>
      <c r="J10" s="46"/>
      <c r="K10" s="44"/>
      <c r="L10" s="26"/>
      <c r="M10" s="44"/>
      <c r="N10" s="44"/>
      <c r="O10" s="45" t="str">
        <f t="shared" si="0"/>
        <v/>
      </c>
      <c r="P10" s="30" t="str">
        <f t="shared" si="1"/>
        <v/>
      </c>
      <c r="Q10" s="45" t="str">
        <f t="shared" si="2"/>
        <v/>
      </c>
    </row>
    <row r="11" spans="1:17" ht="15" customHeight="1" x14ac:dyDescent="0.2">
      <c r="A11" s="26"/>
      <c r="B11" s="26"/>
      <c r="C11" s="46"/>
      <c r="D11" s="44"/>
      <c r="E11" s="26"/>
      <c r="F11" s="26"/>
      <c r="G11" s="26"/>
      <c r="H11" s="44"/>
      <c r="I11" s="26"/>
      <c r="J11" s="46"/>
      <c r="K11" s="44"/>
      <c r="L11" s="26"/>
      <c r="M11" s="44"/>
      <c r="N11" s="44"/>
      <c r="O11" s="45" t="str">
        <f t="shared" si="0"/>
        <v/>
      </c>
      <c r="P11" s="30" t="str">
        <f t="shared" si="1"/>
        <v/>
      </c>
      <c r="Q11" s="45" t="str">
        <f t="shared" si="2"/>
        <v/>
      </c>
    </row>
    <row r="12" spans="1:17" ht="15" customHeight="1" x14ac:dyDescent="0.2">
      <c r="A12" s="26"/>
      <c r="B12" s="26"/>
      <c r="C12" s="46"/>
      <c r="D12" s="44"/>
      <c r="E12" s="26"/>
      <c r="F12" s="26"/>
      <c r="G12" s="26"/>
      <c r="H12" s="44"/>
      <c r="I12" s="26"/>
      <c r="J12" s="46"/>
      <c r="K12" s="44"/>
      <c r="L12" s="26"/>
      <c r="M12" s="44"/>
      <c r="N12" s="44"/>
      <c r="O12" s="45" t="str">
        <f t="shared" si="0"/>
        <v/>
      </c>
      <c r="P12" s="30" t="str">
        <f t="shared" si="1"/>
        <v/>
      </c>
      <c r="Q12" s="45" t="str">
        <f t="shared" si="2"/>
        <v/>
      </c>
    </row>
    <row r="13" spans="1:17" ht="15" customHeight="1" x14ac:dyDescent="0.2">
      <c r="A13" s="26"/>
      <c r="B13" s="26"/>
      <c r="C13" s="46"/>
      <c r="D13" s="44"/>
      <c r="E13" s="26"/>
      <c r="F13" s="26"/>
      <c r="G13" s="26"/>
      <c r="H13" s="44"/>
      <c r="I13" s="26"/>
      <c r="J13" s="46"/>
      <c r="K13" s="44"/>
      <c r="L13" s="26"/>
      <c r="M13" s="44"/>
      <c r="N13" s="44"/>
      <c r="O13" s="45" t="str">
        <f t="shared" si="0"/>
        <v/>
      </c>
      <c r="P13" s="30" t="str">
        <f t="shared" si="1"/>
        <v/>
      </c>
      <c r="Q13" s="45" t="str">
        <f t="shared" si="2"/>
        <v/>
      </c>
    </row>
    <row r="14" spans="1:17" ht="15" customHeight="1" x14ac:dyDescent="0.2">
      <c r="A14" s="26"/>
      <c r="B14" s="26"/>
      <c r="C14" s="46"/>
      <c r="D14" s="44"/>
      <c r="E14" s="26"/>
      <c r="F14" s="26"/>
      <c r="G14" s="26"/>
      <c r="H14" s="44"/>
      <c r="I14" s="26"/>
      <c r="J14" s="46"/>
      <c r="K14" s="44"/>
      <c r="L14" s="26"/>
      <c r="M14" s="44"/>
      <c r="N14" s="44"/>
      <c r="O14" s="45" t="str">
        <f t="shared" si="0"/>
        <v/>
      </c>
      <c r="P14" s="30" t="str">
        <f t="shared" si="1"/>
        <v/>
      </c>
      <c r="Q14" s="45" t="str">
        <f t="shared" si="2"/>
        <v/>
      </c>
    </row>
    <row r="15" spans="1:17" ht="15" customHeight="1" x14ac:dyDescent="0.2">
      <c r="A15" s="26"/>
      <c r="B15" s="26"/>
      <c r="C15" s="46"/>
      <c r="D15" s="44"/>
      <c r="E15" s="26"/>
      <c r="F15" s="26"/>
      <c r="G15" s="26"/>
      <c r="H15" s="44"/>
      <c r="I15" s="26"/>
      <c r="J15" s="46"/>
      <c r="K15" s="44"/>
      <c r="L15" s="26"/>
      <c r="M15" s="44"/>
      <c r="N15" s="44"/>
      <c r="O15" s="45" t="str">
        <f t="shared" si="0"/>
        <v/>
      </c>
      <c r="P15" s="30" t="str">
        <f t="shared" si="1"/>
        <v/>
      </c>
      <c r="Q15" s="45" t="str">
        <f t="shared" si="2"/>
        <v/>
      </c>
    </row>
    <row r="16" spans="1:17" ht="15" customHeight="1" x14ac:dyDescent="0.2">
      <c r="A16" s="26"/>
      <c r="B16" s="26"/>
      <c r="C16" s="46"/>
      <c r="D16" s="44"/>
      <c r="E16" s="26"/>
      <c r="F16" s="26"/>
      <c r="G16" s="26"/>
      <c r="H16" s="44"/>
      <c r="I16" s="26"/>
      <c r="J16" s="46"/>
      <c r="K16" s="44"/>
      <c r="L16" s="26"/>
      <c r="M16" s="44"/>
      <c r="N16" s="44"/>
      <c r="O16" s="45" t="str">
        <f t="shared" si="0"/>
        <v/>
      </c>
      <c r="P16" s="30" t="str">
        <f t="shared" si="1"/>
        <v/>
      </c>
      <c r="Q16" s="45" t="str">
        <f t="shared" si="2"/>
        <v/>
      </c>
    </row>
    <row r="17" spans="1:17" ht="15" customHeight="1" x14ac:dyDescent="0.2">
      <c r="A17" s="26"/>
      <c r="B17" s="26"/>
      <c r="C17" s="46"/>
      <c r="D17" s="44"/>
      <c r="E17" s="26"/>
      <c r="F17" s="26"/>
      <c r="G17" s="26"/>
      <c r="H17" s="44"/>
      <c r="I17" s="26"/>
      <c r="J17" s="46"/>
      <c r="K17" s="44"/>
      <c r="L17" s="26"/>
      <c r="M17" s="44"/>
      <c r="N17" s="44"/>
      <c r="O17" s="45" t="str">
        <f t="shared" si="0"/>
        <v/>
      </c>
      <c r="P17" s="30" t="str">
        <f t="shared" si="1"/>
        <v/>
      </c>
      <c r="Q17" s="45" t="str">
        <f t="shared" si="2"/>
        <v/>
      </c>
    </row>
    <row r="18" spans="1:17" ht="15" customHeight="1" x14ac:dyDescent="0.2">
      <c r="A18" s="26"/>
      <c r="B18" s="26"/>
      <c r="C18" s="46"/>
      <c r="D18" s="44"/>
      <c r="E18" s="26"/>
      <c r="F18" s="26"/>
      <c r="G18" s="26"/>
      <c r="H18" s="44"/>
      <c r="I18" s="26"/>
      <c r="J18" s="46"/>
      <c r="K18" s="44"/>
      <c r="L18" s="26"/>
      <c r="M18" s="44"/>
      <c r="N18" s="44"/>
      <c r="O18" s="45" t="str">
        <f t="shared" si="0"/>
        <v/>
      </c>
      <c r="P18" s="30" t="str">
        <f t="shared" si="1"/>
        <v/>
      </c>
      <c r="Q18" s="45" t="str">
        <f t="shared" si="2"/>
        <v/>
      </c>
    </row>
    <row r="19" spans="1:17" ht="15" customHeight="1" x14ac:dyDescent="0.2">
      <c r="A19" s="26"/>
      <c r="B19" s="26"/>
      <c r="C19" s="46"/>
      <c r="D19" s="44"/>
      <c r="E19" s="26"/>
      <c r="F19" s="26"/>
      <c r="G19" s="26"/>
      <c r="H19" s="44"/>
      <c r="I19" s="26"/>
      <c r="J19" s="46"/>
      <c r="K19" s="44"/>
      <c r="L19" s="26"/>
      <c r="M19" s="44"/>
      <c r="N19" s="44"/>
      <c r="O19" s="45" t="str">
        <f t="shared" si="0"/>
        <v/>
      </c>
      <c r="P19" s="30" t="str">
        <f t="shared" si="1"/>
        <v/>
      </c>
      <c r="Q19" s="45" t="str">
        <f t="shared" si="2"/>
        <v/>
      </c>
    </row>
    <row r="20" spans="1:17" ht="15" customHeight="1" x14ac:dyDescent="0.2">
      <c r="A20" s="26"/>
      <c r="B20" s="26"/>
      <c r="C20" s="46"/>
      <c r="D20" s="44"/>
      <c r="E20" s="26"/>
      <c r="F20" s="26"/>
      <c r="G20" s="26"/>
      <c r="H20" s="44"/>
      <c r="I20" s="26"/>
      <c r="J20" s="46"/>
      <c r="K20" s="44"/>
      <c r="L20" s="26"/>
      <c r="M20" s="44"/>
      <c r="N20" s="44"/>
      <c r="O20" s="45" t="str">
        <f t="shared" si="0"/>
        <v/>
      </c>
      <c r="P20" s="30" t="str">
        <f t="shared" si="1"/>
        <v/>
      </c>
      <c r="Q20" s="45" t="str">
        <f t="shared" si="2"/>
        <v/>
      </c>
    </row>
    <row r="21" spans="1:17" ht="15" customHeight="1" x14ac:dyDescent="0.2">
      <c r="A21" s="26"/>
      <c r="B21" s="26"/>
      <c r="C21" s="46"/>
      <c r="D21" s="44"/>
      <c r="E21" s="26"/>
      <c r="F21" s="26"/>
      <c r="G21" s="26"/>
      <c r="H21" s="44"/>
      <c r="I21" s="26"/>
      <c r="J21" s="46"/>
      <c r="K21" s="44"/>
      <c r="L21" s="26"/>
      <c r="M21" s="44"/>
      <c r="N21" s="44"/>
      <c r="O21" s="45" t="str">
        <f t="shared" si="0"/>
        <v/>
      </c>
      <c r="P21" s="30" t="str">
        <f t="shared" si="1"/>
        <v/>
      </c>
      <c r="Q21" s="45" t="str">
        <f t="shared" si="2"/>
        <v/>
      </c>
    </row>
    <row r="22" spans="1:17" ht="15" customHeight="1" x14ac:dyDescent="0.2">
      <c r="A22" s="26"/>
      <c r="B22" s="26"/>
      <c r="C22" s="46"/>
      <c r="D22" s="44"/>
      <c r="E22" s="26"/>
      <c r="F22" s="26"/>
      <c r="G22" s="26"/>
      <c r="H22" s="44"/>
      <c r="I22" s="26"/>
      <c r="J22" s="46"/>
      <c r="K22" s="44"/>
      <c r="L22" s="26"/>
      <c r="M22" s="44"/>
      <c r="N22" s="44"/>
      <c r="O22" s="45" t="str">
        <f t="shared" si="0"/>
        <v/>
      </c>
      <c r="P22" s="30" t="str">
        <f t="shared" si="1"/>
        <v/>
      </c>
      <c r="Q22" s="45" t="str">
        <f t="shared" si="2"/>
        <v/>
      </c>
    </row>
    <row r="23" spans="1:17" ht="15" customHeight="1" x14ac:dyDescent="0.2">
      <c r="A23" s="26"/>
      <c r="B23" s="26"/>
      <c r="C23" s="46"/>
      <c r="D23" s="44"/>
      <c r="E23" s="26"/>
      <c r="F23" s="26"/>
      <c r="G23" s="26"/>
      <c r="H23" s="44"/>
      <c r="I23" s="26"/>
      <c r="J23" s="46"/>
      <c r="K23" s="44"/>
      <c r="L23" s="26"/>
      <c r="M23" s="44"/>
      <c r="N23" s="44"/>
      <c r="O23" s="45" t="str">
        <f t="shared" si="0"/>
        <v/>
      </c>
      <c r="P23" s="30" t="str">
        <f t="shared" si="1"/>
        <v/>
      </c>
      <c r="Q23" s="45" t="str">
        <f t="shared" si="2"/>
        <v/>
      </c>
    </row>
    <row r="24" spans="1:17" ht="15" customHeight="1" x14ac:dyDescent="0.2">
      <c r="A24" s="26"/>
      <c r="B24" s="26"/>
      <c r="C24" s="46"/>
      <c r="D24" s="44"/>
      <c r="E24" s="26"/>
      <c r="F24" s="26"/>
      <c r="G24" s="26"/>
      <c r="H24" s="44"/>
      <c r="I24" s="26"/>
      <c r="J24" s="46"/>
      <c r="K24" s="44"/>
      <c r="L24" s="26"/>
      <c r="M24" s="44"/>
      <c r="N24" s="44"/>
      <c r="O24" s="45" t="str">
        <f t="shared" si="0"/>
        <v/>
      </c>
      <c r="P24" s="30" t="str">
        <f t="shared" si="1"/>
        <v/>
      </c>
      <c r="Q24" s="45" t="str">
        <f t="shared" si="2"/>
        <v/>
      </c>
    </row>
    <row r="25" spans="1:17" ht="15" customHeight="1" x14ac:dyDescent="0.2">
      <c r="A25" s="26"/>
      <c r="B25" s="26"/>
      <c r="C25" s="46"/>
      <c r="D25" s="44"/>
      <c r="E25" s="26"/>
      <c r="F25" s="26"/>
      <c r="G25" s="26"/>
      <c r="H25" s="44"/>
      <c r="I25" s="26"/>
      <c r="J25" s="46"/>
      <c r="K25" s="44"/>
      <c r="L25" s="26"/>
      <c r="M25" s="44"/>
      <c r="N25" s="44"/>
      <c r="O25" s="45" t="str">
        <f t="shared" si="0"/>
        <v/>
      </c>
      <c r="P25" s="30" t="str">
        <f t="shared" si="1"/>
        <v/>
      </c>
      <c r="Q25" s="45" t="str">
        <f t="shared" si="2"/>
        <v/>
      </c>
    </row>
    <row r="26" spans="1:17" ht="15" customHeight="1" x14ac:dyDescent="0.2">
      <c r="A26" s="26"/>
      <c r="B26" s="26"/>
      <c r="C26" s="46"/>
      <c r="D26" s="44"/>
      <c r="E26" s="26"/>
      <c r="F26" s="26"/>
      <c r="G26" s="26"/>
      <c r="H26" s="44"/>
      <c r="I26" s="26"/>
      <c r="J26" s="46"/>
      <c r="K26" s="44"/>
      <c r="L26" s="26"/>
      <c r="M26" s="44"/>
      <c r="N26" s="44"/>
      <c r="O26" s="45" t="str">
        <f t="shared" si="0"/>
        <v/>
      </c>
      <c r="P26" s="30" t="str">
        <f t="shared" si="1"/>
        <v/>
      </c>
      <c r="Q26" s="45" t="str">
        <f t="shared" si="2"/>
        <v/>
      </c>
    </row>
    <row r="27" spans="1:17" ht="15" customHeight="1" x14ac:dyDescent="0.2">
      <c r="A27" s="26"/>
      <c r="B27" s="26"/>
      <c r="C27" s="46"/>
      <c r="D27" s="44"/>
      <c r="E27" s="26"/>
      <c r="F27" s="26"/>
      <c r="G27" s="26"/>
      <c r="H27" s="44"/>
      <c r="I27" s="26"/>
      <c r="J27" s="46"/>
      <c r="K27" s="44"/>
      <c r="L27" s="26"/>
      <c r="M27" s="44"/>
      <c r="N27" s="44"/>
      <c r="O27" s="45" t="str">
        <f t="shared" si="0"/>
        <v/>
      </c>
      <c r="P27" s="30" t="str">
        <f t="shared" si="1"/>
        <v/>
      </c>
      <c r="Q27" s="45" t="str">
        <f t="shared" si="2"/>
        <v/>
      </c>
    </row>
    <row r="28" spans="1:17" ht="15" customHeight="1" x14ac:dyDescent="0.2">
      <c r="A28" s="26"/>
      <c r="B28" s="26"/>
      <c r="C28" s="46"/>
      <c r="D28" s="44"/>
      <c r="E28" s="26"/>
      <c r="F28" s="26"/>
      <c r="G28" s="26"/>
      <c r="H28" s="44"/>
      <c r="I28" s="26"/>
      <c r="J28" s="46"/>
      <c r="K28" s="44"/>
      <c r="L28" s="26"/>
      <c r="M28" s="44"/>
      <c r="N28" s="44"/>
      <c r="O28" s="45" t="str">
        <f t="shared" si="0"/>
        <v/>
      </c>
      <c r="P28" s="30" t="str">
        <f t="shared" si="1"/>
        <v/>
      </c>
      <c r="Q28" s="45" t="str">
        <f t="shared" si="2"/>
        <v/>
      </c>
    </row>
    <row r="29" spans="1:17" ht="15" customHeight="1" x14ac:dyDescent="0.2">
      <c r="A29" s="26"/>
      <c r="B29" s="26"/>
      <c r="C29" s="46"/>
      <c r="D29" s="44"/>
      <c r="E29" s="26"/>
      <c r="F29" s="26"/>
      <c r="G29" s="26"/>
      <c r="H29" s="44"/>
      <c r="I29" s="26"/>
      <c r="J29" s="46"/>
      <c r="K29" s="44"/>
      <c r="L29" s="26"/>
      <c r="M29" s="44"/>
      <c r="N29" s="44"/>
      <c r="O29" s="45" t="str">
        <f t="shared" si="0"/>
        <v/>
      </c>
      <c r="P29" s="30" t="str">
        <f t="shared" si="1"/>
        <v/>
      </c>
      <c r="Q29" s="45" t="str">
        <f t="shared" si="2"/>
        <v/>
      </c>
    </row>
    <row r="30" spans="1:17" ht="15" customHeight="1" x14ac:dyDescent="0.2">
      <c r="A30" s="26"/>
      <c r="B30" s="26"/>
      <c r="C30" s="46"/>
      <c r="D30" s="44"/>
      <c r="E30" s="26"/>
      <c r="F30" s="26"/>
      <c r="G30" s="26"/>
      <c r="H30" s="44"/>
      <c r="I30" s="26"/>
      <c r="J30" s="46"/>
      <c r="K30" s="44"/>
      <c r="L30" s="26"/>
      <c r="M30" s="44"/>
      <c r="N30" s="44"/>
      <c r="O30" s="45" t="str">
        <f t="shared" si="0"/>
        <v/>
      </c>
      <c r="P30" s="30" t="str">
        <f t="shared" si="1"/>
        <v/>
      </c>
      <c r="Q30" s="45" t="str">
        <f t="shared" si="2"/>
        <v/>
      </c>
    </row>
    <row r="31" spans="1:17" ht="15" customHeight="1" x14ac:dyDescent="0.2">
      <c r="A31" s="26"/>
      <c r="B31" s="26"/>
      <c r="C31" s="46"/>
      <c r="D31" s="44"/>
      <c r="E31" s="26"/>
      <c r="F31" s="26"/>
      <c r="G31" s="26"/>
      <c r="H31" s="44"/>
      <c r="I31" s="26"/>
      <c r="J31" s="46"/>
      <c r="K31" s="44"/>
      <c r="L31" s="26"/>
      <c r="M31" s="44"/>
      <c r="N31" s="44"/>
      <c r="O31" s="45" t="str">
        <f t="shared" si="0"/>
        <v/>
      </c>
      <c r="P31" s="30" t="str">
        <f t="shared" si="1"/>
        <v/>
      </c>
      <c r="Q31" s="45" t="str">
        <f t="shared" si="2"/>
        <v/>
      </c>
    </row>
    <row r="32" spans="1:17" ht="15" customHeight="1" x14ac:dyDescent="0.2">
      <c r="A32" s="26"/>
      <c r="B32" s="26"/>
      <c r="C32" s="46"/>
      <c r="D32" s="44"/>
      <c r="E32" s="26"/>
      <c r="F32" s="26"/>
      <c r="G32" s="26"/>
      <c r="H32" s="44"/>
      <c r="I32" s="26"/>
      <c r="J32" s="46"/>
      <c r="K32" s="44"/>
      <c r="L32" s="26"/>
      <c r="M32" s="44"/>
      <c r="N32" s="44"/>
      <c r="O32" s="45" t="str">
        <f t="shared" si="0"/>
        <v/>
      </c>
      <c r="P32" s="30" t="str">
        <f t="shared" si="1"/>
        <v/>
      </c>
      <c r="Q32" s="45" t="str">
        <f t="shared" si="2"/>
        <v/>
      </c>
    </row>
    <row r="34" spans="1:17" ht="14.25" customHeight="1" x14ac:dyDescent="0.2">
      <c r="A34" s="90" t="s">
        <v>445</v>
      </c>
      <c r="B34" s="90"/>
      <c r="C34" s="90"/>
      <c r="D34" s="90"/>
      <c r="E34" s="90"/>
      <c r="F34" s="90"/>
      <c r="G34" s="90"/>
      <c r="H34" s="90"/>
      <c r="I34" s="90"/>
      <c r="J34" s="90"/>
      <c r="K34" s="90"/>
      <c r="L34" s="90"/>
      <c r="M34" s="90"/>
      <c r="N34" s="90"/>
      <c r="O34" s="90"/>
      <c r="P34" s="90"/>
      <c r="Q34" s="90"/>
    </row>
  </sheetData>
  <mergeCells count="2">
    <mergeCell ref="A1:Q1"/>
    <mergeCell ref="A34:Q34"/>
  </mergeCells>
  <conditionalFormatting sqref="Q3:Q32">
    <cfRule type="cellIs" dxfId="1" priority="2" operator="greaterThan">
      <formula>0</formula>
    </cfRule>
    <cfRule type="cellIs" dxfId="0" priority="3"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02"/>
  <sheetViews>
    <sheetView showGridLines="0" zoomScaleNormal="100" workbookViewId="0">
      <pane ySplit="2" topLeftCell="A3" activePane="bottomLeft" state="frozen"/>
      <selection pane="bottomLeft" activeCell="F14" sqref="F14"/>
    </sheetView>
  </sheetViews>
  <sheetFormatPr baseColWidth="10" defaultColWidth="8.6640625" defaultRowHeight="15" x14ac:dyDescent="0.2"/>
  <cols>
    <col min="1" max="1" width="13" style="87" customWidth="1"/>
    <col min="2" max="2" width="17.33203125" style="87" customWidth="1"/>
    <col min="3" max="3" width="100" customWidth="1"/>
  </cols>
  <sheetData>
    <row r="1" spans="1:3" ht="27.75" customHeight="1" x14ac:dyDescent="0.2">
      <c r="A1" s="2" t="s">
        <v>446</v>
      </c>
      <c r="B1" s="2"/>
      <c r="C1" s="2"/>
    </row>
    <row r="2" spans="1:3" ht="18" customHeight="1" x14ac:dyDescent="0.2">
      <c r="A2" s="21" t="s">
        <v>374</v>
      </c>
      <c r="B2" s="21" t="s">
        <v>71</v>
      </c>
      <c r="C2" s="21" t="s">
        <v>172</v>
      </c>
    </row>
    <row r="3" spans="1:3" ht="22.5" customHeight="1" x14ac:dyDescent="0.2">
      <c r="A3" s="50">
        <v>46241</v>
      </c>
      <c r="B3" s="63" t="s">
        <v>140</v>
      </c>
      <c r="C3" s="88" t="s">
        <v>447</v>
      </c>
    </row>
    <row r="4" spans="1:3" ht="22.5" customHeight="1" x14ac:dyDescent="0.2">
      <c r="A4" s="50">
        <v>46241</v>
      </c>
      <c r="B4" s="63" t="s">
        <v>143</v>
      </c>
      <c r="C4" s="88" t="s">
        <v>448</v>
      </c>
    </row>
    <row r="5" spans="1:3" ht="22.5" customHeight="1" x14ac:dyDescent="0.2">
      <c r="A5" s="50">
        <v>46241</v>
      </c>
      <c r="B5" s="63" t="s">
        <v>151</v>
      </c>
      <c r="C5" s="88" t="s">
        <v>449</v>
      </c>
    </row>
    <row r="6" spans="1:3" ht="34.5" customHeight="1" x14ac:dyDescent="0.2">
      <c r="A6" s="50">
        <v>46241</v>
      </c>
      <c r="B6" s="63" t="s">
        <v>130</v>
      </c>
      <c r="C6" s="88" t="s">
        <v>450</v>
      </c>
    </row>
    <row r="7" spans="1:3" ht="22.5" customHeight="1" x14ac:dyDescent="0.2">
      <c r="A7" s="50">
        <v>46241</v>
      </c>
      <c r="B7" s="63" t="s">
        <v>451</v>
      </c>
      <c r="C7" s="88" t="s">
        <v>452</v>
      </c>
    </row>
    <row r="8" spans="1:3" ht="22.5" customHeight="1" x14ac:dyDescent="0.2">
      <c r="A8" s="50">
        <v>46241</v>
      </c>
      <c r="B8" s="63" t="s">
        <v>451</v>
      </c>
      <c r="C8" s="88" t="s">
        <v>453</v>
      </c>
    </row>
    <row r="9" spans="1:3" ht="22.5" customHeight="1" x14ac:dyDescent="0.2">
      <c r="A9" s="50">
        <v>46241</v>
      </c>
      <c r="B9" s="63" t="s">
        <v>454</v>
      </c>
      <c r="C9" s="88" t="s">
        <v>455</v>
      </c>
    </row>
    <row r="10" spans="1:3" ht="22.5" customHeight="1" x14ac:dyDescent="0.2">
      <c r="A10" s="50">
        <v>46241</v>
      </c>
      <c r="B10" s="63" t="s">
        <v>456</v>
      </c>
      <c r="C10" s="88" t="s">
        <v>457</v>
      </c>
    </row>
    <row r="11" spans="1:3" ht="22.5" customHeight="1" x14ac:dyDescent="0.2">
      <c r="A11" s="50">
        <v>46241</v>
      </c>
      <c r="B11" s="63" t="s">
        <v>135</v>
      </c>
      <c r="C11" s="88" t="s">
        <v>458</v>
      </c>
    </row>
    <row r="12" spans="1:3" ht="69" customHeight="1" x14ac:dyDescent="0.2">
      <c r="A12" s="50">
        <v>46272</v>
      </c>
      <c r="B12" s="63" t="s">
        <v>459</v>
      </c>
      <c r="C12" s="88" t="s">
        <v>460</v>
      </c>
    </row>
    <row r="13" spans="1:3" ht="57" customHeight="1" x14ac:dyDescent="0.2">
      <c r="A13" s="50">
        <v>46295</v>
      </c>
      <c r="B13" s="63" t="s">
        <v>461</v>
      </c>
      <c r="C13" s="88" t="s">
        <v>462</v>
      </c>
    </row>
    <row r="14" spans="1:3" ht="57" customHeight="1" x14ac:dyDescent="0.2">
      <c r="A14" s="50">
        <v>46302</v>
      </c>
      <c r="B14" s="63" t="s">
        <v>463</v>
      </c>
      <c r="C14" s="88" t="s">
        <v>464</v>
      </c>
    </row>
    <row r="15" spans="1:3" ht="57" customHeight="1" x14ac:dyDescent="0.2">
      <c r="A15" s="50">
        <v>46320</v>
      </c>
      <c r="B15" s="63" t="s">
        <v>465</v>
      </c>
      <c r="C15" s="88" t="s">
        <v>466</v>
      </c>
    </row>
    <row r="16" spans="1:3" ht="34.5" customHeight="1" x14ac:dyDescent="0.2">
      <c r="A16" s="50">
        <v>46333</v>
      </c>
      <c r="B16" s="63" t="s">
        <v>467</v>
      </c>
      <c r="C16" s="88" t="s">
        <v>468</v>
      </c>
    </row>
    <row r="17" spans="1:3" ht="22.5" customHeight="1" x14ac:dyDescent="0.2">
      <c r="A17" s="50">
        <v>46387</v>
      </c>
      <c r="B17" s="63" t="s">
        <v>469</v>
      </c>
      <c r="C17" s="88" t="s">
        <v>470</v>
      </c>
    </row>
    <row r="18" spans="1:3" ht="34.5" customHeight="1" x14ac:dyDescent="0.2">
      <c r="A18" s="50">
        <v>46412</v>
      </c>
      <c r="B18" s="63" t="s">
        <v>471</v>
      </c>
      <c r="C18" s="88" t="s">
        <v>472</v>
      </c>
    </row>
    <row r="19" spans="1:3" ht="15" customHeight="1" x14ac:dyDescent="0.2">
      <c r="A19" s="50">
        <v>46252</v>
      </c>
      <c r="B19" s="63" t="s">
        <v>473</v>
      </c>
      <c r="C19" s="88" t="s">
        <v>474</v>
      </c>
    </row>
    <row r="20" spans="1:3" ht="15" customHeight="1" x14ac:dyDescent="0.2">
      <c r="A20" s="50"/>
      <c r="B20" s="63"/>
      <c r="C20" s="88"/>
    </row>
    <row r="21" spans="1:3" ht="15" customHeight="1" x14ac:dyDescent="0.2">
      <c r="A21" s="50"/>
      <c r="B21" s="63"/>
      <c r="C21" s="88"/>
    </row>
    <row r="22" spans="1:3" ht="15" customHeight="1" x14ac:dyDescent="0.2">
      <c r="A22" s="50"/>
      <c r="B22" s="63"/>
      <c r="C22" s="88"/>
    </row>
    <row r="23" spans="1:3" ht="15" customHeight="1" x14ac:dyDescent="0.2">
      <c r="A23" s="50"/>
      <c r="B23" s="63"/>
      <c r="C23" s="88"/>
    </row>
    <row r="24" spans="1:3" ht="15" customHeight="1" x14ac:dyDescent="0.2">
      <c r="A24" s="50"/>
      <c r="B24" s="63"/>
      <c r="C24" s="88"/>
    </row>
    <row r="25" spans="1:3" ht="15" customHeight="1" x14ac:dyDescent="0.2">
      <c r="A25" s="50"/>
      <c r="B25" s="63"/>
      <c r="C25" s="88"/>
    </row>
    <row r="26" spans="1:3" ht="15" customHeight="1" x14ac:dyDescent="0.2">
      <c r="A26" s="50"/>
      <c r="B26" s="63"/>
      <c r="C26" s="88"/>
    </row>
    <row r="27" spans="1:3" ht="15" customHeight="1" x14ac:dyDescent="0.2">
      <c r="A27" s="50"/>
      <c r="B27" s="63"/>
      <c r="C27" s="88"/>
    </row>
    <row r="28" spans="1:3" ht="15" customHeight="1" x14ac:dyDescent="0.2">
      <c r="A28" s="50"/>
      <c r="B28" s="63"/>
      <c r="C28" s="88"/>
    </row>
    <row r="29" spans="1:3" ht="15" customHeight="1" x14ac:dyDescent="0.2">
      <c r="A29" s="50"/>
      <c r="B29" s="63"/>
      <c r="C29" s="88"/>
    </row>
    <row r="30" spans="1:3" ht="15" customHeight="1" x14ac:dyDescent="0.2">
      <c r="A30" s="50"/>
      <c r="B30" s="63"/>
      <c r="C30" s="88"/>
    </row>
    <row r="31" spans="1:3" ht="15" customHeight="1" x14ac:dyDescent="0.2">
      <c r="A31" s="50"/>
      <c r="B31" s="63"/>
      <c r="C31" s="88"/>
    </row>
    <row r="32" spans="1:3" ht="15" customHeight="1" x14ac:dyDescent="0.2">
      <c r="A32" s="50"/>
      <c r="B32" s="63"/>
      <c r="C32" s="88"/>
    </row>
    <row r="33" spans="1:3" ht="15" customHeight="1" x14ac:dyDescent="0.2">
      <c r="A33" s="50"/>
      <c r="B33" s="63"/>
      <c r="C33" s="88"/>
    </row>
    <row r="34" spans="1:3" ht="15" customHeight="1" x14ac:dyDescent="0.2">
      <c r="A34" s="50"/>
      <c r="B34" s="63"/>
      <c r="C34" s="88"/>
    </row>
    <row r="35" spans="1:3" ht="15" customHeight="1" x14ac:dyDescent="0.2">
      <c r="A35" s="50"/>
      <c r="B35" s="63"/>
      <c r="C35" s="88"/>
    </row>
    <row r="36" spans="1:3" ht="15" customHeight="1" x14ac:dyDescent="0.2">
      <c r="A36" s="50"/>
      <c r="B36" s="63"/>
      <c r="C36" s="88"/>
    </row>
    <row r="37" spans="1:3" ht="15" customHeight="1" x14ac:dyDescent="0.2">
      <c r="A37" s="50"/>
      <c r="B37" s="63"/>
      <c r="C37" s="88"/>
    </row>
    <row r="38" spans="1:3" ht="15" customHeight="1" x14ac:dyDescent="0.2">
      <c r="A38" s="50"/>
      <c r="B38" s="63"/>
      <c r="C38" s="88"/>
    </row>
    <row r="39" spans="1:3" ht="15" customHeight="1" x14ac:dyDescent="0.2">
      <c r="A39" s="50"/>
      <c r="B39" s="63"/>
      <c r="C39" s="88"/>
    </row>
    <row r="40" spans="1:3" ht="15" customHeight="1" x14ac:dyDescent="0.2">
      <c r="A40" s="50"/>
      <c r="B40" s="63"/>
      <c r="C40" s="88"/>
    </row>
    <row r="41" spans="1:3" ht="15" customHeight="1" x14ac:dyDescent="0.2">
      <c r="A41" s="50"/>
      <c r="B41" s="63"/>
      <c r="C41" s="88"/>
    </row>
    <row r="42" spans="1:3" ht="15" customHeight="1" x14ac:dyDescent="0.2">
      <c r="A42" s="50"/>
      <c r="B42" s="63"/>
      <c r="C42" s="88"/>
    </row>
    <row r="43" spans="1:3" ht="15" customHeight="1" x14ac:dyDescent="0.2">
      <c r="A43" s="50"/>
      <c r="B43" s="63"/>
      <c r="C43" s="88"/>
    </row>
    <row r="44" spans="1:3" ht="15" customHeight="1" x14ac:dyDescent="0.2">
      <c r="A44" s="50"/>
      <c r="B44" s="63"/>
      <c r="C44" s="88"/>
    </row>
    <row r="45" spans="1:3" ht="15" customHeight="1" x14ac:dyDescent="0.2">
      <c r="A45" s="50"/>
      <c r="B45" s="63"/>
      <c r="C45" s="88"/>
    </row>
    <row r="46" spans="1:3" ht="15" customHeight="1" x14ac:dyDescent="0.2">
      <c r="A46" s="50"/>
      <c r="B46" s="63"/>
      <c r="C46" s="88"/>
    </row>
    <row r="47" spans="1:3" ht="15" customHeight="1" x14ac:dyDescent="0.2">
      <c r="A47" s="50"/>
      <c r="B47" s="63"/>
      <c r="C47" s="88"/>
    </row>
    <row r="48" spans="1:3" ht="15" customHeight="1" x14ac:dyDescent="0.2">
      <c r="A48" s="50"/>
      <c r="B48" s="63"/>
      <c r="C48" s="88"/>
    </row>
    <row r="49" spans="1:3" ht="15" customHeight="1" x14ac:dyDescent="0.2">
      <c r="A49" s="50"/>
      <c r="B49" s="63"/>
      <c r="C49" s="88"/>
    </row>
    <row r="50" spans="1:3" ht="15" customHeight="1" x14ac:dyDescent="0.2">
      <c r="A50" s="50"/>
      <c r="B50" s="63"/>
      <c r="C50" s="88"/>
    </row>
    <row r="51" spans="1:3" ht="15" customHeight="1" x14ac:dyDescent="0.2">
      <c r="A51" s="50"/>
      <c r="B51" s="63"/>
      <c r="C51" s="88"/>
    </row>
    <row r="52" spans="1:3" ht="15" customHeight="1" x14ac:dyDescent="0.2">
      <c r="A52" s="50"/>
      <c r="B52" s="63"/>
      <c r="C52" s="88"/>
    </row>
    <row r="53" spans="1:3" ht="15" customHeight="1" x14ac:dyDescent="0.2">
      <c r="A53" s="50"/>
      <c r="B53" s="63"/>
      <c r="C53" s="88"/>
    </row>
    <row r="54" spans="1:3" ht="15" customHeight="1" x14ac:dyDescent="0.2">
      <c r="A54" s="50"/>
      <c r="B54" s="63"/>
      <c r="C54" s="88"/>
    </row>
    <row r="55" spans="1:3" ht="15" customHeight="1" x14ac:dyDescent="0.2">
      <c r="A55" s="50"/>
      <c r="B55" s="63"/>
      <c r="C55" s="88"/>
    </row>
    <row r="56" spans="1:3" ht="15" customHeight="1" x14ac:dyDescent="0.2">
      <c r="A56" s="50"/>
      <c r="B56" s="63"/>
      <c r="C56" s="88"/>
    </row>
    <row r="57" spans="1:3" ht="15" customHeight="1" x14ac:dyDescent="0.2">
      <c r="A57" s="50"/>
      <c r="B57" s="63"/>
      <c r="C57" s="88"/>
    </row>
    <row r="58" spans="1:3" ht="15" customHeight="1" x14ac:dyDescent="0.2">
      <c r="A58" s="50"/>
      <c r="B58" s="63"/>
      <c r="C58" s="88"/>
    </row>
    <row r="59" spans="1:3" ht="15" customHeight="1" x14ac:dyDescent="0.2">
      <c r="A59" s="50"/>
      <c r="B59" s="63"/>
      <c r="C59" s="88"/>
    </row>
    <row r="60" spans="1:3" ht="15" customHeight="1" x14ac:dyDescent="0.2">
      <c r="A60" s="50"/>
      <c r="B60" s="63"/>
      <c r="C60" s="88"/>
    </row>
    <row r="61" spans="1:3" ht="15" customHeight="1" x14ac:dyDescent="0.2">
      <c r="A61" s="50"/>
      <c r="B61" s="63"/>
      <c r="C61" s="88"/>
    </row>
    <row r="62" spans="1:3" ht="15" customHeight="1" x14ac:dyDescent="0.2">
      <c r="A62" s="50"/>
      <c r="B62" s="63"/>
      <c r="C62" s="88"/>
    </row>
    <row r="63" spans="1:3" ht="15" customHeight="1" x14ac:dyDescent="0.2">
      <c r="A63" s="50"/>
      <c r="B63" s="63"/>
      <c r="C63" s="88"/>
    </row>
    <row r="64" spans="1:3" ht="15" customHeight="1" x14ac:dyDescent="0.2">
      <c r="A64" s="50"/>
      <c r="B64" s="63"/>
      <c r="C64" s="88"/>
    </row>
    <row r="65" spans="1:3" ht="15" customHeight="1" x14ac:dyDescent="0.2">
      <c r="A65" s="50"/>
      <c r="B65" s="63"/>
      <c r="C65" s="88"/>
    </row>
    <row r="66" spans="1:3" ht="15" customHeight="1" x14ac:dyDescent="0.2">
      <c r="A66" s="50"/>
      <c r="B66" s="63"/>
      <c r="C66" s="88"/>
    </row>
    <row r="67" spans="1:3" ht="15" customHeight="1" x14ac:dyDescent="0.2">
      <c r="A67" s="50"/>
      <c r="B67" s="63"/>
      <c r="C67" s="88"/>
    </row>
    <row r="68" spans="1:3" ht="15" customHeight="1" x14ac:dyDescent="0.2">
      <c r="A68" s="50"/>
      <c r="B68" s="63"/>
      <c r="C68" s="88"/>
    </row>
    <row r="69" spans="1:3" ht="15" customHeight="1" x14ac:dyDescent="0.2">
      <c r="A69" s="50"/>
      <c r="B69" s="63"/>
      <c r="C69" s="88"/>
    </row>
    <row r="70" spans="1:3" ht="15" customHeight="1" x14ac:dyDescent="0.2">
      <c r="A70" s="50"/>
      <c r="B70" s="63"/>
      <c r="C70" s="88"/>
    </row>
    <row r="71" spans="1:3" ht="15" customHeight="1" x14ac:dyDescent="0.2">
      <c r="A71" s="50"/>
      <c r="B71" s="63"/>
      <c r="C71" s="88"/>
    </row>
    <row r="72" spans="1:3" ht="15" customHeight="1" x14ac:dyDescent="0.2">
      <c r="A72" s="50"/>
      <c r="B72" s="63"/>
      <c r="C72" s="88"/>
    </row>
    <row r="73" spans="1:3" ht="15" customHeight="1" x14ac:dyDescent="0.2">
      <c r="A73" s="50"/>
      <c r="B73" s="63"/>
      <c r="C73" s="88"/>
    </row>
    <row r="74" spans="1:3" ht="15" customHeight="1" x14ac:dyDescent="0.2">
      <c r="A74" s="50"/>
      <c r="B74" s="63"/>
      <c r="C74" s="88"/>
    </row>
    <row r="75" spans="1:3" ht="15" customHeight="1" x14ac:dyDescent="0.2">
      <c r="A75" s="50"/>
      <c r="B75" s="63"/>
      <c r="C75" s="88"/>
    </row>
    <row r="76" spans="1:3" ht="15" customHeight="1" x14ac:dyDescent="0.2">
      <c r="A76" s="50"/>
      <c r="B76" s="63"/>
      <c r="C76" s="88"/>
    </row>
    <row r="77" spans="1:3" ht="15" customHeight="1" x14ac:dyDescent="0.2">
      <c r="A77" s="50"/>
      <c r="B77" s="63"/>
      <c r="C77" s="88"/>
    </row>
    <row r="78" spans="1:3" ht="15" customHeight="1" x14ac:dyDescent="0.2">
      <c r="A78" s="50"/>
      <c r="B78" s="63"/>
      <c r="C78" s="88"/>
    </row>
    <row r="79" spans="1:3" ht="15" customHeight="1" x14ac:dyDescent="0.2">
      <c r="A79" s="50"/>
      <c r="B79" s="63"/>
      <c r="C79" s="88"/>
    </row>
    <row r="80" spans="1:3" ht="15" customHeight="1" x14ac:dyDescent="0.2">
      <c r="A80" s="50"/>
      <c r="B80" s="63"/>
      <c r="C80" s="88"/>
    </row>
    <row r="81" spans="1:3" ht="15" customHeight="1" x14ac:dyDescent="0.2">
      <c r="A81" s="50"/>
      <c r="B81" s="63"/>
      <c r="C81" s="88"/>
    </row>
    <row r="82" spans="1:3" ht="15" customHeight="1" x14ac:dyDescent="0.2">
      <c r="A82" s="50"/>
      <c r="B82" s="63"/>
      <c r="C82" s="88"/>
    </row>
    <row r="83" spans="1:3" ht="15" customHeight="1" x14ac:dyDescent="0.2">
      <c r="A83" s="50"/>
      <c r="B83" s="63"/>
      <c r="C83" s="88"/>
    </row>
    <row r="84" spans="1:3" ht="15" customHeight="1" x14ac:dyDescent="0.2">
      <c r="A84" s="50"/>
      <c r="B84" s="63"/>
      <c r="C84" s="88"/>
    </row>
    <row r="85" spans="1:3" ht="15" customHeight="1" x14ac:dyDescent="0.2">
      <c r="A85" s="50"/>
      <c r="B85" s="63"/>
      <c r="C85" s="88"/>
    </row>
    <row r="86" spans="1:3" ht="15" customHeight="1" x14ac:dyDescent="0.2">
      <c r="A86" s="50"/>
      <c r="B86" s="63"/>
      <c r="C86" s="88"/>
    </row>
    <row r="87" spans="1:3" ht="15" customHeight="1" x14ac:dyDescent="0.2">
      <c r="A87" s="50"/>
      <c r="B87" s="63"/>
      <c r="C87" s="88"/>
    </row>
    <row r="88" spans="1:3" ht="15" customHeight="1" x14ac:dyDescent="0.2">
      <c r="A88" s="50"/>
      <c r="B88" s="63"/>
      <c r="C88" s="88"/>
    </row>
    <row r="89" spans="1:3" ht="15" customHeight="1" x14ac:dyDescent="0.2">
      <c r="A89" s="50"/>
      <c r="B89" s="63"/>
      <c r="C89" s="88"/>
    </row>
    <row r="90" spans="1:3" ht="15" customHeight="1" x14ac:dyDescent="0.2">
      <c r="A90" s="50"/>
      <c r="B90" s="63"/>
      <c r="C90" s="88"/>
    </row>
    <row r="91" spans="1:3" ht="15" customHeight="1" x14ac:dyDescent="0.2">
      <c r="A91" s="50"/>
      <c r="B91" s="63"/>
      <c r="C91" s="88"/>
    </row>
    <row r="92" spans="1:3" ht="15" customHeight="1" x14ac:dyDescent="0.2">
      <c r="A92" s="50"/>
      <c r="B92" s="63"/>
      <c r="C92" s="88"/>
    </row>
    <row r="93" spans="1:3" ht="15" customHeight="1" x14ac:dyDescent="0.2">
      <c r="A93" s="50"/>
      <c r="B93" s="63"/>
      <c r="C93" s="88"/>
    </row>
    <row r="94" spans="1:3" ht="15" customHeight="1" x14ac:dyDescent="0.2">
      <c r="A94" s="50"/>
      <c r="B94" s="63"/>
      <c r="C94" s="88"/>
    </row>
    <row r="95" spans="1:3" ht="15" customHeight="1" x14ac:dyDescent="0.2">
      <c r="A95" s="50"/>
      <c r="B95" s="63"/>
      <c r="C95" s="88"/>
    </row>
    <row r="96" spans="1:3" ht="15" customHeight="1" x14ac:dyDescent="0.2">
      <c r="A96" s="50"/>
      <c r="B96" s="63"/>
      <c r="C96" s="88"/>
    </row>
    <row r="97" spans="1:3" ht="15" customHeight="1" x14ac:dyDescent="0.2">
      <c r="A97" s="50"/>
      <c r="B97" s="63"/>
      <c r="C97" s="88"/>
    </row>
    <row r="98" spans="1:3" ht="15" customHeight="1" x14ac:dyDescent="0.2">
      <c r="A98" s="50"/>
      <c r="B98" s="63"/>
      <c r="C98" s="88"/>
    </row>
    <row r="99" spans="1:3" ht="15" customHeight="1" x14ac:dyDescent="0.2">
      <c r="A99" s="50"/>
      <c r="B99" s="63"/>
      <c r="C99" s="88"/>
    </row>
    <row r="100" spans="1:3" ht="15" customHeight="1" x14ac:dyDescent="0.2">
      <c r="A100" s="50"/>
      <c r="B100" s="63"/>
      <c r="C100" s="88"/>
    </row>
    <row r="101" spans="1:3" ht="15" customHeight="1" x14ac:dyDescent="0.2">
      <c r="A101" s="50"/>
      <c r="B101" s="63"/>
      <c r="C101" s="88"/>
    </row>
    <row r="102" spans="1:3" ht="15" customHeight="1" x14ac:dyDescent="0.2">
      <c r="A102" s="50"/>
      <c r="B102" s="63"/>
      <c r="C102" s="88"/>
    </row>
    <row r="103" spans="1:3" ht="15" customHeight="1" x14ac:dyDescent="0.2">
      <c r="A103" s="50"/>
      <c r="B103" s="63"/>
      <c r="C103" s="88"/>
    </row>
    <row r="104" spans="1:3" ht="15" customHeight="1" x14ac:dyDescent="0.2">
      <c r="A104" s="50"/>
      <c r="B104" s="63"/>
      <c r="C104" s="88"/>
    </row>
    <row r="105" spans="1:3" ht="15" customHeight="1" x14ac:dyDescent="0.2">
      <c r="A105" s="50"/>
      <c r="B105" s="63"/>
      <c r="C105" s="88"/>
    </row>
    <row r="106" spans="1:3" ht="15" customHeight="1" x14ac:dyDescent="0.2">
      <c r="A106" s="50"/>
      <c r="B106" s="63"/>
      <c r="C106" s="88"/>
    </row>
    <row r="107" spans="1:3" ht="15" customHeight="1" x14ac:dyDescent="0.2">
      <c r="A107" s="50"/>
      <c r="B107" s="63"/>
      <c r="C107" s="88"/>
    </row>
    <row r="108" spans="1:3" ht="15" customHeight="1" x14ac:dyDescent="0.2">
      <c r="A108" s="50"/>
      <c r="B108" s="63"/>
      <c r="C108" s="88"/>
    </row>
    <row r="109" spans="1:3" ht="15" customHeight="1" x14ac:dyDescent="0.2">
      <c r="A109" s="50"/>
      <c r="B109" s="63"/>
      <c r="C109" s="88"/>
    </row>
    <row r="110" spans="1:3" ht="15" customHeight="1" x14ac:dyDescent="0.2">
      <c r="A110" s="50"/>
      <c r="B110" s="63"/>
      <c r="C110" s="88"/>
    </row>
    <row r="111" spans="1:3" ht="15" customHeight="1" x14ac:dyDescent="0.2">
      <c r="A111" s="50"/>
      <c r="B111" s="63"/>
      <c r="C111" s="88"/>
    </row>
    <row r="112" spans="1:3" ht="15" customHeight="1" x14ac:dyDescent="0.2">
      <c r="A112" s="50"/>
      <c r="B112" s="63"/>
      <c r="C112" s="88"/>
    </row>
    <row r="113" spans="1:3" ht="15" customHeight="1" x14ac:dyDescent="0.2">
      <c r="A113" s="50"/>
      <c r="B113" s="63"/>
      <c r="C113" s="88"/>
    </row>
    <row r="114" spans="1:3" ht="15" customHeight="1" x14ac:dyDescent="0.2">
      <c r="A114" s="50"/>
      <c r="B114" s="63"/>
      <c r="C114" s="88"/>
    </row>
    <row r="115" spans="1:3" ht="15" customHeight="1" x14ac:dyDescent="0.2">
      <c r="A115" s="50"/>
      <c r="B115" s="63"/>
      <c r="C115" s="88"/>
    </row>
    <row r="116" spans="1:3" ht="15" customHeight="1" x14ac:dyDescent="0.2">
      <c r="A116" s="50"/>
      <c r="B116" s="63"/>
      <c r="C116" s="88"/>
    </row>
    <row r="117" spans="1:3" ht="15" customHeight="1" x14ac:dyDescent="0.2">
      <c r="A117" s="50"/>
      <c r="B117" s="63"/>
      <c r="C117" s="88"/>
    </row>
    <row r="118" spans="1:3" ht="15" customHeight="1" x14ac:dyDescent="0.2">
      <c r="A118" s="50"/>
      <c r="B118" s="63"/>
      <c r="C118" s="88"/>
    </row>
    <row r="119" spans="1:3" ht="15" customHeight="1" x14ac:dyDescent="0.2">
      <c r="A119" s="50"/>
      <c r="B119" s="63"/>
      <c r="C119" s="88"/>
    </row>
    <row r="120" spans="1:3" ht="15" customHeight="1" x14ac:dyDescent="0.2">
      <c r="A120" s="50"/>
      <c r="B120" s="63"/>
      <c r="C120" s="88"/>
    </row>
    <row r="121" spans="1:3" ht="15" customHeight="1" x14ac:dyDescent="0.2">
      <c r="A121" s="50"/>
      <c r="B121" s="63"/>
      <c r="C121" s="88"/>
    </row>
    <row r="122" spans="1:3" ht="15" customHeight="1" x14ac:dyDescent="0.2">
      <c r="A122" s="50"/>
      <c r="B122" s="63"/>
      <c r="C122" s="88"/>
    </row>
    <row r="123" spans="1:3" ht="15" customHeight="1" x14ac:dyDescent="0.2">
      <c r="A123" s="50"/>
      <c r="B123" s="63"/>
      <c r="C123" s="88"/>
    </row>
    <row r="124" spans="1:3" ht="15" customHeight="1" x14ac:dyDescent="0.2">
      <c r="A124" s="50"/>
      <c r="B124" s="63"/>
      <c r="C124" s="88"/>
    </row>
    <row r="125" spans="1:3" ht="15" customHeight="1" x14ac:dyDescent="0.2">
      <c r="A125" s="50"/>
      <c r="B125" s="63"/>
      <c r="C125" s="88"/>
    </row>
    <row r="126" spans="1:3" ht="15" customHeight="1" x14ac:dyDescent="0.2">
      <c r="A126" s="50"/>
      <c r="B126" s="63"/>
      <c r="C126" s="88"/>
    </row>
    <row r="127" spans="1:3" ht="15" customHeight="1" x14ac:dyDescent="0.2">
      <c r="A127" s="50"/>
      <c r="B127" s="63"/>
      <c r="C127" s="88"/>
    </row>
    <row r="128" spans="1:3" ht="15" customHeight="1" x14ac:dyDescent="0.2">
      <c r="A128" s="50"/>
      <c r="B128" s="63"/>
      <c r="C128" s="88"/>
    </row>
    <row r="129" spans="1:3" ht="15" customHeight="1" x14ac:dyDescent="0.2">
      <c r="A129" s="50"/>
      <c r="B129" s="63"/>
      <c r="C129" s="88"/>
    </row>
    <row r="130" spans="1:3" ht="15" customHeight="1" x14ac:dyDescent="0.2">
      <c r="A130" s="50"/>
      <c r="B130" s="63"/>
      <c r="C130" s="88"/>
    </row>
    <row r="131" spans="1:3" ht="15" customHeight="1" x14ac:dyDescent="0.2">
      <c r="A131" s="50"/>
      <c r="B131" s="63"/>
      <c r="C131" s="88"/>
    </row>
    <row r="132" spans="1:3" ht="15" customHeight="1" x14ac:dyDescent="0.2">
      <c r="A132" s="50"/>
      <c r="B132" s="63"/>
      <c r="C132" s="88"/>
    </row>
    <row r="133" spans="1:3" ht="15" customHeight="1" x14ac:dyDescent="0.2">
      <c r="A133" s="50"/>
      <c r="B133" s="63"/>
      <c r="C133" s="88"/>
    </row>
    <row r="134" spans="1:3" ht="15" customHeight="1" x14ac:dyDescent="0.2">
      <c r="A134" s="50"/>
      <c r="B134" s="63"/>
      <c r="C134" s="88"/>
    </row>
    <row r="135" spans="1:3" ht="15" customHeight="1" x14ac:dyDescent="0.2">
      <c r="A135" s="50"/>
      <c r="B135" s="63"/>
      <c r="C135" s="88"/>
    </row>
    <row r="136" spans="1:3" ht="15" customHeight="1" x14ac:dyDescent="0.2">
      <c r="A136" s="50"/>
      <c r="B136" s="63"/>
      <c r="C136" s="88"/>
    </row>
    <row r="137" spans="1:3" ht="15" customHeight="1" x14ac:dyDescent="0.2">
      <c r="A137" s="50"/>
      <c r="B137" s="63"/>
      <c r="C137" s="88"/>
    </row>
    <row r="138" spans="1:3" ht="15" customHeight="1" x14ac:dyDescent="0.2">
      <c r="A138" s="50"/>
      <c r="B138" s="63"/>
      <c r="C138" s="88"/>
    </row>
    <row r="139" spans="1:3" ht="15" customHeight="1" x14ac:dyDescent="0.2">
      <c r="A139" s="50"/>
      <c r="B139" s="63"/>
      <c r="C139" s="88"/>
    </row>
    <row r="140" spans="1:3" ht="15" customHeight="1" x14ac:dyDescent="0.2">
      <c r="A140" s="50"/>
      <c r="B140" s="63"/>
      <c r="C140" s="88"/>
    </row>
    <row r="141" spans="1:3" ht="15" customHeight="1" x14ac:dyDescent="0.2">
      <c r="A141" s="50"/>
      <c r="B141" s="63"/>
      <c r="C141" s="88"/>
    </row>
    <row r="142" spans="1:3" ht="15" customHeight="1" x14ac:dyDescent="0.2">
      <c r="A142" s="50"/>
      <c r="B142" s="63"/>
      <c r="C142" s="88"/>
    </row>
    <row r="143" spans="1:3" ht="15" customHeight="1" x14ac:dyDescent="0.2">
      <c r="A143" s="50"/>
      <c r="B143" s="63"/>
      <c r="C143" s="88"/>
    </row>
    <row r="144" spans="1:3" ht="15" customHeight="1" x14ac:dyDescent="0.2">
      <c r="A144" s="50"/>
      <c r="B144" s="63"/>
      <c r="C144" s="88"/>
    </row>
    <row r="145" spans="1:3" ht="15" customHeight="1" x14ac:dyDescent="0.2">
      <c r="A145" s="50"/>
      <c r="B145" s="63"/>
      <c r="C145" s="88"/>
    </row>
    <row r="146" spans="1:3" ht="15" customHeight="1" x14ac:dyDescent="0.2">
      <c r="A146" s="50"/>
      <c r="B146" s="63"/>
      <c r="C146" s="88"/>
    </row>
    <row r="147" spans="1:3" ht="15" customHeight="1" x14ac:dyDescent="0.2">
      <c r="A147" s="50"/>
      <c r="B147" s="63"/>
      <c r="C147" s="88"/>
    </row>
    <row r="148" spans="1:3" ht="15" customHeight="1" x14ac:dyDescent="0.2">
      <c r="A148" s="50"/>
      <c r="B148" s="63"/>
      <c r="C148" s="88"/>
    </row>
    <row r="149" spans="1:3" ht="15" customHeight="1" x14ac:dyDescent="0.2">
      <c r="A149" s="50"/>
      <c r="B149" s="63"/>
      <c r="C149" s="88"/>
    </row>
    <row r="150" spans="1:3" ht="15" customHeight="1" x14ac:dyDescent="0.2">
      <c r="A150" s="50"/>
      <c r="B150" s="63"/>
      <c r="C150" s="88"/>
    </row>
    <row r="151" spans="1:3" ht="15" customHeight="1" x14ac:dyDescent="0.2">
      <c r="A151" s="50"/>
      <c r="B151" s="63"/>
      <c r="C151" s="88"/>
    </row>
    <row r="152" spans="1:3" ht="15" customHeight="1" x14ac:dyDescent="0.2">
      <c r="A152" s="50"/>
      <c r="B152" s="63"/>
      <c r="C152" s="88"/>
    </row>
    <row r="153" spans="1:3" ht="15" customHeight="1" x14ac:dyDescent="0.2">
      <c r="A153" s="50"/>
      <c r="B153" s="63"/>
      <c r="C153" s="88"/>
    </row>
    <row r="154" spans="1:3" ht="15" customHeight="1" x14ac:dyDescent="0.2">
      <c r="A154" s="50"/>
      <c r="B154" s="63"/>
      <c r="C154" s="88"/>
    </row>
    <row r="155" spans="1:3" ht="15" customHeight="1" x14ac:dyDescent="0.2">
      <c r="A155" s="50"/>
      <c r="B155" s="63"/>
      <c r="C155" s="88"/>
    </row>
    <row r="156" spans="1:3" ht="15" customHeight="1" x14ac:dyDescent="0.2">
      <c r="A156" s="50"/>
      <c r="B156" s="63"/>
      <c r="C156" s="88"/>
    </row>
    <row r="157" spans="1:3" ht="15" customHeight="1" x14ac:dyDescent="0.2">
      <c r="A157" s="50"/>
      <c r="B157" s="63"/>
      <c r="C157" s="88"/>
    </row>
    <row r="158" spans="1:3" ht="15" customHeight="1" x14ac:dyDescent="0.2">
      <c r="A158" s="50"/>
      <c r="B158" s="63"/>
      <c r="C158" s="88"/>
    </row>
    <row r="159" spans="1:3" ht="15" customHeight="1" x14ac:dyDescent="0.2">
      <c r="A159" s="50"/>
      <c r="B159" s="63"/>
      <c r="C159" s="88"/>
    </row>
    <row r="160" spans="1:3" ht="15" customHeight="1" x14ac:dyDescent="0.2">
      <c r="A160" s="50"/>
      <c r="B160" s="63"/>
      <c r="C160" s="88"/>
    </row>
    <row r="161" spans="1:3" ht="15" customHeight="1" x14ac:dyDescent="0.2">
      <c r="A161" s="50"/>
      <c r="B161" s="63"/>
      <c r="C161" s="88"/>
    </row>
    <row r="162" spans="1:3" ht="15" customHeight="1" x14ac:dyDescent="0.2">
      <c r="A162" s="50"/>
      <c r="B162" s="63"/>
      <c r="C162" s="88"/>
    </row>
    <row r="163" spans="1:3" ht="15" customHeight="1" x14ac:dyDescent="0.2">
      <c r="A163" s="50"/>
      <c r="B163" s="63"/>
      <c r="C163" s="88"/>
    </row>
    <row r="164" spans="1:3" ht="15" customHeight="1" x14ac:dyDescent="0.2">
      <c r="A164" s="50"/>
      <c r="B164" s="63"/>
      <c r="C164" s="88"/>
    </row>
    <row r="165" spans="1:3" ht="15" customHeight="1" x14ac:dyDescent="0.2">
      <c r="A165" s="50"/>
      <c r="B165" s="63"/>
      <c r="C165" s="88"/>
    </row>
    <row r="166" spans="1:3" ht="15" customHeight="1" x14ac:dyDescent="0.2">
      <c r="A166" s="50"/>
      <c r="B166" s="63"/>
      <c r="C166" s="88"/>
    </row>
    <row r="167" spans="1:3" ht="15" customHeight="1" x14ac:dyDescent="0.2">
      <c r="A167" s="50"/>
      <c r="B167" s="63"/>
      <c r="C167" s="88"/>
    </row>
    <row r="168" spans="1:3" ht="15" customHeight="1" x14ac:dyDescent="0.2">
      <c r="A168" s="50"/>
      <c r="B168" s="63"/>
      <c r="C168" s="88"/>
    </row>
    <row r="169" spans="1:3" ht="15" customHeight="1" x14ac:dyDescent="0.2">
      <c r="A169" s="50"/>
      <c r="B169" s="63"/>
      <c r="C169" s="88"/>
    </row>
    <row r="170" spans="1:3" ht="15" customHeight="1" x14ac:dyDescent="0.2">
      <c r="A170" s="50"/>
      <c r="B170" s="63"/>
      <c r="C170" s="88"/>
    </row>
    <row r="171" spans="1:3" ht="15" customHeight="1" x14ac:dyDescent="0.2">
      <c r="A171" s="50"/>
      <c r="B171" s="63"/>
      <c r="C171" s="88"/>
    </row>
    <row r="172" spans="1:3" ht="15" customHeight="1" x14ac:dyDescent="0.2">
      <c r="A172" s="50"/>
      <c r="B172" s="63"/>
      <c r="C172" s="88"/>
    </row>
    <row r="173" spans="1:3" ht="15" customHeight="1" x14ac:dyDescent="0.2">
      <c r="A173" s="50"/>
      <c r="B173" s="63"/>
      <c r="C173" s="88"/>
    </row>
    <row r="174" spans="1:3" ht="15" customHeight="1" x14ac:dyDescent="0.2">
      <c r="A174" s="50"/>
      <c r="B174" s="63"/>
      <c r="C174" s="88"/>
    </row>
    <row r="175" spans="1:3" ht="15" customHeight="1" x14ac:dyDescent="0.2">
      <c r="A175" s="50"/>
      <c r="B175" s="63"/>
      <c r="C175" s="88"/>
    </row>
    <row r="176" spans="1:3" ht="15" customHeight="1" x14ac:dyDescent="0.2">
      <c r="A176" s="50"/>
      <c r="B176" s="63"/>
      <c r="C176" s="88"/>
    </row>
    <row r="177" spans="1:3" ht="15" customHeight="1" x14ac:dyDescent="0.2">
      <c r="A177" s="50"/>
      <c r="B177" s="63"/>
      <c r="C177" s="88"/>
    </row>
    <row r="178" spans="1:3" ht="15" customHeight="1" x14ac:dyDescent="0.2">
      <c r="A178" s="50"/>
      <c r="B178" s="63"/>
      <c r="C178" s="88"/>
    </row>
    <row r="179" spans="1:3" ht="15" customHeight="1" x14ac:dyDescent="0.2">
      <c r="A179" s="50"/>
      <c r="B179" s="63"/>
      <c r="C179" s="88"/>
    </row>
    <row r="180" spans="1:3" ht="15" customHeight="1" x14ac:dyDescent="0.2">
      <c r="A180" s="50"/>
      <c r="B180" s="63"/>
      <c r="C180" s="88"/>
    </row>
    <row r="181" spans="1:3" ht="15" customHeight="1" x14ac:dyDescent="0.2">
      <c r="A181" s="50"/>
      <c r="B181" s="63"/>
      <c r="C181" s="88"/>
    </row>
    <row r="182" spans="1:3" ht="15" customHeight="1" x14ac:dyDescent="0.2">
      <c r="A182" s="50"/>
      <c r="B182" s="63"/>
      <c r="C182" s="88"/>
    </row>
    <row r="183" spans="1:3" ht="15" customHeight="1" x14ac:dyDescent="0.2">
      <c r="A183" s="50"/>
      <c r="B183" s="63"/>
      <c r="C183" s="88"/>
    </row>
    <row r="184" spans="1:3" ht="15" customHeight="1" x14ac:dyDescent="0.2">
      <c r="A184" s="50"/>
      <c r="B184" s="63"/>
      <c r="C184" s="88"/>
    </row>
    <row r="185" spans="1:3" ht="15" customHeight="1" x14ac:dyDescent="0.2">
      <c r="A185" s="50"/>
      <c r="B185" s="63"/>
      <c r="C185" s="88"/>
    </row>
    <row r="186" spans="1:3" ht="15" customHeight="1" x14ac:dyDescent="0.2">
      <c r="A186" s="50"/>
      <c r="B186" s="63"/>
      <c r="C186" s="88"/>
    </row>
    <row r="187" spans="1:3" ht="15" customHeight="1" x14ac:dyDescent="0.2">
      <c r="A187" s="50"/>
      <c r="B187" s="63"/>
      <c r="C187" s="88"/>
    </row>
    <row r="188" spans="1:3" ht="15" customHeight="1" x14ac:dyDescent="0.2">
      <c r="A188" s="50"/>
      <c r="B188" s="63"/>
      <c r="C188" s="88"/>
    </row>
    <row r="189" spans="1:3" ht="15" customHeight="1" x14ac:dyDescent="0.2">
      <c r="A189" s="50"/>
      <c r="B189" s="63"/>
      <c r="C189" s="88"/>
    </row>
    <row r="190" spans="1:3" ht="15" customHeight="1" x14ac:dyDescent="0.2">
      <c r="A190" s="50"/>
      <c r="B190" s="63"/>
      <c r="C190" s="88"/>
    </row>
    <row r="191" spans="1:3" ht="15" customHeight="1" x14ac:dyDescent="0.2">
      <c r="A191" s="50"/>
      <c r="B191" s="63"/>
      <c r="C191" s="88"/>
    </row>
    <row r="192" spans="1:3" ht="15" customHeight="1" x14ac:dyDescent="0.2">
      <c r="A192" s="50"/>
      <c r="B192" s="63"/>
      <c r="C192" s="88"/>
    </row>
    <row r="193" spans="1:3" ht="15" customHeight="1" x14ac:dyDescent="0.2">
      <c r="A193" s="50"/>
      <c r="B193" s="63"/>
      <c r="C193" s="88"/>
    </row>
    <row r="194" spans="1:3" ht="15" customHeight="1" x14ac:dyDescent="0.2">
      <c r="A194" s="50"/>
      <c r="B194" s="63"/>
      <c r="C194" s="88"/>
    </row>
    <row r="195" spans="1:3" ht="15" customHeight="1" x14ac:dyDescent="0.2">
      <c r="A195" s="50"/>
      <c r="B195" s="63"/>
      <c r="C195" s="88"/>
    </row>
    <row r="196" spans="1:3" ht="15" customHeight="1" x14ac:dyDescent="0.2">
      <c r="A196" s="50"/>
      <c r="B196" s="63"/>
      <c r="C196" s="88"/>
    </row>
    <row r="197" spans="1:3" ht="15" customHeight="1" x14ac:dyDescent="0.2">
      <c r="A197" s="50"/>
      <c r="B197" s="63"/>
      <c r="C197" s="88"/>
    </row>
    <row r="198" spans="1:3" ht="15" customHeight="1" x14ac:dyDescent="0.2">
      <c r="A198" s="50"/>
      <c r="B198" s="63"/>
      <c r="C198" s="88"/>
    </row>
    <row r="199" spans="1:3" ht="15" customHeight="1" x14ac:dyDescent="0.2">
      <c r="A199" s="50"/>
      <c r="B199" s="63"/>
      <c r="C199" s="88"/>
    </row>
    <row r="200" spans="1:3" ht="15" customHeight="1" x14ac:dyDescent="0.2">
      <c r="A200" s="50"/>
      <c r="B200" s="63"/>
      <c r="C200" s="88"/>
    </row>
    <row r="201" spans="1:3" ht="15" customHeight="1" x14ac:dyDescent="0.2">
      <c r="A201" s="50"/>
      <c r="B201" s="63"/>
      <c r="C201" s="88"/>
    </row>
    <row r="202" spans="1:3" ht="15" customHeight="1" x14ac:dyDescent="0.2">
      <c r="A202" s="50"/>
      <c r="B202" s="63"/>
      <c r="C202" s="88"/>
    </row>
    <row r="203" spans="1:3" ht="15" customHeight="1" x14ac:dyDescent="0.2">
      <c r="A203" s="50"/>
      <c r="B203" s="63"/>
      <c r="C203" s="88"/>
    </row>
    <row r="204" spans="1:3" ht="15" customHeight="1" x14ac:dyDescent="0.2">
      <c r="A204" s="50"/>
      <c r="B204" s="63"/>
      <c r="C204" s="88"/>
    </row>
    <row r="205" spans="1:3" ht="15" customHeight="1" x14ac:dyDescent="0.2">
      <c r="A205" s="50"/>
      <c r="B205" s="63"/>
      <c r="C205" s="88"/>
    </row>
    <row r="206" spans="1:3" ht="15" customHeight="1" x14ac:dyDescent="0.2">
      <c r="A206" s="50"/>
      <c r="B206" s="63"/>
      <c r="C206" s="88"/>
    </row>
    <row r="207" spans="1:3" ht="15" customHeight="1" x14ac:dyDescent="0.2">
      <c r="A207" s="50"/>
      <c r="B207" s="63"/>
      <c r="C207" s="88"/>
    </row>
    <row r="208" spans="1:3" ht="15" customHeight="1" x14ac:dyDescent="0.2">
      <c r="A208" s="50"/>
      <c r="B208" s="63"/>
      <c r="C208" s="88"/>
    </row>
    <row r="209" spans="1:3" ht="15" customHeight="1" x14ac:dyDescent="0.2">
      <c r="A209" s="50"/>
      <c r="B209" s="63"/>
      <c r="C209" s="88"/>
    </row>
    <row r="210" spans="1:3" ht="15" customHeight="1" x14ac:dyDescent="0.2">
      <c r="A210" s="50"/>
      <c r="B210" s="63"/>
      <c r="C210" s="88"/>
    </row>
    <row r="211" spans="1:3" ht="15" customHeight="1" x14ac:dyDescent="0.2">
      <c r="A211" s="50"/>
      <c r="B211" s="63"/>
      <c r="C211" s="88"/>
    </row>
    <row r="212" spans="1:3" ht="15" customHeight="1" x14ac:dyDescent="0.2">
      <c r="A212" s="50"/>
      <c r="B212" s="63"/>
      <c r="C212" s="88"/>
    </row>
    <row r="213" spans="1:3" ht="15" customHeight="1" x14ac:dyDescent="0.2">
      <c r="A213" s="50"/>
      <c r="B213" s="63"/>
      <c r="C213" s="88"/>
    </row>
    <row r="214" spans="1:3" ht="15" customHeight="1" x14ac:dyDescent="0.2">
      <c r="A214" s="50"/>
      <c r="B214" s="63"/>
      <c r="C214" s="88"/>
    </row>
    <row r="215" spans="1:3" ht="15" customHeight="1" x14ac:dyDescent="0.2">
      <c r="A215" s="50"/>
      <c r="B215" s="63"/>
      <c r="C215" s="88"/>
    </row>
    <row r="216" spans="1:3" ht="15" customHeight="1" x14ac:dyDescent="0.2">
      <c r="A216" s="50"/>
      <c r="B216" s="63"/>
      <c r="C216" s="88"/>
    </row>
    <row r="217" spans="1:3" ht="15" customHeight="1" x14ac:dyDescent="0.2">
      <c r="A217" s="50"/>
      <c r="B217" s="63"/>
      <c r="C217" s="88"/>
    </row>
    <row r="218" spans="1:3" ht="15" customHeight="1" x14ac:dyDescent="0.2">
      <c r="A218" s="50"/>
      <c r="B218" s="63"/>
      <c r="C218" s="88"/>
    </row>
    <row r="219" spans="1:3" ht="15" customHeight="1" x14ac:dyDescent="0.2">
      <c r="A219" s="50"/>
      <c r="B219" s="63"/>
      <c r="C219" s="88"/>
    </row>
    <row r="220" spans="1:3" ht="15" customHeight="1" x14ac:dyDescent="0.2">
      <c r="A220" s="50"/>
      <c r="B220" s="63"/>
      <c r="C220" s="88"/>
    </row>
    <row r="221" spans="1:3" ht="15" customHeight="1" x14ac:dyDescent="0.2">
      <c r="A221" s="50"/>
      <c r="B221" s="63"/>
      <c r="C221" s="88"/>
    </row>
    <row r="222" spans="1:3" ht="15" customHeight="1" x14ac:dyDescent="0.2">
      <c r="A222" s="50"/>
      <c r="B222" s="63"/>
      <c r="C222" s="88"/>
    </row>
    <row r="223" spans="1:3" ht="15" customHeight="1" x14ac:dyDescent="0.2">
      <c r="A223" s="50"/>
      <c r="B223" s="63"/>
      <c r="C223" s="88"/>
    </row>
    <row r="224" spans="1:3" ht="15" customHeight="1" x14ac:dyDescent="0.2">
      <c r="A224" s="50"/>
      <c r="B224" s="63"/>
      <c r="C224" s="88"/>
    </row>
    <row r="225" spans="1:3" ht="15" customHeight="1" x14ac:dyDescent="0.2">
      <c r="A225" s="50"/>
      <c r="B225" s="63"/>
      <c r="C225" s="88"/>
    </row>
    <row r="226" spans="1:3" ht="15" customHeight="1" x14ac:dyDescent="0.2">
      <c r="A226" s="50"/>
      <c r="B226" s="63"/>
      <c r="C226" s="88"/>
    </row>
    <row r="227" spans="1:3" ht="15" customHeight="1" x14ac:dyDescent="0.2">
      <c r="A227" s="50"/>
      <c r="B227" s="63"/>
      <c r="C227" s="88"/>
    </row>
    <row r="228" spans="1:3" ht="15" customHeight="1" x14ac:dyDescent="0.2">
      <c r="A228" s="50"/>
      <c r="B228" s="63"/>
      <c r="C228" s="88"/>
    </row>
    <row r="229" spans="1:3" ht="15" customHeight="1" x14ac:dyDescent="0.2">
      <c r="A229" s="50"/>
      <c r="B229" s="63"/>
      <c r="C229" s="88"/>
    </row>
    <row r="230" spans="1:3" ht="15" customHeight="1" x14ac:dyDescent="0.2">
      <c r="A230" s="50"/>
      <c r="B230" s="63"/>
      <c r="C230" s="88"/>
    </row>
    <row r="231" spans="1:3" ht="15" customHeight="1" x14ac:dyDescent="0.2">
      <c r="A231" s="50"/>
      <c r="B231" s="63"/>
      <c r="C231" s="88"/>
    </row>
    <row r="232" spans="1:3" ht="15" customHeight="1" x14ac:dyDescent="0.2">
      <c r="A232" s="50"/>
      <c r="B232" s="63"/>
      <c r="C232" s="88"/>
    </row>
    <row r="233" spans="1:3" ht="15" customHeight="1" x14ac:dyDescent="0.2">
      <c r="A233" s="50"/>
      <c r="B233" s="63"/>
      <c r="C233" s="88"/>
    </row>
    <row r="234" spans="1:3" ht="15" customHeight="1" x14ac:dyDescent="0.2">
      <c r="A234" s="50"/>
      <c r="B234" s="63"/>
      <c r="C234" s="88"/>
    </row>
    <row r="235" spans="1:3" ht="15" customHeight="1" x14ac:dyDescent="0.2">
      <c r="A235" s="50"/>
      <c r="B235" s="63"/>
      <c r="C235" s="88"/>
    </row>
    <row r="236" spans="1:3" ht="15" customHeight="1" x14ac:dyDescent="0.2">
      <c r="A236" s="50"/>
      <c r="B236" s="63"/>
      <c r="C236" s="88"/>
    </row>
    <row r="237" spans="1:3" ht="15" customHeight="1" x14ac:dyDescent="0.2">
      <c r="A237" s="50"/>
      <c r="B237" s="63"/>
      <c r="C237" s="88"/>
    </row>
    <row r="238" spans="1:3" ht="15" customHeight="1" x14ac:dyDescent="0.2">
      <c r="A238" s="50"/>
      <c r="B238" s="63"/>
      <c r="C238" s="88"/>
    </row>
    <row r="239" spans="1:3" ht="15" customHeight="1" x14ac:dyDescent="0.2">
      <c r="A239" s="50"/>
      <c r="B239" s="63"/>
      <c r="C239" s="88"/>
    </row>
    <row r="240" spans="1:3" ht="15" customHeight="1" x14ac:dyDescent="0.2">
      <c r="A240" s="50"/>
      <c r="B240" s="63"/>
      <c r="C240" s="88"/>
    </row>
    <row r="241" spans="1:3" ht="15" customHeight="1" x14ac:dyDescent="0.2">
      <c r="A241" s="50"/>
      <c r="B241" s="63"/>
      <c r="C241" s="88"/>
    </row>
    <row r="242" spans="1:3" ht="15" customHeight="1" x14ac:dyDescent="0.2">
      <c r="A242" s="50"/>
      <c r="B242" s="63"/>
      <c r="C242" s="88"/>
    </row>
    <row r="243" spans="1:3" ht="15" customHeight="1" x14ac:dyDescent="0.2">
      <c r="A243" s="50"/>
      <c r="B243" s="63"/>
      <c r="C243" s="88"/>
    </row>
    <row r="244" spans="1:3" ht="15" customHeight="1" x14ac:dyDescent="0.2">
      <c r="A244" s="50"/>
      <c r="B244" s="63"/>
      <c r="C244" s="88"/>
    </row>
    <row r="245" spans="1:3" ht="15" customHeight="1" x14ac:dyDescent="0.2">
      <c r="A245" s="50"/>
      <c r="B245" s="63"/>
      <c r="C245" s="88"/>
    </row>
    <row r="246" spans="1:3" ht="15" customHeight="1" x14ac:dyDescent="0.2">
      <c r="A246" s="50"/>
      <c r="B246" s="63"/>
      <c r="C246" s="88"/>
    </row>
    <row r="247" spans="1:3" ht="15" customHeight="1" x14ac:dyDescent="0.2">
      <c r="A247" s="50"/>
      <c r="B247" s="63"/>
      <c r="C247" s="88"/>
    </row>
    <row r="248" spans="1:3" ht="15" customHeight="1" x14ac:dyDescent="0.2">
      <c r="A248" s="50"/>
      <c r="B248" s="63"/>
      <c r="C248" s="88"/>
    </row>
    <row r="249" spans="1:3" ht="15" customHeight="1" x14ac:dyDescent="0.2">
      <c r="A249" s="50"/>
      <c r="B249" s="63"/>
      <c r="C249" s="88"/>
    </row>
    <row r="250" spans="1:3" ht="15" customHeight="1" x14ac:dyDescent="0.2">
      <c r="A250" s="50"/>
      <c r="B250" s="63"/>
      <c r="C250" s="88"/>
    </row>
    <row r="251" spans="1:3" ht="15" customHeight="1" x14ac:dyDescent="0.2">
      <c r="A251" s="50"/>
      <c r="B251" s="63"/>
      <c r="C251" s="88"/>
    </row>
    <row r="252" spans="1:3" ht="15" customHeight="1" x14ac:dyDescent="0.2">
      <c r="A252" s="50"/>
      <c r="B252" s="63"/>
      <c r="C252" s="88"/>
    </row>
    <row r="253" spans="1:3" ht="15" customHeight="1" x14ac:dyDescent="0.2">
      <c r="A253" s="50"/>
      <c r="B253" s="63"/>
      <c r="C253" s="88"/>
    </row>
    <row r="254" spans="1:3" ht="15" customHeight="1" x14ac:dyDescent="0.2">
      <c r="A254" s="50"/>
      <c r="B254" s="63"/>
      <c r="C254" s="88"/>
    </row>
    <row r="255" spans="1:3" ht="15" customHeight="1" x14ac:dyDescent="0.2">
      <c r="A255" s="50"/>
      <c r="B255" s="63"/>
      <c r="C255" s="88"/>
    </row>
    <row r="256" spans="1:3" ht="15" customHeight="1" x14ac:dyDescent="0.2">
      <c r="A256" s="50"/>
      <c r="B256" s="63"/>
      <c r="C256" s="88"/>
    </row>
    <row r="257" spans="1:3" ht="15" customHeight="1" x14ac:dyDescent="0.2">
      <c r="A257" s="50"/>
      <c r="B257" s="63"/>
      <c r="C257" s="88"/>
    </row>
    <row r="258" spans="1:3" ht="15" customHeight="1" x14ac:dyDescent="0.2">
      <c r="A258" s="50"/>
      <c r="B258" s="63"/>
      <c r="C258" s="88"/>
    </row>
    <row r="259" spans="1:3" ht="15" customHeight="1" x14ac:dyDescent="0.2">
      <c r="A259" s="50"/>
      <c r="B259" s="63"/>
      <c r="C259" s="88"/>
    </row>
    <row r="260" spans="1:3" ht="15" customHeight="1" x14ac:dyDescent="0.2">
      <c r="A260" s="50"/>
      <c r="B260" s="63"/>
      <c r="C260" s="88"/>
    </row>
    <row r="261" spans="1:3" ht="15" customHeight="1" x14ac:dyDescent="0.2">
      <c r="A261" s="50"/>
      <c r="B261" s="63"/>
      <c r="C261" s="88"/>
    </row>
    <row r="262" spans="1:3" ht="15" customHeight="1" x14ac:dyDescent="0.2">
      <c r="A262" s="50"/>
      <c r="B262" s="63"/>
      <c r="C262" s="88"/>
    </row>
    <row r="263" spans="1:3" ht="15" customHeight="1" x14ac:dyDescent="0.2">
      <c r="A263" s="50"/>
      <c r="B263" s="63"/>
      <c r="C263" s="88"/>
    </row>
    <row r="264" spans="1:3" ht="15" customHeight="1" x14ac:dyDescent="0.2">
      <c r="A264" s="50"/>
      <c r="B264" s="63"/>
      <c r="C264" s="88"/>
    </row>
    <row r="265" spans="1:3" ht="15" customHeight="1" x14ac:dyDescent="0.2">
      <c r="A265" s="50"/>
      <c r="B265" s="63"/>
      <c r="C265" s="88"/>
    </row>
    <row r="266" spans="1:3" ht="15" customHeight="1" x14ac:dyDescent="0.2">
      <c r="A266" s="50"/>
      <c r="B266" s="63"/>
      <c r="C266" s="88"/>
    </row>
    <row r="267" spans="1:3" ht="15" customHeight="1" x14ac:dyDescent="0.2">
      <c r="A267" s="50"/>
      <c r="B267" s="63"/>
      <c r="C267" s="88"/>
    </row>
    <row r="268" spans="1:3" ht="15" customHeight="1" x14ac:dyDescent="0.2">
      <c r="A268" s="50"/>
      <c r="B268" s="63"/>
      <c r="C268" s="88"/>
    </row>
    <row r="269" spans="1:3" ht="15" customHeight="1" x14ac:dyDescent="0.2">
      <c r="A269" s="50"/>
      <c r="B269" s="63"/>
      <c r="C269" s="88"/>
    </row>
    <row r="270" spans="1:3" ht="15" customHeight="1" x14ac:dyDescent="0.2">
      <c r="A270" s="50"/>
      <c r="B270" s="63"/>
      <c r="C270" s="88"/>
    </row>
    <row r="271" spans="1:3" ht="15" customHeight="1" x14ac:dyDescent="0.2">
      <c r="A271" s="50"/>
      <c r="B271" s="63"/>
      <c r="C271" s="88"/>
    </row>
    <row r="272" spans="1:3" ht="15" customHeight="1" x14ac:dyDescent="0.2">
      <c r="A272" s="50"/>
      <c r="B272" s="63"/>
      <c r="C272" s="88"/>
    </row>
    <row r="273" spans="1:3" ht="15" customHeight="1" x14ac:dyDescent="0.2">
      <c r="A273" s="50"/>
      <c r="B273" s="63"/>
      <c r="C273" s="88"/>
    </row>
    <row r="274" spans="1:3" ht="15" customHeight="1" x14ac:dyDescent="0.2">
      <c r="A274" s="50"/>
      <c r="B274" s="63"/>
      <c r="C274" s="88"/>
    </row>
    <row r="275" spans="1:3" ht="15" customHeight="1" x14ac:dyDescent="0.2">
      <c r="A275" s="50"/>
      <c r="B275" s="63"/>
      <c r="C275" s="88"/>
    </row>
    <row r="276" spans="1:3" ht="15" customHeight="1" x14ac:dyDescent="0.2">
      <c r="A276" s="50"/>
      <c r="B276" s="63"/>
      <c r="C276" s="88"/>
    </row>
    <row r="277" spans="1:3" ht="15" customHeight="1" x14ac:dyDescent="0.2">
      <c r="A277" s="50"/>
      <c r="B277" s="63"/>
      <c r="C277" s="88"/>
    </row>
    <row r="278" spans="1:3" ht="15" customHeight="1" x14ac:dyDescent="0.2">
      <c r="A278" s="50"/>
      <c r="B278" s="63"/>
      <c r="C278" s="88"/>
    </row>
    <row r="279" spans="1:3" ht="15" customHeight="1" x14ac:dyDescent="0.2">
      <c r="A279" s="50"/>
      <c r="B279" s="63"/>
      <c r="C279" s="88"/>
    </row>
    <row r="280" spans="1:3" ht="15" customHeight="1" x14ac:dyDescent="0.2">
      <c r="A280" s="50"/>
      <c r="B280" s="63"/>
      <c r="C280" s="88"/>
    </row>
    <row r="281" spans="1:3" ht="15" customHeight="1" x14ac:dyDescent="0.2">
      <c r="A281" s="50"/>
      <c r="B281" s="63"/>
      <c r="C281" s="88"/>
    </row>
    <row r="282" spans="1:3" ht="15" customHeight="1" x14ac:dyDescent="0.2">
      <c r="A282" s="50"/>
      <c r="B282" s="63"/>
      <c r="C282" s="88"/>
    </row>
    <row r="283" spans="1:3" ht="15" customHeight="1" x14ac:dyDescent="0.2">
      <c r="A283" s="50"/>
      <c r="B283" s="63"/>
      <c r="C283" s="88"/>
    </row>
    <row r="284" spans="1:3" ht="15" customHeight="1" x14ac:dyDescent="0.2">
      <c r="A284" s="50"/>
      <c r="B284" s="63"/>
      <c r="C284" s="88"/>
    </row>
    <row r="285" spans="1:3" ht="15" customHeight="1" x14ac:dyDescent="0.2">
      <c r="A285" s="50"/>
      <c r="B285" s="63"/>
      <c r="C285" s="88"/>
    </row>
    <row r="286" spans="1:3" ht="15" customHeight="1" x14ac:dyDescent="0.2">
      <c r="A286" s="50"/>
      <c r="B286" s="63"/>
      <c r="C286" s="88"/>
    </row>
    <row r="287" spans="1:3" ht="15" customHeight="1" x14ac:dyDescent="0.2">
      <c r="A287" s="50"/>
      <c r="B287" s="63"/>
      <c r="C287" s="88"/>
    </row>
    <row r="288" spans="1:3" ht="15" customHeight="1" x14ac:dyDescent="0.2">
      <c r="A288" s="50"/>
      <c r="B288" s="63"/>
      <c r="C288" s="88"/>
    </row>
    <row r="289" spans="1:3" ht="15" customHeight="1" x14ac:dyDescent="0.2">
      <c r="A289" s="50"/>
      <c r="B289" s="63"/>
      <c r="C289" s="88"/>
    </row>
    <row r="290" spans="1:3" ht="15" customHeight="1" x14ac:dyDescent="0.2">
      <c r="A290" s="50"/>
      <c r="B290" s="63"/>
      <c r="C290" s="88"/>
    </row>
    <row r="291" spans="1:3" ht="15" customHeight="1" x14ac:dyDescent="0.2">
      <c r="A291" s="50"/>
      <c r="B291" s="63"/>
      <c r="C291" s="88"/>
    </row>
    <row r="292" spans="1:3" ht="15" customHeight="1" x14ac:dyDescent="0.2">
      <c r="A292" s="50"/>
      <c r="B292" s="63"/>
      <c r="C292" s="88"/>
    </row>
    <row r="293" spans="1:3" ht="15" customHeight="1" x14ac:dyDescent="0.2">
      <c r="A293" s="50"/>
      <c r="B293" s="63"/>
      <c r="C293" s="88"/>
    </row>
    <row r="294" spans="1:3" ht="15" customHeight="1" x14ac:dyDescent="0.2">
      <c r="A294" s="50"/>
      <c r="B294" s="63"/>
      <c r="C294" s="88"/>
    </row>
    <row r="295" spans="1:3" ht="15" customHeight="1" x14ac:dyDescent="0.2">
      <c r="A295" s="50"/>
      <c r="B295" s="63"/>
      <c r="C295" s="88"/>
    </row>
    <row r="296" spans="1:3" ht="15" customHeight="1" x14ac:dyDescent="0.2">
      <c r="A296" s="50"/>
      <c r="B296" s="63"/>
      <c r="C296" s="88"/>
    </row>
    <row r="297" spans="1:3" ht="15" customHeight="1" x14ac:dyDescent="0.2">
      <c r="A297" s="50"/>
      <c r="B297" s="63"/>
      <c r="C297" s="88"/>
    </row>
    <row r="298" spans="1:3" ht="15" customHeight="1" x14ac:dyDescent="0.2">
      <c r="A298" s="50"/>
      <c r="B298" s="63"/>
      <c r="C298" s="88"/>
    </row>
    <row r="299" spans="1:3" ht="15" customHeight="1" x14ac:dyDescent="0.2">
      <c r="A299" s="50"/>
      <c r="B299" s="63"/>
      <c r="C299" s="88"/>
    </row>
    <row r="300" spans="1:3" ht="15" customHeight="1" x14ac:dyDescent="0.2">
      <c r="A300" s="50"/>
      <c r="B300" s="63"/>
      <c r="C300" s="88"/>
    </row>
    <row r="301" spans="1:3" ht="15" customHeight="1" x14ac:dyDescent="0.2">
      <c r="A301" s="50"/>
      <c r="B301" s="63"/>
      <c r="C301" s="88"/>
    </row>
    <row r="302" spans="1:3" ht="15" customHeight="1" x14ac:dyDescent="0.2">
      <c r="A302" s="50"/>
      <c r="B302" s="63"/>
      <c r="C302" s="88"/>
    </row>
  </sheetData>
  <mergeCells count="1">
    <mergeCell ref="A1:C1"/>
  </mergeCells>
  <pageMargins left="0.75" right="0.75" top="1" bottom="1" header="0.511811023622047" footer="0.511811023622047"/>
  <pageSetup paperSize="9"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showGridLines="0" zoomScaleNormal="100" workbookViewId="0">
      <selection activeCell="N22" sqref="N22"/>
    </sheetView>
  </sheetViews>
  <sheetFormatPr baseColWidth="10" defaultColWidth="8.6640625" defaultRowHeight="15" x14ac:dyDescent="0.2"/>
  <cols>
    <col min="1" max="1" width="26" customWidth="1"/>
    <col min="2" max="2" width="45" customWidth="1"/>
    <col min="3" max="3" width="15.5" customWidth="1"/>
    <col min="4" max="4" width="55" customWidth="1"/>
    <col min="5" max="6" width="1" customWidth="1"/>
  </cols>
  <sheetData>
    <row r="1" spans="1:6" ht="19.5" customHeight="1" x14ac:dyDescent="0.2">
      <c r="A1" s="14" t="s">
        <v>475</v>
      </c>
      <c r="B1" s="14"/>
      <c r="C1" s="14"/>
      <c r="D1" s="14"/>
      <c r="E1" s="14"/>
      <c r="F1" s="14"/>
    </row>
    <row r="2" spans="1:6" ht="39.75" customHeight="1" x14ac:dyDescent="0.2">
      <c r="A2" s="13" t="s">
        <v>476</v>
      </c>
      <c r="B2" s="13"/>
      <c r="C2" s="13"/>
      <c r="D2" s="13"/>
      <c r="E2" s="13"/>
      <c r="F2" s="13"/>
    </row>
    <row r="4" spans="1:6" ht="15" customHeight="1" x14ac:dyDescent="0.2">
      <c r="A4" s="12" t="s">
        <v>477</v>
      </c>
      <c r="B4" s="12"/>
      <c r="C4" s="12"/>
      <c r="D4" s="12"/>
      <c r="E4" s="12"/>
      <c r="F4" s="12"/>
    </row>
    <row r="5" spans="1:6" ht="15" customHeight="1" x14ac:dyDescent="0.2">
      <c r="A5" s="52" t="s">
        <v>478</v>
      </c>
      <c r="B5" s="52" t="s">
        <v>479</v>
      </c>
      <c r="C5" s="52" t="s">
        <v>480</v>
      </c>
      <c r="D5" s="52" t="s">
        <v>481</v>
      </c>
    </row>
    <row r="6" spans="1:6" ht="15" customHeight="1" x14ac:dyDescent="0.2">
      <c r="A6" s="89" t="s">
        <v>482</v>
      </c>
      <c r="B6" s="89" t="s">
        <v>483</v>
      </c>
      <c r="C6" s="89" t="s">
        <v>483</v>
      </c>
      <c r="D6" s="11" t="s">
        <v>484</v>
      </c>
      <c r="E6" s="11"/>
      <c r="F6" s="11"/>
    </row>
    <row r="8" spans="1:6" ht="15" customHeight="1" x14ac:dyDescent="0.2">
      <c r="A8" s="12" t="s">
        <v>485</v>
      </c>
      <c r="B8" s="12"/>
      <c r="C8" s="12"/>
      <c r="D8" s="12"/>
      <c r="E8" s="12"/>
      <c r="F8" s="12"/>
    </row>
    <row r="9" spans="1:6" ht="15" customHeight="1" x14ac:dyDescent="0.2">
      <c r="A9" s="52" t="s">
        <v>478</v>
      </c>
      <c r="B9" s="52" t="s">
        <v>479</v>
      </c>
      <c r="C9" s="52" t="s">
        <v>480</v>
      </c>
      <c r="D9" s="52" t="s">
        <v>481</v>
      </c>
    </row>
    <row r="10" spans="1:6" ht="27.75" customHeight="1" x14ac:dyDescent="0.2">
      <c r="A10" s="89" t="s">
        <v>486</v>
      </c>
      <c r="B10" s="89" t="s">
        <v>483</v>
      </c>
      <c r="C10" s="89" t="s">
        <v>487</v>
      </c>
      <c r="D10" s="11" t="s">
        <v>488</v>
      </c>
      <c r="E10" s="11"/>
      <c r="F10" s="11"/>
    </row>
    <row r="12" spans="1:6" ht="15" customHeight="1" x14ac:dyDescent="0.2">
      <c r="A12" s="12" t="s">
        <v>489</v>
      </c>
      <c r="B12" s="12"/>
      <c r="C12" s="12"/>
      <c r="D12" s="12"/>
      <c r="E12" s="12"/>
      <c r="F12" s="12"/>
    </row>
    <row r="13" spans="1:6" ht="15" customHeight="1" x14ac:dyDescent="0.2">
      <c r="A13" s="52" t="s">
        <v>478</v>
      </c>
      <c r="B13" s="52" t="s">
        <v>479</v>
      </c>
      <c r="C13" s="52" t="s">
        <v>480</v>
      </c>
      <c r="D13" s="52" t="s">
        <v>481</v>
      </c>
    </row>
    <row r="14" spans="1:6" ht="44.25" customHeight="1" x14ac:dyDescent="0.2">
      <c r="A14" s="89" t="s">
        <v>490</v>
      </c>
      <c r="B14" s="89" t="s">
        <v>491</v>
      </c>
      <c r="C14" s="89" t="s">
        <v>492</v>
      </c>
      <c r="D14" s="11" t="s">
        <v>493</v>
      </c>
      <c r="E14" s="11"/>
      <c r="F14" s="11"/>
    </row>
    <row r="16" spans="1:6" ht="15" customHeight="1" x14ac:dyDescent="0.2">
      <c r="A16" s="12" t="s">
        <v>494</v>
      </c>
      <c r="B16" s="12"/>
      <c r="C16" s="12"/>
      <c r="D16" s="12"/>
      <c r="E16" s="12"/>
      <c r="F16" s="12"/>
    </row>
    <row r="17" spans="1:6" ht="15" customHeight="1" x14ac:dyDescent="0.2">
      <c r="A17" s="52" t="s">
        <v>478</v>
      </c>
      <c r="B17" s="52" t="s">
        <v>479</v>
      </c>
      <c r="C17" s="52" t="s">
        <v>480</v>
      </c>
      <c r="D17" s="52" t="s">
        <v>481</v>
      </c>
    </row>
    <row r="18" spans="1:6" ht="18.75" customHeight="1" x14ac:dyDescent="0.2">
      <c r="A18" s="89" t="s">
        <v>495</v>
      </c>
      <c r="B18" s="89" t="s">
        <v>483</v>
      </c>
      <c r="C18" s="89" t="s">
        <v>496</v>
      </c>
      <c r="D18" s="11" t="s">
        <v>497</v>
      </c>
      <c r="E18" s="11"/>
      <c r="F18" s="11"/>
    </row>
    <row r="20" spans="1:6" ht="15" customHeight="1" x14ac:dyDescent="0.2">
      <c r="A20" s="12" t="s">
        <v>498</v>
      </c>
      <c r="B20" s="12"/>
      <c r="C20" s="12"/>
      <c r="D20" s="12"/>
      <c r="E20" s="12"/>
      <c r="F20" s="12"/>
    </row>
    <row r="21" spans="1:6" ht="15" customHeight="1" x14ac:dyDescent="0.2">
      <c r="A21" s="52" t="s">
        <v>478</v>
      </c>
      <c r="B21" s="52" t="s">
        <v>479</v>
      </c>
      <c r="C21" s="52" t="s">
        <v>480</v>
      </c>
      <c r="D21" s="52" t="s">
        <v>481</v>
      </c>
    </row>
    <row r="22" spans="1:6" ht="63.75" customHeight="1" x14ac:dyDescent="0.2">
      <c r="A22" s="89" t="s">
        <v>499</v>
      </c>
      <c r="B22" s="89" t="s">
        <v>500</v>
      </c>
      <c r="C22" s="89" t="s">
        <v>501</v>
      </c>
      <c r="D22" s="11" t="s">
        <v>502</v>
      </c>
      <c r="E22" s="11"/>
      <c r="F22" s="11"/>
    </row>
    <row r="24" spans="1:6" ht="15" customHeight="1" x14ac:dyDescent="0.2">
      <c r="A24" s="12" t="s">
        <v>503</v>
      </c>
      <c r="B24" s="12"/>
      <c r="C24" s="12"/>
      <c r="D24" s="12"/>
      <c r="E24" s="12"/>
      <c r="F24" s="12"/>
    </row>
    <row r="25" spans="1:6" ht="15" customHeight="1" x14ac:dyDescent="0.2">
      <c r="A25" s="52" t="s">
        <v>478</v>
      </c>
      <c r="B25" s="52" t="s">
        <v>479</v>
      </c>
      <c r="C25" s="52" t="s">
        <v>480</v>
      </c>
      <c r="D25" s="52" t="s">
        <v>481</v>
      </c>
    </row>
    <row r="26" spans="1:6" ht="53.25" customHeight="1" x14ac:dyDescent="0.2">
      <c r="A26" s="89" t="s">
        <v>499</v>
      </c>
      <c r="B26" s="89" t="s">
        <v>504</v>
      </c>
      <c r="C26" s="89" t="s">
        <v>505</v>
      </c>
      <c r="D26" s="11" t="s">
        <v>506</v>
      </c>
      <c r="E26" s="11"/>
      <c r="F26" s="11"/>
    </row>
    <row r="28" spans="1:6" ht="15" customHeight="1" x14ac:dyDescent="0.2">
      <c r="A28" s="12" t="s">
        <v>507</v>
      </c>
      <c r="B28" s="12"/>
      <c r="C28" s="12"/>
      <c r="D28" s="12"/>
      <c r="E28" s="12"/>
      <c r="F28" s="12"/>
    </row>
    <row r="29" spans="1:6" ht="15" customHeight="1" x14ac:dyDescent="0.2">
      <c r="A29" s="52" t="s">
        <v>478</v>
      </c>
      <c r="B29" s="52" t="s">
        <v>479</v>
      </c>
      <c r="C29" s="52" t="s">
        <v>480</v>
      </c>
      <c r="D29" s="52" t="s">
        <v>481</v>
      </c>
    </row>
    <row r="30" spans="1:6" ht="33.75" customHeight="1" x14ac:dyDescent="0.2">
      <c r="A30" s="89" t="s">
        <v>499</v>
      </c>
      <c r="B30" s="89" t="s">
        <v>508</v>
      </c>
      <c r="C30" s="89" t="s">
        <v>509</v>
      </c>
      <c r="D30" s="11" t="s">
        <v>510</v>
      </c>
      <c r="E30" s="11"/>
      <c r="F30" s="11"/>
    </row>
    <row r="32" spans="1:6" ht="15" customHeight="1" x14ac:dyDescent="0.2">
      <c r="A32" s="12" t="s">
        <v>511</v>
      </c>
      <c r="B32" s="12"/>
      <c r="C32" s="12"/>
      <c r="D32" s="12"/>
      <c r="E32" s="12"/>
      <c r="F32" s="12"/>
    </row>
    <row r="33" spans="1:6" ht="15" customHeight="1" x14ac:dyDescent="0.2">
      <c r="A33" s="52" t="s">
        <v>478</v>
      </c>
      <c r="B33" s="52" t="s">
        <v>479</v>
      </c>
      <c r="C33" s="52" t="s">
        <v>480</v>
      </c>
      <c r="D33" s="52" t="s">
        <v>481</v>
      </c>
    </row>
    <row r="34" spans="1:6" ht="45.75" customHeight="1" x14ac:dyDescent="0.2">
      <c r="A34" s="89" t="s">
        <v>490</v>
      </c>
      <c r="B34" s="89" t="s">
        <v>512</v>
      </c>
      <c r="C34" s="89" t="s">
        <v>513</v>
      </c>
      <c r="D34" s="11" t="s">
        <v>514</v>
      </c>
      <c r="E34" s="11"/>
      <c r="F34" s="11"/>
    </row>
    <row r="36" spans="1:6" ht="15" customHeight="1" x14ac:dyDescent="0.2">
      <c r="A36" s="12" t="s">
        <v>515</v>
      </c>
      <c r="B36" s="12"/>
      <c r="C36" s="12"/>
      <c r="D36" s="12"/>
      <c r="E36" s="12"/>
      <c r="F36" s="12"/>
    </row>
    <row r="37" spans="1:6" ht="15" customHeight="1" x14ac:dyDescent="0.2">
      <c r="A37" s="52" t="s">
        <v>478</v>
      </c>
      <c r="B37" s="52" t="s">
        <v>479</v>
      </c>
      <c r="C37" s="52" t="s">
        <v>480</v>
      </c>
      <c r="D37" s="52" t="s">
        <v>481</v>
      </c>
    </row>
    <row r="38" spans="1:6" ht="46.5" customHeight="1" x14ac:dyDescent="0.2">
      <c r="A38" s="89" t="s">
        <v>490</v>
      </c>
      <c r="B38" s="89" t="s">
        <v>516</v>
      </c>
      <c r="C38" s="89" t="s">
        <v>517</v>
      </c>
      <c r="D38" s="11" t="s">
        <v>518</v>
      </c>
      <c r="E38" s="11"/>
      <c r="F38" s="11"/>
    </row>
    <row r="40" spans="1:6" ht="15" customHeight="1" x14ac:dyDescent="0.2">
      <c r="A40" s="12" t="s">
        <v>519</v>
      </c>
      <c r="B40" s="12"/>
      <c r="C40" s="12"/>
      <c r="D40" s="12"/>
      <c r="E40" s="12"/>
      <c r="F40" s="12"/>
    </row>
    <row r="41" spans="1:6" ht="15" customHeight="1" x14ac:dyDescent="0.2">
      <c r="A41" s="52" t="s">
        <v>478</v>
      </c>
      <c r="B41" s="52" t="s">
        <v>479</v>
      </c>
      <c r="C41" s="52" t="s">
        <v>480</v>
      </c>
      <c r="D41" s="52" t="s">
        <v>481</v>
      </c>
    </row>
    <row r="42" spans="1:6" ht="36.75" customHeight="1" x14ac:dyDescent="0.2">
      <c r="A42" s="89" t="s">
        <v>499</v>
      </c>
      <c r="B42" s="89" t="s">
        <v>520</v>
      </c>
      <c r="C42" s="89" t="s">
        <v>521</v>
      </c>
      <c r="D42" s="11" t="s">
        <v>522</v>
      </c>
      <c r="E42" s="11"/>
      <c r="F42" s="11"/>
    </row>
    <row r="44" spans="1:6" ht="15" customHeight="1" x14ac:dyDescent="0.2">
      <c r="A44" s="12" t="s">
        <v>523</v>
      </c>
      <c r="B44" s="12"/>
      <c r="C44" s="12"/>
      <c r="D44" s="12"/>
      <c r="E44" s="12"/>
      <c r="F44" s="12"/>
    </row>
    <row r="45" spans="1:6" ht="15" customHeight="1" x14ac:dyDescent="0.2">
      <c r="A45" s="52" t="s">
        <v>478</v>
      </c>
      <c r="B45" s="52" t="s">
        <v>479</v>
      </c>
      <c r="C45" s="52" t="s">
        <v>480</v>
      </c>
      <c r="D45" s="52" t="s">
        <v>481</v>
      </c>
    </row>
    <row r="46" spans="1:6" ht="18.75" customHeight="1" x14ac:dyDescent="0.2">
      <c r="A46" s="89" t="s">
        <v>495</v>
      </c>
      <c r="B46" s="89" t="s">
        <v>483</v>
      </c>
      <c r="C46" s="89" t="s">
        <v>524</v>
      </c>
      <c r="D46" s="11" t="s">
        <v>525</v>
      </c>
      <c r="E46" s="11"/>
      <c r="F46" s="11"/>
    </row>
    <row r="48" spans="1:6" ht="15" customHeight="1" x14ac:dyDescent="0.2">
      <c r="A48" s="12" t="s">
        <v>526</v>
      </c>
      <c r="B48" s="12"/>
      <c r="C48" s="12"/>
      <c r="D48" s="12"/>
      <c r="E48" s="12"/>
      <c r="F48" s="12"/>
    </row>
    <row r="49" spans="1:6" ht="15" customHeight="1" x14ac:dyDescent="0.2">
      <c r="A49" s="52" t="s">
        <v>478</v>
      </c>
      <c r="B49" s="52" t="s">
        <v>479</v>
      </c>
      <c r="C49" s="52" t="s">
        <v>480</v>
      </c>
      <c r="D49" s="52" t="s">
        <v>481</v>
      </c>
    </row>
    <row r="50" spans="1:6" ht="27" customHeight="1" x14ac:dyDescent="0.2">
      <c r="A50" s="89" t="s">
        <v>527</v>
      </c>
      <c r="B50" s="89" t="s">
        <v>483</v>
      </c>
      <c r="C50" s="89" t="s">
        <v>528</v>
      </c>
      <c r="D50" s="11" t="s">
        <v>529</v>
      </c>
      <c r="E50" s="11"/>
      <c r="F50" s="11"/>
    </row>
    <row r="52" spans="1:6" ht="15" customHeight="1" x14ac:dyDescent="0.2">
      <c r="A52" s="12" t="s">
        <v>530</v>
      </c>
      <c r="B52" s="12"/>
      <c r="C52" s="12"/>
      <c r="D52" s="12"/>
      <c r="E52" s="12"/>
      <c r="F52" s="12"/>
    </row>
    <row r="53" spans="1:6" ht="15" customHeight="1" x14ac:dyDescent="0.2">
      <c r="A53" s="52" t="s">
        <v>478</v>
      </c>
      <c r="B53" s="52" t="s">
        <v>479</v>
      </c>
      <c r="C53" s="52" t="s">
        <v>480</v>
      </c>
      <c r="D53" s="52" t="s">
        <v>481</v>
      </c>
    </row>
    <row r="54" spans="1:6" ht="42" customHeight="1" x14ac:dyDescent="0.2">
      <c r="A54" s="89" t="s">
        <v>531</v>
      </c>
      <c r="B54" s="89" t="s">
        <v>483</v>
      </c>
      <c r="C54" s="89" t="s">
        <v>532</v>
      </c>
      <c r="D54" s="11" t="s">
        <v>533</v>
      </c>
      <c r="E54" s="11"/>
      <c r="F54" s="11"/>
    </row>
    <row r="56" spans="1:6" ht="15" customHeight="1" x14ac:dyDescent="0.2">
      <c r="A56" s="12" t="s">
        <v>534</v>
      </c>
      <c r="B56" s="12"/>
      <c r="C56" s="12"/>
      <c r="D56" s="12"/>
      <c r="E56" s="12"/>
      <c r="F56" s="12"/>
    </row>
    <row r="57" spans="1:6" ht="15" customHeight="1" x14ac:dyDescent="0.2">
      <c r="A57" s="52" t="s">
        <v>478</v>
      </c>
      <c r="B57" s="52" t="s">
        <v>479</v>
      </c>
      <c r="C57" s="52" t="s">
        <v>480</v>
      </c>
      <c r="D57" s="52" t="s">
        <v>481</v>
      </c>
    </row>
    <row r="58" spans="1:6" ht="18.75" customHeight="1" x14ac:dyDescent="0.2">
      <c r="A58" s="89" t="s">
        <v>499</v>
      </c>
      <c r="B58" s="89" t="s">
        <v>535</v>
      </c>
      <c r="C58" s="89" t="s">
        <v>536</v>
      </c>
      <c r="D58" s="11" t="s">
        <v>537</v>
      </c>
      <c r="E58" s="11"/>
      <c r="F58" s="11"/>
    </row>
  </sheetData>
  <mergeCells count="30">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Schema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11</cp:revision>
  <dcterms:created xsi:type="dcterms:W3CDTF">2026-08-05T19:31:08Z</dcterms:created>
  <dcterms:modified xsi:type="dcterms:W3CDTF">2026-08-18T18:11:21Z</dcterms:modified>
  <dc:language>en-US</dc:language>
</cp:coreProperties>
</file>