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sharedStrings.xml><?xml version="1.0" encoding="utf-8"?>
<sst xmlns="http://schemas.openxmlformats.org/spreadsheetml/2006/main" count="1611" uniqueCount="653">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</sst>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94512297"/>
        <c:axId val="3045180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3347540"/>
        <c:axId val="15278791"/>
      </c:lineChart>
      <c:dateAx>
        <c:axId val="945122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51804"/>
        <c:auto val="1"/>
        <c:lblOffset val="100"/>
        <c:baseTimeUnit val="days"/>
      </c:dateAx>
      <c:valAx>
        <c:axId val="304518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12297"/>
        <c:crosses val="autoZero"/>
        <c:crossBetween val="between"/>
      </c:valAx>
      <c:dateAx>
        <c:axId val="33475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78791"/>
        <c:auto val="1"/>
        <c:lblOffset val="100"/>
        <c:baseTimeUnit val="days"/>
      </c:dateAx>
      <c:valAx>
        <c:axId val="152787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75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68989509"/>
        <c:axId val="6667397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57447930"/>
        <c:axId val="53182844"/>
      </c:lineChart>
      <c:dateAx>
        <c:axId val="689895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673978"/>
        <c:auto val="1"/>
        <c:lblOffset val="100"/>
        <c:baseTimeUnit val="days"/>
      </c:dateAx>
      <c:valAx>
        <c:axId val="666739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89509"/>
        <c:crosses val="autoZero"/>
        <c:crossBetween val="between"/>
      </c:valAx>
      <c:dateAx>
        <c:axId val="574479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82844"/>
        <c:auto val="1"/>
        <c:lblOffset val="100"/>
        <c:baseTimeUnit val="days"/>
      </c:dateAx>
      <c:valAx>
        <c:axId val="531828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4479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78138364"/>
        <c:axId val="1165375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99811223"/>
        <c:axId val="71629757"/>
      </c:lineChart>
      <c:dateAx>
        <c:axId val="781383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53752"/>
        <c:auto val="1"/>
        <c:lblOffset val="100"/>
        <c:baseTimeUnit val="days"/>
      </c:dateAx>
      <c:valAx>
        <c:axId val="116537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38364"/>
        <c:crosses val="autoZero"/>
        <c:crossBetween val="between"/>
      </c:valAx>
      <c:dateAx>
        <c:axId val="998112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629757"/>
        <c:auto val="1"/>
        <c:lblOffset val="100"/>
        <c:baseTimeUnit val="days"/>
      </c:dateAx>
      <c:valAx>
        <c:axId val="716297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112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45999595"/>
        <c:axId val="66593775"/>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31822020"/>
        <c:axId val="15002718"/>
      </c:lineChart>
      <c:dateAx>
        <c:axId val="459995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93775"/>
        <c:auto val="1"/>
        <c:lblOffset val="100"/>
        <c:baseTimeUnit val="days"/>
      </c:dateAx>
      <c:valAx>
        <c:axId val="665937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99595"/>
        <c:crosses val="autoZero"/>
        <c:crossBetween val="between"/>
      </c:valAx>
      <c:dateAx>
        <c:axId val="318220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002718"/>
        <c:auto val="1"/>
        <c:lblOffset val="100"/>
        <c:baseTimeUnit val="days"/>
      </c:dateAx>
      <c:valAx>
        <c:axId val="150027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220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68238751"/>
        <c:axId val="4141390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79246805"/>
        <c:axId val="41600504"/>
      </c:lineChart>
      <c:dateAx>
        <c:axId val="682387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13908"/>
        <c:auto val="1"/>
        <c:lblOffset val="100"/>
        <c:baseTimeUnit val="days"/>
      </c:dateAx>
      <c:valAx>
        <c:axId val="414139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38751"/>
        <c:crosses val="autoZero"/>
        <c:crossBetween val="between"/>
      </c:valAx>
      <c:dateAx>
        <c:axId val="792468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600504"/>
        <c:auto val="1"/>
        <c:lblOffset val="100"/>
        <c:baseTimeUnit val="days"/>
      </c:dateAx>
      <c:valAx>
        <c:axId val="416005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2468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5514865"/>
        <c:axId val="71107309"/>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83991629"/>
        <c:axId val="37986593"/>
      </c:lineChart>
      <c:dateAx>
        <c:axId val="65514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07309"/>
        <c:auto val="1"/>
        <c:lblOffset val="100"/>
        <c:baseTimeUnit val="days"/>
      </c:dateAx>
      <c:valAx>
        <c:axId val="711073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14865"/>
        <c:crosses val="autoZero"/>
        <c:crossBetween val="between"/>
      </c:valAx>
      <c:dateAx>
        <c:axId val="839916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86593"/>
        <c:auto val="1"/>
        <c:lblOffset val="100"/>
        <c:baseTimeUnit val="days"/>
      </c:dateAx>
      <c:valAx>
        <c:axId val="379865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916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41943638"/>
        <c:axId val="4701955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28943168"/>
        <c:axId val="7593548"/>
      </c:lineChart>
      <c:dateAx>
        <c:axId val="419436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19554"/>
        <c:auto val="1"/>
        <c:lblOffset val="100"/>
        <c:baseTimeUnit val="days"/>
      </c:dateAx>
      <c:valAx>
        <c:axId val="470195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43638"/>
        <c:crosses val="autoZero"/>
        <c:crossBetween val="between"/>
      </c:valAx>
      <c:dateAx>
        <c:axId val="289431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3548"/>
        <c:auto val="1"/>
        <c:lblOffset val="100"/>
        <c:baseTimeUnit val="days"/>
      </c:dateAx>
      <c:valAx>
        <c:axId val="75935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431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90810567"/>
        <c:axId val="17955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29367033"/>
        <c:axId val="57809097"/>
      </c:lineChart>
      <c:dateAx>
        <c:axId val="908105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554"/>
        <c:auto val="1"/>
        <c:lblOffset val="100"/>
        <c:baseTimeUnit val="days"/>
      </c:dateAx>
      <c:valAx>
        <c:axId val="1795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10567"/>
        <c:crosses val="autoZero"/>
        <c:crossBetween val="between"/>
      </c:valAx>
      <c:dateAx>
        <c:axId val="293670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809097"/>
        <c:auto val="1"/>
        <c:lblOffset val="100"/>
        <c:baseTimeUnit val="days"/>
      </c:dateAx>
      <c:valAx>
        <c:axId val="578090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670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6756074"/>
        <c:axId val="1197721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68486845"/>
        <c:axId val="36221703"/>
      </c:lineChart>
      <c:dateAx>
        <c:axId val="67560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77210"/>
        <c:auto val="1"/>
        <c:lblOffset val="100"/>
        <c:baseTimeUnit val="days"/>
      </c:dateAx>
      <c:valAx>
        <c:axId val="119772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6074"/>
        <c:crosses val="autoZero"/>
        <c:crossBetween val="between"/>
      </c:valAx>
      <c:dateAx>
        <c:axId val="684868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21703"/>
        <c:auto val="1"/>
        <c:lblOffset val="100"/>
        <c:baseTimeUnit val="days"/>
      </c:dateAx>
      <c:valAx>
        <c:axId val="362217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868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2506510"/>
        <c:axId val="8727692"/>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41962652"/>
        <c:axId val="15086663"/>
      </c:lineChart>
      <c:dateAx>
        <c:axId val="25065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27692"/>
        <c:auto val="1"/>
        <c:lblOffset val="100"/>
        <c:baseTimeUnit val="days"/>
      </c:dateAx>
      <c:valAx>
        <c:axId val="87276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6510"/>
        <c:crosses val="autoZero"/>
        <c:crossBetween val="between"/>
      </c:valAx>
      <c:dateAx>
        <c:axId val="419626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086663"/>
        <c:auto val="1"/>
        <c:lblOffset val="100"/>
        <c:baseTimeUnit val="days"/>
      </c:dateAx>
      <c:valAx>
        <c:axId val="150866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626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71009779"/>
        <c:axId val="1853086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58454782"/>
        <c:axId val="26773087"/>
      </c:lineChart>
      <c:dateAx>
        <c:axId val="710097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30868"/>
        <c:auto val="1"/>
        <c:lblOffset val="100"/>
        <c:baseTimeUnit val="days"/>
      </c:dateAx>
      <c:valAx>
        <c:axId val="185308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09779"/>
        <c:crosses val="autoZero"/>
        <c:crossBetween val="between"/>
      </c:valAx>
      <c:dateAx>
        <c:axId val="584547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73087"/>
        <c:auto val="1"/>
        <c:lblOffset val="100"/>
        <c:baseTimeUnit val="days"/>
      </c:dateAx>
      <c:valAx>
        <c:axId val="267730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547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39409673"/>
        <c:axId val="2302323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21628965"/>
        <c:axId val="11218077"/>
      </c:lineChart>
      <c:dateAx>
        <c:axId val="394096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23237"/>
        <c:auto val="1"/>
        <c:lblOffset val="100"/>
        <c:baseTimeUnit val="days"/>
      </c:dateAx>
      <c:valAx>
        <c:axId val="230232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09673"/>
        <c:crosses val="autoZero"/>
        <c:crossBetween val="between"/>
      </c:valAx>
      <c:dateAx>
        <c:axId val="216289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218077"/>
        <c:auto val="1"/>
        <c:lblOffset val="100"/>
        <c:baseTimeUnit val="days"/>
      </c:dateAx>
      <c:valAx>
        <c:axId val="112180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6289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1876948"/>
        <c:axId val="6213082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89866474"/>
        <c:axId val="83073988"/>
      </c:lineChart>
      <c:dateAx>
        <c:axId val="18769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30826"/>
        <c:auto val="1"/>
        <c:lblOffset val="100"/>
        <c:baseTimeUnit val="days"/>
      </c:dateAx>
      <c:valAx>
        <c:axId val="621308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6948"/>
        <c:crosses val="autoZero"/>
        <c:crossBetween val="between"/>
      </c:valAx>
      <c:dateAx>
        <c:axId val="898664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73988"/>
        <c:auto val="1"/>
        <c:lblOffset val="100"/>
        <c:baseTimeUnit val="days"/>
      </c:dateAx>
      <c:valAx>
        <c:axId val="830739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664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64483058"/>
        <c:axId val="9205547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63286098"/>
        <c:axId val="23472852"/>
      </c:lineChart>
      <c:dateAx>
        <c:axId val="644830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055476"/>
        <c:auto val="1"/>
        <c:lblOffset val="100"/>
        <c:baseTimeUnit val="days"/>
      </c:dateAx>
      <c:valAx>
        <c:axId val="920554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83058"/>
        <c:crosses val="autoZero"/>
        <c:crossBetween val="between"/>
      </c:valAx>
      <c:dateAx>
        <c:axId val="632860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472852"/>
        <c:auto val="1"/>
        <c:lblOffset val="100"/>
        <c:baseTimeUnit val="days"/>
      </c:dateAx>
      <c:valAx>
        <c:axId val="234728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2860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66896969"/>
        <c:axId val="9752409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70067745"/>
        <c:axId val="53539545"/>
      </c:lineChart>
      <c:dateAx>
        <c:axId val="668969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24090"/>
        <c:auto val="1"/>
        <c:lblOffset val="100"/>
        <c:baseTimeUnit val="days"/>
      </c:dateAx>
      <c:valAx>
        <c:axId val="975240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96969"/>
        <c:crosses val="autoZero"/>
        <c:crossBetween val="between"/>
      </c:valAx>
      <c:dateAx>
        <c:axId val="700677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39545"/>
        <c:auto val="1"/>
        <c:lblOffset val="100"/>
        <c:baseTimeUnit val="days"/>
      </c:dateAx>
      <c:valAx>
        <c:axId val="535395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677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0092369"/>
        <c:axId val="65638090"/>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40880408"/>
        <c:axId val="17338691"/>
      </c:lineChart>
      <c:dateAx>
        <c:axId val="100923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38090"/>
        <c:auto val="1"/>
        <c:lblOffset val="100"/>
        <c:baseTimeUnit val="days"/>
      </c:dateAx>
      <c:valAx>
        <c:axId val="656380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92369"/>
        <c:crosses val="autoZero"/>
        <c:crossBetween val="between"/>
      </c:valAx>
      <c:dateAx>
        <c:axId val="408804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38691"/>
        <c:auto val="1"/>
        <c:lblOffset val="100"/>
        <c:baseTimeUnit val="days"/>
      </c:dateAx>
      <c:valAx>
        <c:axId val="173386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8804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4809570"/>
        <c:axId val="2474253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83044735"/>
        <c:axId val="5211108"/>
      </c:lineChart>
      <c:dateAx>
        <c:axId val="248095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42537"/>
        <c:auto val="1"/>
        <c:lblOffset val="100"/>
        <c:baseTimeUnit val="days"/>
      </c:dateAx>
      <c:valAx>
        <c:axId val="247425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09570"/>
        <c:crosses val="autoZero"/>
        <c:crossBetween val="between"/>
      </c:valAx>
      <c:dateAx>
        <c:axId val="830447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1108"/>
        <c:auto val="1"/>
        <c:lblOffset val="100"/>
        <c:baseTimeUnit val="days"/>
      </c:dateAx>
      <c:valAx>
        <c:axId val="52111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447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21691047"/>
        <c:axId val="6326136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35235937"/>
        <c:axId val="35231728"/>
      </c:lineChart>
      <c:dateAx>
        <c:axId val="216910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261367"/>
        <c:auto val="1"/>
        <c:lblOffset val="100"/>
        <c:baseTimeUnit val="days"/>
      </c:dateAx>
      <c:valAx>
        <c:axId val="632613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691047"/>
        <c:crosses val="autoZero"/>
        <c:crossBetween val="between"/>
      </c:valAx>
      <c:dateAx>
        <c:axId val="352359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31728"/>
        <c:auto val="1"/>
        <c:lblOffset val="100"/>
        <c:baseTimeUnit val="days"/>
      </c:dateAx>
      <c:valAx>
        <c:axId val="352317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359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81117673"/>
        <c:axId val="36420559"/>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83530422"/>
        <c:axId val="76421858"/>
      </c:lineChart>
      <c:dateAx>
        <c:axId val="811176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20559"/>
        <c:auto val="1"/>
        <c:lblOffset val="100"/>
        <c:baseTimeUnit val="days"/>
      </c:dateAx>
      <c:valAx>
        <c:axId val="364205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17673"/>
        <c:crosses val="autoZero"/>
        <c:crossBetween val="between"/>
      </c:valAx>
      <c:dateAx>
        <c:axId val="835304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21858"/>
        <c:auto val="1"/>
        <c:lblOffset val="100"/>
        <c:baseTimeUnit val="days"/>
      </c:dateAx>
      <c:valAx>
        <c:axId val="764218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5304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380880</xdr:colOff>
      <xdr:row>175</xdr:row>
      <xdr:rowOff>24120</xdr:rowOff>
    </xdr:to>
    <xdr:graphicFrame>
      <xdr:nvGraphicFramePr>
        <xdr:cNvPr id="1" name="Chart 1"/>
        <xdr:cNvGraphicFramePr/>
      </xdr:nvGraphicFramePr>
      <xdr:xfrm>
        <a:off x="0" y="31204080"/>
        <a:ext cx="2739240" cy="2310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5040</xdr:colOff>
      <xdr:row>175</xdr:row>
      <xdr:rowOff>24120</xdr:rowOff>
    </xdr:to>
    <xdr:graphicFrame>
      <xdr:nvGraphicFramePr>
        <xdr:cNvPr id="2" name="Chart 2"/>
        <xdr:cNvGraphicFramePr/>
      </xdr:nvGraphicFramePr>
      <xdr:xfrm>
        <a:off x="3554640" y="31204080"/>
        <a:ext cx="2397960" cy="2310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168480</xdr:colOff>
      <xdr:row>175</xdr:row>
      <xdr:rowOff>24120</xdr:rowOff>
    </xdr:to>
    <xdr:graphicFrame>
      <xdr:nvGraphicFramePr>
        <xdr:cNvPr id="3" name="Chart 3"/>
        <xdr:cNvGraphicFramePr/>
      </xdr:nvGraphicFramePr>
      <xdr:xfrm>
        <a:off x="6744960" y="31204080"/>
        <a:ext cx="2455920" cy="2310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420840</xdr:colOff>
      <xdr:row>175</xdr:row>
      <xdr:rowOff>24120</xdr:rowOff>
    </xdr:to>
    <xdr:graphicFrame>
      <xdr:nvGraphicFramePr>
        <xdr:cNvPr id="4" name="Chart 4"/>
        <xdr:cNvGraphicFramePr/>
      </xdr:nvGraphicFramePr>
      <xdr:xfrm>
        <a:off x="10464840" y="31204080"/>
        <a:ext cx="4718520" cy="2310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380880</xdr:colOff>
      <xdr:row>191</xdr:row>
      <xdr:rowOff>24120</xdr:rowOff>
    </xdr:to>
    <xdr:graphicFrame>
      <xdr:nvGraphicFramePr>
        <xdr:cNvPr id="5" name="Chart 5"/>
        <xdr:cNvGraphicFramePr/>
      </xdr:nvGraphicFramePr>
      <xdr:xfrm>
        <a:off x="0" y="34251840"/>
        <a:ext cx="2739240" cy="2310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5040</xdr:colOff>
      <xdr:row>191</xdr:row>
      <xdr:rowOff>24120</xdr:rowOff>
    </xdr:to>
    <xdr:graphicFrame>
      <xdr:nvGraphicFramePr>
        <xdr:cNvPr id="6" name="Chart 6"/>
        <xdr:cNvGraphicFramePr/>
      </xdr:nvGraphicFramePr>
      <xdr:xfrm>
        <a:off x="3554640" y="34251840"/>
        <a:ext cx="2397960" cy="2310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168480</xdr:colOff>
      <xdr:row>191</xdr:row>
      <xdr:rowOff>24120</xdr:rowOff>
    </xdr:to>
    <xdr:graphicFrame>
      <xdr:nvGraphicFramePr>
        <xdr:cNvPr id="7" name="Chart 7"/>
        <xdr:cNvGraphicFramePr/>
      </xdr:nvGraphicFramePr>
      <xdr:xfrm>
        <a:off x="6744960" y="34251840"/>
        <a:ext cx="2455920" cy="23101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420840</xdr:colOff>
      <xdr:row>191</xdr:row>
      <xdr:rowOff>24120</xdr:rowOff>
    </xdr:to>
    <xdr:graphicFrame>
      <xdr:nvGraphicFramePr>
        <xdr:cNvPr id="8" name="Chart 8"/>
        <xdr:cNvGraphicFramePr/>
      </xdr:nvGraphicFramePr>
      <xdr:xfrm>
        <a:off x="10464840" y="34251840"/>
        <a:ext cx="4718520" cy="23101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380880</xdr:colOff>
      <xdr:row>207</xdr:row>
      <xdr:rowOff>24120</xdr:rowOff>
    </xdr:to>
    <xdr:graphicFrame>
      <xdr:nvGraphicFramePr>
        <xdr:cNvPr id="9" name="Chart 9"/>
        <xdr:cNvGraphicFramePr/>
      </xdr:nvGraphicFramePr>
      <xdr:xfrm>
        <a:off x="0" y="37299960"/>
        <a:ext cx="2739240" cy="2310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5040</xdr:colOff>
      <xdr:row>207</xdr:row>
      <xdr:rowOff>24120</xdr:rowOff>
    </xdr:to>
    <xdr:graphicFrame>
      <xdr:nvGraphicFramePr>
        <xdr:cNvPr id="10" name="Chart 10"/>
        <xdr:cNvGraphicFramePr/>
      </xdr:nvGraphicFramePr>
      <xdr:xfrm>
        <a:off x="3554640" y="37299960"/>
        <a:ext cx="2397960" cy="2310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168480</xdr:colOff>
      <xdr:row>207</xdr:row>
      <xdr:rowOff>24120</xdr:rowOff>
    </xdr:to>
    <xdr:graphicFrame>
      <xdr:nvGraphicFramePr>
        <xdr:cNvPr id="11" name="Chart 11"/>
        <xdr:cNvGraphicFramePr/>
      </xdr:nvGraphicFramePr>
      <xdr:xfrm>
        <a:off x="6744960" y="37299960"/>
        <a:ext cx="2455920" cy="2310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420840</xdr:colOff>
      <xdr:row>207</xdr:row>
      <xdr:rowOff>24120</xdr:rowOff>
    </xdr:to>
    <xdr:graphicFrame>
      <xdr:nvGraphicFramePr>
        <xdr:cNvPr id="12" name="Chart 12"/>
        <xdr:cNvGraphicFramePr/>
      </xdr:nvGraphicFramePr>
      <xdr:xfrm>
        <a:off x="10464840" y="37299960"/>
        <a:ext cx="4718520" cy="2310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380880</xdr:colOff>
      <xdr:row>223</xdr:row>
      <xdr:rowOff>24120</xdr:rowOff>
    </xdr:to>
    <xdr:graphicFrame>
      <xdr:nvGraphicFramePr>
        <xdr:cNvPr id="13" name="Chart 13"/>
        <xdr:cNvGraphicFramePr/>
      </xdr:nvGraphicFramePr>
      <xdr:xfrm>
        <a:off x="0" y="40348080"/>
        <a:ext cx="2739240" cy="2310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5040</xdr:colOff>
      <xdr:row>223</xdr:row>
      <xdr:rowOff>24120</xdr:rowOff>
    </xdr:to>
    <xdr:graphicFrame>
      <xdr:nvGraphicFramePr>
        <xdr:cNvPr id="14" name="Chart 14"/>
        <xdr:cNvGraphicFramePr/>
      </xdr:nvGraphicFramePr>
      <xdr:xfrm>
        <a:off x="3554640" y="40348080"/>
        <a:ext cx="2397960" cy="23101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168480</xdr:colOff>
      <xdr:row>223</xdr:row>
      <xdr:rowOff>24120</xdr:rowOff>
    </xdr:to>
    <xdr:graphicFrame>
      <xdr:nvGraphicFramePr>
        <xdr:cNvPr id="15" name="Chart 15"/>
        <xdr:cNvGraphicFramePr/>
      </xdr:nvGraphicFramePr>
      <xdr:xfrm>
        <a:off x="6744960" y="40348080"/>
        <a:ext cx="2455920" cy="23101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420840</xdr:colOff>
      <xdr:row>223</xdr:row>
      <xdr:rowOff>24120</xdr:rowOff>
    </xdr:to>
    <xdr:graphicFrame>
      <xdr:nvGraphicFramePr>
        <xdr:cNvPr id="16" name="Chart 16"/>
        <xdr:cNvGraphicFramePr/>
      </xdr:nvGraphicFramePr>
      <xdr:xfrm>
        <a:off x="10464840" y="40348080"/>
        <a:ext cx="4718520" cy="23101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380880</xdr:colOff>
      <xdr:row>239</xdr:row>
      <xdr:rowOff>24120</xdr:rowOff>
    </xdr:to>
    <xdr:graphicFrame>
      <xdr:nvGraphicFramePr>
        <xdr:cNvPr id="17" name="Chart 17"/>
        <xdr:cNvGraphicFramePr/>
      </xdr:nvGraphicFramePr>
      <xdr:xfrm>
        <a:off x="0" y="43395840"/>
        <a:ext cx="2739240" cy="23101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5040</xdr:colOff>
      <xdr:row>239</xdr:row>
      <xdr:rowOff>24120</xdr:rowOff>
    </xdr:to>
    <xdr:graphicFrame>
      <xdr:nvGraphicFramePr>
        <xdr:cNvPr id="18" name="Chart 18"/>
        <xdr:cNvGraphicFramePr/>
      </xdr:nvGraphicFramePr>
      <xdr:xfrm>
        <a:off x="3554640" y="43395840"/>
        <a:ext cx="2397960" cy="23101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39600</xdr:colOff>
      <xdr:row>253</xdr:row>
      <xdr:rowOff>24120</xdr:rowOff>
    </xdr:to>
    <xdr:graphicFrame>
      <xdr:nvGraphicFramePr>
        <xdr:cNvPr id="19" name="Chart 19"/>
        <xdr:cNvGraphicFramePr/>
      </xdr:nvGraphicFramePr>
      <xdr:xfrm>
        <a:off x="0" y="46063080"/>
        <a:ext cx="2397960" cy="23101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33</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33</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33</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33</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33</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33</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33</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33</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33</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33</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33</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33</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32</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27</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27</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28</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28</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28</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28</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28</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28</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15</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28</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28</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28</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26</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27</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26</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27</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28</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28</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28</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28</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15</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27</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28</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33</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28</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26</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28</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33</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33</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28</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27</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28</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(Calc)'!$B$3:$B$161,'Returns (Calc)'!$C$3:$C$161),2),"")</f>
        <v>0.22</v>
      </c>
      <c r="D6" s="117" t="n">
        <f aca="false">IFERROR(ROUND(CORREL('Returns (Calc)'!$B$3:$B$161,'Returns (Calc)'!$D$3:$D$161),2),"")</f>
        <v>0.02</v>
      </c>
      <c r="E6" s="117" t="n">
        <f aca="false">IFERROR(ROUND(CORREL('Returns (Calc)'!$B$3:$B$161,'Returns (Calc)'!$E$3:$E$161),2),"")</f>
        <v>0.16</v>
      </c>
      <c r="F6" s="117" t="n">
        <f aca="false">IFERROR(ROUND(CORREL('Returns (Calc)'!$B$3:$B$161,'Returns (Calc)'!$F$3:$F$161),2),"")</f>
        <v>0.41</v>
      </c>
      <c r="G6" s="117" t="n">
        <f aca="false">IFERROR(ROUND(CORREL('Returns (Calc)'!$B$3:$B$161,'Returns (Calc)'!$G$3:$G$161),2),"")</f>
        <v>-0.04</v>
      </c>
      <c r="H6" s="117" t="n">
        <f aca="false">IFERROR(ROUND(CORREL('Returns (Calc)'!$B$3:$B$161,'Returns (Calc)'!$H$3:$H$161),2),"")</f>
        <v>0.06</v>
      </c>
      <c r="I6" s="117" t="n">
        <f aca="false">IFERROR(ROUND(CORREL('Returns (Calc)'!$B$3:$B$161,'Returns (Calc)'!$I$3:$I$161),2),"")</f>
        <v>0.23</v>
      </c>
      <c r="J6" s="117" t="n">
        <f aca="false">IFERROR(ROUND(CORREL('Returns (Calc)'!$B$3:$B$161,'Returns (Calc)'!$J$3:$J$161),2),"")</f>
        <v>0.17</v>
      </c>
      <c r="K6" s="117" t="n">
        <f aca="false">IFERROR(ROUND(CORREL('Returns (Calc)'!$B$3:$B$161,'Returns (Calc)'!$K$3:$K$161),2),"")</f>
        <v>0.37</v>
      </c>
      <c r="L6" s="117" t="n">
        <f aca="false">IFERROR(ROUND(CORREL('Returns (Calc)'!$B$3:$B$161,'Returns (Calc)'!$L$3:$L$161),2),"")</f>
        <v>0.16</v>
      </c>
      <c r="M6" s="117" t="n">
        <f aca="false">IFERROR(ROUND(CORREL('Returns (Calc)'!$B$3:$B$161,'Returns (Calc)'!$M$3:$M$161),2),"")</f>
        <v>0.07</v>
      </c>
      <c r="N6" s="117" t="n">
        <f aca="false">IFERROR(ROUND(CORREL('Returns (Calc)'!$B$3:$B$161,'Returns (Calc)'!$N$3:$N$161),2),"")</f>
        <v>0.14</v>
      </c>
      <c r="O6" s="117" t="n">
        <f aca="false">IFERROR(ROUND(CORREL('Returns (Calc)'!$B$3:$B$161,'Returns (Calc)'!$O$3:$O$161),2),"")</f>
        <v>0.17</v>
      </c>
      <c r="P6" s="117" t="str">
        <f aca="false">IFERROR(ROUND(CORREL('Returns (Calc)'!$B$3:$B$161,'Returns (Calc)'!$P$3:$P$161),2),"")</f>
        <v/>
      </c>
      <c r="Q6" s="117" t="n">
        <f aca="false">IFERROR(ROUND(CORREL('Returns (Calc)'!$B$3:$B$161,'Returns (Calc)'!$Q$3:$Q$161),2),"")</f>
        <v>-0.08</v>
      </c>
      <c r="R6" s="117" t="n">
        <f aca="false">IFERROR(ROUND(CORREL('Returns (Calc)'!$B$3:$B$161,'Returns (Calc)'!$R$3:$R$161),2),"")</f>
        <v>0.32</v>
      </c>
      <c r="S6" s="117" t="n">
        <f aca="false">IFERROR(ROUND(CORREL('Returns (Calc)'!$B$3:$B$161,'Returns (Calc)'!$S$3:$S$161),2),"")</f>
        <v>0.24</v>
      </c>
      <c r="T6" s="117" t="n">
        <f aca="false">IFERROR(ROUND(CORREL('Returns (Calc)'!$B$3:$B$161,'Returns (Calc)'!$T$3:$T$161),2),"")</f>
        <v>0.41</v>
      </c>
      <c r="U6" s="117" t="str">
        <f aca="false">IFERROR(ROUND(CORREL('Returns (Calc)'!$B$3:$B$161,'Returns (Calc)'!$U$3:$U$161),2),"")</f>
        <v/>
      </c>
      <c r="V6" s="117" t="n">
        <f aca="false">IFERROR(ROUND(CORREL('Returns (Calc)'!$B$3:$B$161,'Returns (Calc)'!$V$3:$V$161),2),"")</f>
        <v>0.39</v>
      </c>
      <c r="AG6" s="118" t="n">
        <f aca="false">COUNTIF(B6:V6,"&gt;0.7")-1</f>
        <v>0</v>
      </c>
    </row>
    <row r="7" customFormat="false" ht="15" hidden="false" customHeight="true" outlineLevel="0" collapsed="false">
      <c r="A7" s="116" t="str">
        <f aca="false">'Returns (Calc)'!C2</f>
        <v>ANET</v>
      </c>
      <c r="B7" s="117" t="n">
        <f aca="false">IFERROR(ROUND(CORREL('Returns (Calc)'!$C$3:$C$161,'Returns (Calc)'!$B$3:$B$161),2),"")</f>
        <v>0.22</v>
      </c>
      <c r="C7" s="117" t="n">
        <v>1</v>
      </c>
      <c r="D7" s="117" t="n">
        <f aca="false">IFERROR(ROUND(CORREL('Returns (Calc)'!$C$3:$C$161,'Returns (Calc)'!$D$3:$D$161),2),"")</f>
        <v>0.39</v>
      </c>
      <c r="E7" s="117" t="n">
        <f aca="false">IFERROR(ROUND(CORREL('Returns (Calc)'!$C$3:$C$161,'Returns (Calc)'!$E$3:$E$161),2),"")</f>
        <v>0.58</v>
      </c>
      <c r="F7" s="117" t="n">
        <f aca="false">IFERROR(ROUND(CORREL('Returns (Calc)'!$C$3:$C$161,'Returns (Calc)'!$F$3:$F$161),2),"")</f>
        <v>0.38</v>
      </c>
      <c r="G7" s="117" t="n">
        <f aca="false">IFERROR(ROUND(CORREL('Returns (Calc)'!$C$3:$C$161,'Returns (Calc)'!$G$3:$G$161),2),"")</f>
        <v>0.45</v>
      </c>
      <c r="H7" s="117" t="n">
        <f aca="false">IFERROR(ROUND(CORREL('Returns (Calc)'!$C$3:$C$161,'Returns (Calc)'!$H$3:$H$161),2),"")</f>
        <v>0.35</v>
      </c>
      <c r="I7" s="117" t="n">
        <f aca="false">IFERROR(ROUND(CORREL('Returns (Calc)'!$C$3:$C$161,'Returns (Calc)'!$I$3:$I$161),2),"")</f>
        <v>0.53</v>
      </c>
      <c r="J7" s="117" t="n">
        <f aca="false">IFERROR(ROUND(CORREL('Returns (Calc)'!$C$3:$C$161,'Returns (Calc)'!$J$3:$J$161),2),"")</f>
        <v>0.18</v>
      </c>
      <c r="K7" s="117" t="n">
        <f aca="false">IFERROR(ROUND(CORREL('Returns (Calc)'!$C$3:$C$161,'Returns (Calc)'!$K$3:$K$161),2),"")</f>
        <v>0.33</v>
      </c>
      <c r="L7" s="117" t="n">
        <f aca="false">IFERROR(ROUND(CORREL('Returns (Calc)'!$C$3:$C$161,'Returns (Calc)'!$L$3:$L$161),2),"")</f>
        <v>0.55</v>
      </c>
      <c r="M7" s="117" t="n">
        <f aca="false">IFERROR(ROUND(CORREL('Returns (Calc)'!$C$3:$C$161,'Returns (Calc)'!$M$3:$M$161),2),"")</f>
        <v>0.59</v>
      </c>
      <c r="N7" s="117" t="n">
        <f aca="false">IFERROR(ROUND(CORREL('Returns (Calc)'!$C$3:$C$161,'Returns (Calc)'!$N$3:$N$161),2),"")</f>
        <v>0.04</v>
      </c>
      <c r="O7" s="117" t="n">
        <f aca="false">IFERROR(ROUND(CORREL('Returns (Calc)'!$C$3:$C$161,'Returns (Calc)'!$O$3:$O$161),2),"")</f>
        <v>0.35</v>
      </c>
      <c r="P7" s="117" t="str">
        <f aca="false">IFERROR(ROUND(CORREL('Returns (Calc)'!$C$3:$C$161,'Returns (Calc)'!$P$3:$P$161),2),"")</f>
        <v/>
      </c>
      <c r="Q7" s="117" t="n">
        <f aca="false">IFERROR(ROUND(CORREL('Returns (Calc)'!$C$3:$C$161,'Returns (Calc)'!$Q$3:$Q$161),2),"")</f>
        <v>0.02</v>
      </c>
      <c r="R7" s="117" t="n">
        <f aca="false">IFERROR(ROUND(CORREL('Returns (Calc)'!$C$3:$C$161,'Returns (Calc)'!$R$3:$R$161),2),"")</f>
        <v>0.64</v>
      </c>
      <c r="S7" s="117" t="n">
        <f aca="false">IFERROR(ROUND(CORREL('Returns (Calc)'!$C$3:$C$161,'Returns (Calc)'!$S$3:$S$161),2),"")</f>
        <v>0.64</v>
      </c>
      <c r="T7" s="117" t="n">
        <f aca="false">IFERROR(ROUND(CORREL('Returns (Calc)'!$C$3:$C$161,'Returns (Calc)'!$T$3:$T$161),2),"")</f>
        <v>0.34</v>
      </c>
      <c r="U7" s="117" t="str">
        <f aca="false">IFERROR(ROUND(CORREL('Returns (Calc)'!$C$3:$C$161,'Returns (Calc)'!$U$3:$U$161),2),"")</f>
        <v/>
      </c>
      <c r="V7" s="117" t="n">
        <f aca="false">IFERROR(ROUND(CORREL('Returns (Calc)'!$C$3:$C$161,'Returns (Calc)'!$V$3:$V$161),2),"")</f>
        <v>0.3</v>
      </c>
      <c r="AG7" s="118" t="n">
        <f aca="false">COUNTIF(B7:V7,"&gt;0.7")-1</f>
        <v>0</v>
      </c>
    </row>
    <row r="8" customFormat="false" ht="15" hidden="false" customHeight="true" outlineLevel="0" collapsed="false">
      <c r="A8" s="116" t="str">
        <f aca="false">'Returns (Calc)'!D2</f>
        <v>ASML</v>
      </c>
      <c r="B8" s="117" t="n">
        <f aca="false">IFERROR(ROUND(CORREL('Returns (Calc)'!$D$3:$D$161,'Returns (Calc)'!$B$3:$B$161),2),"")</f>
        <v>0.02</v>
      </c>
      <c r="C8" s="117" t="n">
        <f aca="false">IFERROR(ROUND(CORREL('Returns (Calc)'!$D$3:$D$161,'Returns (Calc)'!$C$3:$C$161),2),"")</f>
        <v>0.39</v>
      </c>
      <c r="D8" s="117" t="n">
        <v>1</v>
      </c>
      <c r="E8" s="117" t="n">
        <f aca="false">IFERROR(ROUND(CORREL('Returns (Calc)'!$D$3:$D$161,'Returns (Calc)'!$E$3:$E$161),2),"")</f>
        <v>0.5</v>
      </c>
      <c r="F8" s="117" t="n">
        <f aca="false">IFERROR(ROUND(CORREL('Returns (Calc)'!$D$3:$D$161,'Returns (Calc)'!$F$3:$F$161),2),"")</f>
        <v>0.33</v>
      </c>
      <c r="G8" s="117" t="n">
        <f aca="false">IFERROR(ROUND(CORREL('Returns (Calc)'!$D$3:$D$161,'Returns (Calc)'!$G$3:$G$161),2),"")</f>
        <v>0.77</v>
      </c>
      <c r="H8" s="117" t="n">
        <f aca="false">IFERROR(ROUND(CORREL('Returns (Calc)'!$D$3:$D$161,'Returns (Calc)'!$H$3:$H$161),2),"")</f>
        <v>0.6</v>
      </c>
      <c r="I8" s="117" t="n">
        <f aca="false">IFERROR(ROUND(CORREL('Returns (Calc)'!$D$3:$D$161,'Returns (Calc)'!$I$3:$I$161),2),"")</f>
        <v>0.49</v>
      </c>
      <c r="J8" s="117" t="n">
        <f aca="false">IFERROR(ROUND(CORREL('Returns (Calc)'!$D$3:$D$161,'Returns (Calc)'!$J$3:$J$161),2),"")</f>
        <v>0.28</v>
      </c>
      <c r="K8" s="117" t="n">
        <f aca="false">IFERROR(ROUND(CORREL('Returns (Calc)'!$D$3:$D$161,'Returns (Calc)'!$K$3:$K$161),2),"")</f>
        <v>0.21</v>
      </c>
      <c r="L8" s="117" t="n">
        <f aca="false">IFERROR(ROUND(CORREL('Returns (Calc)'!$D$3:$D$161,'Returns (Calc)'!$L$3:$L$161),2),"")</f>
        <v>0.63</v>
      </c>
      <c r="M8" s="117" t="n">
        <f aca="false">IFERROR(ROUND(CORREL('Returns (Calc)'!$D$3:$D$161,'Returns (Calc)'!$M$3:$M$161),2),"")</f>
        <v>0.43</v>
      </c>
      <c r="N8" s="117" t="n">
        <f aca="false">IFERROR(ROUND(CORREL('Returns (Calc)'!$D$3:$D$161,'Returns (Calc)'!$N$3:$N$161),2),"")</f>
        <v>0.12</v>
      </c>
      <c r="O8" s="117" t="n">
        <f aca="false">IFERROR(ROUND(CORREL('Returns (Calc)'!$D$3:$D$161,'Returns (Calc)'!$O$3:$O$161),2),"")</f>
        <v>0.39</v>
      </c>
      <c r="P8" s="117" t="str">
        <f aca="false">IFERROR(ROUND(CORREL('Returns (Calc)'!$D$3:$D$161,'Returns (Calc)'!$P$3:$P$161),2),"")</f>
        <v/>
      </c>
      <c r="Q8" s="117" t="n">
        <f aca="false">IFERROR(ROUND(CORREL('Returns (Calc)'!$D$3:$D$161,'Returns (Calc)'!$Q$3:$Q$161),2),"")</f>
        <v>-0.04</v>
      </c>
      <c r="R8" s="117" t="n">
        <f aca="false">IFERROR(ROUND(CORREL('Returns (Calc)'!$D$3:$D$161,'Returns (Calc)'!$R$3:$R$161),2),"")</f>
        <v>0.61</v>
      </c>
      <c r="S8" s="117" t="n">
        <f aca="false">IFERROR(ROUND(CORREL('Returns (Calc)'!$D$3:$D$161,'Returns (Calc)'!$S$3:$S$161),2),"")</f>
        <v>0.61</v>
      </c>
      <c r="T8" s="117" t="n">
        <f aca="false">IFERROR(ROUND(CORREL('Returns (Calc)'!$D$3:$D$161,'Returns (Calc)'!$T$3:$T$161),2),"")</f>
        <v>0.31</v>
      </c>
      <c r="U8" s="117" t="str">
        <f aca="false">IFERROR(ROUND(CORREL('Returns (Calc)'!$D$3:$D$161,'Returns (Calc)'!$U$3:$U$161),2),"")</f>
        <v/>
      </c>
      <c r="V8" s="117" t="n">
        <f aca="false">IFERROR(ROUND(CORREL('Returns (Calc)'!$D$3:$D$161,'Returns (Calc)'!$V$3:$V$161),2),"")</f>
        <v>0.06</v>
      </c>
      <c r="AG8" s="118" t="n">
        <f aca="false">COUNTIF(B8:V8,"&gt;0.7")-1</f>
        <v>1</v>
      </c>
    </row>
    <row r="9" customFormat="false" ht="15" hidden="false" customHeight="true" outlineLevel="0" collapsed="false">
      <c r="A9" s="116" t="str">
        <f aca="false">'Returns (Calc)'!E2</f>
        <v>AVGO</v>
      </c>
      <c r="B9" s="117" t="n">
        <f aca="false">IFERROR(ROUND(CORREL('Returns (Calc)'!$E$3:$E$161,'Returns (Calc)'!$B$3:$B$161),2),"")</f>
        <v>0.16</v>
      </c>
      <c r="C9" s="117" t="n">
        <f aca="false">IFERROR(ROUND(CORREL('Returns (Calc)'!$E$3:$E$161,'Returns (Calc)'!$C$3:$C$161),2),"")</f>
        <v>0.58</v>
      </c>
      <c r="D9" s="117" t="n">
        <f aca="false">IFERROR(ROUND(CORREL('Returns (Calc)'!$E$3:$E$161,'Returns (Calc)'!$D$3:$D$161),2),"")</f>
        <v>0.5</v>
      </c>
      <c r="E9" s="117" t="n">
        <v>1</v>
      </c>
      <c r="F9" s="117" t="n">
        <f aca="false">IFERROR(ROUND(CORREL('Returns (Calc)'!$E$3:$E$161,'Returns (Calc)'!$F$3:$F$161),2),"")</f>
        <v>0.41</v>
      </c>
      <c r="G9" s="117" t="n">
        <f aca="false">IFERROR(ROUND(CORREL('Returns (Calc)'!$E$3:$E$161,'Returns (Calc)'!$G$3:$G$161),2),"")</f>
        <v>0.54</v>
      </c>
      <c r="H9" s="117" t="n">
        <f aca="false">IFERROR(ROUND(CORREL('Returns (Calc)'!$E$3:$E$161,'Returns (Calc)'!$H$3:$H$161),2),"")</f>
        <v>0.49</v>
      </c>
      <c r="I9" s="117" t="n">
        <f aca="false">IFERROR(ROUND(CORREL('Returns (Calc)'!$E$3:$E$161,'Returns (Calc)'!$I$3:$I$161),2),"")</f>
        <v>0.63</v>
      </c>
      <c r="J9" s="117" t="n">
        <f aca="false">IFERROR(ROUND(CORREL('Returns (Calc)'!$E$3:$E$161,'Returns (Calc)'!$J$3:$J$161),2),"")</f>
        <v>0.22</v>
      </c>
      <c r="K9" s="117" t="n">
        <f aca="false">IFERROR(ROUND(CORREL('Returns (Calc)'!$E$3:$E$161,'Returns (Calc)'!$K$3:$K$161),2),"")</f>
        <v>0.38</v>
      </c>
      <c r="L9" s="117" t="n">
        <f aca="false">IFERROR(ROUND(CORREL('Returns (Calc)'!$E$3:$E$161,'Returns (Calc)'!$L$3:$L$161),2),"")</f>
        <v>0.63</v>
      </c>
      <c r="M9" s="117" t="n">
        <f aca="false">IFERROR(ROUND(CORREL('Returns (Calc)'!$E$3:$E$161,'Returns (Calc)'!$M$3:$M$161),2),"")</f>
        <v>0.53</v>
      </c>
      <c r="N9" s="117" t="n">
        <f aca="false">IFERROR(ROUND(CORREL('Returns (Calc)'!$E$3:$E$161,'Returns (Calc)'!$N$3:$N$161),2),"")</f>
        <v>0.15</v>
      </c>
      <c r="O9" s="117" t="n">
        <f aca="false">IFERROR(ROUND(CORREL('Returns (Calc)'!$E$3:$E$161,'Returns (Calc)'!$O$3:$O$161),2),"")</f>
        <v>0.29</v>
      </c>
      <c r="P9" s="117" t="str">
        <f aca="false">IFERROR(ROUND(CORREL('Returns (Calc)'!$E$3:$E$161,'Returns (Calc)'!$P$3:$P$161),2),"")</f>
        <v/>
      </c>
      <c r="Q9" s="117" t="n">
        <f aca="false">IFERROR(ROUND(CORREL('Returns (Calc)'!$E$3:$E$161,'Returns (Calc)'!$Q$3:$Q$161),2),"")</f>
        <v>-0.05</v>
      </c>
      <c r="R9" s="117" t="n">
        <f aca="false">IFERROR(ROUND(CORREL('Returns (Calc)'!$E$3:$E$161,'Returns (Calc)'!$R$3:$R$161),2),"")</f>
        <v>0.72</v>
      </c>
      <c r="S9" s="117" t="n">
        <f aca="false">IFERROR(ROUND(CORREL('Returns (Calc)'!$E$3:$E$161,'Returns (Calc)'!$S$3:$S$161),2),"")</f>
        <v>0.74</v>
      </c>
      <c r="T9" s="117" t="n">
        <f aca="false">IFERROR(ROUND(CORREL('Returns (Calc)'!$E$3:$E$161,'Returns (Calc)'!$T$3:$T$161),2),"")</f>
        <v>0.26</v>
      </c>
      <c r="U9" s="117" t="str">
        <f aca="false">IFERROR(ROUND(CORREL('Returns (Calc)'!$E$3:$E$161,'Returns (Calc)'!$U$3:$U$161),2),"")</f>
        <v/>
      </c>
      <c r="V9" s="117" t="n">
        <f aca="false">IFERROR(ROUND(CORREL('Returns (Calc)'!$E$3:$E$161,'Returns (Calc)'!$V$3:$V$161),2),"")</f>
        <v>0.23</v>
      </c>
      <c r="AG9" s="118" t="n">
        <f aca="false">COUNTIF(B9:V9,"&gt;0.7")-1</f>
        <v>2</v>
      </c>
    </row>
    <row r="10" customFormat="false" ht="15" hidden="false" customHeight="true" outlineLevel="0" collapsed="false">
      <c r="A10" s="116" t="str">
        <f aca="false">'Returns (Calc)'!F2</f>
        <v>CRWD</v>
      </c>
      <c r="B10" s="117" t="n">
        <f aca="false">IFERROR(ROUND(CORREL('Returns (Calc)'!$F$3:$F$161,'Returns (Calc)'!$B$3:$B$161),2),"")</f>
        <v>0.41</v>
      </c>
      <c r="C10" s="117" t="n">
        <f aca="false">IFERROR(ROUND(CORREL('Returns (Calc)'!$F$3:$F$161,'Returns (Calc)'!$C$3:$C$161),2),"")</f>
        <v>0.38</v>
      </c>
      <c r="D10" s="117" t="n">
        <f aca="false">IFERROR(ROUND(CORREL('Returns (Calc)'!$F$3:$F$161,'Returns (Calc)'!$D$3:$D$161),2),"")</f>
        <v>0.33</v>
      </c>
      <c r="E10" s="117" t="n">
        <f aca="false">IFERROR(ROUND(CORREL('Returns (Calc)'!$F$3:$F$161,'Returns (Calc)'!$E$3:$E$161),2),"")</f>
        <v>0.41</v>
      </c>
      <c r="F10" s="117" t="n">
        <v>1</v>
      </c>
      <c r="G10" s="117" t="n">
        <f aca="false">IFERROR(ROUND(CORREL('Returns (Calc)'!$F$3:$F$161,'Returns (Calc)'!$G$3:$G$161),2),"")</f>
        <v>0.34</v>
      </c>
      <c r="H10" s="117" t="n">
        <f aca="false">IFERROR(ROUND(CORREL('Returns (Calc)'!$F$3:$F$161,'Returns (Calc)'!$H$3:$H$161),2),"")</f>
        <v>0.33</v>
      </c>
      <c r="I10" s="117" t="n">
        <f aca="false">IFERROR(ROUND(CORREL('Returns (Calc)'!$F$3:$F$161,'Returns (Calc)'!$I$3:$I$161),2),"")</f>
        <v>0.46</v>
      </c>
      <c r="J10" s="117" t="n">
        <f aca="false">IFERROR(ROUND(CORREL('Returns (Calc)'!$F$3:$F$161,'Returns (Calc)'!$J$3:$J$161),2),"")</f>
        <v>0.1</v>
      </c>
      <c r="K10" s="117" t="n">
        <f aca="false">IFERROR(ROUND(CORREL('Returns (Calc)'!$F$3:$F$161,'Returns (Calc)'!$K$3:$K$161),2),"")</f>
        <v>0.5</v>
      </c>
      <c r="L10" s="117" t="n">
        <f aca="false">IFERROR(ROUND(CORREL('Returns (Calc)'!$F$3:$F$161,'Returns (Calc)'!$L$3:$L$161),2),"")</f>
        <v>0.38</v>
      </c>
      <c r="M10" s="117" t="n">
        <f aca="false">IFERROR(ROUND(CORREL('Returns (Calc)'!$F$3:$F$161,'Returns (Calc)'!$M$3:$M$161),2),"")</f>
        <v>0.42</v>
      </c>
      <c r="N10" s="117" t="n">
        <f aca="false">IFERROR(ROUND(CORREL('Returns (Calc)'!$F$3:$F$161,'Returns (Calc)'!$N$3:$N$161),2),"")</f>
        <v>0.18</v>
      </c>
      <c r="O10" s="117" t="n">
        <f aca="false">IFERROR(ROUND(CORREL('Returns (Calc)'!$F$3:$F$161,'Returns (Calc)'!$O$3:$O$161),2),"")</f>
        <v>0.22</v>
      </c>
      <c r="P10" s="117" t="str">
        <f aca="false">IFERROR(ROUND(CORREL('Returns (Calc)'!$F$3:$F$161,'Returns (Calc)'!$P$3:$P$161),2),"")</f>
        <v/>
      </c>
      <c r="Q10" s="117" t="n">
        <f aca="false">IFERROR(ROUND(CORREL('Returns (Calc)'!$F$3:$F$161,'Returns (Calc)'!$Q$3:$Q$161),2),"")</f>
        <v>-0.03</v>
      </c>
      <c r="R10" s="117" t="n">
        <f aca="false">IFERROR(ROUND(CORREL('Returns (Calc)'!$F$3:$F$161,'Returns (Calc)'!$R$3:$R$161),2),"")</f>
        <v>0.54</v>
      </c>
      <c r="S10" s="117" t="n">
        <f aca="false">IFERROR(ROUND(CORREL('Returns (Calc)'!$F$3:$F$161,'Returns (Calc)'!$S$3:$S$161),2),"")</f>
        <v>0.53</v>
      </c>
      <c r="T10" s="117" t="n">
        <f aca="false">IFERROR(ROUND(CORREL('Returns (Calc)'!$F$3:$F$161,'Returns (Calc)'!$T$3:$T$161),2),"")</f>
        <v>0.31</v>
      </c>
      <c r="U10" s="117" t="str">
        <f aca="false">IFERROR(ROUND(CORREL('Returns (Calc)'!$F$3:$F$161,'Returns (Calc)'!$U$3:$U$161),2),"")</f>
        <v/>
      </c>
      <c r="V10" s="117" t="n">
        <f aca="false">IFERROR(ROUND(CORREL('Returns (Calc)'!$F$3:$F$161,'Returns (Calc)'!$V$3:$V$161),2),"")</f>
        <v>0.25</v>
      </c>
      <c r="AG10" s="118" t="n">
        <f aca="false">COUNTIF(B10:V10,"&gt;0.7")-1</f>
        <v>0</v>
      </c>
    </row>
    <row r="11" customFormat="false" ht="15" hidden="false" customHeight="true" outlineLevel="0" collapsed="false">
      <c r="A11" s="116" t="str">
        <f aca="false">'Returns (Calc)'!G2</f>
        <v>KLAC</v>
      </c>
      <c r="B11" s="117" t="n">
        <f aca="false">IFERROR(ROUND(CORREL('Returns (Calc)'!$G$3:$G$161,'Returns (Calc)'!$B$3:$B$161),2),"")</f>
        <v>-0.04</v>
      </c>
      <c r="C11" s="117" t="n">
        <f aca="false">IFERROR(ROUND(CORREL('Returns (Calc)'!$G$3:$G$161,'Returns (Calc)'!$C$3:$C$161),2),"")</f>
        <v>0.45</v>
      </c>
      <c r="D11" s="117" t="n">
        <f aca="false">IFERROR(ROUND(CORREL('Returns (Calc)'!$G$3:$G$161,'Returns (Calc)'!$D$3:$D$161),2),"")</f>
        <v>0.77</v>
      </c>
      <c r="E11" s="117" t="n">
        <f aca="false">IFERROR(ROUND(CORREL('Returns (Calc)'!$G$3:$G$161,'Returns (Calc)'!$E$3:$E$161),2),"")</f>
        <v>0.54</v>
      </c>
      <c r="F11" s="117" t="n">
        <f aca="false">IFERROR(ROUND(CORREL('Returns (Calc)'!$G$3:$G$161,'Returns (Calc)'!$F$3:$F$161),2),"")</f>
        <v>0.34</v>
      </c>
      <c r="G11" s="117" t="n">
        <v>1</v>
      </c>
      <c r="H11" s="117" t="n">
        <f aca="false">IFERROR(ROUND(CORREL('Returns (Calc)'!$G$3:$G$161,'Returns (Calc)'!$H$3:$H$161),2),"")</f>
        <v>0.6</v>
      </c>
      <c r="I11" s="117" t="n">
        <f aca="false">IFERROR(ROUND(CORREL('Returns (Calc)'!$G$3:$G$161,'Returns (Calc)'!$I$3:$I$161),2),"")</f>
        <v>0.52</v>
      </c>
      <c r="J11" s="117" t="n">
        <f aca="false">IFERROR(ROUND(CORREL('Returns (Calc)'!$G$3:$G$161,'Returns (Calc)'!$J$3:$J$161),2),"")</f>
        <v>0.28</v>
      </c>
      <c r="K11" s="117" t="n">
        <f aca="false">IFERROR(ROUND(CORREL('Returns (Calc)'!$G$3:$G$161,'Returns (Calc)'!$K$3:$K$161),2),"")</f>
        <v>0.25</v>
      </c>
      <c r="L11" s="117" t="n">
        <f aca="false">IFERROR(ROUND(CORREL('Returns (Calc)'!$G$3:$G$161,'Returns (Calc)'!$L$3:$L$161),2),"")</f>
        <v>0.61</v>
      </c>
      <c r="M11" s="117" t="n">
        <f aca="false">IFERROR(ROUND(CORREL('Returns (Calc)'!$G$3:$G$161,'Returns (Calc)'!$M$3:$M$161),2),"")</f>
        <v>0.51</v>
      </c>
      <c r="N11" s="117" t="n">
        <f aca="false">IFERROR(ROUND(CORREL('Returns (Calc)'!$G$3:$G$161,'Returns (Calc)'!$N$3:$N$161),2),"")</f>
        <v>0.16</v>
      </c>
      <c r="O11" s="117" t="n">
        <f aca="false">IFERROR(ROUND(CORREL('Returns (Calc)'!$G$3:$G$161,'Returns (Calc)'!$O$3:$O$161),2),"")</f>
        <v>0.43</v>
      </c>
      <c r="P11" s="117" t="str">
        <f aca="false">IFERROR(ROUND(CORREL('Returns (Calc)'!$G$3:$G$161,'Returns (Calc)'!$P$3:$P$161),2),"")</f>
        <v/>
      </c>
      <c r="Q11" s="117" t="n">
        <f aca="false">IFERROR(ROUND(CORREL('Returns (Calc)'!$G$3:$G$161,'Returns (Calc)'!$Q$3:$Q$161),2),"")</f>
        <v>-0.02</v>
      </c>
      <c r="R11" s="117" t="n">
        <f aca="false">IFERROR(ROUND(CORREL('Returns (Calc)'!$G$3:$G$161,'Returns (Calc)'!$R$3:$R$161),2),"")</f>
        <v>0.62</v>
      </c>
      <c r="S11" s="117" t="n">
        <f aca="false">IFERROR(ROUND(CORREL('Returns (Calc)'!$G$3:$G$161,'Returns (Calc)'!$S$3:$S$161),2),"")</f>
        <v>0.67</v>
      </c>
      <c r="T11" s="117" t="n">
        <f aca="false">IFERROR(ROUND(CORREL('Returns (Calc)'!$G$3:$G$161,'Returns (Calc)'!$T$3:$T$161),2),"")</f>
        <v>0.32</v>
      </c>
      <c r="U11" s="117" t="str">
        <f aca="false">IFERROR(ROUND(CORREL('Returns (Calc)'!$G$3:$G$161,'Returns (Calc)'!$U$3:$U$161),2),"")</f>
        <v/>
      </c>
      <c r="V11" s="117" t="n">
        <f aca="false">IFERROR(ROUND(CORREL('Returns (Calc)'!$G$3:$G$161,'Returns (Calc)'!$V$3:$V$161),2),"")</f>
        <v>0.04</v>
      </c>
      <c r="AG11" s="118" t="n">
        <f aca="false">COUNTIF(B11:V11,"&gt;0.7")-1</f>
        <v>1</v>
      </c>
    </row>
    <row r="12" customFormat="false" ht="15" hidden="false" customHeight="true" outlineLevel="0" collapsed="false">
      <c r="A12" s="116" t="str">
        <f aca="false">'Returns (Calc)'!H2</f>
        <v>MU</v>
      </c>
      <c r="B12" s="117" t="n">
        <f aca="false">IFERROR(ROUND(CORREL('Returns (Calc)'!$H$3:$H$161,'Returns (Calc)'!$B$3:$B$161),2),"")</f>
        <v>0.06</v>
      </c>
      <c r="C12" s="117" t="n">
        <f aca="false">IFERROR(ROUND(CORREL('Returns (Calc)'!$H$3:$H$161,'Returns (Calc)'!$C$3:$C$161),2),"")</f>
        <v>0.35</v>
      </c>
      <c r="D12" s="117" t="n">
        <f aca="false">IFERROR(ROUND(CORREL('Returns (Calc)'!$H$3:$H$161,'Returns (Calc)'!$D$3:$D$161),2),"")</f>
        <v>0.6</v>
      </c>
      <c r="E12" s="117" t="n">
        <f aca="false">IFERROR(ROUND(CORREL('Returns (Calc)'!$H$3:$H$161,'Returns (Calc)'!$E$3:$E$161),2),"")</f>
        <v>0.49</v>
      </c>
      <c r="F12" s="117" t="n">
        <f aca="false">IFERROR(ROUND(CORREL('Returns (Calc)'!$H$3:$H$161,'Returns (Calc)'!$F$3:$F$161),2),"")</f>
        <v>0.33</v>
      </c>
      <c r="G12" s="117" t="n">
        <f aca="false">IFERROR(ROUND(CORREL('Returns (Calc)'!$H$3:$H$161,'Returns (Calc)'!$G$3:$G$161),2),"")</f>
        <v>0.6</v>
      </c>
      <c r="H12" s="117" t="n">
        <v>1</v>
      </c>
      <c r="I12" s="117" t="n">
        <f aca="false">IFERROR(ROUND(CORREL('Returns (Calc)'!$H$3:$H$161,'Returns (Calc)'!$I$3:$I$161),2),"")</f>
        <v>0.49</v>
      </c>
      <c r="J12" s="117" t="n">
        <f aca="false">IFERROR(ROUND(CORREL('Returns (Calc)'!$H$3:$H$161,'Returns (Calc)'!$J$3:$J$161),2),"")</f>
        <v>0.21</v>
      </c>
      <c r="K12" s="117" t="n">
        <f aca="false">IFERROR(ROUND(CORREL('Returns (Calc)'!$H$3:$H$161,'Returns (Calc)'!$K$3:$K$161),2),"")</f>
        <v>0.17</v>
      </c>
      <c r="L12" s="117" t="n">
        <f aca="false">IFERROR(ROUND(CORREL('Returns (Calc)'!$H$3:$H$161,'Returns (Calc)'!$L$3:$L$161),2),"")</f>
        <v>0.55</v>
      </c>
      <c r="M12" s="117" t="n">
        <f aca="false">IFERROR(ROUND(CORREL('Returns (Calc)'!$H$3:$H$161,'Returns (Calc)'!$M$3:$M$161),2),"")</f>
        <v>0.49</v>
      </c>
      <c r="N12" s="117" t="n">
        <f aca="false">IFERROR(ROUND(CORREL('Returns (Calc)'!$H$3:$H$161,'Returns (Calc)'!$N$3:$N$161),2),"")</f>
        <v>0.18</v>
      </c>
      <c r="O12" s="117" t="n">
        <f aca="false">IFERROR(ROUND(CORREL('Returns (Calc)'!$H$3:$H$161,'Returns (Calc)'!$O$3:$O$161),2),"")</f>
        <v>0.36</v>
      </c>
      <c r="P12" s="117" t="str">
        <f aca="false">IFERROR(ROUND(CORREL('Returns (Calc)'!$H$3:$H$161,'Returns (Calc)'!$P$3:$P$161),2),"")</f>
        <v/>
      </c>
      <c r="Q12" s="117" t="n">
        <f aca="false">IFERROR(ROUND(CORREL('Returns (Calc)'!$H$3:$H$161,'Returns (Calc)'!$Q$3:$Q$161),2),"")</f>
        <v>-0.1</v>
      </c>
      <c r="R12" s="117" t="n">
        <f aca="false">IFERROR(ROUND(CORREL('Returns (Calc)'!$H$3:$H$161,'Returns (Calc)'!$R$3:$R$161),2),"")</f>
        <v>0.61</v>
      </c>
      <c r="S12" s="117" t="n">
        <f aca="false">IFERROR(ROUND(CORREL('Returns (Calc)'!$H$3:$H$161,'Returns (Calc)'!$S$3:$S$161),2),"")</f>
        <v>0.66</v>
      </c>
      <c r="T12" s="117" t="n">
        <f aca="false">IFERROR(ROUND(CORREL('Returns (Calc)'!$H$3:$H$161,'Returns (Calc)'!$T$3:$T$161),2),"")</f>
        <v>0.43</v>
      </c>
      <c r="U12" s="117" t="str">
        <f aca="false">IFERROR(ROUND(CORREL('Returns (Calc)'!$H$3:$H$161,'Returns (Calc)'!$U$3:$U$161),2),"")</f>
        <v/>
      </c>
      <c r="V12" s="117" t="n">
        <f aca="false">IFERROR(ROUND(CORREL('Returns (Calc)'!$H$3:$H$161,'Returns (Calc)'!$V$3:$V$161),2),"")</f>
        <v>0.05</v>
      </c>
      <c r="AG12" s="118" t="n">
        <f aca="false">COUNTIF(B12:V12,"&gt;0.7")-1</f>
        <v>0</v>
      </c>
    </row>
    <row r="13" customFormat="false" ht="15" hidden="false" customHeight="true" outlineLevel="0" collapsed="false">
      <c r="A13" s="116" t="str">
        <f aca="false">'Returns (Calc)'!I2</f>
        <v>NVDA</v>
      </c>
      <c r="B13" s="117" t="n">
        <f aca="false">IFERROR(ROUND(CORREL('Returns (Calc)'!$I$3:$I$161,'Returns (Calc)'!$B$3:$B$161),2),"")</f>
        <v>0.23</v>
      </c>
      <c r="C13" s="117" t="n">
        <f aca="false">IFERROR(ROUND(CORREL('Returns (Calc)'!$I$3:$I$161,'Returns (Calc)'!$C$3:$C$161),2),"")</f>
        <v>0.53</v>
      </c>
      <c r="D13" s="117" t="n">
        <f aca="false">IFERROR(ROUND(CORREL('Returns (Calc)'!$I$3:$I$161,'Returns (Calc)'!$D$3:$D$161),2),"")</f>
        <v>0.49</v>
      </c>
      <c r="E13" s="117" t="n">
        <f aca="false">IFERROR(ROUND(CORREL('Returns (Calc)'!$I$3:$I$161,'Returns (Calc)'!$E$3:$E$161),2),"")</f>
        <v>0.63</v>
      </c>
      <c r="F13" s="117" t="n">
        <f aca="false">IFERROR(ROUND(CORREL('Returns (Calc)'!$I$3:$I$161,'Returns (Calc)'!$F$3:$F$161),2),"")</f>
        <v>0.46</v>
      </c>
      <c r="G13" s="117" t="n">
        <f aca="false">IFERROR(ROUND(CORREL('Returns (Calc)'!$I$3:$I$161,'Returns (Calc)'!$G$3:$G$161),2),"")</f>
        <v>0.52</v>
      </c>
      <c r="H13" s="117" t="n">
        <f aca="false">IFERROR(ROUND(CORREL('Returns (Calc)'!$I$3:$I$161,'Returns (Calc)'!$H$3:$H$161),2),"")</f>
        <v>0.49</v>
      </c>
      <c r="I13" s="117" t="n">
        <v>1</v>
      </c>
      <c r="J13" s="117" t="n">
        <f aca="false">IFERROR(ROUND(CORREL('Returns (Calc)'!$I$3:$I$161,'Returns (Calc)'!$J$3:$J$161),2),"")</f>
        <v>0.17</v>
      </c>
      <c r="K13" s="117" t="n">
        <f aca="false">IFERROR(ROUND(CORREL('Returns (Calc)'!$I$3:$I$161,'Returns (Calc)'!$K$3:$K$161),2),"")</f>
        <v>0.46</v>
      </c>
      <c r="L13" s="117" t="n">
        <f aca="false">IFERROR(ROUND(CORREL('Returns (Calc)'!$I$3:$I$161,'Returns (Calc)'!$L$3:$L$161),2),"")</f>
        <v>0.64</v>
      </c>
      <c r="M13" s="117" t="n">
        <f aca="false">IFERROR(ROUND(CORREL('Returns (Calc)'!$I$3:$I$161,'Returns (Calc)'!$M$3:$M$161),2),"")</f>
        <v>0.65</v>
      </c>
      <c r="N13" s="117" t="n">
        <f aca="false">IFERROR(ROUND(CORREL('Returns (Calc)'!$I$3:$I$161,'Returns (Calc)'!$N$3:$N$161),2),"")</f>
        <v>0.13</v>
      </c>
      <c r="O13" s="117" t="n">
        <f aca="false">IFERROR(ROUND(CORREL('Returns (Calc)'!$I$3:$I$161,'Returns (Calc)'!$O$3:$O$161),2),"")</f>
        <v>0.27</v>
      </c>
      <c r="P13" s="117" t="str">
        <f aca="false">IFERROR(ROUND(CORREL('Returns (Calc)'!$I$3:$I$161,'Returns (Calc)'!$P$3:$P$161),2),"")</f>
        <v/>
      </c>
      <c r="Q13" s="117" t="n">
        <f aca="false">IFERROR(ROUND(CORREL('Returns (Calc)'!$I$3:$I$161,'Returns (Calc)'!$Q$3:$Q$161),2),"")</f>
        <v>-0.07</v>
      </c>
      <c r="R13" s="117" t="n">
        <f aca="false">IFERROR(ROUND(CORREL('Returns (Calc)'!$I$3:$I$161,'Returns (Calc)'!$R$3:$R$161),2),"")</f>
        <v>0.72</v>
      </c>
      <c r="S13" s="117" t="n">
        <f aca="false">IFERROR(ROUND(CORREL('Returns (Calc)'!$I$3:$I$161,'Returns (Calc)'!$S$3:$S$161),2),"")</f>
        <v>0.74</v>
      </c>
      <c r="T13" s="117" t="n">
        <f aca="false">IFERROR(ROUND(CORREL('Returns (Calc)'!$I$3:$I$161,'Returns (Calc)'!$T$3:$T$161),2),"")</f>
        <v>0.29</v>
      </c>
      <c r="U13" s="117" t="str">
        <f aca="false">IFERROR(ROUND(CORREL('Returns (Calc)'!$I$3:$I$161,'Returns (Calc)'!$U$3:$U$161),2),"")</f>
        <v/>
      </c>
      <c r="V13" s="117" t="n">
        <f aca="false">IFERROR(ROUND(CORREL('Returns (Calc)'!$I$3:$I$161,'Returns (Calc)'!$V$3:$V$161),2),"")</f>
        <v>0.23</v>
      </c>
      <c r="AG13" s="118" t="n">
        <f aca="false">COUNTIF(B13:V13,"&gt;0.7")-1</f>
        <v>2</v>
      </c>
    </row>
    <row r="14" customFormat="false" ht="15" hidden="false" customHeight="true" outlineLevel="0" collapsed="false">
      <c r="A14" s="116" t="str">
        <f aca="false">'Returns (Calc)'!J2</f>
        <v>PLD</v>
      </c>
      <c r="B14" s="117" t="n">
        <f aca="false">IFERROR(ROUND(CORREL('Returns (Calc)'!$J$3:$J$161,'Returns (Calc)'!$B$3:$B$161),2),"")</f>
        <v>0.17</v>
      </c>
      <c r="C14" s="117" t="n">
        <f aca="false">IFERROR(ROUND(CORREL('Returns (Calc)'!$J$3:$J$161,'Returns (Calc)'!$C$3:$C$161),2),"")</f>
        <v>0.18</v>
      </c>
      <c r="D14" s="117" t="n">
        <f aca="false">IFERROR(ROUND(CORREL('Returns (Calc)'!$J$3:$J$161,'Returns (Calc)'!$D$3:$D$161),2),"")</f>
        <v>0.28</v>
      </c>
      <c r="E14" s="117" t="n">
        <f aca="false">IFERROR(ROUND(CORREL('Returns (Calc)'!$J$3:$J$161,'Returns (Calc)'!$E$3:$E$161),2),"")</f>
        <v>0.22</v>
      </c>
      <c r="F14" s="117" t="n">
        <f aca="false">IFERROR(ROUND(CORREL('Returns (Calc)'!$J$3:$J$161,'Returns (Calc)'!$F$3:$F$161),2),"")</f>
        <v>0.1</v>
      </c>
      <c r="G14" s="117" t="n">
        <f aca="false">IFERROR(ROUND(CORREL('Returns (Calc)'!$J$3:$J$161,'Returns (Calc)'!$G$3:$G$161),2),"")</f>
        <v>0.28</v>
      </c>
      <c r="H14" s="117" t="n">
        <f aca="false">IFERROR(ROUND(CORREL('Returns (Calc)'!$J$3:$J$161,'Returns (Calc)'!$H$3:$H$161),2),"")</f>
        <v>0.21</v>
      </c>
      <c r="I14" s="117" t="n">
        <f aca="false">IFERROR(ROUND(CORREL('Returns (Calc)'!$J$3:$J$161,'Returns (Calc)'!$I$3:$I$161),2),"")</f>
        <v>0.17</v>
      </c>
      <c r="J14" s="117" t="n">
        <v>1</v>
      </c>
      <c r="K14" s="117" t="n">
        <f aca="false">IFERROR(ROUND(CORREL('Returns (Calc)'!$J$3:$J$161,'Returns (Calc)'!$K$3:$K$161),2),"")</f>
        <v>0.13</v>
      </c>
      <c r="L14" s="117" t="n">
        <f aca="false">IFERROR(ROUND(CORREL('Returns (Calc)'!$J$3:$J$161,'Returns (Calc)'!$L$3:$L$161),2),"")</f>
        <v>0.21</v>
      </c>
      <c r="M14" s="117" t="n">
        <f aca="false">IFERROR(ROUND(CORREL('Returns (Calc)'!$J$3:$J$161,'Returns (Calc)'!$M$3:$M$161),2),"")</f>
        <v>0.15</v>
      </c>
      <c r="N14" s="117" t="n">
        <f aca="false">IFERROR(ROUND(CORREL('Returns (Calc)'!$J$3:$J$161,'Returns (Calc)'!$N$3:$N$161),2),"")</f>
        <v>0.25</v>
      </c>
      <c r="O14" s="117" t="n">
        <f aca="false">IFERROR(ROUND(CORREL('Returns (Calc)'!$J$3:$J$161,'Returns (Calc)'!$O$3:$O$161),2),"")</f>
        <v>0.62</v>
      </c>
      <c r="P14" s="117" t="str">
        <f aca="false">IFERROR(ROUND(CORREL('Returns (Calc)'!$J$3:$J$161,'Returns (Calc)'!$P$3:$P$161),2),"")</f>
        <v/>
      </c>
      <c r="Q14" s="117" t="n">
        <f aca="false">IFERROR(ROUND(CORREL('Returns (Calc)'!$J$3:$J$161,'Returns (Calc)'!$Q$3:$Q$161),2),"")</f>
        <v>-0.11</v>
      </c>
      <c r="R14" s="117" t="n">
        <f aca="false">IFERROR(ROUND(CORREL('Returns (Calc)'!$J$3:$J$161,'Returns (Calc)'!$R$3:$R$161),2),"")</f>
        <v>0.37</v>
      </c>
      <c r="S14" s="117" t="n">
        <f aca="false">IFERROR(ROUND(CORREL('Returns (Calc)'!$J$3:$J$161,'Returns (Calc)'!$S$3:$S$161),2),"")</f>
        <v>0.35</v>
      </c>
      <c r="T14" s="117" t="n">
        <f aca="false">IFERROR(ROUND(CORREL('Returns (Calc)'!$J$3:$J$161,'Returns (Calc)'!$T$3:$T$161),2),"")</f>
        <v>0.52</v>
      </c>
      <c r="U14" s="117" t="str">
        <f aca="false">IFERROR(ROUND(CORREL('Returns (Calc)'!$J$3:$J$161,'Returns (Calc)'!$U$3:$U$161),2),"")</f>
        <v/>
      </c>
      <c r="V14" s="117" t="n">
        <f aca="false">IFERROR(ROUND(CORREL('Returns (Calc)'!$J$3:$J$161,'Returns (Calc)'!$V$3:$V$161),2),"")</f>
        <v>0.4</v>
      </c>
      <c r="AG14" s="118" t="n">
        <f aca="false">COUNTIF(B14:V14,"&gt;0.7")-1</f>
        <v>0</v>
      </c>
    </row>
    <row r="15" customFormat="false" ht="15" hidden="false" customHeight="true" outlineLevel="0" collapsed="false">
      <c r="A15" s="116" t="str">
        <f aca="false">'Returns (Calc)'!K2</f>
        <v>PLTR</v>
      </c>
      <c r="B15" s="117" t="n">
        <f aca="false">IFERROR(ROUND(CORREL('Returns (Calc)'!$K$3:$K$161,'Returns (Calc)'!$B$3:$B$161),2),"")</f>
        <v>0.37</v>
      </c>
      <c r="C15" s="117" t="n">
        <f aca="false">IFERROR(ROUND(CORREL('Returns (Calc)'!$K$3:$K$161,'Returns (Calc)'!$C$3:$C$161),2),"")</f>
        <v>0.33</v>
      </c>
      <c r="D15" s="117" t="n">
        <f aca="false">IFERROR(ROUND(CORREL('Returns (Calc)'!$K$3:$K$161,'Returns (Calc)'!$D$3:$D$161),2),"")</f>
        <v>0.21</v>
      </c>
      <c r="E15" s="117" t="n">
        <f aca="false">IFERROR(ROUND(CORREL('Returns (Calc)'!$K$3:$K$161,'Returns (Calc)'!$E$3:$E$161),2),"")</f>
        <v>0.38</v>
      </c>
      <c r="F15" s="117" t="n">
        <f aca="false">IFERROR(ROUND(CORREL('Returns (Calc)'!$K$3:$K$161,'Returns (Calc)'!$F$3:$F$161),2),"")</f>
        <v>0.5</v>
      </c>
      <c r="G15" s="117" t="n">
        <f aca="false">IFERROR(ROUND(CORREL('Returns (Calc)'!$K$3:$K$161,'Returns (Calc)'!$G$3:$G$161),2),"")</f>
        <v>0.25</v>
      </c>
      <c r="H15" s="117" t="n">
        <f aca="false">IFERROR(ROUND(CORREL('Returns (Calc)'!$K$3:$K$161,'Returns (Calc)'!$H$3:$H$161),2),"")</f>
        <v>0.17</v>
      </c>
      <c r="I15" s="117" t="n">
        <f aca="false">IFERROR(ROUND(CORREL('Returns (Calc)'!$K$3:$K$161,'Returns (Calc)'!$I$3:$I$161),2),"")</f>
        <v>0.46</v>
      </c>
      <c r="J15" s="117" t="n">
        <f aca="false">IFERROR(ROUND(CORREL('Returns (Calc)'!$K$3:$K$161,'Returns (Calc)'!$J$3:$J$161),2),"")</f>
        <v>0.13</v>
      </c>
      <c r="K15" s="117" t="n">
        <v>1</v>
      </c>
      <c r="L15" s="117" t="n">
        <f aca="false">IFERROR(ROUND(CORREL('Returns (Calc)'!$K$3:$K$161,'Returns (Calc)'!$L$3:$L$161),2),"")</f>
        <v>0.38</v>
      </c>
      <c r="M15" s="117" t="n">
        <f aca="false">IFERROR(ROUND(CORREL('Returns (Calc)'!$K$3:$K$161,'Returns (Calc)'!$M$3:$M$161),2),"")</f>
        <v>0.33</v>
      </c>
      <c r="N15" s="117" t="n">
        <f aca="false">IFERROR(ROUND(CORREL('Returns (Calc)'!$K$3:$K$161,'Returns (Calc)'!$N$3:$N$161),2),"")</f>
        <v>0.07</v>
      </c>
      <c r="O15" s="117" t="n">
        <f aca="false">IFERROR(ROUND(CORREL('Returns (Calc)'!$K$3:$K$161,'Returns (Calc)'!$O$3:$O$161),2),"")</f>
        <v>0.25</v>
      </c>
      <c r="P15" s="117" t="str">
        <f aca="false">IFERROR(ROUND(CORREL('Returns (Calc)'!$K$3:$K$161,'Returns (Calc)'!$P$3:$P$161),2),"")</f>
        <v/>
      </c>
      <c r="Q15" s="117" t="n">
        <f aca="false">IFERROR(ROUND(CORREL('Returns (Calc)'!$K$3:$K$161,'Returns (Calc)'!$Q$3:$Q$161),2),"")</f>
        <v>-0.03</v>
      </c>
      <c r="R15" s="117" t="n">
        <f aca="false">IFERROR(ROUND(CORREL('Returns (Calc)'!$K$3:$K$161,'Returns (Calc)'!$R$3:$R$161),2),"")</f>
        <v>0.48</v>
      </c>
      <c r="S15" s="117" t="n">
        <f aca="false">IFERROR(ROUND(CORREL('Returns (Calc)'!$K$3:$K$161,'Returns (Calc)'!$S$3:$S$161),2),"")</f>
        <v>0.45</v>
      </c>
      <c r="T15" s="117" t="n">
        <f aca="false">IFERROR(ROUND(CORREL('Returns (Calc)'!$K$3:$K$161,'Returns (Calc)'!$T$3:$T$161),2),"")</f>
        <v>0.35</v>
      </c>
      <c r="U15" s="117" t="str">
        <f aca="false">IFERROR(ROUND(CORREL('Returns (Calc)'!$K$3:$K$161,'Returns (Calc)'!$U$3:$U$161),2),"")</f>
        <v/>
      </c>
      <c r="V15" s="117" t="n">
        <f aca="false">IFERROR(ROUND(CORREL('Returns (Calc)'!$K$3:$K$161,'Returns (Calc)'!$V$3:$V$161),2),"")</f>
        <v>0.23</v>
      </c>
      <c r="AG15" s="118" t="n">
        <f aca="false">COUNTIF(B15:V15,"&gt;0.7")-1</f>
        <v>0</v>
      </c>
    </row>
    <row r="16" customFormat="false" ht="15" hidden="false" customHeight="true" outlineLevel="0" collapsed="false">
      <c r="A16" s="116" t="str">
        <f aca="false">'Returns (Calc)'!L2</f>
        <v>TSM</v>
      </c>
      <c r="B16" s="117" t="n">
        <f aca="false">IFERROR(ROUND(CORREL('Returns (Calc)'!$L$3:$L$161,'Returns (Calc)'!$B$3:$B$161),2),"")</f>
        <v>0.16</v>
      </c>
      <c r="C16" s="117" t="n">
        <f aca="false">IFERROR(ROUND(CORREL('Returns (Calc)'!$L$3:$L$161,'Returns (Calc)'!$C$3:$C$161),2),"")</f>
        <v>0.55</v>
      </c>
      <c r="D16" s="117" t="n">
        <f aca="false">IFERROR(ROUND(CORREL('Returns (Calc)'!$L$3:$L$161,'Returns (Calc)'!$D$3:$D$161),2),"")</f>
        <v>0.63</v>
      </c>
      <c r="E16" s="117" t="n">
        <f aca="false">IFERROR(ROUND(CORREL('Returns (Calc)'!$L$3:$L$161,'Returns (Calc)'!$E$3:$E$161),2),"")</f>
        <v>0.63</v>
      </c>
      <c r="F16" s="117" t="n">
        <f aca="false">IFERROR(ROUND(CORREL('Returns (Calc)'!$L$3:$L$161,'Returns (Calc)'!$F$3:$F$161),2),"")</f>
        <v>0.38</v>
      </c>
      <c r="G16" s="117" t="n">
        <f aca="false">IFERROR(ROUND(CORREL('Returns (Calc)'!$L$3:$L$161,'Returns (Calc)'!$G$3:$G$161),2),"")</f>
        <v>0.61</v>
      </c>
      <c r="H16" s="117" t="n">
        <f aca="false">IFERROR(ROUND(CORREL('Returns (Calc)'!$L$3:$L$161,'Returns (Calc)'!$H$3:$H$161),2),"")</f>
        <v>0.55</v>
      </c>
      <c r="I16" s="117" t="n">
        <f aca="false">IFERROR(ROUND(CORREL('Returns (Calc)'!$L$3:$L$161,'Returns (Calc)'!$I$3:$I$161),2),"")</f>
        <v>0.64</v>
      </c>
      <c r="J16" s="117" t="n">
        <f aca="false">IFERROR(ROUND(CORREL('Returns (Calc)'!$L$3:$L$161,'Returns (Calc)'!$J$3:$J$161),2),"")</f>
        <v>0.21</v>
      </c>
      <c r="K16" s="117" t="n">
        <f aca="false">IFERROR(ROUND(CORREL('Returns (Calc)'!$L$3:$L$161,'Returns (Calc)'!$K$3:$K$161),2),"")</f>
        <v>0.38</v>
      </c>
      <c r="L16" s="117" t="n">
        <v>1</v>
      </c>
      <c r="M16" s="117" t="n">
        <f aca="false">IFERROR(ROUND(CORREL('Returns (Calc)'!$L$3:$L$161,'Returns (Calc)'!$M$3:$M$161),2),"")</f>
        <v>0.6</v>
      </c>
      <c r="N16" s="117" t="n">
        <f aca="false">IFERROR(ROUND(CORREL('Returns (Calc)'!$L$3:$L$161,'Returns (Calc)'!$N$3:$N$161),2),"")</f>
        <v>0.15</v>
      </c>
      <c r="O16" s="117" t="n">
        <f aca="false">IFERROR(ROUND(CORREL('Returns (Calc)'!$L$3:$L$161,'Returns (Calc)'!$O$3:$O$161),2),"")</f>
        <v>0.33</v>
      </c>
      <c r="P16" s="117" t="str">
        <f aca="false">IFERROR(ROUND(CORREL('Returns (Calc)'!$L$3:$L$161,'Returns (Calc)'!$P$3:$P$161),2),"")</f>
        <v/>
      </c>
      <c r="Q16" s="117" t="n">
        <f aca="false">IFERROR(ROUND(CORREL('Returns (Calc)'!$L$3:$L$161,'Returns (Calc)'!$Q$3:$Q$161),2),"")</f>
        <v>0.02</v>
      </c>
      <c r="R16" s="117" t="n">
        <f aca="false">IFERROR(ROUND(CORREL('Returns (Calc)'!$L$3:$L$161,'Returns (Calc)'!$R$3:$R$161),2),"")</f>
        <v>0.67</v>
      </c>
      <c r="S16" s="117" t="n">
        <f aca="false">IFERROR(ROUND(CORREL('Returns (Calc)'!$L$3:$L$161,'Returns (Calc)'!$S$3:$S$161),2),"")</f>
        <v>0.69</v>
      </c>
      <c r="T16" s="117" t="n">
        <f aca="false">IFERROR(ROUND(CORREL('Returns (Calc)'!$L$3:$L$161,'Returns (Calc)'!$T$3:$T$161),2),"")</f>
        <v>0.29</v>
      </c>
      <c r="U16" s="117" t="str">
        <f aca="false">IFERROR(ROUND(CORREL('Returns (Calc)'!$L$3:$L$161,'Returns (Calc)'!$U$3:$U$161),2),"")</f>
        <v/>
      </c>
      <c r="V16" s="117" t="n">
        <f aca="false">IFERROR(ROUND(CORREL('Returns (Calc)'!$L$3:$L$161,'Returns (Calc)'!$V$3:$V$161),2),"")</f>
        <v>0.13</v>
      </c>
      <c r="AG16" s="118" t="n">
        <f aca="false">COUNTIF(B16:V16,"&gt;0.7")-1</f>
        <v>0</v>
      </c>
    </row>
    <row r="17" customFormat="false" ht="15" hidden="false" customHeight="true" outlineLevel="0" collapsed="false">
      <c r="A17" s="116" t="str">
        <f aca="false">'Returns (Calc)'!M2</f>
        <v>VRT</v>
      </c>
      <c r="B17" s="117" t="n">
        <f aca="false">IFERROR(ROUND(CORREL('Returns (Calc)'!$M$3:$M$161,'Returns (Calc)'!$B$3:$B$161),2),"")</f>
        <v>0.07</v>
      </c>
      <c r="C17" s="117" t="n">
        <f aca="false">IFERROR(ROUND(CORREL('Returns (Calc)'!$M$3:$M$161,'Returns (Calc)'!$C$3:$C$161),2),"")</f>
        <v>0.59</v>
      </c>
      <c r="D17" s="117" t="n">
        <f aca="false">IFERROR(ROUND(CORREL('Returns (Calc)'!$M$3:$M$161,'Returns (Calc)'!$D$3:$D$161),2),"")</f>
        <v>0.43</v>
      </c>
      <c r="E17" s="117" t="n">
        <f aca="false">IFERROR(ROUND(CORREL('Returns (Calc)'!$M$3:$M$161,'Returns (Calc)'!$E$3:$E$161),2),"")</f>
        <v>0.53</v>
      </c>
      <c r="F17" s="117" t="n">
        <f aca="false">IFERROR(ROUND(CORREL('Returns (Calc)'!$M$3:$M$161,'Returns (Calc)'!$F$3:$F$161),2),"")</f>
        <v>0.42</v>
      </c>
      <c r="G17" s="117" t="n">
        <f aca="false">IFERROR(ROUND(CORREL('Returns (Calc)'!$M$3:$M$161,'Returns (Calc)'!$G$3:$G$161),2),"")</f>
        <v>0.51</v>
      </c>
      <c r="H17" s="117" t="n">
        <f aca="false">IFERROR(ROUND(CORREL('Returns (Calc)'!$M$3:$M$161,'Returns (Calc)'!$H$3:$H$161),2),"")</f>
        <v>0.49</v>
      </c>
      <c r="I17" s="117" t="n">
        <f aca="false">IFERROR(ROUND(CORREL('Returns (Calc)'!$M$3:$M$161,'Returns (Calc)'!$I$3:$I$161),2),"")</f>
        <v>0.65</v>
      </c>
      <c r="J17" s="117" t="n">
        <f aca="false">IFERROR(ROUND(CORREL('Returns (Calc)'!$M$3:$M$161,'Returns (Calc)'!$J$3:$J$161),2),"")</f>
        <v>0.15</v>
      </c>
      <c r="K17" s="117" t="n">
        <f aca="false">IFERROR(ROUND(CORREL('Returns (Calc)'!$M$3:$M$161,'Returns (Calc)'!$K$3:$K$161),2),"")</f>
        <v>0.33</v>
      </c>
      <c r="L17" s="117" t="n">
        <f aca="false">IFERROR(ROUND(CORREL('Returns (Calc)'!$M$3:$M$161,'Returns (Calc)'!$L$3:$L$161),2),"")</f>
        <v>0.6</v>
      </c>
      <c r="M17" s="117" t="n">
        <v>1</v>
      </c>
      <c r="N17" s="117" t="n">
        <f aca="false">IFERROR(ROUND(CORREL('Returns (Calc)'!$M$3:$M$161,'Returns (Calc)'!$N$3:$N$161),2),"")</f>
        <v>0.11</v>
      </c>
      <c r="O17" s="117" t="n">
        <f aca="false">IFERROR(ROUND(CORREL('Returns (Calc)'!$M$3:$M$161,'Returns (Calc)'!$O$3:$O$161),2),"")</f>
        <v>0.34</v>
      </c>
      <c r="P17" s="117" t="str">
        <f aca="false">IFERROR(ROUND(CORREL('Returns (Calc)'!$M$3:$M$161,'Returns (Calc)'!$P$3:$P$161),2),"")</f>
        <v/>
      </c>
      <c r="Q17" s="117" t="n">
        <f aca="false">IFERROR(ROUND(CORREL('Returns (Calc)'!$M$3:$M$161,'Returns (Calc)'!$Q$3:$Q$161),2),"")</f>
        <v>0</v>
      </c>
      <c r="R17" s="117" t="n">
        <f aca="false">IFERROR(ROUND(CORREL('Returns (Calc)'!$M$3:$M$161,'Returns (Calc)'!$R$3:$R$161),2),"")</f>
        <v>0.62</v>
      </c>
      <c r="S17" s="117" t="n">
        <f aca="false">IFERROR(ROUND(CORREL('Returns (Calc)'!$M$3:$M$161,'Returns (Calc)'!$S$3:$S$161),2),"")</f>
        <v>0.66</v>
      </c>
      <c r="T17" s="117" t="n">
        <f aca="false">IFERROR(ROUND(CORREL('Returns (Calc)'!$M$3:$M$161,'Returns (Calc)'!$T$3:$T$161),2),"")</f>
        <v>0.29</v>
      </c>
      <c r="U17" s="117" t="str">
        <f aca="false">IFERROR(ROUND(CORREL('Returns (Calc)'!$M$3:$M$161,'Returns (Calc)'!$U$3:$U$161),2),"")</f>
        <v/>
      </c>
      <c r="V17" s="117" t="n">
        <f aca="false">IFERROR(ROUND(CORREL('Returns (Calc)'!$M$3:$M$161,'Returns (Calc)'!$V$3:$V$161),2),"")</f>
        <v>0.16</v>
      </c>
      <c r="AG17" s="118" t="n">
        <f aca="false">COUNTIF(B17:V17,"&gt;0.7")-1</f>
        <v>0</v>
      </c>
    </row>
    <row r="18" customFormat="false" ht="15" hidden="false" customHeight="true" outlineLevel="0" collapsed="false">
      <c r="A18" s="116" t="str">
        <f aca="false">'Returns (Calc)'!N2</f>
        <v>VRTX</v>
      </c>
      <c r="B18" s="117" t="n">
        <f aca="false">IFERROR(ROUND(CORREL('Returns (Calc)'!$N$3:$N$161,'Returns (Calc)'!$B$3:$B$161),2),"")</f>
        <v>0.14</v>
      </c>
      <c r="C18" s="117" t="n">
        <f aca="false">IFERROR(ROUND(CORREL('Returns (Calc)'!$N$3:$N$161,'Returns (Calc)'!$C$3:$C$161),2),"")</f>
        <v>0.04</v>
      </c>
      <c r="D18" s="117" t="n">
        <f aca="false">IFERROR(ROUND(CORREL('Returns (Calc)'!$N$3:$N$161,'Returns (Calc)'!$D$3:$D$161),2),"")</f>
        <v>0.12</v>
      </c>
      <c r="E18" s="117" t="n">
        <f aca="false">IFERROR(ROUND(CORREL('Returns (Calc)'!$N$3:$N$161,'Returns (Calc)'!$E$3:$E$161),2),"")</f>
        <v>0.15</v>
      </c>
      <c r="F18" s="117" t="n">
        <f aca="false">IFERROR(ROUND(CORREL('Returns (Calc)'!$N$3:$N$161,'Returns (Calc)'!$F$3:$F$161),2),"")</f>
        <v>0.18</v>
      </c>
      <c r="G18" s="117" t="n">
        <f aca="false">IFERROR(ROUND(CORREL('Returns (Calc)'!$N$3:$N$161,'Returns (Calc)'!$G$3:$G$161),2),"")</f>
        <v>0.16</v>
      </c>
      <c r="H18" s="117" t="n">
        <f aca="false">IFERROR(ROUND(CORREL('Returns (Calc)'!$N$3:$N$161,'Returns (Calc)'!$H$3:$H$161),2),"")</f>
        <v>0.18</v>
      </c>
      <c r="I18" s="117" t="n">
        <f aca="false">IFERROR(ROUND(CORREL('Returns (Calc)'!$N$3:$N$161,'Returns (Calc)'!$I$3:$I$161),2),"")</f>
        <v>0.13</v>
      </c>
      <c r="J18" s="117" t="n">
        <f aca="false">IFERROR(ROUND(CORREL('Returns (Calc)'!$N$3:$N$161,'Returns (Calc)'!$J$3:$J$161),2),"")</f>
        <v>0.25</v>
      </c>
      <c r="K18" s="117" t="n">
        <f aca="false">IFERROR(ROUND(CORREL('Returns (Calc)'!$N$3:$N$161,'Returns (Calc)'!$K$3:$K$161),2),"")</f>
        <v>0.07</v>
      </c>
      <c r="L18" s="117" t="n">
        <f aca="false">IFERROR(ROUND(CORREL('Returns (Calc)'!$N$3:$N$161,'Returns (Calc)'!$L$3:$L$161),2),"")</f>
        <v>0.15</v>
      </c>
      <c r="M18" s="117" t="n">
        <f aca="false">IFERROR(ROUND(CORREL('Returns (Calc)'!$N$3:$N$161,'Returns (Calc)'!$M$3:$M$161),2),"")</f>
        <v>0.11</v>
      </c>
      <c r="N18" s="117" t="n">
        <v>1</v>
      </c>
      <c r="O18" s="117" t="n">
        <f aca="false">IFERROR(ROUND(CORREL('Returns (Calc)'!$N$3:$N$161,'Returns (Calc)'!$O$3:$O$161),2),"")</f>
        <v>0.23</v>
      </c>
      <c r="P18" s="117" t="str">
        <f aca="false">IFERROR(ROUND(CORREL('Returns (Calc)'!$N$3:$N$161,'Returns (Calc)'!$P$3:$P$161),2),"")</f>
        <v/>
      </c>
      <c r="Q18" s="117" t="n">
        <f aca="false">IFERROR(ROUND(CORREL('Returns (Calc)'!$N$3:$N$161,'Returns (Calc)'!$Q$3:$Q$161),2),"")</f>
        <v>0.03</v>
      </c>
      <c r="R18" s="117" t="n">
        <f aca="false">IFERROR(ROUND(CORREL('Returns (Calc)'!$N$3:$N$161,'Returns (Calc)'!$R$3:$R$161),2),"")</f>
        <v>0.19</v>
      </c>
      <c r="S18" s="117" t="n">
        <f aca="false">IFERROR(ROUND(CORREL('Returns (Calc)'!$N$3:$N$161,'Returns (Calc)'!$S$3:$S$161),2),"")</f>
        <v>0.16</v>
      </c>
      <c r="T18" s="117" t="n">
        <f aca="false">IFERROR(ROUND(CORREL('Returns (Calc)'!$N$3:$N$161,'Returns (Calc)'!$T$3:$T$161),2),"")</f>
        <v>0.32</v>
      </c>
      <c r="U18" s="117" t="str">
        <f aca="false">IFERROR(ROUND(CORREL('Returns (Calc)'!$N$3:$N$161,'Returns (Calc)'!$U$3:$U$161),2),"")</f>
        <v/>
      </c>
      <c r="V18" s="117" t="n">
        <f aca="false">IFERROR(ROUND(CORREL('Returns (Calc)'!$N$3:$N$161,'Returns (Calc)'!$V$3:$V$161),2),"")</f>
        <v>0.2</v>
      </c>
      <c r="AG18" s="118" t="n">
        <f aca="false">COUNTIF(B18:V18,"&gt;0.7")-1</f>
        <v>0</v>
      </c>
    </row>
    <row r="19" customFormat="false" ht="15" hidden="false" customHeight="true" outlineLevel="0" collapsed="false">
      <c r="A19" s="116" t="str">
        <f aca="false">'Returns (Calc)'!O2</f>
        <v>AVUV</v>
      </c>
      <c r="B19" s="117" t="n">
        <f aca="false">IFERROR(ROUND(CORREL('Returns (Calc)'!$O$3:$O$161,'Returns (Calc)'!$B$3:$B$161),2),"")</f>
        <v>0.17</v>
      </c>
      <c r="C19" s="117" t="n">
        <f aca="false">IFERROR(ROUND(CORREL('Returns (Calc)'!$O$3:$O$161,'Returns (Calc)'!$C$3:$C$161),2),"")</f>
        <v>0.35</v>
      </c>
      <c r="D19" s="117" t="n">
        <f aca="false">IFERROR(ROUND(CORREL('Returns (Calc)'!$O$3:$O$161,'Returns (Calc)'!$D$3:$D$161),2),"")</f>
        <v>0.39</v>
      </c>
      <c r="E19" s="117" t="n">
        <f aca="false">IFERROR(ROUND(CORREL('Returns (Calc)'!$O$3:$O$161,'Returns (Calc)'!$E$3:$E$161),2),"")</f>
        <v>0.29</v>
      </c>
      <c r="F19" s="117" t="n">
        <f aca="false">IFERROR(ROUND(CORREL('Returns (Calc)'!$O$3:$O$161,'Returns (Calc)'!$F$3:$F$161),2),"")</f>
        <v>0.22</v>
      </c>
      <c r="G19" s="117" t="n">
        <f aca="false">IFERROR(ROUND(CORREL('Returns (Calc)'!$O$3:$O$161,'Returns (Calc)'!$G$3:$G$161),2),"")</f>
        <v>0.43</v>
      </c>
      <c r="H19" s="117" t="n">
        <f aca="false">IFERROR(ROUND(CORREL('Returns (Calc)'!$O$3:$O$161,'Returns (Calc)'!$H$3:$H$161),2),"")</f>
        <v>0.36</v>
      </c>
      <c r="I19" s="117" t="n">
        <f aca="false">IFERROR(ROUND(CORREL('Returns (Calc)'!$O$3:$O$161,'Returns (Calc)'!$I$3:$I$161),2),"")</f>
        <v>0.27</v>
      </c>
      <c r="J19" s="117" t="n">
        <f aca="false">IFERROR(ROUND(CORREL('Returns (Calc)'!$O$3:$O$161,'Returns (Calc)'!$J$3:$J$161),2),"")</f>
        <v>0.62</v>
      </c>
      <c r="K19" s="117" t="n">
        <f aca="false">IFERROR(ROUND(CORREL('Returns (Calc)'!$O$3:$O$161,'Returns (Calc)'!$K$3:$K$161),2),"")</f>
        <v>0.25</v>
      </c>
      <c r="L19" s="117" t="n">
        <f aca="false">IFERROR(ROUND(CORREL('Returns (Calc)'!$O$3:$O$161,'Returns (Calc)'!$L$3:$L$161),2),"")</f>
        <v>0.33</v>
      </c>
      <c r="M19" s="117" t="n">
        <f aca="false">IFERROR(ROUND(CORREL('Returns (Calc)'!$O$3:$O$161,'Returns (Calc)'!$M$3:$M$161),2),"")</f>
        <v>0.34</v>
      </c>
      <c r="N19" s="117" t="n">
        <f aca="false">IFERROR(ROUND(CORREL('Returns (Calc)'!$O$3:$O$161,'Returns (Calc)'!$N$3:$N$161),2),"")</f>
        <v>0.23</v>
      </c>
      <c r="O19" s="117" t="n">
        <v>1</v>
      </c>
      <c r="P19" s="117" t="str">
        <f aca="false">IFERROR(ROUND(CORREL('Returns (Calc)'!$O$3:$O$161,'Returns (Calc)'!$P$3:$P$161),2),"")</f>
        <v/>
      </c>
      <c r="Q19" s="117" t="n">
        <f aca="false">IFERROR(ROUND(CORREL('Returns (Calc)'!$O$3:$O$161,'Returns (Calc)'!$Q$3:$Q$161),2),"")</f>
        <v>-0.03</v>
      </c>
      <c r="R19" s="117" t="n">
        <f aca="false">IFERROR(ROUND(CORREL('Returns (Calc)'!$O$3:$O$161,'Returns (Calc)'!$R$3:$R$161),2),"")</f>
        <v>0.54</v>
      </c>
      <c r="S19" s="117" t="n">
        <f aca="false">IFERROR(ROUND(CORREL('Returns (Calc)'!$O$3:$O$161,'Returns (Calc)'!$S$3:$S$161),2),"")</f>
        <v>0.5</v>
      </c>
      <c r="T19" s="117" t="n">
        <f aca="false">IFERROR(ROUND(CORREL('Returns (Calc)'!$O$3:$O$161,'Returns (Calc)'!$T$3:$T$161),2),"")</f>
        <v>0.79</v>
      </c>
      <c r="U19" s="117" t="str">
        <f aca="false">IFERROR(ROUND(CORREL('Returns (Calc)'!$O$3:$O$161,'Returns (Calc)'!$U$3:$U$161),2),"")</f>
        <v/>
      </c>
      <c r="V19" s="117" t="n">
        <f aca="false">IFERROR(ROUND(CORREL('Returns (Calc)'!$O$3:$O$161,'Returns (Calc)'!$V$3:$V$161),2),"")</f>
        <v>0.39</v>
      </c>
      <c r="AG19" s="118" t="n">
        <f aca="false">COUNTIF(B19:V19,"&gt;0.7")-1</f>
        <v>1</v>
      </c>
    </row>
    <row r="20" customFormat="false" ht="15" hidden="false" customHeight="true" outlineLevel="0" collapsed="false">
      <c r="A20" s="116" t="n">
        <f aca="false">'Returns (Calc)'!P2</f>
        <v>0</v>
      </c>
      <c r="B20" s="117" t="str">
        <f aca="false">IFERROR(ROUND(CORREL('Returns (Calc)'!$P$3:$P$161,'Returns (Calc)'!$B$3:$B$161),2),"")</f>
        <v/>
      </c>
      <c r="C20" s="117" t="str">
        <f aca="false">IFERROR(ROUND(CORREL('Returns (Calc)'!$P$3:$P$161,'Returns (Calc)'!$C$3:$C$161),2),"")</f>
        <v/>
      </c>
      <c r="D20" s="117" t="str">
        <f aca="false">IFERROR(ROUND(CORREL('Returns (Calc)'!$P$3:$P$161,'Returns (Calc)'!$D$3:$D$161),2),"")</f>
        <v/>
      </c>
      <c r="E20" s="117" t="str">
        <f aca="false">IFERROR(ROUND(CORREL('Returns (Calc)'!$P$3:$P$161,'Returns (Calc)'!$E$3:$E$161),2),"")</f>
        <v/>
      </c>
      <c r="F20" s="117" t="str">
        <f aca="false">IFERROR(ROUND(CORREL('Returns (Calc)'!$P$3:$P$161,'Returns (Calc)'!$F$3:$F$161),2),"")</f>
        <v/>
      </c>
      <c r="G20" s="117" t="str">
        <f aca="false">IFERROR(ROUND(CORREL('Returns (Calc)'!$P$3:$P$161,'Returns (Calc)'!$G$3:$G$161),2),"")</f>
        <v/>
      </c>
      <c r="H20" s="117" t="str">
        <f aca="false">IFERROR(ROUND(CORREL('Returns (Calc)'!$P$3:$P$161,'Returns (Calc)'!$H$3:$H$161),2),"")</f>
        <v/>
      </c>
      <c r="I20" s="117" t="str">
        <f aca="false">IFERROR(ROUND(CORREL('Returns (Calc)'!$P$3:$P$161,'Returns (Calc)'!$I$3:$I$161),2),"")</f>
        <v/>
      </c>
      <c r="J20" s="117" t="str">
        <f aca="false">IFERROR(ROUND(CORREL('Returns (Calc)'!$P$3:$P$161,'Returns (Calc)'!$J$3:$J$161),2),"")</f>
        <v/>
      </c>
      <c r="K20" s="117" t="str">
        <f aca="false">IFERROR(ROUND(CORREL('Returns (Calc)'!$P$3:$P$161,'Returns (Calc)'!$K$3:$K$161),2),"")</f>
        <v/>
      </c>
      <c r="L20" s="117" t="str">
        <f aca="false">IFERROR(ROUND(CORREL('Returns (Calc)'!$P$3:$P$161,'Returns (Calc)'!$L$3:$L$161),2),"")</f>
        <v/>
      </c>
      <c r="M20" s="117" t="str">
        <f aca="false">IFERROR(ROUND(CORREL('Returns (Calc)'!$P$3:$P$161,'Returns (Calc)'!$M$3:$M$161),2),"")</f>
        <v/>
      </c>
      <c r="N20" s="117" t="str">
        <f aca="false">IFERROR(ROUND(CORREL('Returns (Calc)'!$P$3:$P$161,'Returns (Calc)'!$N$3:$N$161),2),"")</f>
        <v/>
      </c>
      <c r="O20" s="117" t="str">
        <f aca="false">IFERROR(ROUND(CORREL('Returns (Calc)'!$P$3:$P$161,'Returns (Calc)'!$O$3:$O$161),2),"")</f>
        <v/>
      </c>
      <c r="P20" s="117" t="n">
        <v>1</v>
      </c>
      <c r="Q20" s="117" t="str">
        <f aca="false">IFERROR(ROUND(CORREL('Returns (Calc)'!$P$3:$P$161,'Returns (Calc)'!$Q$3:$Q$161),2),"")</f>
        <v/>
      </c>
      <c r="R20" s="117" t="str">
        <f aca="false">IFERROR(ROUND(CORREL('Returns (Calc)'!$P$3:$P$161,'Returns (Calc)'!$R$3:$R$161),2),"")</f>
        <v/>
      </c>
      <c r="S20" s="117" t="str">
        <f aca="false">IFERROR(ROUND(CORREL('Returns (Calc)'!$P$3:$P$161,'Returns (Calc)'!$S$3:$S$161),2),"")</f>
        <v/>
      </c>
      <c r="T20" s="117" t="str">
        <f aca="false">IFERROR(ROUND(CORREL('Returns (Calc)'!$P$3:$P$161,'Returns (Calc)'!$T$3:$T$161),2),"")</f>
        <v/>
      </c>
      <c r="U20" s="117" t="str">
        <f aca="false">IFERROR(ROUND(CORREL('Returns (Calc)'!$P$3:$P$161,'Returns (Calc)'!$U$3:$U$161),2),"")</f>
        <v/>
      </c>
      <c r="V20" s="117" t="str">
        <f aca="false">IFERROR(ROUND(CORREL('Returns (Calc)'!$P$3:$P$161,'Returns (Calc)'!$V$3:$V$161),2),"")</f>
        <v/>
      </c>
      <c r="AG20" s="118" t="n">
        <f aca="false">COUNTIF(B20:V20,"&gt;0.7")-1</f>
        <v>0</v>
      </c>
    </row>
    <row r="21" customFormat="false" ht="15" hidden="false" customHeight="true" outlineLevel="0" collapsed="false">
      <c r="A21" s="116" t="str">
        <f aca="false">'Returns (Calc)'!Q2</f>
        <v>HELO</v>
      </c>
      <c r="B21" s="117" t="n">
        <f aca="false">IFERROR(ROUND(CORREL('Returns (Calc)'!$Q$3:$Q$161,'Returns (Calc)'!$B$3:$B$161),2),"")</f>
        <v>-0.08</v>
      </c>
      <c r="C21" s="117" t="n">
        <f aca="false">IFERROR(ROUND(CORREL('Returns (Calc)'!$Q$3:$Q$161,'Returns (Calc)'!$C$3:$C$161),2),"")</f>
        <v>0.02</v>
      </c>
      <c r="D21" s="117" t="n">
        <f aca="false">IFERROR(ROUND(CORREL('Returns (Calc)'!$Q$3:$Q$161,'Returns (Calc)'!$D$3:$D$161),2),"")</f>
        <v>-0.04</v>
      </c>
      <c r="E21" s="117" t="n">
        <f aca="false">IFERROR(ROUND(CORREL('Returns (Calc)'!$Q$3:$Q$161,'Returns (Calc)'!$E$3:$E$161),2),"")</f>
        <v>-0.05</v>
      </c>
      <c r="F21" s="117" t="n">
        <f aca="false">IFERROR(ROUND(CORREL('Returns (Calc)'!$Q$3:$Q$161,'Returns (Calc)'!$F$3:$F$161),2),"")</f>
        <v>-0.03</v>
      </c>
      <c r="G21" s="117" t="n">
        <f aca="false">IFERROR(ROUND(CORREL('Returns (Calc)'!$Q$3:$Q$161,'Returns (Calc)'!$G$3:$G$161),2),"")</f>
        <v>-0.02</v>
      </c>
      <c r="H21" s="117" t="n">
        <f aca="false">IFERROR(ROUND(CORREL('Returns (Calc)'!$Q$3:$Q$161,'Returns (Calc)'!$H$3:$H$161),2),"")</f>
        <v>-0.1</v>
      </c>
      <c r="I21" s="117" t="n">
        <f aca="false">IFERROR(ROUND(CORREL('Returns (Calc)'!$Q$3:$Q$161,'Returns (Calc)'!$I$3:$I$161),2),"")</f>
        <v>-0.07</v>
      </c>
      <c r="J21" s="117" t="n">
        <f aca="false">IFERROR(ROUND(CORREL('Returns (Calc)'!$Q$3:$Q$161,'Returns (Calc)'!$J$3:$J$161),2),"")</f>
        <v>-0.11</v>
      </c>
      <c r="K21" s="117" t="n">
        <f aca="false">IFERROR(ROUND(CORREL('Returns (Calc)'!$Q$3:$Q$161,'Returns (Calc)'!$K$3:$K$161),2),"")</f>
        <v>-0.03</v>
      </c>
      <c r="L21" s="117" t="n">
        <f aca="false">IFERROR(ROUND(CORREL('Returns (Calc)'!$Q$3:$Q$161,'Returns (Calc)'!$L$3:$L$161),2),"")</f>
        <v>0.02</v>
      </c>
      <c r="M21" s="117" t="n">
        <f aca="false">IFERROR(ROUND(CORREL('Returns (Calc)'!$Q$3:$Q$161,'Returns (Calc)'!$M$3:$M$161),2),"")</f>
        <v>0</v>
      </c>
      <c r="N21" s="117" t="n">
        <f aca="false">IFERROR(ROUND(CORREL('Returns (Calc)'!$Q$3:$Q$161,'Returns (Calc)'!$N$3:$N$161),2),"")</f>
        <v>0.03</v>
      </c>
      <c r="O21" s="117" t="n">
        <f aca="false">IFERROR(ROUND(CORREL('Returns (Calc)'!$Q$3:$Q$161,'Returns (Calc)'!$O$3:$O$161),2),"")</f>
        <v>-0.03</v>
      </c>
      <c r="P21" s="117" t="str">
        <f aca="false">IFERROR(ROUND(CORREL('Returns (Calc)'!$Q$3:$Q$161,'Returns (Calc)'!$P$3:$P$161),2),"")</f>
        <v/>
      </c>
      <c r="Q21" s="117" t="n">
        <v>1</v>
      </c>
      <c r="R21" s="117" t="n">
        <f aca="false">IFERROR(ROUND(CORREL('Returns (Calc)'!$Q$3:$Q$161,'Returns (Calc)'!$R$3:$R$161),2),"")</f>
        <v>-0.01</v>
      </c>
      <c r="S21" s="117" t="n">
        <f aca="false">IFERROR(ROUND(CORREL('Returns (Calc)'!$Q$3:$Q$161,'Returns (Calc)'!$S$3:$S$161),2),"")</f>
        <v>-0.01</v>
      </c>
      <c r="T21" s="117" t="n">
        <f aca="false">IFERROR(ROUND(CORREL('Returns (Calc)'!$Q$3:$Q$161,'Returns (Calc)'!$T$3:$T$161),2),"")</f>
        <v>-0.07</v>
      </c>
      <c r="U21" s="117" t="str">
        <f aca="false">IFERROR(ROUND(CORREL('Returns (Calc)'!$Q$3:$Q$161,'Returns (Calc)'!$U$3:$U$161),2),"")</f>
        <v/>
      </c>
      <c r="V21" s="117" t="n">
        <f aca="false">IFERROR(ROUND(CORREL('Returns (Calc)'!$Q$3:$Q$161,'Returns (Calc)'!$V$3:$V$161),2),"")</f>
        <v>-0.1</v>
      </c>
      <c r="AG21" s="118" t="n">
        <f aca="false">COUNTIF(B21:V21,"&gt;0.7")-1</f>
        <v>0</v>
      </c>
    </row>
    <row r="22" customFormat="false" ht="15" hidden="false" customHeight="true" outlineLevel="0" collapsed="false">
      <c r="A22" s="116" t="str">
        <f aca="false">'Returns (Calc)'!R2</f>
        <v>JEPQ</v>
      </c>
      <c r="B22" s="117" t="n">
        <f aca="false">IFERROR(ROUND(CORREL('Returns (Calc)'!$R$3:$R$161,'Returns (Calc)'!$B$3:$B$161),2),"")</f>
        <v>0.32</v>
      </c>
      <c r="C22" s="117" t="n">
        <f aca="false">IFERROR(ROUND(CORREL('Returns (Calc)'!$R$3:$R$161,'Returns (Calc)'!$C$3:$C$161),2),"")</f>
        <v>0.64</v>
      </c>
      <c r="D22" s="117" t="n">
        <f aca="false">IFERROR(ROUND(CORREL('Returns (Calc)'!$R$3:$R$161,'Returns (Calc)'!$D$3:$D$161),2),"")</f>
        <v>0.61</v>
      </c>
      <c r="E22" s="117" t="n">
        <f aca="false">IFERROR(ROUND(CORREL('Returns (Calc)'!$R$3:$R$161,'Returns (Calc)'!$E$3:$E$161),2),"")</f>
        <v>0.72</v>
      </c>
      <c r="F22" s="117" t="n">
        <f aca="false">IFERROR(ROUND(CORREL('Returns (Calc)'!$R$3:$R$161,'Returns (Calc)'!$F$3:$F$161),2),"")</f>
        <v>0.54</v>
      </c>
      <c r="G22" s="117" t="n">
        <f aca="false">IFERROR(ROUND(CORREL('Returns (Calc)'!$R$3:$R$161,'Returns (Calc)'!$G$3:$G$161),2),"")</f>
        <v>0.62</v>
      </c>
      <c r="H22" s="117" t="n">
        <f aca="false">IFERROR(ROUND(CORREL('Returns (Calc)'!$R$3:$R$161,'Returns (Calc)'!$H$3:$H$161),2),"")</f>
        <v>0.61</v>
      </c>
      <c r="I22" s="117" t="n">
        <f aca="false">IFERROR(ROUND(CORREL('Returns (Calc)'!$R$3:$R$161,'Returns (Calc)'!$I$3:$I$161),2),"")</f>
        <v>0.72</v>
      </c>
      <c r="J22" s="117" t="n">
        <f aca="false">IFERROR(ROUND(CORREL('Returns (Calc)'!$R$3:$R$161,'Returns (Calc)'!$J$3:$J$161),2),"")</f>
        <v>0.37</v>
      </c>
      <c r="K22" s="117" t="n">
        <f aca="false">IFERROR(ROUND(CORREL('Returns (Calc)'!$R$3:$R$161,'Returns (Calc)'!$K$3:$K$161),2),"")</f>
        <v>0.48</v>
      </c>
      <c r="L22" s="117" t="n">
        <f aca="false">IFERROR(ROUND(CORREL('Returns (Calc)'!$R$3:$R$161,'Returns (Calc)'!$L$3:$L$161),2),"")</f>
        <v>0.67</v>
      </c>
      <c r="M22" s="117" t="n">
        <f aca="false">IFERROR(ROUND(CORREL('Returns (Calc)'!$R$3:$R$161,'Returns (Calc)'!$M$3:$M$161),2),"")</f>
        <v>0.62</v>
      </c>
      <c r="N22" s="117" t="n">
        <f aca="false">IFERROR(ROUND(CORREL('Returns (Calc)'!$R$3:$R$161,'Returns (Calc)'!$N$3:$N$161),2),"")</f>
        <v>0.19</v>
      </c>
      <c r="O22" s="117" t="n">
        <f aca="false">IFERROR(ROUND(CORREL('Returns (Calc)'!$R$3:$R$161,'Returns (Calc)'!$O$3:$O$161),2),"")</f>
        <v>0.54</v>
      </c>
      <c r="P22" s="117" t="str">
        <f aca="false">IFERROR(ROUND(CORREL('Returns (Calc)'!$R$3:$R$161,'Returns (Calc)'!$P$3:$P$161),2),"")</f>
        <v/>
      </c>
      <c r="Q22" s="117" t="n">
        <f aca="false">IFERROR(ROUND(CORREL('Returns (Calc)'!$R$3:$R$161,'Returns (Calc)'!$Q$3:$Q$161),2),"")</f>
        <v>-0.01</v>
      </c>
      <c r="R22" s="117" t="n">
        <v>1</v>
      </c>
      <c r="S22" s="117" t="n">
        <f aca="false">IFERROR(ROUND(CORREL('Returns (Calc)'!$R$3:$R$161,'Returns (Calc)'!$S$3:$S$161),2),"")</f>
        <v>0.88</v>
      </c>
      <c r="T22" s="117" t="n">
        <f aca="false">IFERROR(ROUND(CORREL('Returns (Calc)'!$R$3:$R$161,'Returns (Calc)'!$T$3:$T$161),2),"")</f>
        <v>0.57</v>
      </c>
      <c r="U22" s="117" t="str">
        <f aca="false">IFERROR(ROUND(CORREL('Returns (Calc)'!$R$3:$R$161,'Returns (Calc)'!$U$3:$U$161),2),"")</f>
        <v/>
      </c>
      <c r="V22" s="117" t="n">
        <f aca="false">IFERROR(ROUND(CORREL('Returns (Calc)'!$R$3:$R$161,'Returns (Calc)'!$V$3:$V$161),2),"")</f>
        <v>0.44</v>
      </c>
      <c r="AG22" s="118" t="n">
        <f aca="false">COUNTIF(B22:V22,"&gt;0.7")-1</f>
        <v>3</v>
      </c>
    </row>
    <row r="23" customFormat="false" ht="15" hidden="false" customHeight="true" outlineLevel="0" collapsed="false">
      <c r="A23" s="116" t="str">
        <f aca="false">'Returns (Calc)'!S2</f>
        <v>SPMO</v>
      </c>
      <c r="B23" s="117" t="n">
        <f aca="false">IFERROR(ROUND(CORREL('Returns (Calc)'!$S$3:$S$161,'Returns (Calc)'!$B$3:$B$161),2),"")</f>
        <v>0.24</v>
      </c>
      <c r="C23" s="117" t="n">
        <f aca="false">IFERROR(ROUND(CORREL('Returns (Calc)'!$S$3:$S$161,'Returns (Calc)'!$C$3:$C$161),2),"")</f>
        <v>0.64</v>
      </c>
      <c r="D23" s="117" t="n">
        <f aca="false">IFERROR(ROUND(CORREL('Returns (Calc)'!$S$3:$S$161,'Returns (Calc)'!$D$3:$D$161),2),"")</f>
        <v>0.61</v>
      </c>
      <c r="E23" s="117" t="n">
        <f aca="false">IFERROR(ROUND(CORREL('Returns (Calc)'!$S$3:$S$161,'Returns (Calc)'!$E$3:$E$161),2),"")</f>
        <v>0.74</v>
      </c>
      <c r="F23" s="117" t="n">
        <f aca="false">IFERROR(ROUND(CORREL('Returns (Calc)'!$S$3:$S$161,'Returns (Calc)'!$F$3:$F$161),2),"")</f>
        <v>0.53</v>
      </c>
      <c r="G23" s="117" t="n">
        <f aca="false">IFERROR(ROUND(CORREL('Returns (Calc)'!$S$3:$S$161,'Returns (Calc)'!$G$3:$G$161),2),"")</f>
        <v>0.67</v>
      </c>
      <c r="H23" s="117" t="n">
        <f aca="false">IFERROR(ROUND(CORREL('Returns (Calc)'!$S$3:$S$161,'Returns (Calc)'!$H$3:$H$161),2),"")</f>
        <v>0.66</v>
      </c>
      <c r="I23" s="117" t="n">
        <f aca="false">IFERROR(ROUND(CORREL('Returns (Calc)'!$S$3:$S$161,'Returns (Calc)'!$I$3:$I$161),2),"")</f>
        <v>0.74</v>
      </c>
      <c r="J23" s="117" t="n">
        <f aca="false">IFERROR(ROUND(CORREL('Returns (Calc)'!$S$3:$S$161,'Returns (Calc)'!$J$3:$J$161),2),"")</f>
        <v>0.35</v>
      </c>
      <c r="K23" s="117" t="n">
        <f aca="false">IFERROR(ROUND(CORREL('Returns (Calc)'!$S$3:$S$161,'Returns (Calc)'!$K$3:$K$161),2),"")</f>
        <v>0.45</v>
      </c>
      <c r="L23" s="117" t="n">
        <f aca="false">IFERROR(ROUND(CORREL('Returns (Calc)'!$S$3:$S$161,'Returns (Calc)'!$L$3:$L$161),2),"")</f>
        <v>0.69</v>
      </c>
      <c r="M23" s="117" t="n">
        <f aca="false">IFERROR(ROUND(CORREL('Returns (Calc)'!$S$3:$S$161,'Returns (Calc)'!$M$3:$M$161),2),"")</f>
        <v>0.66</v>
      </c>
      <c r="N23" s="117" t="n">
        <f aca="false">IFERROR(ROUND(CORREL('Returns (Calc)'!$S$3:$S$161,'Returns (Calc)'!$N$3:$N$161),2),"")</f>
        <v>0.16</v>
      </c>
      <c r="O23" s="117" t="n">
        <f aca="false">IFERROR(ROUND(CORREL('Returns (Calc)'!$S$3:$S$161,'Returns (Calc)'!$O$3:$O$161),2),"")</f>
        <v>0.5</v>
      </c>
      <c r="P23" s="117" t="str">
        <f aca="false">IFERROR(ROUND(CORREL('Returns (Calc)'!$S$3:$S$161,'Returns (Calc)'!$P$3:$P$161),2),"")</f>
        <v/>
      </c>
      <c r="Q23" s="117" t="n">
        <f aca="false">IFERROR(ROUND(CORREL('Returns (Calc)'!$S$3:$S$161,'Returns (Calc)'!$Q$3:$Q$161),2),"")</f>
        <v>-0.01</v>
      </c>
      <c r="R23" s="117" t="n">
        <f aca="false">IFERROR(ROUND(CORREL('Returns (Calc)'!$S$3:$S$161,'Returns (Calc)'!$R$3:$R$161),2),"")</f>
        <v>0.88</v>
      </c>
      <c r="S23" s="117" t="n">
        <v>1</v>
      </c>
      <c r="T23" s="117" t="n">
        <f aca="false">IFERROR(ROUND(CORREL('Returns (Calc)'!$S$3:$S$161,'Returns (Calc)'!$T$3:$T$161),2),"")</f>
        <v>0.52</v>
      </c>
      <c r="U23" s="117" t="str">
        <f aca="false">IFERROR(ROUND(CORREL('Returns (Calc)'!$S$3:$S$161,'Returns (Calc)'!$U$3:$U$161),2),"")</f>
        <v/>
      </c>
      <c r="V23" s="117" t="n">
        <f aca="false">IFERROR(ROUND(CORREL('Returns (Calc)'!$S$3:$S$161,'Returns (Calc)'!$V$3:$V$161),2),"")</f>
        <v>0.42</v>
      </c>
      <c r="AG23" s="118" t="n">
        <f aca="false">COUNTIF(B23:V23,"&gt;0.7")-1</f>
        <v>3</v>
      </c>
    </row>
    <row r="24" customFormat="false" ht="15" hidden="false" customHeight="true" outlineLevel="0" collapsed="false">
      <c r="A24" s="116" t="str">
        <f aca="false">'Returns (Calc)'!T2</f>
        <v>VFLO</v>
      </c>
      <c r="B24" s="117" t="n">
        <f aca="false">IFERROR(ROUND(CORREL('Returns (Calc)'!$T$3:$T$161,'Returns (Calc)'!$B$3:$B$161),2),"")</f>
        <v>0.41</v>
      </c>
      <c r="C24" s="117" t="n">
        <f aca="false">IFERROR(ROUND(CORREL('Returns (Calc)'!$T$3:$T$161,'Returns (Calc)'!$C$3:$C$161),2),"")</f>
        <v>0.34</v>
      </c>
      <c r="D24" s="117" t="n">
        <f aca="false">IFERROR(ROUND(CORREL('Returns (Calc)'!$T$3:$T$161,'Returns (Calc)'!$D$3:$D$161),2),"")</f>
        <v>0.31</v>
      </c>
      <c r="E24" s="117" t="n">
        <f aca="false">IFERROR(ROUND(CORREL('Returns (Calc)'!$T$3:$T$161,'Returns (Calc)'!$E$3:$E$161),2),"")</f>
        <v>0.26</v>
      </c>
      <c r="F24" s="117" t="n">
        <f aca="false">IFERROR(ROUND(CORREL('Returns (Calc)'!$T$3:$T$161,'Returns (Calc)'!$F$3:$F$161),2),"")</f>
        <v>0.31</v>
      </c>
      <c r="G24" s="117" t="n">
        <f aca="false">IFERROR(ROUND(CORREL('Returns (Calc)'!$T$3:$T$161,'Returns (Calc)'!$G$3:$G$161),2),"")</f>
        <v>0.32</v>
      </c>
      <c r="H24" s="117" t="n">
        <f aca="false">IFERROR(ROUND(CORREL('Returns (Calc)'!$T$3:$T$161,'Returns (Calc)'!$H$3:$H$161),2),"")</f>
        <v>0.43</v>
      </c>
      <c r="I24" s="117" t="n">
        <f aca="false">IFERROR(ROUND(CORREL('Returns (Calc)'!$T$3:$T$161,'Returns (Calc)'!$I$3:$I$161),2),"")</f>
        <v>0.29</v>
      </c>
      <c r="J24" s="117" t="n">
        <f aca="false">IFERROR(ROUND(CORREL('Returns (Calc)'!$T$3:$T$161,'Returns (Calc)'!$J$3:$J$161),2),"")</f>
        <v>0.52</v>
      </c>
      <c r="K24" s="117" t="n">
        <f aca="false">IFERROR(ROUND(CORREL('Returns (Calc)'!$T$3:$T$161,'Returns (Calc)'!$K$3:$K$161),2),"")</f>
        <v>0.35</v>
      </c>
      <c r="L24" s="117" t="n">
        <f aca="false">IFERROR(ROUND(CORREL('Returns (Calc)'!$T$3:$T$161,'Returns (Calc)'!$L$3:$L$161),2),"")</f>
        <v>0.29</v>
      </c>
      <c r="M24" s="117" t="n">
        <f aca="false">IFERROR(ROUND(CORREL('Returns (Calc)'!$T$3:$T$161,'Returns (Calc)'!$M$3:$M$161),2),"")</f>
        <v>0.29</v>
      </c>
      <c r="N24" s="117" t="n">
        <f aca="false">IFERROR(ROUND(CORREL('Returns (Calc)'!$T$3:$T$161,'Returns (Calc)'!$N$3:$N$161),2),"")</f>
        <v>0.32</v>
      </c>
      <c r="O24" s="117" t="n">
        <f aca="false">IFERROR(ROUND(CORREL('Returns (Calc)'!$T$3:$T$161,'Returns (Calc)'!$O$3:$O$161),2),"")</f>
        <v>0.79</v>
      </c>
      <c r="P24" s="117" t="str">
        <f aca="false">IFERROR(ROUND(CORREL('Returns (Calc)'!$T$3:$T$161,'Returns (Calc)'!$P$3:$P$161),2),"")</f>
        <v/>
      </c>
      <c r="Q24" s="117" t="n">
        <f aca="false">IFERROR(ROUND(CORREL('Returns (Calc)'!$T$3:$T$161,'Returns (Calc)'!$Q$3:$Q$161),2),"")</f>
        <v>-0.07</v>
      </c>
      <c r="R24" s="117" t="n">
        <f aca="false">IFERROR(ROUND(CORREL('Returns (Calc)'!$T$3:$T$161,'Returns (Calc)'!$R$3:$R$161),2),"")</f>
        <v>0.57</v>
      </c>
      <c r="S24" s="117" t="n">
        <f aca="false">IFERROR(ROUND(CORREL('Returns (Calc)'!$T$3:$T$161,'Returns (Calc)'!$S$3:$S$161),2),"")</f>
        <v>0.52</v>
      </c>
      <c r="T24" s="117" t="n">
        <v>1</v>
      </c>
      <c r="U24" s="117" t="str">
        <f aca="false">IFERROR(ROUND(CORREL('Returns (Calc)'!$T$3:$T$161,'Returns (Calc)'!$U$3:$U$161),2),"")</f>
        <v/>
      </c>
      <c r="V24" s="117" t="n">
        <f aca="false">IFERROR(ROUND(CORREL('Returns (Calc)'!$T$3:$T$161,'Returns (Calc)'!$V$3:$V$161),2),"")</f>
        <v>0.46</v>
      </c>
      <c r="AG24" s="118" t="n">
        <f aca="false">COUNTIF(B24:V24,"&gt;0.7")-1</f>
        <v>1</v>
      </c>
    </row>
    <row r="25" customFormat="false" ht="15" hidden="false" customHeight="true" outlineLevel="0" collapsed="false">
      <c r="A25" s="116" t="n">
        <f aca="false">'Returns (Calc)'!U2</f>
        <v>0</v>
      </c>
      <c r="B25" s="117" t="str">
        <f aca="false">IFERROR(ROUND(CORREL('Returns (Calc)'!$U$3:$U$161,'Returns (Calc)'!$B$3:$B$161),2),"")</f>
        <v/>
      </c>
      <c r="C25" s="117" t="str">
        <f aca="false">IFERROR(ROUND(CORREL('Returns (Calc)'!$U$3:$U$161,'Returns (Calc)'!$C$3:$C$161),2),"")</f>
        <v/>
      </c>
      <c r="D25" s="117" t="str">
        <f aca="false">IFERROR(ROUND(CORREL('Returns (Calc)'!$U$3:$U$161,'Returns (Calc)'!$D$3:$D$161),2),"")</f>
        <v/>
      </c>
      <c r="E25" s="117" t="str">
        <f aca="false">IFERROR(ROUND(CORREL('Returns (Calc)'!$U$3:$U$161,'Returns (Calc)'!$E$3:$E$161),2),"")</f>
        <v/>
      </c>
      <c r="F25" s="117" t="str">
        <f aca="false">IFERROR(ROUND(CORREL('Returns (Calc)'!$U$3:$U$161,'Returns (Calc)'!$F$3:$F$161),2),"")</f>
        <v/>
      </c>
      <c r="G25" s="117" t="str">
        <f aca="false">IFERROR(ROUND(CORREL('Returns (Calc)'!$U$3:$U$161,'Returns (Calc)'!$G$3:$G$161),2),"")</f>
        <v/>
      </c>
      <c r="H25" s="117" t="str">
        <f aca="false">IFERROR(ROUND(CORREL('Returns (Calc)'!$U$3:$U$161,'Returns (Calc)'!$H$3:$H$161),2),"")</f>
        <v/>
      </c>
      <c r="I25" s="117" t="str">
        <f aca="false">IFERROR(ROUND(CORREL('Returns (Calc)'!$U$3:$U$161,'Returns (Calc)'!$I$3:$I$161),2),"")</f>
        <v/>
      </c>
      <c r="J25" s="117" t="str">
        <f aca="false">IFERROR(ROUND(CORREL('Returns (Calc)'!$U$3:$U$161,'Returns (Calc)'!$J$3:$J$161),2),"")</f>
        <v/>
      </c>
      <c r="K25" s="117" t="str">
        <f aca="false">IFERROR(ROUND(CORREL('Returns (Calc)'!$U$3:$U$161,'Returns (Calc)'!$K$3:$K$161),2),"")</f>
        <v/>
      </c>
      <c r="L25" s="117" t="str">
        <f aca="false">IFERROR(ROUND(CORREL('Returns (Calc)'!$U$3:$U$161,'Returns (Calc)'!$L$3:$L$161),2),"")</f>
        <v/>
      </c>
      <c r="M25" s="117" t="str">
        <f aca="false">IFERROR(ROUND(CORREL('Returns (Calc)'!$U$3:$U$161,'Returns (Calc)'!$M$3:$M$161),2),"")</f>
        <v/>
      </c>
      <c r="N25" s="117" t="str">
        <f aca="false">IFERROR(ROUND(CORREL('Returns (Calc)'!$U$3:$U$161,'Returns (Calc)'!$N$3:$N$161),2),"")</f>
        <v/>
      </c>
      <c r="O25" s="117" t="str">
        <f aca="false">IFERROR(ROUND(CORREL('Returns (Calc)'!$U$3:$U$161,'Returns (Calc)'!$O$3:$O$161),2),"")</f>
        <v/>
      </c>
      <c r="P25" s="117" t="str">
        <f aca="false">IFERROR(ROUND(CORREL('Returns (Calc)'!$U$3:$U$161,'Returns (Calc)'!$P$3:$P$161),2),"")</f>
        <v/>
      </c>
      <c r="Q25" s="117" t="str">
        <f aca="false">IFERROR(ROUND(CORREL('Returns (Calc)'!$U$3:$U$161,'Returns (Calc)'!$Q$3:$Q$161),2),"")</f>
        <v/>
      </c>
      <c r="R25" s="117" t="str">
        <f aca="false">IFERROR(ROUND(CORREL('Returns (Calc)'!$U$3:$U$161,'Returns (Calc)'!$R$3:$R$161),2),"")</f>
        <v/>
      </c>
      <c r="S25" s="117" t="str">
        <f aca="false">IFERROR(ROUND(CORREL('Returns (Calc)'!$U$3:$U$161,'Returns (Calc)'!$S$3:$S$161),2),"")</f>
        <v/>
      </c>
      <c r="T25" s="117" t="str">
        <f aca="false">IFERROR(ROUND(CORREL('Returns (Calc)'!$U$3:$U$161,'Returns (Calc)'!$T$3:$T$161),2),"")</f>
        <v/>
      </c>
      <c r="U25" s="117" t="n">
        <v>1</v>
      </c>
      <c r="V25" s="117" t="str">
        <f aca="false">IFERROR(ROUND(CORREL('Returns (Calc)'!$U$3:$U$161,'Returns (Calc)'!$V$3:$V$161),2),"")</f>
        <v/>
      </c>
      <c r="AG25" s="118" t="n">
        <f aca="false">COUNTIF(B25:V25,"&gt;0.7")-1</f>
        <v>0</v>
      </c>
    </row>
    <row r="26" customFormat="false" ht="15" hidden="false" customHeight="true" outlineLevel="0" collapsed="false">
      <c r="A26" s="116" t="str">
        <f aca="false">'Returns (Calc)'!V2</f>
        <v>V</v>
      </c>
      <c r="B26" s="117" t="n">
        <f aca="false">IFERROR(ROUND(CORREL('Returns (Calc)'!$V$3:$V$161,'Returns (Calc)'!$B$3:$B$161),2),"")</f>
        <v>0.39</v>
      </c>
      <c r="C26" s="117" t="n">
        <f aca="false">IFERROR(ROUND(CORREL('Returns (Calc)'!$V$3:$V$161,'Returns (Calc)'!$C$3:$C$161),2),"")</f>
        <v>0.3</v>
      </c>
      <c r="D26" s="117" t="n">
        <f aca="false">IFERROR(ROUND(CORREL('Returns (Calc)'!$V$3:$V$161,'Returns (Calc)'!$D$3:$D$161),2),"")</f>
        <v>0.06</v>
      </c>
      <c r="E26" s="117" t="n">
        <f aca="false">IFERROR(ROUND(CORREL('Returns (Calc)'!$V$3:$V$161,'Returns (Calc)'!$E$3:$E$161),2),"")</f>
        <v>0.23</v>
      </c>
      <c r="F26" s="117" t="n">
        <f aca="false">IFERROR(ROUND(CORREL('Returns (Calc)'!$V$3:$V$161,'Returns (Calc)'!$F$3:$F$161),2),"")</f>
        <v>0.25</v>
      </c>
      <c r="G26" s="117" t="n">
        <f aca="false">IFERROR(ROUND(CORREL('Returns (Calc)'!$V$3:$V$161,'Returns (Calc)'!$G$3:$G$161),2),"")</f>
        <v>0.04</v>
      </c>
      <c r="H26" s="117" t="n">
        <f aca="false">IFERROR(ROUND(CORREL('Returns (Calc)'!$V$3:$V$161,'Returns (Calc)'!$H$3:$H$161),2),"")</f>
        <v>0.05</v>
      </c>
      <c r="I26" s="117" t="n">
        <f aca="false">IFERROR(ROUND(CORREL('Returns (Calc)'!$V$3:$V$161,'Returns (Calc)'!$I$3:$I$161),2),"")</f>
        <v>0.23</v>
      </c>
      <c r="J26" s="117" t="n">
        <f aca="false">IFERROR(ROUND(CORREL('Returns (Calc)'!$V$3:$V$161,'Returns (Calc)'!$J$3:$J$161),2),"")</f>
        <v>0.4</v>
      </c>
      <c r="K26" s="117" t="n">
        <f aca="false">IFERROR(ROUND(CORREL('Returns (Calc)'!$V$3:$V$161,'Returns (Calc)'!$K$3:$K$161),2),"")</f>
        <v>0.23</v>
      </c>
      <c r="L26" s="117" t="n">
        <f aca="false">IFERROR(ROUND(CORREL('Returns (Calc)'!$V$3:$V$161,'Returns (Calc)'!$L$3:$L$161),2),"")</f>
        <v>0.13</v>
      </c>
      <c r="M26" s="117" t="n">
        <f aca="false">IFERROR(ROUND(CORREL('Returns (Calc)'!$V$3:$V$161,'Returns (Calc)'!$M$3:$M$161),2),"")</f>
        <v>0.16</v>
      </c>
      <c r="N26" s="117" t="n">
        <f aca="false">IFERROR(ROUND(CORREL('Returns (Calc)'!$V$3:$V$161,'Returns (Calc)'!$N$3:$N$161),2),"")</f>
        <v>0.2</v>
      </c>
      <c r="O26" s="117" t="n">
        <f aca="false">IFERROR(ROUND(CORREL('Returns (Calc)'!$V$3:$V$161,'Returns (Calc)'!$O$3:$O$161),2),"")</f>
        <v>0.39</v>
      </c>
      <c r="P26" s="117" t="str">
        <f aca="false">IFERROR(ROUND(CORREL('Returns (Calc)'!$V$3:$V$161,'Returns (Calc)'!$P$3:$P$161),2),"")</f>
        <v/>
      </c>
      <c r="Q26" s="117" t="n">
        <f aca="false">IFERROR(ROUND(CORREL('Returns (Calc)'!$V$3:$V$161,'Returns (Calc)'!$Q$3:$Q$161),2),"")</f>
        <v>-0.1</v>
      </c>
      <c r="R26" s="117" t="n">
        <f aca="false">IFERROR(ROUND(CORREL('Returns (Calc)'!$V$3:$V$161,'Returns (Calc)'!$R$3:$R$161),2),"")</f>
        <v>0.44</v>
      </c>
      <c r="S26" s="117" t="n">
        <f aca="false">IFERROR(ROUND(CORREL('Returns (Calc)'!$V$3:$V$161,'Returns (Calc)'!$S$3:$S$161),2),"")</f>
        <v>0.42</v>
      </c>
      <c r="T26" s="117" t="n">
        <f aca="false">IFERROR(ROUND(CORREL('Returns (Calc)'!$V$3:$V$161,'Returns (Calc)'!$T$3:$T$161),2),"")</f>
        <v>0.46</v>
      </c>
      <c r="U26" s="117" t="str">
        <f aca="false">IFERROR(ROUND(CORREL('Returns (Calc)'!$V$3:$V$161,'Returns (Calc)'!$U$3:$U$161),2),"")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c r="B36" s="80"/>
      <c r="C36" s="147"/>
    </row>
    <row r="37" customFormat="false" ht="15" hidden="false" customHeight="true" outlineLevel="0" collapsed="false">
      <c r="A37" s="81"/>
      <c r="B37" s="80"/>
      <c r="C37" s="147"/>
    </row>
    <row r="38" customFormat="false" ht="15" hidden="false" customHeight="true" outlineLevel="0" collapsed="false">
      <c r="A38" s="81"/>
      <c r="B38" s="80"/>
      <c r="C38" s="147"/>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578</v>
      </c>
      <c r="B1" s="8"/>
      <c r="C1" s="8"/>
      <c r="D1" s="8"/>
      <c r="E1" s="8"/>
      <c r="F1" s="8"/>
    </row>
    <row r="2" customFormat="false" ht="15" hidden="false" customHeight="true" outlineLevel="0" collapsed="false">
      <c r="A2" s="149" t="s">
        <v>579</v>
      </c>
      <c r="B2" s="149"/>
      <c r="C2" s="149"/>
      <c r="D2" s="149"/>
      <c r="E2" s="149"/>
      <c r="F2" s="149"/>
    </row>
    <row r="4" customFormat="false" ht="15" hidden="false" customHeight="true" outlineLevel="0" collapsed="false">
      <c r="A4" s="150" t="s">
        <v>580</v>
      </c>
      <c r="B4" s="150"/>
      <c r="C4" s="150"/>
      <c r="D4" s="150"/>
      <c r="E4" s="150"/>
      <c r="F4" s="150"/>
    </row>
    <row r="5" customFormat="false" ht="15" hidden="false" customHeight="true" outlineLevel="0" collapsed="false">
      <c r="A5" s="151" t="s">
        <v>581</v>
      </c>
      <c r="B5" s="151" t="s">
        <v>582</v>
      </c>
      <c r="C5" s="151" t="s">
        <v>583</v>
      </c>
      <c r="D5" s="151" t="s">
        <v>584</v>
      </c>
    </row>
    <row r="6" customFormat="false" ht="15" hidden="false" customHeight="true" outlineLevel="0" collapsed="false">
      <c r="A6" s="152" t="s">
        <v>585</v>
      </c>
      <c r="B6" s="152" t="s">
        <v>586</v>
      </c>
      <c r="C6" s="152" t="s">
        <v>586</v>
      </c>
      <c r="D6" s="153" t="s">
        <v>587</v>
      </c>
      <c r="E6" s="153"/>
      <c r="F6" s="153"/>
    </row>
    <row r="8" customFormat="false" ht="15" hidden="false" customHeight="true" outlineLevel="0" collapsed="false">
      <c r="A8" s="150" t="s">
        <v>588</v>
      </c>
      <c r="B8" s="150"/>
      <c r="C8" s="150"/>
      <c r="D8" s="150"/>
      <c r="E8" s="150"/>
      <c r="F8" s="150"/>
    </row>
    <row r="9" customFormat="false" ht="15" hidden="false" customHeight="true" outlineLevel="0" collapsed="false">
      <c r="A9" s="151" t="s">
        <v>581</v>
      </c>
      <c r="B9" s="151" t="s">
        <v>582</v>
      </c>
      <c r="C9" s="151" t="s">
        <v>583</v>
      </c>
      <c r="D9" s="151" t="s">
        <v>584</v>
      </c>
    </row>
    <row r="10" customFormat="false" ht="27.75" hidden="false" customHeight="true" outlineLevel="0" collapsed="false">
      <c r="A10" s="152" t="s">
        <v>589</v>
      </c>
      <c r="B10" s="152" t="s">
        <v>586</v>
      </c>
      <c r="C10" s="152" t="s">
        <v>590</v>
      </c>
      <c r="D10" s="153" t="s">
        <v>591</v>
      </c>
      <c r="E10" s="153"/>
      <c r="F10" s="153"/>
    </row>
    <row r="12" customFormat="false" ht="15" hidden="false" customHeight="true" outlineLevel="0" collapsed="false">
      <c r="A12" s="150" t="s">
        <v>592</v>
      </c>
      <c r="B12" s="150"/>
      <c r="C12" s="150"/>
      <c r="D12" s="150"/>
      <c r="E12" s="150"/>
      <c r="F12" s="150"/>
    </row>
    <row r="13" customFormat="false" ht="15" hidden="false" customHeight="true" outlineLevel="0" collapsed="false">
      <c r="A13" s="151" t="s">
        <v>581</v>
      </c>
      <c r="B13" s="151" t="s">
        <v>582</v>
      </c>
      <c r="C13" s="151" t="s">
        <v>583</v>
      </c>
      <c r="D13" s="151" t="s">
        <v>584</v>
      </c>
    </row>
    <row r="14" customFormat="false" ht="369" hidden="false" customHeight="true" outlineLevel="0" collapsed="false">
      <c r="A14" s="152" t="s">
        <v>593</v>
      </c>
      <c r="B14" s="152" t="s">
        <v>594</v>
      </c>
      <c r="C14" s="152" t="s">
        <v>595</v>
      </c>
      <c r="D14" s="153" t="s">
        <v>596</v>
      </c>
      <c r="E14" s="153"/>
      <c r="F14" s="153"/>
    </row>
    <row r="16" customFormat="false" ht="15" hidden="false" customHeight="true" outlineLevel="0" collapsed="false">
      <c r="A16" s="150" t="s">
        <v>597</v>
      </c>
      <c r="B16" s="150"/>
      <c r="C16" s="150"/>
      <c r="D16" s="150"/>
      <c r="E16" s="150"/>
      <c r="F16" s="150"/>
    </row>
    <row r="17" customFormat="false" ht="15" hidden="false" customHeight="true" outlineLevel="0" collapsed="false">
      <c r="A17" s="151" t="s">
        <v>581</v>
      </c>
      <c r="B17" s="151" t="s">
        <v>582</v>
      </c>
      <c r="C17" s="151" t="s">
        <v>583</v>
      </c>
      <c r="D17" s="151" t="s">
        <v>584</v>
      </c>
    </row>
    <row r="18" customFormat="false" ht="45.75" hidden="false" customHeight="true" outlineLevel="0" collapsed="false">
      <c r="A18" s="152" t="s">
        <v>593</v>
      </c>
      <c r="B18" s="152" t="s">
        <v>598</v>
      </c>
      <c r="C18" s="152" t="s">
        <v>599</v>
      </c>
      <c r="D18" s="153" t="s">
        <v>600</v>
      </c>
      <c r="E18" s="153"/>
      <c r="F18" s="153"/>
    </row>
    <row r="20" customFormat="false" ht="15" hidden="false" customHeight="true" outlineLevel="0" collapsed="false">
      <c r="A20" s="150" t="s">
        <v>601</v>
      </c>
      <c r="B20" s="150"/>
      <c r="C20" s="150"/>
      <c r="D20" s="150"/>
      <c r="E20" s="150"/>
      <c r="F20" s="150"/>
    </row>
    <row r="21" customFormat="false" ht="15" hidden="false" customHeight="true" outlineLevel="0" collapsed="false">
      <c r="A21" s="151" t="s">
        <v>581</v>
      </c>
      <c r="B21" s="151" t="s">
        <v>582</v>
      </c>
      <c r="C21" s="151" t="s">
        <v>583</v>
      </c>
      <c r="D21" s="151" t="s">
        <v>584</v>
      </c>
    </row>
    <row r="22" customFormat="false" ht="351" hidden="false" customHeight="true" outlineLevel="0" collapsed="false">
      <c r="A22" s="152" t="s">
        <v>602</v>
      </c>
      <c r="B22" s="152" t="s">
        <v>586</v>
      </c>
      <c r="C22" s="152" t="s">
        <v>603</v>
      </c>
      <c r="D22" s="153" t="s">
        <v>604</v>
      </c>
      <c r="E22" s="153"/>
      <c r="F22" s="153"/>
    </row>
    <row r="24" customFormat="false" ht="15" hidden="false" customHeight="true" outlineLevel="0" collapsed="false">
      <c r="A24" s="150" t="s">
        <v>605</v>
      </c>
      <c r="B24" s="150"/>
      <c r="C24" s="150"/>
      <c r="D24" s="150"/>
      <c r="E24" s="150"/>
      <c r="F24" s="150"/>
    </row>
    <row r="25" customFormat="false" ht="15" hidden="false" customHeight="true" outlineLevel="0" collapsed="false">
      <c r="A25" s="151" t="s">
        <v>581</v>
      </c>
      <c r="B25" s="151" t="s">
        <v>582</v>
      </c>
      <c r="C25" s="151" t="s">
        <v>583</v>
      </c>
      <c r="D25" s="151" t="s">
        <v>584</v>
      </c>
    </row>
    <row r="26" customFormat="false" ht="54.75" hidden="false" customHeight="true" outlineLevel="0" collapsed="false">
      <c r="A26" s="152" t="s">
        <v>593</v>
      </c>
      <c r="B26" s="152" t="s">
        <v>606</v>
      </c>
      <c r="C26" s="152" t="s">
        <v>607</v>
      </c>
      <c r="D26" s="153" t="s">
        <v>608</v>
      </c>
      <c r="E26" s="153"/>
      <c r="F26" s="153"/>
    </row>
    <row r="28" customFormat="false" ht="15" hidden="false" customHeight="true" outlineLevel="0" collapsed="false">
      <c r="A28" s="150" t="s">
        <v>609</v>
      </c>
      <c r="B28" s="150"/>
      <c r="C28" s="150"/>
      <c r="D28" s="150"/>
      <c r="E28" s="150"/>
      <c r="F28" s="150"/>
    </row>
    <row r="29" customFormat="false" ht="15" hidden="false" customHeight="true" outlineLevel="0" collapsed="false">
      <c r="A29" s="151" t="s">
        <v>581</v>
      </c>
      <c r="B29" s="151" t="s">
        <v>582</v>
      </c>
      <c r="C29" s="151" t="s">
        <v>583</v>
      </c>
      <c r="D29" s="151" t="s">
        <v>584</v>
      </c>
    </row>
    <row r="30" customFormat="false" ht="144.75" hidden="false" customHeight="true" outlineLevel="0" collapsed="false">
      <c r="A30" s="152" t="s">
        <v>610</v>
      </c>
      <c r="B30" s="152" t="s">
        <v>611</v>
      </c>
      <c r="C30" s="152" t="s">
        <v>612</v>
      </c>
      <c r="D30" s="153" t="s">
        <v>613</v>
      </c>
      <c r="E30" s="153"/>
      <c r="F30" s="153"/>
    </row>
    <row r="32" customFormat="false" ht="15" hidden="false" customHeight="true" outlineLevel="0" collapsed="false">
      <c r="A32" s="150" t="s">
        <v>614</v>
      </c>
      <c r="B32" s="150"/>
      <c r="C32" s="150"/>
      <c r="D32" s="150"/>
      <c r="E32" s="150"/>
      <c r="F32" s="150"/>
    </row>
    <row r="33" customFormat="false" ht="15" hidden="false" customHeight="true" outlineLevel="0" collapsed="false">
      <c r="A33" s="151" t="s">
        <v>581</v>
      </c>
      <c r="B33" s="151" t="s">
        <v>582</v>
      </c>
      <c r="C33" s="151" t="s">
        <v>583</v>
      </c>
      <c r="D33" s="151" t="s">
        <v>584</v>
      </c>
    </row>
    <row r="34" customFormat="false" ht="99.75" hidden="false" customHeight="true" outlineLevel="0" collapsed="false">
      <c r="A34" s="152" t="s">
        <v>593</v>
      </c>
      <c r="B34" s="152" t="s">
        <v>615</v>
      </c>
      <c r="C34" s="152" t="s">
        <v>616</v>
      </c>
      <c r="D34" s="153" t="s">
        <v>617</v>
      </c>
      <c r="E34" s="153"/>
      <c r="F34" s="153"/>
    </row>
    <row r="36" customFormat="false" ht="15" hidden="false" customHeight="true" outlineLevel="0" collapsed="false">
      <c r="A36" s="150" t="s">
        <v>618</v>
      </c>
      <c r="B36" s="150"/>
      <c r="C36" s="150"/>
      <c r="D36" s="150"/>
      <c r="E36" s="150"/>
      <c r="F36" s="150"/>
    </row>
    <row r="37" customFormat="false" ht="15" hidden="false" customHeight="true" outlineLevel="0" collapsed="false">
      <c r="A37" s="151" t="s">
        <v>581</v>
      </c>
      <c r="B37" s="151" t="s">
        <v>582</v>
      </c>
      <c r="C37" s="151" t="s">
        <v>583</v>
      </c>
      <c r="D37" s="151" t="s">
        <v>584</v>
      </c>
    </row>
    <row r="38" customFormat="false" ht="162" hidden="false" customHeight="true" outlineLevel="0" collapsed="false">
      <c r="A38" s="152" t="s">
        <v>602</v>
      </c>
      <c r="B38" s="152" t="s">
        <v>586</v>
      </c>
      <c r="C38" s="152" t="s">
        <v>619</v>
      </c>
      <c r="D38" s="153" t="s">
        <v>620</v>
      </c>
      <c r="E38" s="153"/>
      <c r="F38" s="153"/>
    </row>
    <row r="40" customFormat="false" ht="15" hidden="false" customHeight="true" outlineLevel="0" collapsed="false">
      <c r="A40" s="150" t="s">
        <v>621</v>
      </c>
      <c r="B40" s="150"/>
      <c r="C40" s="150"/>
      <c r="D40" s="150"/>
      <c r="E40" s="150"/>
      <c r="F40" s="150"/>
    </row>
    <row r="41" customFormat="false" ht="15" hidden="false" customHeight="true" outlineLevel="0" collapsed="false">
      <c r="A41" s="151" t="s">
        <v>581</v>
      </c>
      <c r="B41" s="151" t="s">
        <v>582</v>
      </c>
      <c r="C41" s="151" t="s">
        <v>583</v>
      </c>
      <c r="D41" s="151" t="s">
        <v>584</v>
      </c>
    </row>
    <row r="42" customFormat="false" ht="90.75" hidden="false" customHeight="true" outlineLevel="0" collapsed="false">
      <c r="A42" s="152" t="s">
        <v>622</v>
      </c>
      <c r="B42" s="152" t="s">
        <v>586</v>
      </c>
      <c r="C42" s="152" t="s">
        <v>623</v>
      </c>
      <c r="D42" s="153" t="s">
        <v>624</v>
      </c>
      <c r="E42" s="153"/>
      <c r="F42" s="153"/>
    </row>
    <row r="44" customFormat="false" ht="15" hidden="false" customHeight="true" outlineLevel="0" collapsed="false">
      <c r="A44" s="150" t="s">
        <v>625</v>
      </c>
      <c r="B44" s="150"/>
      <c r="C44" s="150"/>
      <c r="D44" s="150"/>
      <c r="E44" s="150"/>
      <c r="F44" s="150"/>
    </row>
    <row r="45" customFormat="false" ht="15" hidden="false" customHeight="true" outlineLevel="0" collapsed="false">
      <c r="A45" s="151" t="s">
        <v>581</v>
      </c>
      <c r="B45" s="151" t="s">
        <v>582</v>
      </c>
      <c r="C45" s="151" t="s">
        <v>583</v>
      </c>
      <c r="D45" s="151" t="s">
        <v>584</v>
      </c>
    </row>
    <row r="46" customFormat="false" ht="90.75" hidden="false" customHeight="true" outlineLevel="0" collapsed="false">
      <c r="A46" s="152" t="s">
        <v>626</v>
      </c>
      <c r="B46" s="152" t="s">
        <v>586</v>
      </c>
      <c r="C46" s="152" t="s">
        <v>627</v>
      </c>
      <c r="D46" s="153" t="s">
        <v>628</v>
      </c>
      <c r="E46" s="153"/>
      <c r="F46" s="153"/>
    </row>
    <row r="48" customFormat="false" ht="15" hidden="false" customHeight="true" outlineLevel="0" collapsed="false">
      <c r="A48" s="150" t="s">
        <v>629</v>
      </c>
      <c r="B48" s="150"/>
      <c r="C48" s="150"/>
      <c r="D48" s="150"/>
      <c r="E48" s="150"/>
      <c r="F48" s="150"/>
    </row>
    <row r="49" customFormat="false" ht="15" hidden="false" customHeight="true" outlineLevel="0" collapsed="false">
      <c r="A49" s="151" t="s">
        <v>581</v>
      </c>
      <c r="B49" s="151" t="s">
        <v>582</v>
      </c>
      <c r="C49" s="151" t="s">
        <v>583</v>
      </c>
      <c r="D49" s="151" t="s">
        <v>584</v>
      </c>
    </row>
    <row r="50" customFormat="false" ht="81.75" hidden="false" customHeight="true" outlineLevel="0" collapsed="false">
      <c r="A50" s="152" t="s">
        <v>593</v>
      </c>
      <c r="B50" s="152" t="s">
        <v>630</v>
      </c>
      <c r="C50" s="152" t="s">
        <v>631</v>
      </c>
      <c r="D50" s="153" t="s">
        <v>632</v>
      </c>
      <c r="E50" s="153"/>
      <c r="F50" s="153"/>
    </row>
    <row r="52" customFormat="false" ht="15" hidden="false" customHeight="true" outlineLevel="0" collapsed="false">
      <c r="A52" s="150" t="s">
        <v>633</v>
      </c>
      <c r="B52" s="150"/>
      <c r="C52" s="150"/>
      <c r="D52" s="150"/>
      <c r="E52" s="150"/>
      <c r="F52" s="150"/>
    </row>
    <row r="53" customFormat="false" ht="15" hidden="false" customHeight="true" outlineLevel="0" collapsed="false">
      <c r="A53" s="151" t="s">
        <v>581</v>
      </c>
      <c r="B53" s="151" t="s">
        <v>582</v>
      </c>
      <c r="C53" s="151" t="s">
        <v>583</v>
      </c>
      <c r="D53" s="151" t="s">
        <v>584</v>
      </c>
    </row>
    <row r="54" customFormat="false" ht="27.75" hidden="false" customHeight="true" outlineLevel="0" collapsed="false">
      <c r="A54" s="152" t="s">
        <v>593</v>
      </c>
      <c r="B54" s="152" t="s">
        <v>634</v>
      </c>
      <c r="C54" s="152" t="s">
        <v>635</v>
      </c>
      <c r="D54" s="153" t="s">
        <v>636</v>
      </c>
      <c r="E54" s="153"/>
      <c r="F54" s="153"/>
    </row>
    <row r="56" customFormat="false" ht="15" hidden="false" customHeight="true" outlineLevel="0" collapsed="false">
      <c r="A56" s="150" t="s">
        <v>637</v>
      </c>
      <c r="B56" s="150"/>
      <c r="C56" s="150"/>
      <c r="D56" s="150"/>
      <c r="E56" s="150"/>
      <c r="F56" s="150"/>
    </row>
    <row r="57" customFormat="false" ht="15" hidden="false" customHeight="true" outlineLevel="0" collapsed="false">
      <c r="A57" s="151" t="s">
        <v>581</v>
      </c>
      <c r="B57" s="151" t="s">
        <v>582</v>
      </c>
      <c r="C57" s="151" t="s">
        <v>583</v>
      </c>
      <c r="D57" s="151" t="s">
        <v>584</v>
      </c>
    </row>
    <row r="58" customFormat="false" ht="333" hidden="false" customHeight="true" outlineLevel="0" collapsed="false">
      <c r="A58" s="152" t="s">
        <v>610</v>
      </c>
      <c r="B58" s="152" t="s">
        <v>638</v>
      </c>
      <c r="C58" s="152" t="s">
        <v>639</v>
      </c>
      <c r="D58" s="153" t="s">
        <v>640</v>
      </c>
      <c r="E58" s="153"/>
      <c r="F58" s="153"/>
    </row>
    <row r="60" customFormat="false" ht="15" hidden="false" customHeight="true" outlineLevel="0" collapsed="false">
      <c r="A60" s="150" t="s">
        <v>641</v>
      </c>
      <c r="B60" s="150"/>
      <c r="C60" s="150"/>
      <c r="D60" s="150"/>
      <c r="E60" s="150"/>
      <c r="F60" s="150"/>
    </row>
    <row r="61" customFormat="false" ht="15" hidden="false" customHeight="true" outlineLevel="0" collapsed="false">
      <c r="A61" s="151" t="s">
        <v>581</v>
      </c>
      <c r="B61" s="151" t="s">
        <v>582</v>
      </c>
      <c r="C61" s="151" t="s">
        <v>583</v>
      </c>
      <c r="D61" s="151" t="s">
        <v>584</v>
      </c>
    </row>
    <row r="62" customFormat="false" ht="619.5" hidden="false" customHeight="true" outlineLevel="0" collapsed="false">
      <c r="A62" s="152" t="s">
        <v>610</v>
      </c>
      <c r="B62" s="152" t="s">
        <v>642</v>
      </c>
      <c r="C62" s="152" t="s">
        <v>643</v>
      </c>
      <c r="D62" s="153" t="s">
        <v>644</v>
      </c>
      <c r="E62" s="153"/>
      <c r="F62" s="153"/>
    </row>
    <row r="64" customFormat="false" ht="15" hidden="false" customHeight="true" outlineLevel="0" collapsed="false">
      <c r="A64" s="150" t="s">
        <v>645</v>
      </c>
      <c r="B64" s="150"/>
      <c r="C64" s="150"/>
      <c r="D64" s="150"/>
      <c r="E64" s="150"/>
      <c r="F64" s="150"/>
    </row>
    <row r="65" customFormat="false" ht="15" hidden="false" customHeight="true" outlineLevel="0" collapsed="false">
      <c r="A65" s="151" t="s">
        <v>581</v>
      </c>
      <c r="B65" s="151" t="s">
        <v>582</v>
      </c>
      <c r="C65" s="151" t="s">
        <v>583</v>
      </c>
      <c r="D65" s="151" t="s">
        <v>584</v>
      </c>
    </row>
    <row r="66" customFormat="false" ht="45.75" hidden="false" customHeight="true" outlineLevel="0" collapsed="false">
      <c r="A66" s="152" t="s">
        <v>593</v>
      </c>
      <c r="B66" s="152" t="s">
        <v>646</v>
      </c>
      <c r="C66" s="152" t="s">
        <v>647</v>
      </c>
      <c r="D66" s="153" t="s">
        <v>648</v>
      </c>
      <c r="E66" s="153"/>
      <c r="F66" s="153"/>
    </row>
    <row r="68" customFormat="false" ht="15" hidden="false" customHeight="true" outlineLevel="0" collapsed="false">
      <c r="A68" s="150" t="s">
        <v>649</v>
      </c>
      <c r="B68" s="150"/>
      <c r="C68" s="150"/>
      <c r="D68" s="150"/>
      <c r="E68" s="150"/>
      <c r="F68" s="150"/>
    </row>
    <row r="69" customFormat="false" ht="15" hidden="false" customHeight="true" outlineLevel="0" collapsed="false">
      <c r="A69" s="151" t="s">
        <v>581</v>
      </c>
      <c r="B69" s="151" t="s">
        <v>582</v>
      </c>
      <c r="C69" s="151" t="s">
        <v>583</v>
      </c>
      <c r="D69" s="151" t="s">
        <v>584</v>
      </c>
    </row>
    <row r="70" customFormat="false" ht="15" hidden="false" customHeight="true" outlineLevel="0" collapsed="false">
      <c r="A70" s="152" t="s">
        <v>593</v>
      </c>
      <c r="B70" s="152" t="s">
        <v>650</v>
      </c>
      <c r="C70" s="152" t="s">
        <v>651</v>
      </c>
      <c r="D70" s="153" t="s">
        <v>652</v>
      </c>
      <c r="E70" s="153"/>
      <c r="F70" s="153"/>
    </row>
  </sheetData>
  <mergeCells count="36">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2026-09-08T19:29:16Z</dcterms:modified>
  <cp:revision>89</cp:revision>
  <dc:subject/>
  <dc:title/>
</cp:coreProperties>
</file>

<file path=docProps/custom.xml><?xml version="1.0" encoding="utf-8"?>
<Properties xmlns="http://schemas.openxmlformats.org/officeDocument/2006/custom-properties" xmlns:vt="http://schemas.openxmlformats.org/officeDocument/2006/docPropsVTypes"/>
</file>