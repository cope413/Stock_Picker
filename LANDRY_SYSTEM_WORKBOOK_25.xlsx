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ables/table4.xml" ContentType="application/vnd.openxmlformats-officedocument.spreadsheetml.table+xml"/>
  <Override PartName="/xl/tables/table2.xml" ContentType="application/vnd.openxmlformats-officedocument.spreadsheetml.table+xml"/>
  <Override PartName="/xl/tables/table5.xml" ContentType="application/vnd.openxmlformats-officedocument.spreadsheetml.table+xml"/>
  <Override PartName="/xl/tables/table7.xml" ContentType="application/vnd.openxmlformats-officedocument.spreadsheetml.table+xml"/>
  <Override PartName="/xl/tables/table3.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17.xml" ContentType="application/vnd.openxmlformats-officedocument.spreadsheetml.worksheet+xml"/>
  <Override PartName="/xl/worksheets/sheet12.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6.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xl/charts/style1.xml" ContentType="application/vnd.ms-office.chartstyle+xml"/>
  <Override PartName="/xl/charts/style2.xml" ContentType="application/vnd.ms-office.chartstyle+xml"/>
  <Override PartName="/xl/charts/style13.xml" ContentType="application/vnd.ms-office.chartstyle+xml"/>
  <Override PartName="/xl/charts/style14.xml" ContentType="application/vnd.ms-office.chartstyle+xml"/>
  <Override PartName="/xl/charts/chart7.xml" ContentType="application/vnd.openxmlformats-officedocument.drawingml.chart+xml"/>
  <Override PartName="/xl/charts/style3.xml" ContentType="application/vnd.ms-office.chartstyle+xml"/>
  <Override PartName="/xl/charts/colors14.xml" ContentType="application/vnd.ms-office.chartcolorstyle+xml"/>
  <Override PartName="/xl/charts/style15.xml" ContentType="application/vnd.ms-office.chartstyle+xml"/>
  <Override PartName="/xl/charts/chart8.xml" ContentType="application/vnd.openxmlformats-officedocument.drawingml.chart+xml"/>
  <Override PartName="/xl/charts/colors9.xml" ContentType="application/vnd.ms-office.chartcolorstyle+xml"/>
  <Override PartName="/xl/charts/chart1.xml" ContentType="application/vnd.openxmlformats-officedocument.drawingml.chart+xml"/>
  <Override PartName="/xl/charts/chart11.xml" ContentType="application/vnd.openxmlformats-officedocument.drawingml.chart+xml"/>
  <Override PartName="/xl/charts/colors5.xml" ContentType="application/vnd.ms-office.chartcolorstyle+xml"/>
  <Override PartName="/xl/charts/colors16.xml" ContentType="application/vnd.ms-office.chartcolorstyle+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chart17.xml" ContentType="application/vnd.openxmlformats-officedocument.drawingml.chart+xml"/>
  <Override PartName="/xl/charts/colors7.xml" ContentType="application/vnd.ms-office.chartcolorstyle+xml"/>
  <Override PartName="/xl/charts/chart6.xml" ContentType="application/vnd.openxmlformats-officedocument.drawingml.chart+xml"/>
  <Override PartName="/xl/charts/colors11.xml" ContentType="application/vnd.ms-office.chartcolorstyle+xml"/>
  <Override PartName="/xl/charts/style9.xml" ContentType="application/vnd.ms-office.chartstyle+xml"/>
  <Override PartName="/xl/charts/chart10.xml" ContentType="application/vnd.openxmlformats-officedocument.drawingml.chart+xml"/>
  <Override PartName="/xl/charts/colors17.xml" ContentType="application/vnd.ms-office.chartcolorstyle+xml"/>
  <Override PartName="/xl/charts/style7.xml" ContentType="application/vnd.ms-office.chartstyle+xml"/>
  <Override PartName="/xl/charts/chart14.xml" ContentType="application/vnd.openxmlformats-officedocument.drawingml.chart+xml"/>
  <Override PartName="/xl/charts/chart12.xml" ContentType="application/vnd.openxmlformats-officedocument.drawingml.chart+xml"/>
  <Override PartName="/xl/charts/style16.xml" ContentType="application/vnd.ms-office.chartstyle+xml"/>
  <Override PartName="/xl/charts/chart18.xml" ContentType="application/vnd.openxmlformats-officedocument.drawingml.chart+xml"/>
  <Override PartName="/xl/charts/colors12.xml" ContentType="application/vnd.ms-office.chartcolorstyle+xml"/>
  <Override PartName="/xl/charts/style11.xml" ContentType="application/vnd.ms-office.chartstyle+xml"/>
  <Override PartName="/xl/charts/colors10.xml" ContentType="application/vnd.ms-office.chartcolorstyle+xml"/>
  <Override PartName="/xl/charts/colors18.xml" ContentType="application/vnd.ms-office.chartcolorstyle+xml"/>
  <Override PartName="/xl/charts/chart4.xml" ContentType="application/vnd.openxmlformats-officedocument.drawingml.chart+xml"/>
  <Override PartName="/xl/charts/colors1.xml" ContentType="application/vnd.ms-office.chartcolorstyle+xml"/>
  <Override PartName="/xl/charts/colors4.xml" ContentType="application/vnd.ms-office.chartcolorstyle+xml"/>
  <Override PartName="/xl/charts/colors2.xml" ContentType="application/vnd.ms-office.chartcolorstyle+xml"/>
  <Override PartName="/xl/charts/chart2.xml" ContentType="application/vnd.openxmlformats-officedocument.drawingml.chart+xml"/>
  <Override PartName="/xl/charts/colors3.xml" ContentType="application/vnd.ms-office.chartcolorstyle+xml"/>
  <Override PartName="/xl/charts/chart15.xml" ContentType="application/vnd.openxmlformats-officedocument.drawingml.chart+xml"/>
  <Override PartName="/xl/charts/style8.xml" ContentType="application/vnd.ms-office.chartstyle+xml"/>
  <Override PartName="/xl/charts/style4.xml" ContentType="application/vnd.ms-office.chartstyle+xml"/>
  <Override PartName="/xl/charts/chart9.xml" ContentType="application/vnd.openxmlformats-officedocument.drawingml.chart+xml"/>
  <Override PartName="/xl/charts/style12.xml" ContentType="application/vnd.ms-office.chartstyle+xml"/>
  <Override PartName="/xl/charts/chart13.xml" ContentType="application/vnd.openxmlformats-officedocument.drawingml.chart+xml"/>
  <Override PartName="/xl/charts/colors8.xml" ContentType="application/vnd.ms-office.chartcolorstyle+xml"/>
  <Override PartName="/xl/charts/chart3.xml" ContentType="application/vnd.openxmlformats-officedocument.drawingml.chart+xml"/>
  <Override PartName="/xl/charts/chart16.xml" ContentType="application/vnd.openxmlformats-officedocument.drawingml.chart+xml"/>
  <Override PartName="/xl/charts/style17.xml" ContentType="application/vnd.ms-office.chartstyle+xml"/>
  <Override PartName="/xl/charts/colors15.xml" ContentType="application/vnd.ms-office.chartcolorstyle+xml"/>
  <Override PartName="/xl/charts/style5.xml" ContentType="application/vnd.ms-office.chartstyle+xml"/>
  <Override PartName="/xl/charts/style10.xml" ContentType="application/vnd.ms-office.chartstyle+xml"/>
  <Override PartName="/xl/charts/colors13.xml" ContentType="application/vnd.ms-office.chartcolorstyle+xml"/>
  <Override PartName="/xl/charts/style18.xml" ContentType="application/vnd.ms-office.chart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3"/>
  </bookViews>
  <sheets>
    <sheet name="Instructions" sheetId="1" state="visible" r:id="rId3"/>
    <sheet name="Action Items" sheetId="2" state="visible" r:id="rId4"/>
    <sheet name="Current Positions" sheetId="3" state="visible" r:id="rId5"/>
    <sheet name="Monitor &amp; Recheck Triggers" sheetId="4" state="visible" r:id="rId6"/>
    <sheet name="Price History" sheetId="5" state="visible" r:id="rId7"/>
    <sheet name="Dashboard" sheetId="6" state="visible" r:id="rId8"/>
    <sheet name="Scoring" sheetId="7" state="visible" r:id="rId9"/>
    <sheet name="Entry Checklist" sheetId="8" state="visible" r:id="rId10"/>
    <sheet name="Market Data" sheetId="9" state="visible" r:id="rId11"/>
    <sheet name="Returns (Calc)" sheetId="10" state="visible" r:id="rId12"/>
    <sheet name="Correlation Matrix" sheetId="11" state="visible" r:id="rId13"/>
    <sheet name="Portfolio Drawdown Log" sheetId="12" state="visible" r:id="rId14"/>
    <sheet name="Watch List Tracker" sheetId="13" state="visible" r:id="rId15"/>
    <sheet name="Implied-Return Calculator" sheetId="14" state="visible" r:id="rId16"/>
    <sheet name="Holding Monitor" sheetId="15" state="visible" r:id="rId17"/>
    <sheet name="Performance Tracking" sheetId="16" state="visible" r:id="rId18"/>
    <sheet name="Journal" sheetId="17" state="visible" r:id="rId19"/>
    <sheet name="Schema Reference" sheetId="18" state="visible" r:id="rId20"/>
    <sheet name="Scratchpad (disregard)" sheetId="19" state="visible" r:id="rId21"/>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<sst xmlns="http://schemas.openxmlformats.org/spreadsheetml/2006/main" count="1572" uniqueCount="639">
  <si>
    <t xml:space="preserve">THE LANDRY FAMILY EQUITY INVESTMENT OPERATING SYSTEM — STOCK SCORING &amp; PORTFOLIO RISK WORKBOOK</t>
  </si>
  <si>
    <t xml:space="preserve">Companion workbook to Landry System v1.02. Aligned to: Version 1.02 (49 Hard Rules, Parts 1–12).</t>
  </si>
  <si>
    <t xml:space="preserve">If the Word document's rule numbers ever change in a future revision, check this line and the rule</t>
  </si>
  <si>
    <t xml:space="preserve">references throughout this workbook before relying on them.</t>
  </si>
  <si>
    <t xml:space="preserve">HOW TO USE THIS WORKBOOK</t>
  </si>
  <si>
    <t xml:space="preserve">1. Market Data tab — enter or refresh price, volume, market cap, P/E, 52-week range, and dividend</t>
  </si>
  <si>
    <t xml:space="preserve">yield for each tracked ticker. Blue cells only. See that tab's note on optional live-data refresh.</t>
  </si>
  <si>
    <t xml:space="preserve">2. Scoring tab — during a scoring session, enter each Tier 1/2/3 indicator's score (1–5) and Confidence</t>
  </si>
  <si>
    <t xml:space="preserve">tag (H/M/L) per Part 2's rubrics. The Composite Score, decision classification, and hard-rule flags</t>
  </si>
  <si>
    <t xml:space="preserve">(Rules 1–4) calculate automatically.</t>
  </si>
  <si>
    <t xml:space="preserve">3. Dashboard tab — read-only summary of every tracked stock, sortable by Composite Score.</t>
  </si>
  <si>
    <t xml:space="preserve">4. Price History / Returns (Calc) / Correlation Matrix tabs — enter monthly closing prices for up to 12</t>
  </si>
  <si>
    <t xml:space="preserve">core positions; pairwise correlation and the Rule 36 per-position violation flag calculate automatically.</t>
  </si>
  <si>
    <t xml:space="preserve">5. Portfolio Drawdown Log tab — enter portfolio value at each review date; running peak, drawdown %,</t>
  </si>
  <si>
    <t xml:space="preserve">and the Part 7 response status (Normal/Elevated/Severe/Critical) calculate automatically.</t>
  </si>
  <si>
    <t xml:space="preserve">RULE REFERENCE (Landry System v1.02)</t>
  </si>
  <si>
    <t xml:space="preserve">Rules 1–4 (Part 3) — Tier 1 floor of 3.0, mandatory review of any Tier 1 score of 1, automatic Avoid if</t>
  </si>
  <si>
    <t xml:space="preserve">two or more Tier 1 indicators score 2.0 or below, and the Strong Buy cap when two or more Tier 1</t>
  </si>
  <si>
    <t xml:space="preserve">indicators are tagged Low Confidence.</t>
  </si>
  <si>
    <t xml:space="preserve">Rule 36 (Part 7) — Correlation Cap: no position may carry pairwise correlation above 0.70 with more</t>
  </si>
  <si>
    <t xml:space="preserve">than one other holding at the same time.</t>
  </si>
  <si>
    <t xml:space="preserve">Rule 37 (Part 7) — Portfolio drawdown response levels apply automatically; only a documented Tier 1</t>
  </si>
  <si>
    <t xml:space="preserve">re-score restores normal sizing for an affected security.</t>
  </si>
  <si>
    <t xml:space="preserve">Decision thresholds (Part 3): 80–100 Strong Buy | 65–79 Buy | 50–64 Watch List | 35–49 Avoid | &lt;35 Pass.</t>
  </si>
  <si>
    <t xml:space="preserve">Drawdown response (Part 7): 0–10% Normal | 10–20% Elevated | 20–30% Severe | 30%+ Critical.</t>
  </si>
  <si>
    <t xml:space="preserve">COLOR LEGEND</t>
  </si>
  <si>
    <t xml:space="preserve">Dark blue text on light blue fill = input cell (type here). Black text, no fill = calculated (do not overwrite -- formulas live here). Colored fill on Decision/Status/Recheck cells reflects the classification band (green/yellow/orange/red), separate from the input/formula distinction above.</t>
  </si>
  <si>
    <t xml:space="preserve">reflects the classification band.</t>
  </si>
  <si>
    <t xml:space="preserve">SCHEMA REFERENCE</t>
  </si>
  <si>
    <t xml:space="preserve">See the Schema Reference tab (last tab) for the exact column layout of every tab -- built for handoff to Claude Code or any future programmatic access.</t>
  </si>
  <si>
    <t xml:space="preserve">WORKFLOW POLICY (established 8/12/26)</t>
  </si>
  <si>
    <t xml:space="preserve">Watch List Tracker: entries added when a scored position (owned or candidate) lands in Probationary</t>
  </si>
  <si>
    <t xml:space="preserve">Hold/Exit Review, or an owned position's re-score triggers Rule 3. Claude flags it; the analyst confirms</t>
  </si>
  <si>
    <t xml:space="preserve">the classification and any remediation decision.</t>
  </si>
  <si>
    <t xml:space="preserve">Implied-Return Calculator: populated when a candidate moves from screened toward actual entry</t>
  </si>
  <si>
    <t xml:space="preserve">consideration (Rules 11-13 prep).</t>
  </si>
  <si>
    <t xml:space="preserve">Holding Monitor: populated during scheduled quarterly reviews / fundamental refreshes (see Journal for</t>
  </si>
  <si>
    <t xml:space="preserve">the standing calendar).</t>
  </si>
  <si>
    <t xml:space="preserve">Performance Tracking: populated the same moment a confirmed trade updates Current Positions.</t>
  </si>
  <si>
    <t xml:space="preserve">Journal: for decisions, reasoning, and corrections that don't have a natural home in a structured tab --</t>
  </si>
  <si>
    <t xml:space="preserve">not a duplicate of what the Scoring/Correlation/Drawdown tabs already record as data.</t>
  </si>
  <si>
    <t xml:space="preserve">Market Data: Claude-populated via yfinance (landry.data_auto.market_snapshot), refreshed periodically, not a live formula -- corrected 2026-08-26; the STOCKHISTORY/Stocks-data-type</t>
  </si>
  <si>
    <t xml:space="preserve">approach previously documented here was never actually implemented (the tab sat empty). Scope: current holdings (excluding cash-sweep vehicles FZDXX/FZFXX/VMFXX/QACDS) plus any</t>
  </si>
  <si>
    <t xml:space="preserve">candidate that has cleared Tier 1 and is sitting on the bench -- not names already screened out.</t>
  </si>
  <si>
    <t xml:space="preserve">Monitor &amp; Recheck Triggers: col G (Price at Last Score) is stamped every time a ticker is re-scored on the Scoring tab -- not tied to a fixed review cadence, since re-scores happen for reasons beyond scheduled reviews (see Journal, e.g. VRTX 8/7/26). Col H (Current Price) is a live</t>
  </si>
  <si>
    <t xml:space="preserve">STOCKHISTORY formula, manual recalc. Col J (Next Earnings Date) is Claude-populated via yfinance on the same cadence as Price History, since Excel has no native earnings-date field without a 3rd-party add-in (confirmed 2026-08-26).</t>
  </si>
  <si>
    <t xml:space="preserve">Price History: ticker list tracks current holdings (ex-cash-sweep) exactly, added/removed when a</t>
  </si>
  <si>
    <t xml:space="preserve">position opens/fully exits. Weekly closes are Claude-populated (fetch_daily/weekly_closes in</t>
  </si>
  <si>
    <t xml:space="preserve">landry.data_auto, same tooling as Market Data) as of 2026-08-26 -- previously Alan pulled via</t>
  </si>
  <si>
    <t xml:space="preserve">yFinance and handed it to Claude to enter; now Claude fetches and writes directly, refreshed</t>
  </si>
  <si>
    <t xml:space="preserve">periodically, not live. Only write fully-completed weeks (week-ending Friday has occurred) --</t>
  </si>
  <si>
    <t xml:space="preserve">a partial current week resamples to a misleading "Friday" label before Friday actually happens.</t>
  </si>
  <si>
    <t xml:space="preserve">ACTION ITEMS — everything requiring your decision, pulled live from every other tab. Everything else in this workbook is reference; this is what to open.</t>
  </si>
  <si>
    <t xml:space="preserve">Refresh by opening the workbook (F9 recalculates); all cells below are live formulas, nothing here is typed.</t>
  </si>
  <si>
    <t xml:space="preserve">1. WATCH LIST — Rules 31-34 (see Watch List Tracker tab for detail)</t>
  </si>
  <si>
    <t xml:space="preserve">Deadlines passed (sell required within 30 days):</t>
  </si>
  <si>
    <t xml:space="preserve">Deadlines approaching (within 14 days):</t>
  </si>
  <si>
    <t xml:space="preserve">Recovered — ready to remove/reclassify:</t>
  </si>
  <si>
    <t xml:space="preserve">2. ACTIVE SELL TRIGGERS — Rules 21-30 (see Holding Monitor tab for detail)</t>
  </si>
  <si>
    <t xml:space="preserve">Holdings with action required within 30 days:</t>
  </si>
  <si>
    <t xml:space="preserve">Holdings under Hold Through (monitor only, no action):</t>
  </si>
  <si>
    <t xml:space="preserve">3. CORRELATION CAP — Rule 36 (see Correlation Matrix tab for detail)</t>
  </si>
  <si>
    <t xml:space="preserve">Rule 36 status:</t>
  </si>
  <si>
    <t xml:space="preserve">Positions exceeding cap:</t>
  </si>
  <si>
    <t xml:space="preserve">4. PORTFOLIO DRAWDOWN STATUS — Rule 37 (see Portfolio Drawdown Log tab for detail)</t>
  </si>
  <si>
    <t xml:space="preserve">Most recent recorded status:</t>
  </si>
  <si>
    <t xml:space="preserve">Most recent drawdown %:</t>
  </si>
  <si>
    <t xml:space="preserve">Required cash floor at this level:</t>
  </si>
  <si>
    <t xml:space="preserve">5. CANDIDATE SCORING FLAGS — Rules 1-4 (see Scoring tab for detail)</t>
  </si>
  <si>
    <t xml:space="preserve">Candidates failing the Tier 1 floor, 3.0 (Rule 1):</t>
  </si>
  <si>
    <t xml:space="preserve">Candidates auto-classified Avoid (Rule 3):</t>
  </si>
  <si>
    <t xml:space="preserve">Candidates flagged for mandatory Tier 1 review (Rule 2):</t>
  </si>
  <si>
    <t xml:space="preserve">Candidates capped at Buy despite Strong Buy score (Rule 4):</t>
  </si>
  <si>
    <t xml:space="preserve">6. ENTRY AUTHORIZATION — Rules 5-13 (see Entry Checklist tab for detail)</t>
  </si>
  <si>
    <t xml:space="preserve">Candidates NOT authorized to enter (failing one or more Entry Rules):</t>
  </si>
  <si>
    <t xml:space="preserve">Candidates authorized, staged at reduced size (50%, per Rules 8-9):</t>
  </si>
  <si>
    <t xml:space="preserve">7. PIOTROSKI CROSS-CHECKS — System v1.02, Part 2 (see Scoring tab cols AN-AS for detail)</t>
  </si>
  <si>
    <t xml:space="preserve">Candidates flagged LOW CONF on Accruals (CFO does not exceed Net Income):</t>
  </si>
  <si>
    <t xml:space="preserve">Candidates with Debt/FCF trending up year-over-year:</t>
  </si>
  <si>
    <t xml:space="preserve">Combined current positions, both accounts, as of 09/08/2026 (DCA-TRANCHE-2 executed) -- JT ULTRA (Fidelity); Self-Directed, Chase — cash sweep custodied at Schwab, swept to VMFXX for yield. 
Source: uploaded brokerage exports + confirmed trade executions, aggregated by ticker. 
Update this tab at each quarterly/annual review; use it with Part 5 sizing modifiers and the Holding Monitor tab to prescribe classifications and follow-up actions.</t>
  </si>
  <si>
    <t xml:space="preserve">TAX-LOSS CARRYFORWARD (update annually)</t>
  </si>
  <si>
    <t xml:space="preserve">Account</t>
  </si>
  <si>
    <t xml:space="preserve">Ticker</t>
  </si>
  <si>
    <t xml:space="preserve">Description</t>
  </si>
  <si>
    <t xml:space="preserve">Asset Class</t>
  </si>
  <si>
    <t xml:space="preserve">Quantity</t>
  </si>
  <si>
    <t xml:space="preserve">Price
($)</t>
  </si>
  <si>
    <t xml:space="preserve">Market Value
($)</t>
  </si>
  <si>
    <t xml:space="preserve">Cost Basis
($)</t>
  </si>
  <si>
    <t xml:space="preserve">Unrealized G/L ($)</t>
  </si>
  <si>
    <t xml:space="preserve">Unrealized G/L (%)</t>
  </si>
  <si>
    <t xml:space="preserve">% of Account</t>
  </si>
  <si>
    <t xml:space="preserve">% of Combined Portfolio</t>
  </si>
  <si>
    <t xml:space="preserve">Classification / Notes (fill at review)</t>
  </si>
  <si>
    <t xml:space="preserve">Short-Term Loss Carryforward:</t>
  </si>
  <si>
    <t xml:space="preserve">JT ULTRA (Fidelity)</t>
  </si>
  <si>
    <t xml:space="preserve">ADBE</t>
  </si>
  <si>
    <t xml:space="preserve">Adobe Inc.</t>
  </si>
  <si>
    <t xml:space="preserve">Equity</t>
  </si>
  <si>
    <t xml:space="preserve">BOUGHT +20sh 8/7/26 @ $266.38 -- DCA tranche 1 diversifier add</t>
  </si>
  <si>
    <t xml:space="preserve">Long-Term Loss Carryforward:</t>
  </si>
  <si>
    <t xml:space="preserve">ANET</t>
  </si>
  <si>
    <t xml:space="preserve">Arista Networks</t>
  </si>
  <si>
    <t xml:space="preserve">ASML</t>
  </si>
  <si>
    <t xml:space="preserve">ASML Holding</t>
  </si>
  <si>
    <t xml:space="preserve">CRWD</t>
  </si>
  <si>
    <t xml:space="preserve">CrowdStrike Holdings</t>
  </si>
  <si>
    <t xml:space="preserve">KLAC</t>
  </si>
  <si>
    <t xml:space="preserve">KLA Corporation</t>
  </si>
  <si>
    <t xml:space="preserve">MU</t>
  </si>
  <si>
    <t xml:space="preserve">Micron Technology</t>
  </si>
  <si>
    <t xml:space="preserve">NVDA</t>
  </si>
  <si>
    <t xml:space="preserve">NVIDIA Corporation</t>
  </si>
  <si>
    <t xml:space="preserve">PLTR</t>
  </si>
  <si>
    <t xml:space="preserve">Palantir Technologies</t>
  </si>
  <si>
    <t xml:space="preserve">TSM</t>
  </si>
  <si>
    <t xml:space="preserve">Taiwan Semiconductor</t>
  </si>
  <si>
    <t xml:space="preserve">VRT</t>
  </si>
  <si>
    <t xml:space="preserve">Vertiv Holdings</t>
  </si>
  <si>
    <t xml:space="preserve">V</t>
  </si>
  <si>
    <t xml:space="preserve">Visa Inc.</t>
  </si>
  <si>
    <t xml:space="preserve">NEW position 9/8/26 -- DCA-TRANCHE-2, opened per Entry Checklist authorization (Composite 86.4, STRONG BUY). 2 lots: 25sh @ $368.38 + 25sh @ $369.565.</t>
  </si>
  <si>
    <t xml:space="preserve">FZDXX</t>
  </si>
  <si>
    <t xml:space="preserve">Fidelity Money Market Premium</t>
  </si>
  <si>
    <t xml:space="preserve">Cash</t>
  </si>
  <si>
    <t xml:space="preserve">FZFXX</t>
  </si>
  <si>
    <t xml:space="preserve">Fidelity Core Money Market</t>
  </si>
  <si>
    <t xml:space="preserve">DVY</t>
  </si>
  <si>
    <t xml:space="preserve">iShares Select Dividend ETF</t>
  </si>
  <si>
    <t xml:space="preserve">NEW position since 8/5/26 -- cash/dry powder per Alan 9/7/26, not a scored Landry position.</t>
  </si>
  <si>
    <t xml:space="preserve">VFLO</t>
  </si>
  <si>
    <t xml:space="preserve">VictoryShares Free Cash Flow ETF</t>
  </si>
  <si>
    <t xml:space="preserve">NEW to this account since 8/5/26 (already held in Self-Directed) -- cash/dry powder per Alan 9/7/26, not a scored Landry position.</t>
  </si>
  <si>
    <t xml:space="preserve">SCHD</t>
  </si>
  <si>
    <t xml:space="preserve">Schwab US Dividend Equity ETF</t>
  </si>
  <si>
    <t xml:space="preserve">VYM</t>
  </si>
  <si>
    <t xml:space="preserve">Vanguard High Dividend Yield ETF</t>
  </si>
  <si>
    <t xml:space="preserve">MLPI</t>
  </si>
  <si>
    <t xml:space="preserve">NEOS MLP &amp; Energy Income ETF</t>
  </si>
  <si>
    <t xml:space="preserve">SPMO</t>
  </si>
  <si>
    <t xml:space="preserve">Invesco S&amp;P 500 Momentum ETF</t>
  </si>
  <si>
    <t xml:space="preserve">Positions</t>
  </si>
  <si>
    <t xml:space="preserve">JT ULTRA (Fidelity) SUBTOTAL</t>
  </si>
  <si>
    <t xml:space="preserve">Excluding Cash</t>
  </si>
  <si>
    <t xml:space="preserve">Self-Directed (Chase)</t>
  </si>
  <si>
    <t xml:space="preserve">VMFXX</t>
  </si>
  <si>
    <t xml:space="preserve">Vanguard Federal Money Market</t>
  </si>
  <si>
    <t xml:space="preserve">JEPQ</t>
  </si>
  <si>
    <t xml:space="preserve">JPMorgan Nasdaq Equity Premium Income ETF</t>
  </si>
  <si>
    <t xml:space="preserve">Alternative Assets</t>
  </si>
  <si>
    <t xml:space="preserve">Qty 840.4-&gt;850.4sh since 8/5, likely DRIP reinvestment. Reclassified as cash/dry powder per Alan 9/7/26, not a scored Landry position.</t>
  </si>
  <si>
    <t xml:space="preserve">AVUV</t>
  </si>
  <si>
    <t xml:space="preserve">Avantis US Small Cap Value ETF</t>
  </si>
  <si>
    <t xml:space="preserve">BOUGHT +193.58sh 8/7/26 @ $126.66 -- consolidation target from CALF</t>
  </si>
  <si>
    <t xml:space="preserve">CALF</t>
  </si>
  <si>
    <t xml:space="preserve">Pacer US Small Cap Cash Cows ETF</t>
  </si>
  <si>
    <t xml:space="preserve">SOLD 8/7/26 -- confirmed: -409.55sh, $23,016.52 proceeds. Consolidated into AVUV.</t>
  </si>
  <si>
    <t xml:space="preserve">HELO</t>
  </si>
  <si>
    <t xml:space="preserve">JPMorgan Hedged Equity Laddered Overlay ETF</t>
  </si>
  <si>
    <t xml:space="preserve">BOUGHT +200sh since 8/5 (300-&gt;500sh) -- expanding income sleeve. Reclassified as cash/dry powder per Alan 9/7/26, not a scored Landry position.</t>
  </si>
  <si>
    <t xml:space="preserve">AVGO</t>
  </si>
  <si>
    <t xml:space="preserve">Broadcom Inc.</t>
  </si>
  <si>
    <t xml:space="preserve">VRTX</t>
  </si>
  <si>
    <t xml:space="preserve">Vertex Pharmaceuticals</t>
  </si>
  <si>
    <t xml:space="preserve">BOUGHT +15sh 9/8/26 @ ~$527.47 ($7,912.09) -- DCA-TRANCHE-2 diversifier add.</t>
  </si>
  <si>
    <t xml:space="preserve">PLD</t>
  </si>
  <si>
    <t xml:space="preserve">Prologis Inc.</t>
  </si>
  <si>
    <t xml:space="preserve">BOUGHT +64sh 8/7/26 @ $139.92 -- DCA tranche 1 diversifier add</t>
  </si>
  <si>
    <t xml:space="preserve">SFM</t>
  </si>
  <si>
    <t xml:space="preserve">Sprouts Farmers Market</t>
  </si>
  <si>
    <t xml:space="preserve">SOLD 08/07/26 -- confirmed: -65 sh, $5,601.58 proceeds. Rule 3 Avoid. Proceeds added to VMFXX.</t>
  </si>
  <si>
    <t xml:space="preserve">TSLA</t>
  </si>
  <si>
    <t xml:space="preserve">Tesla Inc.</t>
  </si>
  <si>
    <t xml:space="preserve">SOLD 08/07/26 -- confirmed: -15 sh, $4,783.25 proceeds. Rule 3 Avoid. Proceeds added to VMFXX.</t>
  </si>
  <si>
    <t xml:space="preserve">VGT</t>
  </si>
  <si>
    <t xml:space="preserve">Vanguard Information Technology ETF</t>
  </si>
  <si>
    <t xml:space="preserve">SOLD 8/7/26 -- confirmed: -40.18sh, $4,851.48 proceeds. Worst correlation offender (5 violations), cleared per plan.</t>
  </si>
  <si>
    <t xml:space="preserve">QACDS</t>
  </si>
  <si>
    <t xml:space="preserve">Schwab Cash Features (Sweep)</t>
  </si>
  <si>
    <t xml:space="preserve">ONON</t>
  </si>
  <si>
    <t xml:space="preserve">On Holding AG</t>
  </si>
  <si>
    <t xml:space="preserve">SOLD 08/07/26 -- confirmed: -100 sh, $3,764.92 proceeds. Rule 3 Avoid. Proceeds added to VMFXX.</t>
  </si>
  <si>
    <t xml:space="preserve">JEPI</t>
  </si>
  <si>
    <t xml:space="preserve">JPMorgan Equity Premium Income ETF</t>
  </si>
  <si>
    <t xml:space="preserve">Self-Directed (Chase) SUBTOTAL</t>
  </si>
  <si>
    <t xml:space="preserve">COMBINED PORTFOLIO TOTAL</t>
  </si>
  <si>
    <t xml:space="preserve">Cash / Cash Equivalents</t>
  </si>
  <si>
    <t xml:space="preserve">Actual cash (FZDXX+FZFXX+VMFXX+QACDS) + temporary yield-bearing cash buckets (AVUV, SPMO x2, VFLO x2, DVY, SCHD, VYM, MLPI, JEPQ, HELO, JEPI) held for liquidity/dry powder, not scored as long-term Landry positions. Policy confirmed by Alan 9/7/26. V (Visa) is NOT in this bucket -- it's a real, Entry-Checklist-authorized Landry position (Composite 86.4, STRONG BUY).</t>
  </si>
  <si>
    <t xml:space="preserve">NOTE: JT ULTRA's ASML/PLTR/MU quantities reflect trims already executed from the earlier rebalance session; 
SWAN is not currently held in this export (flagging in case that wasn't intentional). 
9/7/26: refreshed both accounts from fresh Fidelity/Chase exports (as of 9/4/26 close). Alan confirmed the new/expanded positions (DVY, SCHD, VYM, MLPI, JEPI, plus additions to HELO/JEPQ and VFLO/SPMO now in both accounts) are a deliberate move of idle cash into better-paying temporary buckets -- no strategy change. See Journal and [[price_history_ownership]]/[[etf_scope_todo]] memory for context.
9/8/26: DCA-TRANCHE-2 executed. VRTX +15sh @ ~$527.47 ($7,912.09, Chase). V (Visa) opened new, 50sh across 2 lots ($9,209.50 + $9,239.13 = $18,448.63, Fidelity). PLD skipped this tranche -- Fidelity's Equity Summary Score (LSEG StarMine) showed Very Bearish (0.7/10) with 2 recent Sell opinions; traditional sell-side consensus stayed clean, but Alan chose to wait/watch rather than add. Total tranche $26,360.72 vs. $24,000 target. See Journal 9/8/26.
9/8/26: DCA-TRANCHE-2 executed. VRTX +15sh @ ~$527.47 ($7,912.09, Chase). V (Visa) opened new, 50sh across 2 lots ($9,209.50 + $9,239.13 = $18,448.63, Fidelity). PLD skipped this tranche -- Fidelity's Equity Summary Score (LSEG StarMine) showed Very Bearish (0.7/10) with 2 recent Sell opinions; traditional sell-side consensus stayed clean, but Alan chose to wait/watch rather than add. Total tranche $26,360.72 vs. $24,000 target. See Journal 9/8/26.</t>
  </si>
  <si>
    <t xml:space="preserve">Recheck triggers for every name that's been scored, not just Watch List holdings. Current Price, Insider Activity, and Analyst Shift are Claude-populated (STOCKHISTORY formula + manual recalc for price; SEC EDGAR and yfinance consensus data for the other two, refreshed periodically, not live). Recheck Status calculates automatically from all signals together.</t>
  </si>
  <si>
    <t xml:space="preserve">Category</t>
  </si>
  <si>
    <t xml:space="preserve">Last Score
Date</t>
  </si>
  <si>
    <t xml:space="preserve">Last
Composite</t>
  </si>
  <si>
    <t xml:space="preserve">Last Tier 1
Wtd Avg</t>
  </si>
  <si>
    <t xml:space="preserve">Last
Decision</t>
  </si>
  <si>
    <t xml:space="preserve">Price at
Last Score</t>
  </si>
  <si>
    <t xml:space="preserve">Current
Price</t>
  </si>
  <si>
    <t xml:space="preserve">% Price
Change</t>
  </si>
  <si>
    <t xml:space="preserve">Next/Last
Earnings Date</t>
  </si>
  <si>
    <t xml:space="preserve">Insider
Activity? (Y/N)</t>
  </si>
  <si>
    <t xml:space="preserve">Insider Note</t>
  </si>
  <si>
    <t xml:space="preserve">Analyst
Shift? (Y/N)</t>
  </si>
  <si>
    <t xml:space="preserve">Analyst Shift
Note</t>
  </si>
  <si>
    <t xml:space="preserve">Days Since
Last Score</t>
  </si>
  <si>
    <t xml:space="preserve">Recheck Status</t>
  </si>
  <si>
    <t xml:space="preserve">Notes</t>
  </si>
  <si>
    <t xml:space="preserve">Owned</t>
  </si>
  <si>
    <t xml:space="preserve">STRONG BUY</t>
  </si>
  <si>
    <t xml:space="preserve">N</t>
  </si>
  <si>
    <t xml:space="preserve">Y</t>
  </si>
  <si>
    <t xml:space="preserve">2026-09-03: Breithaupt Chantelle Yvette (Senior Vice President, CFO) sold $119,811, 1% of holding (+55 more in last 30d)</t>
  </si>
  <si>
    <t xml:space="preserve">BUY</t>
  </si>
  <si>
    <t xml:space="preserve">2026-09-04: Kurtz George (PRESIDENT AND CEO) sold $472,759, 0% of holding (+126 more in last 30d)</t>
  </si>
  <si>
    <t xml:space="preserve">2026-08-14: Lorig Brian (EVP, KLA Global Services) sold $12,401,634, 43% of holding (+7 more in last 30d)</t>
  </si>
  <si>
    <t xml:space="preserve">2026-08-25: MEHROTRA SANJAY (President and CEO) sold $138,116, 0% of holding (+26 more in last 30d)</t>
  </si>
  <si>
    <t xml:space="preserve">2026-09-02: STEVENS MARK A (Director) sold $98,470,906, 9% of holding (+9 more in last 30d)</t>
  </si>
  <si>
    <t xml:space="preserve">2026-09-03: Stat Lauren Elaina Friedman (Director) sold $244,915, 2% of holding (+20 more in last 30d)</t>
  </si>
  <si>
    <t xml:space="preserve">2026-09-04: Fang Shu-Hua (SVP and GC) bought $77,090, 16% of holding (+11 more in last 30d)</t>
  </si>
  <si>
    <t xml:space="preserve">2026-09-02: MONSER EDWARD L (Director) sold $219,497, 3% of holding (+7 more in last 30d)</t>
  </si>
  <si>
    <t xml:space="preserve">Re-scored 8/7/26: original Avoid was bad source data, corrected. See Journal.</t>
  </si>
  <si>
    <t xml:space="preserve">AAP</t>
  </si>
  <si>
    <t xml:space="preserve">Tier-1 Avoid (external)</t>
  </si>
  <si>
    <t xml:space="preserve">BABA</t>
  </si>
  <si>
    <t xml:space="preserve">2026-08-25: Tsai Joseph C (Other) bought $10,418,400, 1% of holding (+2 more in last 30d)</t>
  </si>
  <si>
    <t xml:space="preserve">CE</t>
  </si>
  <si>
    <t xml:space="preserve">CLF</t>
  </si>
  <si>
    <t xml:space="preserve">CMG</t>
  </si>
  <si>
    <t xml:space="preserve">Watch List</t>
  </si>
  <si>
    <t xml:space="preserve">COST</t>
  </si>
  <si>
    <t xml:space="preserve">CRK</t>
  </si>
  <si>
    <t xml:space="preserve">DEO</t>
  </si>
  <si>
    <t xml:space="preserve">DIS</t>
  </si>
  <si>
    <t xml:space="preserve">2026-08-20: Roeder Paul M (Sr EVP and Chief Comm Officer) sold $382,327, 100% of holding (+1 more in last 30d)</t>
  </si>
  <si>
    <t xml:space="preserve">DPZ</t>
  </si>
  <si>
    <t xml:space="preserve">EL</t>
  </si>
  <si>
    <t xml:space="preserve">2026-08-25: La Lande Rashida (Exec VP &amp; General Counsel) sold $553,896, 100% of holding</t>
  </si>
  <si>
    <t xml:space="preserve">ET</t>
  </si>
  <si>
    <t xml:space="preserve">2026-08-20: WARREN KELCY L (Other) bought $7,487,721, 0% of holding (+2 more in last 30d)</t>
  </si>
  <si>
    <t xml:space="preserve">ETN</t>
  </si>
  <si>
    <t xml:space="preserve">2026-08-13: Monesmith Heath B. (See Remarks below.) sold $8,261,224, 26% of holding (+1 more in last 30d)</t>
  </si>
  <si>
    <t xml:space="preserve">ETSY</t>
  </si>
  <si>
    <t xml:space="preserve">2026-08-19: Buckley Merilee (CHIEF ACCOUNTING OFFICER) sold $18,850, 59% of holding (+9 more in last 30d)</t>
  </si>
  <si>
    <t xml:space="preserve">GE</t>
  </si>
  <si>
    <t xml:space="preserve">2026-08-12: Giglietti Robert M. (Vice President) sold $1,976,639, 18% of holding (+7 more in last 30d)</t>
  </si>
  <si>
    <t xml:space="preserve">GOOS</t>
  </si>
  <si>
    <t xml:space="preserve">HRL</t>
  </si>
  <si>
    <t xml:space="preserve">LBRT</t>
  </si>
  <si>
    <t xml:space="preserve">2026-07-30: Murti Arjun N (Director) bought $250,009, 51% of holding</t>
  </si>
  <si>
    <t xml:space="preserve">LIN</t>
  </si>
  <si>
    <t xml:space="preserve">2026-08-19: Reynolds Paula Rosput (Director) bought $47,912, 14% of holding</t>
  </si>
  <si>
    <t xml:space="preserve">NEE</t>
  </si>
  <si>
    <t xml:space="preserve">NFLX</t>
  </si>
  <si>
    <t xml:space="preserve">2026-08-10: Neumann Spencer Adam (Chief Financial Officer) sold $700,907, 11% of holding (+6 more in last 30d)</t>
  </si>
  <si>
    <t xml:space="preserve">NKE</t>
  </si>
  <si>
    <t xml:space="preserve">2026-08-11: Montagne Amy (PRESIDENT, NIKE) sold $204,657, 8% of holding (+1 more in last 30d)</t>
  </si>
  <si>
    <t xml:space="preserve">Consensus declined 0.19 (1-5 scale) over 3 months (3.39 -&gt; 3.21, 39 analysts currently)</t>
  </si>
  <si>
    <t xml:space="preserve">NOV</t>
  </si>
  <si>
    <t xml:space="preserve">2026-07-31: HARRISON DAVID D (Other) sold $184,301, 7% of holding</t>
  </si>
  <si>
    <t xml:space="preserve">Consensus improved 0.21 (1-5 scale) over 3 months (3.19 -&gt; 3.40, 20 analysts currently)</t>
  </si>
  <si>
    <t xml:space="preserve">2026-08-17: Bernhard Olivier (Executive Officer) bought $1,993,790, 1% of holding (+1 more in last 30d)</t>
  </si>
  <si>
    <t xml:space="preserve">PG</t>
  </si>
  <si>
    <t xml:space="preserve">2026-08-24: Janzaruk Matthew W. (SVP - Chief Accounting Officer) sold $52,141, 22% of holding (+12 more in last 30d)</t>
  </si>
  <si>
    <t xml:space="preserve">PH</t>
  </si>
  <si>
    <t xml:space="preserve">2026-08-19: Scott Patrick (VP &amp; Pres-Fluid Conn. Grp.) sold $1,294,800, 25% of holding (+12 more in last 30d)</t>
  </si>
  <si>
    <t xml:space="preserve">PZZA</t>
  </si>
  <si>
    <t xml:space="preserve">Consensus declined 0.29 (1-5 scale) over 3 months (3.29 -&gt; 3.00, 14 analysts currently)</t>
  </si>
  <si>
    <t xml:space="preserve">2026-08-17: O'Leary Joseph D (Director) sold $214,440, 15% of holding (+2 more in last 30d)</t>
  </si>
  <si>
    <t xml:space="preserve">2026-08-24: Taneja Rajat (PRESIDENT, TECHNOLOGY) sold $6,650,860, 7% of holding (+3 more in last 30d)</t>
  </si>
  <si>
    <t xml:space="preserve">VFC</t>
  </si>
  <si>
    <t xml:space="preserve">2026-08-17: Carucci Richard (Director) bought $294,600, 6% of holding (+1 more in last 30d)</t>
  </si>
  <si>
    <t xml:space="preserve">YUM</t>
  </si>
  <si>
    <t xml:space="preserve">2026-08-24: Skeans Tracy L (COO and CPO) sold $552,052, 100% of holding (+2 more in last 30d)</t>
  </si>
  <si>
    <t xml:space="preserve">Weekly closing price ($), week-ending Friday (Rule 36: weekly total returns, 24-month target, 12-month minimum, 36-month max). 20 slots: 13 stocks + 7 held ETFs + headroom.</t>
  </si>
  <si>
    <t xml:space="preserve">Week Ending</t>
  </si>
  <si>
    <t xml:space="preserve">Company</t>
  </si>
  <si>
    <t xml:space="preserve">Date Scored</t>
  </si>
  <si>
    <t xml:space="preserve">Tier 1 Wtd Avg</t>
  </si>
  <si>
    <t xml:space="preserve">Composite Score</t>
  </si>
  <si>
    <t xml:space="preserve">Decision</t>
  </si>
  <si>
    <t xml:space="preserve">Rule 1</t>
  </si>
  <si>
    <t xml:space="preserve">Rule 2</t>
  </si>
  <si>
    <t xml:space="preserve">Rule 3</t>
  </si>
  <si>
    <t xml:space="preserve">Rule 4</t>
  </si>
  <si>
    <t xml:space="preserve">This tab mirrors the Scoring tab automatically — do not type here. You can sort this tab directly (Data &gt; Sort by Composite Score); Excel moves whole rows, so each row's links stay correct.</t>
  </si>
  <si>
    <t xml:space="preserve">Tickers</t>
  </si>
  <si>
    <t xml:space="preserve">TIER 1 — 70% of Decision</t>
  </si>
  <si>
    <t xml:space="preserve">TIER 2 — 25% of Decision</t>
  </si>
  <si>
    <t xml:space="preserve">TIER 3 — 5% of Decision</t>
  </si>
  <si>
    <t xml:space="preserve">RULE FLAGS (1–4)</t>
  </si>
  <si>
    <t xml:space="preserve">CLASSIFICATION</t>
  </si>
  <si>
    <t xml:space="preserve">PIOTROSKI-DERIVED CROSS-CHECKS 
(confidence-tagging inputs only — do not feed Composite Score)</t>
  </si>
  <si>
    <t xml:space="preserve">Date
Scored</t>
  </si>
  <si>
    <t xml:space="preserve">FCF Yield &amp;
Trend (20%)
Score</t>
  </si>
  <si>
    <t xml:space="preserve">Conf
(H/M/L)</t>
  </si>
  <si>
    <t xml:space="preserve">Rev Growth
Consist. (15%)
Score</t>
  </si>
  <si>
    <t xml:space="preserve">Moat
Quality (15%)
Score</t>
  </si>
  <si>
    <t xml:space="preserve">Rev
Visibility (10%)
Score</t>
  </si>
  <si>
    <t xml:space="preserve">FCF Margin
Trend (10%)
Score</t>
  </si>
  <si>
    <t xml:space="preserve">Confidence
(H/M/L)</t>
  </si>
  <si>
    <t xml:space="preserve">Tier 1
Wtd Avg
(÷0.70)</t>
  </si>
  <si>
    <t xml:space="preserve">Tier 1
Contrib.</t>
  </si>
  <si>
    <t xml:space="preserve">Mgmt Quality
&amp; Cap Alloc (8%)
Score</t>
  </si>
  <si>
    <t xml:space="preserve">ROIC vs
WACC (6%)
Score</t>
  </si>
  <si>
    <t xml:space="preserve">Rel Strength
vs SPY (3%)
Score</t>
  </si>
  <si>
    <t xml:space="preserve">Valuation
Multiples (8%)
Score</t>
  </si>
  <si>
    <t xml:space="preserve">Tier 2
Contrib.</t>
  </si>
  <si>
    <t xml:space="preserve">Technical
Trend (2%)
Score</t>
  </si>
  <si>
    <t xml:space="preserve">Analyst
Consensus (2%)
Score</t>
  </si>
  <si>
    <t xml:space="preserve">Volume &amp;
Accum. (1%)
Score</t>
  </si>
  <si>
    <t xml:space="preserve">Tier 3
Contrib.</t>
  </si>
  <si>
    <t xml:space="preserve">Composite
Score</t>
  </si>
  <si>
    <t xml:space="preserve">Rule 1
Tier1&lt;3.0</t>
  </si>
  <si>
    <t xml:space="preserve">Rule 2
Any=1</t>
  </si>
  <si>
    <t xml:space="preserve">Rule 3
2+≤2=Avoid</t>
  </si>
  <si>
    <t xml:space="preserve">Rule 4
2+Low=Cap Buy</t>
  </si>
  <si>
    <t xml:space="preserve">Sector</t>
  </si>
  <si>
    <t xml:space="preserve">Industry</t>
  </si>
  <si>
    <t xml:space="preserve">CFO
($)</t>
  </si>
  <si>
    <t xml:space="preserve">Net Income
($)</t>
  </si>
  <si>
    <t xml:space="preserve">Accruals
Check</t>
  </si>
  <si>
    <t xml:space="preserve">Debt/FCF
(current)</t>
  </si>
  <si>
    <t xml:space="preserve">Debt/FCF
(prior yr)</t>
  </si>
  <si>
    <t xml:space="preserve">Leverage
Trajectory</t>
  </si>
  <si>
    <t xml:space="preserve">M</t>
  </si>
  <si>
    <t xml:space="preserve">H</t>
  </si>
  <si>
    <t xml:space="preserve">L</t>
  </si>
  <si>
    <t xml:space="preserve">Technology</t>
  </si>
  <si>
    <t xml:space="preserve">Semiconductors</t>
  </si>
  <si>
    <t xml:space="preserve">Software - Infrastructure</t>
  </si>
  <si>
    <t xml:space="preserve">Healthcare</t>
  </si>
  <si>
    <t xml:space="preserve">Biotechnology</t>
  </si>
  <si>
    <t xml:space="preserve">Prologis Inc. (REIT-adapted)</t>
  </si>
  <si>
    <t xml:space="preserve">Real Estate</t>
  </si>
  <si>
    <t xml:space="preserve">REIT - Industrial</t>
  </si>
  <si>
    <t xml:space="preserve">Consumer Defensive</t>
  </si>
  <si>
    <t xml:space="preserve">Grocery Stores</t>
  </si>
  <si>
    <t xml:space="preserve">Consumer Cyclical</t>
  </si>
  <si>
    <t xml:space="preserve">Footwear &amp; Accessories</t>
  </si>
  <si>
    <t xml:space="preserve">Auto Manufacturers</t>
  </si>
  <si>
    <t xml:space="preserve">Software - Application</t>
  </si>
  <si>
    <t xml:space="preserve">Computer Hardware</t>
  </si>
  <si>
    <t xml:space="preserve">Semiconductor Equipment &amp; Materials</t>
  </si>
  <si>
    <t xml:space="preserve">Taiwan Semiconductor Mfg.</t>
  </si>
  <si>
    <t xml:space="preserve">Industrials</t>
  </si>
  <si>
    <t xml:space="preserve">Electrical Equipment &amp; Parts</t>
  </si>
  <si>
    <t xml:space="preserve">Costco Wholesale Corp.</t>
  </si>
  <si>
    <t xml:space="preserve">Discount Stores</t>
  </si>
  <si>
    <t xml:space="preserve">Financial Services</t>
  </si>
  <si>
    <t xml:space="preserve">Credit Services</t>
  </si>
  <si>
    <t xml:space="preserve">NextEra Energy Inc.</t>
  </si>
  <si>
    <t xml:space="preserve">Utilities</t>
  </si>
  <si>
    <t xml:space="preserve">Utilities - Regulated Electric</t>
  </si>
  <si>
    <t xml:space="preserve">Comstock Resources Inc.</t>
  </si>
  <si>
    <t xml:space="preserve">Energy</t>
  </si>
  <si>
    <t xml:space="preserve">Oil &amp; Gas E&amp;P</t>
  </si>
  <si>
    <t xml:space="preserve">Energy Transfer LP</t>
  </si>
  <si>
    <t xml:space="preserve">Oil &amp; Gas Midstream</t>
  </si>
  <si>
    <t xml:space="preserve">Liberty Energy Inc.</t>
  </si>
  <si>
    <t xml:space="preserve">Oil &amp; Gas Equipment &amp; Services</t>
  </si>
  <si>
    <t xml:space="preserve">NOV Inc.</t>
  </si>
  <si>
    <t xml:space="preserve">Celanese Corp.</t>
  </si>
  <si>
    <t xml:space="preserve">Basic Materials</t>
  </si>
  <si>
    <t xml:space="preserve">Chemicals</t>
  </si>
  <si>
    <t xml:space="preserve">Cleveland-Cliffs Inc.</t>
  </si>
  <si>
    <t xml:space="preserve">Steel</t>
  </si>
  <si>
    <t xml:space="preserve">Linde plc</t>
  </si>
  <si>
    <t xml:space="preserve">Specialty Chemicals</t>
  </si>
  <si>
    <t xml:space="preserve">Diageo plc</t>
  </si>
  <si>
    <t xml:space="preserve">Beverages - Wineries &amp; Distilleries</t>
  </si>
  <si>
    <t xml:space="preserve">Estee Lauder Companies</t>
  </si>
  <si>
    <t xml:space="preserve">Household &amp; Personal Products</t>
  </si>
  <si>
    <t xml:space="preserve">Hormel Foods Corp.</t>
  </si>
  <si>
    <t xml:space="preserve">Packaged Foods</t>
  </si>
  <si>
    <t xml:space="preserve">Procter &amp; Gamble Co.</t>
  </si>
  <si>
    <t xml:space="preserve">Chipotle Mexican Grill</t>
  </si>
  <si>
    <t xml:space="preserve">Restaurants</t>
  </si>
  <si>
    <t xml:space="preserve">Domino's Pizza Inc.</t>
  </si>
  <si>
    <t xml:space="preserve">Papa John's Intl.</t>
  </si>
  <si>
    <t xml:space="preserve">Yum! Brands Inc.</t>
  </si>
  <si>
    <t xml:space="preserve">Nike Inc.</t>
  </si>
  <si>
    <t xml:space="preserve">V.F. Corporation</t>
  </si>
  <si>
    <t xml:space="preserve">Apparel Manufacturing</t>
  </si>
  <si>
    <t xml:space="preserve">Canada Goose Holdings</t>
  </si>
  <si>
    <t xml:space="preserve">Advance Auto Parts Inc.</t>
  </si>
  <si>
    <t xml:space="preserve">Auto Parts</t>
  </si>
  <si>
    <t xml:space="preserve">Alibaba Group Holding Ltd.</t>
  </si>
  <si>
    <t xml:space="preserve">Internet Retail</t>
  </si>
  <si>
    <t xml:space="preserve">Etsy Inc.</t>
  </si>
  <si>
    <t xml:space="preserve">GE Aerospace</t>
  </si>
  <si>
    <t xml:space="preserve">Aerospace &amp; Defense</t>
  </si>
  <si>
    <t xml:space="preserve">Parker-Hannifin Corporation</t>
  </si>
  <si>
    <t xml:space="preserve">Specialty Industrial Machinery</t>
  </si>
  <si>
    <t xml:space="preserve">Eaton Corporation plc</t>
  </si>
  <si>
    <t xml:space="preserve">The Walt Disney Company</t>
  </si>
  <si>
    <t xml:space="preserve">Communication Services</t>
  </si>
  <si>
    <t xml:space="preserve">Entertainment</t>
  </si>
  <si>
    <t xml:space="preserve">Netflix, Inc.</t>
  </si>
  <si>
    <t xml:space="preserve">Part 4 Entry Rules (5-10, 13). Rules 5-7 pull from the Scoring tab; Rules 11-12 pull from the Implied-Return Calculator; Rules 8-9-10-13 are entered here. Keep this tab's row order matching Scoring/Dashboard/Implied-Return Calculator for the same stock (row 3 = same stock across all four).</t>
  </si>
  <si>
    <t xml:space="preserve">Rule 5
Composite
≥65?</t>
  </si>
  <si>
    <t xml:space="preserve">Rule 6
Tier1
≥3.0?</t>
  </si>
  <si>
    <t xml:space="preserve">Rule 7
No Tier1
=1?</t>
  </si>
  <si>
    <t xml:space="preserve">Rule 8
Above/reclaimed
200-wk MA?
(Y/N)</t>
  </si>
  <si>
    <t xml:space="preserve">Rule 9
Monthly MACD
positive/turning?
(Y/N)</t>
  </si>
  <si>
    <t xml:space="preserve">Staging
Result
(Rules 8-9)</t>
  </si>
  <si>
    <t xml:space="preserve">Rule 10
Binary event
risk present?
(Y/N)</t>
  </si>
  <si>
    <t xml:space="preserve">Risk included
in thesis?
(Y/N)</t>
  </si>
  <si>
    <t xml:space="preserve">Rule 10
Result</t>
  </si>
  <si>
    <t xml:space="preserve">Rule 11
Bear Case
≥0%?</t>
  </si>
  <si>
    <t xml:space="preserve">Rule 12
Scenario tags
OK?</t>
  </si>
  <si>
    <t xml:space="preserve">P/FCF
(current)</t>
  </si>
  <si>
    <t xml:space="preserve">Consensus FCF
growth, 2-yr
annualized</t>
  </si>
  <si>
    <t xml:space="preserve">Rule 13
Valuation
Ceiling</t>
  </si>
  <si>
    <t xml:space="preserve">ENTRY
AUTHORIZED?</t>
  </si>
  <si>
    <t xml:space="preserve">Recommended Action</t>
  </si>
  <si>
    <t xml:space="preserve">Market Data -- Claude-populated via yfinance (landry.data_auto.market_snapshot), refreshed periodically, not live. Scope: current holdings (excluding cash-sweep vehicles) plus any Scoring candidate that has cleared Tier 1 and is sitting on the bench -- not names already screened out. See Instructions WORKFLOW POLICY for detail.</t>
  </si>
  <si>
    <t xml:space="preserve">Price ($)</t>
  </si>
  <si>
    <t xml:space="preserve">Volume</t>
  </si>
  <si>
    <t xml:space="preserve">Market Cap ($M)</t>
  </si>
  <si>
    <t xml:space="preserve">P/E</t>
  </si>
  <si>
    <t xml:space="preserve">52-Wk Low</t>
  </si>
  <si>
    <t xml:space="preserve">52-Wk High</t>
  </si>
  <si>
    <t xml:space="preserve">Div Yield (%)</t>
  </si>
  <si>
    <t xml:space="preserve">Weekly return, calculated from Price History. Do not edit — formulas only.</t>
  </si>
  <si>
    <t xml:space="preserve">ADBE trend</t>
  </si>
  <si>
    <t xml:space="preserve">ANET trend</t>
  </si>
  <si>
    <t xml:space="preserve">ASML trend</t>
  </si>
  <si>
    <t xml:space="preserve">AVGO trend</t>
  </si>
  <si>
    <t xml:space="preserve">CRWD trend</t>
  </si>
  <si>
    <t xml:space="preserve">KLAC trend</t>
  </si>
  <si>
    <t xml:space="preserve">MU trend</t>
  </si>
  <si>
    <t xml:space="preserve">NVDA trend</t>
  </si>
  <si>
    <t xml:space="preserve">PLD trend</t>
  </si>
  <si>
    <t xml:space="preserve">PLTR trend</t>
  </si>
  <si>
    <t xml:space="preserve">TSM trend</t>
  </si>
  <si>
    <t xml:space="preserve">VRT trend</t>
  </si>
  <si>
    <t xml:space="preserve">VRTX trend</t>
  </si>
  <si>
    <t xml:space="preserve">AVUV trend</t>
  </si>
  <si>
    <t xml:space="preserve">HELO trend</t>
  </si>
  <si>
    <t xml:space="preserve">JEPQ trend</t>
  </si>
  <si>
    <t xml:space="preserve">SPMO trend</t>
  </si>
  <si>
    <t xml:space="preserve">VFLO trend</t>
  </si>
  <si>
    <t xml:space="preserve">Pairwise correlation of weekly returns, 12-36 month window (Rule 36, Part 7). Covers stocks and held ETFs together. Recalculate quarterly.</t>
  </si>
  <si>
    <t xml:space="preserve">Positions &gt;0.70 with</t>
  </si>
  <si>
    <t xml:space="preserve">Positions exceeding cap (correlated &gt;0.70 with 2+ other holdings):</t>
  </si>
  <si>
    <t xml:space="preserve">Rule 36 status (no position may exceed 0.70 with more than one other holding):</t>
  </si>
  <si>
    <t xml:space="preserve">Portfolio-level drawdown tracking (Part 7, Rules 36-37). Enter Date and Portfolio Value; all other columns calculate automatically.</t>
  </si>
  <si>
    <t xml:space="preserve">Date</t>
  </si>
  <si>
    <t xml:space="preserve">Portfolio Value ($)</t>
  </si>
  <si>
    <t xml:space="preserve">Running Peak ($)</t>
  </si>
  <si>
    <t xml:space="preserve">Drawdown %</t>
  </si>
  <si>
    <t xml:space="preserve">Status</t>
  </si>
  <si>
    <t xml:space="preserve">Required Cash Floor</t>
  </si>
  <si>
    <t xml:space="preserve">New Position Initiation</t>
  </si>
  <si>
    <t xml:space="preserve">DCA-TRANCHE-2 prerequisite check, 9/7/26 -- see Journal.</t>
  </si>
  <si>
    <t xml:space="preserve">Tracks every holding in Probationary Hold (50-64) or Exit Review (35-49) per Part 6. The 90-day deadline and its consequence are calculated automatically — this tab is what makes Rules 31-34 enforceable rather than a manual judgment call.</t>
  </si>
  <si>
    <t xml:space="preserve">Status
(Probationary/
Exit Review)</t>
  </si>
  <si>
    <t xml:space="preserve">Entry Date
(band entered)</t>
  </si>
  <si>
    <t xml:space="preserve">Entry
Score</t>
  </si>
  <si>
    <t xml:space="preserve">Current
Score</t>
  </si>
  <si>
    <t xml:space="preserve">Current Score
Date</t>
  </si>
  <si>
    <t xml:space="preserve">Credible
Remediation Plan?
(Y/N)</t>
  </si>
  <si>
    <t xml:space="preserve">90-Day
Deadline</t>
  </si>
  <si>
    <t xml:space="preserve">Days
Remaining</t>
  </si>
  <si>
    <t xml:space="preserve">Action Status</t>
  </si>
  <si>
    <t xml:space="preserve">Remediation Plan Notes</t>
  </si>
  <si>
    <t xml:space="preserve">Standardized Implied-Return Methodology (Rule 11, Part 4): Expected annualized return = [(Year-5 equity value + cumulative distributions) ÷ current equity value]^(1/5) − 1. Run Base, Bear, and Bull cases together (Rule 12) — exactly one gets the Likely tag.</t>
  </si>
  <si>
    <t xml:space="preserve">BASE CASE</t>
  </si>
  <si>
    <t xml:space="preserve">BEAR CASE</t>
  </si>
  <si>
    <t xml:space="preserve">BULL CASE</t>
  </si>
  <si>
    <t xml:space="preserve">RULE 11 / 12 CHECKS</t>
  </si>
  <si>
    <t xml:space="preserve">Current
Price ($)</t>
  </si>
  <si>
    <t xml:space="preserve">Yr-5 FCF
/sh ($)</t>
  </si>
  <si>
    <t xml:space="preserve">Terminal
P/FCF</t>
  </si>
  <si>
    <t xml:space="preserve">Cum.
Distrib/sh</t>
  </si>
  <si>
    <t xml:space="preserve">Implied
Annual Return</t>
  </si>
  <si>
    <t xml:space="preserve">Tag (L/P/U)</t>
  </si>
  <si>
    <t xml:space="preserve">Base&gt;10%?</t>
  </si>
  <si>
    <t xml:space="preserve">Bear≥0%?</t>
  </si>
  <si>
    <t xml:space="preserve">Exactly 1
Likely?</t>
  </si>
  <si>
    <t xml:space="preserve">Costco Wholesale Corporation</t>
  </si>
  <si>
    <t xml:space="preserve">Possible</t>
  </si>
  <si>
    <t xml:space="preserve">Likely</t>
  </si>
  <si>
    <t xml:space="preserve">For positions actually held (not screening candidates). Tracks Part 6's ten sell triggers (Rules 21-30). Enter this-period and prior-period Tier 1 sub-scores to auto-detect the 'two consecutive periods' fundamental triggers; enter current valuation/position metrics for the rest. 
Any trigger firing without a Hold Through condition applying requires action within 30 days.</t>
  </si>
  <si>
    <t xml:space="preserve">FUNDAMENTAL TRIGGERS (Rules 21-25) — flags if declined 2 consecutive periods</t>
  </si>
  <si>
    <t xml:space="preserve">VALUATION / SIZING TRIGGERS (Rules 26-30)</t>
  </si>
  <si>
    <t xml:space="preserve">Position Pct</t>
  </si>
  <si>
    <t xml:space="preserve">Max Full Pct</t>
  </si>
  <si>
    <t xml:space="preserve">FCF Yield
Prior</t>
  </si>
  <si>
    <t xml:space="preserve">FCF Yield
Current</t>
  </si>
  <si>
    <t xml:space="preserve">Flag</t>
  </si>
  <si>
    <t xml:space="preserve">Moat
Prior</t>
  </si>
  <si>
    <t xml:space="preserve">Moat
Current</t>
  </si>
  <si>
    <t xml:space="preserve">ROIC-WACC
Spread
Prior</t>
  </si>
  <si>
    <t xml:space="preserve">ROIC-WACC
Spread
Current</t>
  </si>
  <si>
    <t xml:space="preserve">Mgmt
Quality
Prior</t>
  </si>
  <si>
    <t xml:space="preserve">Mgmt
Quality
Current</t>
  </si>
  <si>
    <t xml:space="preserve">Rev Growth
Prior</t>
  </si>
  <si>
    <t xml:space="preserve">Rev Growth
Current</t>
  </si>
  <si>
    <t xml:space="preserve">Debt/FCF
(&gt;6x=trigger)</t>
  </si>
  <si>
    <t xml:space="preserve">P/FCF
(&gt;50x+gr&lt;15%)</t>
  </si>
  <si>
    <t xml:space="preserve">FCF Growth
%</t>
  </si>
  <si>
    <t xml:space="preserve">Implied Return
(&lt;7%=trigger)</t>
  </si>
  <si>
    <t xml:space="preserve">Current
Tier</t>
  </si>
  <si>
    <t xml:space="preserve">Prior
Tier</t>
  </si>
  <si>
    <t xml:space="preserve">Valuation
Flags</t>
  </si>
  <si>
    <t xml:space="preserve">Hold Through
Applies? (Y/N)</t>
  </si>
  <si>
    <t xml:space="preserve">Every initiated position from entry date forward, per Part 9 -- including still-held positions, not only exited ones (avoids the exit-only selection bias the System was specifically built to prevent). Feeds the Rule-46 cohort review once 10+ entries in a decision band reach five years. 
Legacy positions (held before the System existed, retained because they currently conform on ongoing review rather than because they were originally scored/selected through it) are deliberately NOT backfilled with a fabricated entry score -- that would feed the cohort review with invented history. If a legacy position is ever entered here, leave Entry Score/Confidence/Decision Band blank rather than guess; a blank Decision Band naturally excludes it from Rule-46's per-band cohort grouping. (Agreed with Alan 2026-08-26.)</t>
  </si>
  <si>
    <t xml:space="preserve">Entry
Date</t>
  </si>
  <si>
    <t xml:space="preserve">Entry
Price</t>
  </si>
  <si>
    <t xml:space="preserve">Entry
Confidence</t>
  </si>
  <si>
    <t xml:space="preserve">Entry
Decision Band</t>
  </si>
  <si>
    <t xml:space="preserve">SPY Price
at Entry</t>
  </si>
  <si>
    <t xml:space="preserve">Status
(Held/Exited)</t>
  </si>
  <si>
    <t xml:space="preserve">Exit
Date</t>
  </si>
  <si>
    <t xml:space="preserve">Exit
Price</t>
  </si>
  <si>
    <t xml:space="preserve">Exit
Reason</t>
  </si>
  <si>
    <t xml:space="preserve">Current/
Exit Price</t>
  </si>
  <si>
    <t xml:space="preserve">SPY Price
(current/exit)</t>
  </si>
  <si>
    <t xml:space="preserve">Total Return
Since Entry</t>
  </si>
  <si>
    <t xml:space="preserve">SPY Return
Same Period</t>
  </si>
  <si>
    <t xml:space="preserve">Excess
Return</t>
  </si>
  <si>
    <t xml:space="preserve">Strong Buy</t>
  </si>
  <si>
    <t xml:space="preserve">Held</t>
  </si>
  <si>
    <t xml:space="preserve">Buy</t>
  </si>
  <si>
    <t xml:space="preserve">Total Return Since Entry is a simple price return (excludes dividends unless you fold them into Current/Exit Price manually). At each annual review, snapshot the return here rather than trying to back-calculate historical 1/3/5-year prices Excel doesn't have.</t>
  </si>
  <si>
    <t xml:space="preserve">Freeform notes log — no required structure or length. Date and Ticker are there so you can sort or filter (Data &gt; Filter, or click the column dropdown arrows) by symbol or date range. Leave Ticker blank for portfolio-level or general notes.</t>
  </si>
  <si>
    <t xml:space="preserve">Sold -- Rule 3 Avoid (same-store sales growth collapsed 11.5%-&gt;1.6% YoY, FCF margin compressed), small gain, no credible remediation path identified.</t>
  </si>
  <si>
    <t xml:space="preserve">Sold -- Rule 3 Avoid confirmed on 2nd consecutive scoring pass. FCF negative funding AI/robotics capex; not the profile this System rewards. Small gain.</t>
  </si>
  <si>
    <t xml:space="preserve">Sold -- small position, clearing the deck rather than carrying a Tier 1 Avoid. Small gain, FCF trend declining despite strong revenue growth.</t>
  </si>
  <si>
    <t xml:space="preserve">RE-SCORED, NOT sold. Original Avoid call (8/6/26) was based on unreliable FCF data from MacroTrends. Reconstructed actual cash-flow-statement FCF: $3.19B (2024), $3.71B (2025), growing, ~31% margin -- 2023 was a one-year dip, not a trend. Corrected Composite = 75.6, BUY. Holding.</t>
  </si>
  <si>
    <t xml:space="preserve">SFM,TSLA,ONON</t>
  </si>
  <si>
    <t xml:space="preserve">Sells confirmed executed. Removed from Current Positions (qty/cost basis zeroed) and Monitor &amp; Recheck Triggers (marked Closed). Sale proceeds shown as estimates using last known market price -- true up cash balances with next fresh account export.</t>
  </si>
  <si>
    <t xml:space="preserve">Confirmed actual proceeds: ONON -100sh $3,764.92 | SFM -65sh $5,601.58 | TSLA -15sh $4,783.25. Total $14,149.75 added to VMFXX. Combined portfolio now $700,739.19.</t>
  </si>
  <si>
    <t xml:space="preserve">VGT,CALF,AVUV</t>
  </si>
  <si>
    <t xml:space="preserve">ETF cleanup executed: VGT sold (-40.18sh, $4,851.48, worst correlation offender). CALF sold (-409.55sh, $23,016.52), consolidated into AVUV (+193.58sh, $24,518.64) per correlation/flow/quality comparison. AVUV now 400.0sh, $51,496 combined value.</t>
  </si>
  <si>
    <t xml:space="preserve">PLD,VRTX,ADBE</t>
  </si>
  <si>
    <t xml:space="preserve">DCA tranche 1 executed, weighted toward diversifiers: PLD +64sh $8,954.88, VRTX +25sh $12,219.25, ADBE +20sh $5,327.60. Total $26,501.73 (target was $24,000, actual fills ran slightly over).</t>
  </si>
  <si>
    <t xml:space="preserve">Label corrected: VFLO is VictoryShares Free Cash Flow ETF (large-cap FCF-focused), not Vanguard US Multifactor ETF as previously mislabeled. Not redundant with AVUV/CALF as originally framed -- different market-cap segment. Kept on its own merits.</t>
  </si>
  <si>
    <t xml:space="preserve">DCA-TRANCHE-2</t>
  </si>
  <si>
    <t xml:space="preserve">Target: ~$24,000. PREREQUISITES before executing: (1) Pull fresh prices for all held positions -- update Current Positions col F and Monitor &amp; Recheck Triggers col H. (2) Log this month's total portfolio value into Portfolio Drawdown Log -- regime determines whether tranche proceeds at all: Normal=full tranche, Elevated=Strong-Buy-only, Severe/Critical=SKIP and hold cash per Rule 18. (3) Scan Monitor &amp; Recheck Triggers Recheck Status for anything DUE -- re-score before adding to it, not after. (4) Check remaining diversifier headroom (VRTX/PLD/ADBE) against tranche size -- ~$64,174 left after Tranche 1, should still be sufficient here. (5) Confirm Correlation Matrix status hasn't moved unfavorably. [Rescheduled from 9/7 to 9/8: 9/7/2026 is Labor Day, a market holiday -- no trading. Kept the ~7-day-after-month-end spacing, shifted to the next trading day.]</t>
  </si>
  <si>
    <t xml:space="preserve">QTR-REVIEW-1</t>
  </si>
  <si>
    <t xml:space="preserve">Standardized quarterly review, calendar quarter-end (price/date-driven items only -- no benefit to delaying these). ACTIONS: (1) Portfolio Drawdown Log -- log quarter-end portfolio value, confirm regime. (2) Correlation Matrix -- full refresh with latest Price History data, confirm Rule 36 status. (3) Watch List Tracker -- check all 90-day deadlines (Rule 33), flag any DEADLINE PASSED / APPROACHING. (4) Begin COST/Visa prep for Tranche 3 headroom gap (see 10/7 note) -- populate Price History with 12+ months weekly closes, run Entry Checklist Rules 8-13 for both.</t>
  </si>
  <si>
    <t xml:space="preserve">DCA-TRANCHE-3</t>
  </si>
  <si>
    <t xml:space="preserve">Target: ~$24,000. Same 5-step prerequisite checklist as Tranche 2 (fresh prices, Drawdown Log regime check, Monitor DUE scan, headroom check, Correlation Matrix confirm). IMPORTANT: diversifier headroom (VRTX/PLD/ADBE) likely runs thin around this tranche (~$64,174 remaining after Tranche 1, minus Tranche 2). If insufficient, this is where COST and/or Visa enter the deployment -- confirm both have completed Price History population and Entry Checklist authorization (started at 9/30 review) before allocating to either. SUPERSEDED 9/7/26 -- see DCA-CATCHUP-PLAN (9/7/26 entry below) for the revised ~$33,413/tranche, twice-monthly schedule.</t>
  </si>
  <si>
    <t xml:space="preserve">FUND-REFRESH-1</t>
  </si>
  <si>
    <t xml:space="preserve">Fundamental refresh, ~3-4 weeks after Sep 30 quarter-end to allow Q3 earnings to land. ACTIONS: (1) Re-score Tier 1 indicators (FCF Yield, Revenue Growth, Moat, Rev Visibility, FCF Margin) for existing holdings using new Q3 results -- update Scoring tab for anything material, not a full re-research unless flagged by Monitor &amp; Recheck Triggers. (2) Complete COST/Visa Entry Checklist work if not finished at 9/30 review. NOTE: Costco's fiscal year ends in August, not December -- its earnings won't align with this calendar-quarter cadence; don't expect a fresh COST report here.</t>
  </si>
  <si>
    <t xml:space="preserve">DCA-TRANCHE-4</t>
  </si>
  <si>
    <t xml:space="preserve">Target: ~$24,000. Same 5-step prerequisite checklist as prior tranches (fresh prices, Drawdown Log regime check, Monitor DUE scan, headroom check, Correlation Matrix confirm). By this point COST and/or Visa should be live deployment candidates if diversifier headroom ran out at Tranche 3. [Rescheduled from 11/7 to 11/9: 11/7/2026 is a Saturday. Kept the ~7-day-after-month-end spacing, shifted to the next trading day.] SUPERSEDED 9/7/26 -- see DCA-CATCHUP-PLAN (9/7/26 entry below) for the revised ~$33,413/tranche, twice-monthly schedule.</t>
  </si>
  <si>
    <t xml:space="preserve">QTR-REVIEW-2</t>
  </si>
  <si>
    <t xml:space="preserve">Standardized quarterly review, calendar quarter-end. Same actions as 9/30 (QTR-REVIEW-1): Portfolio Drawdown Log entry, Correlation Matrix refresh, Watch List 90-day deadline check.</t>
  </si>
  <si>
    <t xml:space="preserve">FUND-REFRESH-2</t>
  </si>
  <si>
    <t xml:space="preserve">Fundamental refresh, ~3-4 weeks after Dec 31 quarter-end. Re-score Tier 1 indicators using Q4/FY results. NOTE: Q4/full-year earnings tend to land later than other quarters (audited annuals, proxy statements) -- may catch fewer names fully reported than the October refresh does; some re-scoring may need to wait into February.</t>
  </si>
  <si>
    <t xml:space="preserve">DARRYL-SCREEN-METHOD</t>
  </si>
  <si>
    <t xml:space="preserve">Darryl-list screening used GICS-sector Tier A/B/C categorization (from the original candidate-sequencing plan) as a proxy for diversification value -- e.g. Utilities called "zero AI capex exposure." NRG/VST screening (8/18) showed this doesn't hold: both are AI-power-narrative names that correlate 0.74 with EACH OTHER and sold off together on AI-capex-overbuild concerns -- the sector label was never the System's real diversification test. Built correlation_vs_holdings() (landry/data_auto.py) to run the actual Rule 36 test -- correlation vs REAL current holdings, not a sector-label assumption -- automatically on every `landry draft`. Backfilled it for every already-screened Darryl candidate plus NRG/VST: none flag against real holdings (highest is VST at 0.61 vs VRT, under the 0.70 threshold). Going forward: sector labels are a sequencing convenience only -- Rule 36 vs actual holdings is what decides diversification value.</t>
  </si>
  <si>
    <t xml:space="preserve">ETF-CASH-BUCKET-TODO</t>
  </si>
  <si>
    <t xml:space="preserve">AVUV, SPMO, VFLO are held as temporary cash buckets (liquidity reserve to be drawn on when cash is needed), not as scored Landry positions -- they sit outside the system's scope (Part 1.3 excludes ETFs) and have no Scoring tab entry. Added a "Cash / Cash Equivalents" row to Current Positions (row 39, under the Combined Portfolio Total) rolling up actual cash plus these three ETFs: $398,882 combined, 56.9% of the $700,751 portfolio, with $9,533 of embedded unrealized gain in the ETF portion (a real tax cost if liquidated). TO DO: formalize how ETFs should be treated as portfolio positions -- current treatment (temporary cash proxy, outside Landry scoring) is a working assumption, not a documented rule.</t>
  </si>
  <si>
    <t xml:space="preserve">PRE-TRANCHE-SCORING-TODO</t>
  </si>
  <si>
    <t xml:space="preserve">Reviewed Current Positions' note flagging 12 Self-Directed (Chase) tickers as unscored -- it was stale. Checked each against the current Scoring tab and actual holdings: VRTX, PLD, SFM, ONON, and TSLA are already scored (VRTX/PLD as diversifiers, SFM/ONON/TSLA as historical entries on now-zero positions); AVUV, SPMO, and VFLO are ETF cash-buckets, correctly out of Landry scope per Part 1.3 (see ETF-CASH-BUCKET-TODO, 8/24); CALF and VGT are zero-quantity, no longer held. Only JEPQ ($50,056) and HELO ($20,877) are real, currently-held positions with zero Scoring tab presence -- score both before DCA-TRANCHE-2 (9/8/2026). Separately, lower priority: added a PENDING fallback to Dashboard col F (Decision) for any ticker that cleared Tier 1 but has no Composite Score yet -- this surfaced 10 such tickers (ET, LIN, PG, CMG, DPZ, YUM, ETSY, GE, PH, ETN, NFLX), none of which are currently held, so none block the tranche. Worth finishing their Tier 2/3 scoring at some point, just not before 9/8.</t>
  </si>
  <si>
    <t xml:space="preserve">DCA-CATCHUP-PLAN</t>
  </si>
  <si>
    <t xml:space="preserve">Agreed with Alan: blend increased cadence with an explicit catch-up amount to address dry-powder buildup, rather than just resuming flat $24K tranches. Diagnosis: combined portfolio $751,223 (9/4/26), cash/dry-powder $513,634 (68.4%) -- the $24K target was sized against a much smaller cash base and was never rescaled; at that pace, full deployment would take 20+ months. Plan: (1) 6-month catch-up phase, twice-monthly tranches. Excess over Part 5's 15% cash ceiling (15% of $751,223 = $112,683) is $400,950; split across 12 tranches = ~$33,413 each (see DCA-CATCHUP-1 through -12 below; dates approximate, shift for weekends/holidays same as prior tranches). (2) After the catch-up completes (~March 2027), downshift to steady-state twice-monthly tranches sized as a % of portfolio rather than a flat $, so this doesn't go stale again. Guardrail: pace does NOT override the Composite&gt;=65 / Tier 1 qualifying-candidate gate (Part 5 -- insufficient qualifying candidates means hold the difference in cash, don't lower the bar). Each catch-up tranche still runs the full 5-step prerequisite checklist. DCA-TRANCHE-2 (9/8/26, $24K) proceeds as already planned/checklisted -- this new cadence starts with the first tranche after it, not with Tranche 2 itself. Rationale for accelerating now, per Alan: no acute macro threat identified (election uncertainty noted but not treated as a reason to slow bottom-up deployment -- consistent with Part 7's macro-overlay guidance that macro views are a temporary modifier, not an override).</t>
  </si>
  <si>
    <t xml:space="preserve">DCA-CATCHUP-1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</si>
  <si>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t>
  </si>
  <si>
    <t xml:space="preserve">DCA-CATCHUP-2</t>
  </si>
  <si>
    <t xml:space="preserve">DCA-CATCHUP-3</t>
  </si>
  <si>
    <t xml:space="preserve">DCA-CATCHUP-4</t>
  </si>
  <si>
    <t xml:space="preserve">DCA-CATCHUP-5</t>
  </si>
  <si>
    <t xml:space="preserve">DCA-CATCHUP-6</t>
  </si>
  <si>
    <t xml:space="preserve">DCA-CATCHUP-7</t>
  </si>
  <si>
    <t xml:space="preserve">DCA-CATCHUP-8</t>
  </si>
  <si>
    <t xml:space="preserve">DCA-CATCHUP-9</t>
  </si>
  <si>
    <t xml:space="preserve">DCA-CATCHUP-10</t>
  </si>
  <si>
    <t xml:space="preserve">DCA-CATCHUP-11</t>
  </si>
  <si>
    <t xml:space="preserve">DCA-CATCHUP-12</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</si>
  <si>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Last catch-up tranche -- after this, downshift to steady-state cadence per DCA-CATCHUP-PLAN.</t>
  </si>
  <si>
    <t xml:space="preserve">VRTX,V,PLD</t>
  </si>
  <si>
    <t xml:space="preserve">DCA-TRANCHE-2 executed. VRTX +15sh @ ~$527.47 ($7,912.09, Chase) -- diversifier add, now 65sh total. V (Visa) opened as a brand-new position: 50sh across 2 lots, $9,209.50 @ $368.38 + $9,239.13 @ $369.565 = $18,448.63 (Fidelity) -- Entry Checklist authorized (Composite 86.4, STRONG BUY), zero prior Financial Services exposure, correlation checked clean against all current holdings (max 0.46 vs VFLO, live CORREL formula) before buying. PLD skipped this tranche -- Fidelity's Equity Summary Score (LSEG StarMine) showed Very Bearish (0.7/10) with 2 recent Sell opinions (Trading Central 9/4, McLean Capital Mgmt 9/6) against 3 Neutral and 2 Buy; traditional sell-side consensus stayed clean (0 Sell ratings, improving vs 3mo ago) -- Alan chose to wait/watch rather than add given the split signal. Total tranche $26,360.72 vs. $24,000 target (ran over, same pattern as Tranche 1). Source: Tranche_EXECUTIONS.xlsx (Alan's new standing execution-log file, updated each tranche going forward). Recorded in Current Positions, Performance Tracking (V, new row), Price History + Returns (Calc) + Correlation Matrix (V added as a new tracked ticker, live formulas throughout).</t>
  </si>
  <si>
    <t xml:space="preserve">SCHEMA REFERENCE — for future programmatic access (Claude Code or otherwise)</t>
  </si>
  <si>
    <t xml:space="preserve">Every tab's structure documented in one place, so an agent reading this workbook doesn't have to reverse-engineer it. Tabs marked 'Table' below are registered Excel Tables (structured references, e.g. =CurrentPositionsTable[Ticker] work directly). Tabs marked 'Fixed range' have stable column positions but a merged multi-row header, so address by column letter + row number instead.</t>
  </si>
  <si>
    <t xml:space="preserve">Instructions</t>
  </si>
  <si>
    <t xml:space="preserve">Structure Type</t>
  </si>
  <si>
    <t xml:space="preserve">Table/Range Name</t>
  </si>
  <si>
    <t xml:space="preserve">Data Rows</t>
  </si>
  <si>
    <t xml:space="preserve">Key Reference</t>
  </si>
  <si>
    <t xml:space="preserve">Reference text (no data)</t>
  </si>
  <si>
    <t xml:space="preserve">n/a</t>
  </si>
  <si>
    <t xml:space="preserve">How-to and rule reference. No structured data.</t>
  </si>
  <si>
    <t xml:space="preserve">Action Items</t>
  </si>
  <si>
    <t xml:space="preserve">Formulas pulling from other tabs</t>
  </si>
  <si>
    <t xml:space="preserve">Rows 4-31, sections by row</t>
  </si>
  <si>
    <t xml:space="preserve">Read-only summary; do not write here, it recalculates from source tabs.</t>
  </si>
  <si>
    <t xml:space="preserve">Scoring</t>
  </si>
  <si>
    <t xml:space="preserve">Fixed range, 2-row merged header</t>
  </si>
  <si>
    <t xml:space="preserve">n/a (not a Table -- Tier1/2/3 group headers span multiple columns in row 1)</t>
  </si>
  <si>
    <t xml:space="preserve">Rows 3-47 populated (45 tickers), formulas/formatting run through row 60 for headroom; row 62 holds a visible-ticker-count subtotal (SUBTOTAL 103, respects collapsed groups)</t>
  </si>
  <si>
    <t xml:space="preserve">Column map: A=Ticker,B=Company,C=Date. D-M=Tier1 (5 indicators x [Score,Conf]). N=Tier1WtdAvg,O=Tier1Contrib. P-W=Tier2 (4 x [Score,Conf]). X=Tier2Contrib. Y-AD=Tier3 (3 x [Score,Conf]). AE=Tier3Contrib. AF=Composite,AG=Decision. AH=Rule1,AI=Rule2,AJ=Rule3,AK=Rule4 flags. AL=Sector,AM=Industry (added 2026-08-18; yfinance sector/industry, refined sub-class e.g. "Utilities - Independent Power Producers" not just "Utilities" -- reference/diversification-screening field, not a Hard Rule input or part of the Composite calc) AN-AS=Piotroski-derived cross-checks (added 2026-08-25, confidence-tagging inputs only, do NOT feed Composite Score): AN=CFO,AO=NetIncome,AP=AccrualsCheck(OK/LOW CONF, feeds FCF Yield &amp; Trend confidence tag),AQ=Debt/FCF current,AR=Debt/FCF prior year,AS=LeverageTrajectory(Decreased/Flat/Increased, feeds Management Quality confidence tag and score per System v1.02 Part 2).</t>
  </si>
  <si>
    <t xml:space="preserve">Market Data</t>
  </si>
  <si>
    <t xml:space="preserve">Fixed range, single header</t>
  </si>
  <si>
    <t xml:space="preserve">Rows 3-33 (31 tickers: held equities/ETFs ex-cash + Tier-1-passed bench candidates), cols A-I</t>
  </si>
  <si>
    <t xml:space="preserve">A=Ticker,B=Company,C=Price,D=Volume,E=MarketCap,F=P/E,G=52wkLow,H=52wkHigh,I=DivYield. Manual entry.</t>
  </si>
  <si>
    <t xml:space="preserve">Current Positions</t>
  </si>
  <si>
    <t xml:space="preserve">Table</t>
  </si>
  <si>
    <t xml:space="preserve">CurrentPositionsTable</t>
  </si>
  <si>
    <t xml:space="preserve">A2:M41 (JT ULTRA rows 3-14, Chase rows 18-36; subtotal rows 15/37 and 'Excluding Cash' rows 16/38 are inside the table range; combined-total row 40, Cash/Cash Equivalents row 41, and the notes row 42 are outside it)</t>
  </si>
  <si>
    <t xml:space="preserve">A=Account,B=Ticker,C=Description,D=AssetClass,E=Quantity,F=Price,G=MarketValue,H=CostBasis,I=UnrealizedGL$,J=UnrealizedGL%,K=%ofAccount,L=%ofCombined,M=Classification. Tax-loss carryforward reference cells at O2/P2 (Short-term), O3/P3 (Long-term) -- outside the table.</t>
  </si>
  <si>
    <t xml:space="preserve">Monitor &amp; Recheck Triggers</t>
  </si>
  <si>
    <t xml:space="preserve">MonitorTable</t>
  </si>
  <si>
    <t xml:space="preserve">A2:Q47 (col N=Analyst Shift Note added 2026-08-26, mirrors K/L; RecheckStatus now P, Notes now Q)</t>
  </si>
  <si>
    <t xml:space="preserve">A=Ticker,B=Category,C=LastScoreDate,D=LastComposite,E=LastT1WtdAvg,F=LastDecision,G=PriceAtLastScore,H=CurrentPrice,I=%PriceChange,J=EarningsDate,K=InsiderY/N,L=InsiderNote,M=AnalystShiftY/N,N=DaysSinceScore,O=RecheckStatus,P=Notes. Category values: Owned / Owned - Tier1 AVOID / Watch List / Tier-1 Avoid (external) / Near-Miss.</t>
  </si>
  <si>
    <t xml:space="preserve">Watch List Tracker</t>
  </si>
  <si>
    <t xml:space="preserve">WatchListTable</t>
  </si>
  <si>
    <t xml:space="preserve">A2:L22</t>
  </si>
  <si>
    <t xml:space="preserve">A=Ticker,B=Company,C=Status,D=EntryDate,E=EntryScore,F=CurrentScore,G=CurrentScoreDate,H=CredibleRemediationPlan(Y/N),I=90DayDeadline,J=DaysRemaining,K=ActionStatus,L=Notes.</t>
  </si>
  <si>
    <t xml:space="preserve">Implied-Return Calculator</t>
  </si>
  <si>
    <t xml:space="preserve">n/a (Base/Bear/Bull scenario groups span multiple columns in row 2)</t>
  </si>
  <si>
    <t xml:space="preserve">Rows 4-23, cols A-U</t>
  </si>
  <si>
    <t xml:space="preserve">A=Ticker,B=Company,C=Price. D-H=Base[FCF5,Mult,Dist,Return,Tag]. I-M=Bear[same]. N-R=Bull[same]. S=Base&gt;10%check,T=Bear&gt;=0%check,U=ExactlyOneLikelyCheck. Referenced by Entry Checklist with a +1 row offset (Entry Checklist row 3 = this tab's row 4, same ticker).</t>
  </si>
  <si>
    <t xml:space="preserve">Holding Monitor</t>
  </si>
  <si>
    <t xml:space="preserve">n/a (Fundamental-trigger group header spans multiple columns in row 2)</t>
  </si>
  <si>
    <t xml:space="preserve">Rows 4-23, cols A-AB</t>
  </si>
  <si>
    <t xml:space="preserve">A=Ticker,B=Company,C=PositionPct,D=MaxFullPct. E-S=5 fundamental indicators x [Prior,Current,Flag]. T=Debt/FCF,U=P/FCF,V=FCFGrowth,W=ImpliedReturn,X=CurrentTier,Y=PriorTier,Z=ValuationFlags,AA=HoldThroughY/N,AB=ActionStatus.</t>
  </si>
  <si>
    <t xml:space="preserve">Performance Tracking</t>
  </si>
  <si>
    <t xml:space="preserve">PerformanceTrackingTable</t>
  </si>
  <si>
    <t xml:space="preserve">A2:Q34</t>
  </si>
  <si>
    <t xml:space="preserve">A=Ticker,B=Company,C=EntryDate,D=EntryPrice,E=EntryScore,F=EntryConfidence,G=EntryBand,H=SPYatEntry,I=Status,J=ExitDate,K=ExitPrice,L=ExitReason,M=CurrentOrExitPrice,N=SPYcurrentOrExit,O=TotalReturn,P=SPYReturnSamePeriod,Q=ExcessReturn.</t>
  </si>
  <si>
    <t xml:space="preserve">Price History</t>
  </si>
  <si>
    <t xml:space="preserve">Rows 3-162, cols A-U: 18 tickers populated (13 stocks + 5 ETFs), 2 ETF slots (cols reserved in Returns/Correlation) still unpopulated</t>
  </si>
  <si>
    <t xml:space="preserve">A=Week Ending, B-U=up to 20 ticker columns (13 currently used for stocks, 7 for ETFs). Weekly closes, week-ending Friday (Rule 36). 24-month target ~104 rows, 12-month minimum ~52 rows, 36-month max ~156 rows. Manual entry. VGT and CALF columns cleared 8/7/26 (sold, no longer held) -- 2 slots free for future candidates.</t>
  </si>
  <si>
    <t xml:space="preserve">Returns (Calc)</t>
  </si>
  <si>
    <t xml:space="preserve">Fixed range, formula-derived</t>
  </si>
  <si>
    <t xml:space="preserve">Rows 3-161, cols A-U</t>
  </si>
  <si>
    <t xml:space="preserve">Mirrors Price History layout; all cells are formulas computing week-over-week % return. Do not edit directly.</t>
  </si>
  <si>
    <t xml:space="preserve">Correlation Matrix</t>
  </si>
  <si>
    <t xml:space="preserve">Fixed range, formula-derived headers</t>
  </si>
  <si>
    <t xml:space="preserve">Rows 3-24, cols A-U</t>
  </si>
  <si>
    <t xml:space="preserve">20x20 grid (13 stocks + 7 ETFs). Row 2 headers pull ticker names live from Returns (Calc) row 2 -- headers are blank until Price History is populated, which is why this was not converted to a Table. B24=violation count, B25=Rule 36 status (OK / REVIEW REQUIRED).</t>
  </si>
  <si>
    <t xml:space="preserve">Journal</t>
  </si>
  <si>
    <t xml:space="preserve">JournalTable</t>
  </si>
  <si>
    <t xml:space="preserve">A2:C302</t>
  </si>
  <si>
    <t xml:space="preserve">A=Date,B=Ticker,C=Notes. Freeform; filter/sort via the Table's built-in header dropdowns.</t>
  </si>
</sst>
</file>

<file path=xl/styles.xml><?xml version="1.0" encoding="utf-8"?>
<styleSheet xmlns="http://schemas.openxmlformats.org/spreadsheetml/2006/main">
  <numFmts count="14">
    <numFmt numFmtId="164" formatCode="General"/>
    <numFmt numFmtId="165" formatCode="0.00"/>
    <numFmt numFmtId="166" formatCode="0"/>
    <numFmt numFmtId="167" formatCode="0.0%"/>
    <numFmt numFmtId="168" formatCode="\$#,##0.00"/>
    <numFmt numFmtId="169" formatCode="#,##0.00"/>
    <numFmt numFmtId="170" formatCode="yyyy\-mm\-dd"/>
    <numFmt numFmtId="171" formatCode="mm/dd/yyyy"/>
    <numFmt numFmtId="172" formatCode="0.0"/>
    <numFmt numFmtId="173" formatCode="0.000"/>
    <numFmt numFmtId="174" formatCode="0.0\x"/>
    <numFmt numFmtId="175" formatCode="#,##0"/>
    <numFmt numFmtId="176" formatCode="\$#,##0"/>
    <numFmt numFmtId="177" formatCode="0%"/>
  </numFmts>
  <fonts count="58">
    <font>
      <sz val="11"/>
      <color theme="1"/>
      <name val="Calibri"/>
      <family val="2"/>
      <charset val="1"/>
    </font>
    <font>
      <sz val="10"/>
      <name val="Arial"/>
      <family val="0"/>
    </font>
    <font>
      <sz val="10"/>
      <name val="Arial"/>
      <family val="0"/>
    </font>
    <font>
      <sz val="10"/>
      <name val="Arial"/>
      <family val="0"/>
    </font>
    <font>
      <b val="true"/>
      <sz val="13"/>
      <color rgb="FF1F3864"/>
      <name val="Arial"/>
      <family val="2"/>
      <charset val="1"/>
    </font>
    <font>
      <sz val="9"/>
      <color rgb="FF000000"/>
      <name val="Arial"/>
      <family val="2"/>
      <charset val="1"/>
    </font>
    <font>
      <i val="true"/>
      <sz val="9"/>
      <color rgb="FF000000"/>
      <name val="Arial"/>
      <family val="2"/>
      <charset val="1"/>
    </font>
    <font>
      <b val="true"/>
      <sz val="10"/>
      <color rgb="FF1F3864"/>
      <name val="Arial"/>
      <family val="2"/>
      <charset val="1"/>
    </font>
    <font>
      <sz val="9"/>
      <name val="Arial"/>
      <family val="2"/>
      <charset val="1"/>
    </font>
    <font>
      <b val="true"/>
      <sz val="12"/>
      <color rgb="FF1F3864"/>
      <name val="Arial"/>
      <family val="2"/>
      <charset val="1"/>
    </font>
    <font>
      <i val="true"/>
      <sz val="10"/>
      <color rgb="FF808080"/>
      <name val="Arial"/>
      <family val="2"/>
      <charset val="1"/>
    </font>
    <font>
      <b val="true"/>
      <sz val="11"/>
      <color rgb="FFFFFFFF"/>
      <name val="Arial"/>
      <family val="2"/>
      <charset val="1"/>
    </font>
    <font>
      <sz val="10"/>
      <color rgb="FF000000"/>
      <name val="Arial"/>
      <family val="2"/>
      <charset val="1"/>
    </font>
    <font>
      <b val="true"/>
      <sz val="10"/>
      <color rgb="FF000000"/>
      <name val="Arial"/>
      <family val="2"/>
      <charset val="1"/>
    </font>
    <font>
      <sz val="10"/>
      <color theme="1"/>
      <name val="Calibri"/>
      <family val="2"/>
      <charset val="1"/>
    </font>
    <font>
      <i val="true"/>
      <sz val="10"/>
      <color rgb="FF000000"/>
      <name val="Arial Narrow"/>
      <family val="2"/>
      <charset val="1"/>
    </font>
    <font>
      <b val="true"/>
      <sz val="11"/>
      <color rgb="FFFFFFFF"/>
      <name val="Arial Narrow"/>
      <family val="2"/>
      <charset val="1"/>
    </font>
    <font>
      <sz val="8"/>
      <color rgb="FF002060"/>
      <name val="Arial Narrow"/>
      <family val="2"/>
      <charset val="1"/>
    </font>
    <font>
      <b val="true"/>
      <sz val="10"/>
      <color rgb="FF002060"/>
      <name val="Arial Narrow"/>
      <family val="2"/>
      <charset val="1"/>
    </font>
    <font>
      <sz val="10"/>
      <color rgb="FF002060"/>
      <name val="Arial Narrow"/>
      <family val="2"/>
      <charset val="1"/>
    </font>
    <font>
      <b val="true"/>
      <sz val="10"/>
      <color rgb="FF000000"/>
      <name val="Arial Narrow"/>
      <family val="2"/>
      <charset val="1"/>
    </font>
    <font>
      <sz val="10"/>
      <color rgb="FF000000"/>
      <name val="Arial Narrow"/>
      <family val="2"/>
      <charset val="1"/>
    </font>
    <font>
      <sz val="10"/>
      <name val="Arial Narrow"/>
      <family val="0"/>
      <charset val="1"/>
    </font>
    <font>
      <i val="true"/>
      <sz val="10"/>
      <color rgb="FF808080"/>
      <name val="Arial Narrow"/>
      <family val="2"/>
      <charset val="1"/>
    </font>
    <font>
      <b val="true"/>
      <sz val="11"/>
      <color theme="1"/>
      <name val="Calibri"/>
      <family val="2"/>
      <charset val="1"/>
    </font>
    <font>
      <i val="true"/>
      <sz val="11"/>
      <color rgb="FF000000"/>
      <name val="Arial Narrow"/>
      <family val="2"/>
      <charset val="1"/>
    </font>
    <font>
      <b val="true"/>
      <sz val="11"/>
      <color rgb="FF002060"/>
      <name val="Arial Narrow"/>
      <family val="2"/>
      <charset val="1"/>
    </font>
    <font>
      <sz val="11"/>
      <color rgb="FF000000"/>
      <name val="Arial Narrow"/>
      <family val="2"/>
      <charset val="1"/>
    </font>
    <font>
      <b val="true"/>
      <sz val="11"/>
      <color rgb="FF002060"/>
      <name val="Arial"/>
      <family val="2"/>
      <charset val="1"/>
    </font>
    <font>
      <sz val="10"/>
      <color rgb="FF002060"/>
      <name val="Arial"/>
      <family val="2"/>
      <charset val="1"/>
    </font>
    <font>
      <i val="true"/>
      <sz val="10"/>
      <color rgb="FF000000"/>
      <name val="Arial"/>
      <family val="2"/>
      <charset val="1"/>
    </font>
    <font>
      <b val="true"/>
      <sz val="9"/>
      <color rgb="FF002060"/>
      <name val="Arial"/>
      <family val="2"/>
      <charset val="1"/>
    </font>
    <font>
      <sz val="9"/>
      <color rgb="FF002060"/>
      <name val="Arial"/>
      <family val="2"/>
      <charset val="1"/>
    </font>
    <font>
      <b val="true"/>
      <sz val="12"/>
      <color rgb="FFFFFFFF"/>
      <name val="Arial Narrow"/>
      <family val="2"/>
      <charset val="1"/>
    </font>
    <font>
      <b val="true"/>
      <sz val="11"/>
      <color rgb="FF000000"/>
      <name val="Arial Narrow"/>
      <family val="2"/>
      <charset val="1"/>
    </font>
    <font>
      <b val="true"/>
      <sz val="12"/>
      <color theme="1"/>
      <name val="Arial Narrow"/>
      <family val="2"/>
      <charset val="1"/>
    </font>
    <font>
      <sz val="11"/>
      <color theme="1"/>
      <name val="Arial Narrow"/>
      <family val="2"/>
      <charset val="1"/>
    </font>
    <font>
      <b val="true"/>
      <sz val="9"/>
      <color rgb="FFFFFFFF"/>
      <name val="Arial Narrow"/>
      <family val="2"/>
      <charset val="1"/>
    </font>
    <font>
      <b val="true"/>
      <sz val="8"/>
      <color rgb="FFFFFFFF"/>
      <name val="Arial Narrow"/>
      <family val="2"/>
      <charset val="1"/>
    </font>
    <font>
      <sz val="11"/>
      <color rgb="FF002060"/>
      <name val="Arial Narrow"/>
      <family val="2"/>
      <charset val="1"/>
    </font>
    <font>
      <b val="true"/>
      <sz val="8"/>
      <color rgb="FF000000"/>
      <name val="Arial Narrow"/>
      <family val="2"/>
      <charset val="1"/>
    </font>
    <font>
      <sz val="9"/>
      <color rgb="FF002060"/>
      <name val="Arial Narrow"/>
      <family val="2"/>
      <charset val="1"/>
    </font>
    <font>
      <b val="true"/>
      <sz val="9"/>
      <color rgb="FF000000"/>
      <name val="Arial Narrow"/>
      <family val="2"/>
      <charset val="1"/>
    </font>
    <font>
      <b val="true"/>
      <sz val="10"/>
      <color rgb="FFFFFFFF"/>
      <name val="Arial Narrow"/>
      <family val="2"/>
      <charset val="1"/>
    </font>
    <font>
      <i val="true"/>
      <sz val="11"/>
      <color rgb="FF808080"/>
      <name val="Arial Narrow"/>
      <family val="2"/>
      <charset val="1"/>
    </font>
    <font>
      <sz val="9"/>
      <color rgb="FF000000"/>
      <name val="Arial Narrow"/>
      <family val="2"/>
      <charset val="1"/>
    </font>
    <font>
      <sz val="8"/>
      <color rgb="FF000000"/>
      <name val="Arial Narrow"/>
      <family val="2"/>
      <charset val="1"/>
    </font>
    <font>
      <b val="true"/>
      <sz val="18"/>
      <color rgb="FF000000"/>
      <name val="Calibri"/>
      <family val="2"/>
    </font>
    <font>
      <sz val="10"/>
      <color rgb="FF000000"/>
      <name val="Calibri"/>
      <family val="2"/>
    </font>
    <font>
      <b val="true"/>
      <sz val="10"/>
      <color rgb="FF000000"/>
      <name val="Calibri"/>
      <family val="2"/>
    </font>
    <font>
      <b val="true"/>
      <sz val="12"/>
      <color rgb="FF1F3864"/>
      <name val="Arial Narrow"/>
      <family val="2"/>
      <charset val="1"/>
    </font>
    <font>
      <i val="true"/>
      <sz val="12"/>
      <color rgb="FF000000"/>
      <name val="Arial Narrow"/>
      <family val="2"/>
      <charset val="1"/>
    </font>
    <font>
      <sz val="8"/>
      <color rgb="FF002060"/>
      <name val="Arial"/>
      <family val="2"/>
      <charset val="1"/>
    </font>
    <font>
      <b val="true"/>
      <sz val="8"/>
      <color rgb="FF000000"/>
      <name val="Arial"/>
      <family val="2"/>
      <charset val="1"/>
    </font>
    <font>
      <b val="true"/>
      <sz val="8"/>
      <color rgb="FF002060"/>
      <name val="Arial Narrow"/>
      <family val="2"/>
      <charset val="1"/>
    </font>
    <font>
      <b val="true"/>
      <sz val="10"/>
      <color rgb="FFFFFFFF"/>
      <name val="Arial"/>
      <family val="2"/>
      <charset val="1"/>
    </font>
    <font>
      <b val="true"/>
      <sz val="9"/>
      <color rgb="FFFFFFFF"/>
      <name val="Arial"/>
      <family val="2"/>
      <charset val="1"/>
    </font>
    <font>
      <sz val="8"/>
      <color rgb="FF000000"/>
      <name val="Arial"/>
      <family val="2"/>
      <charset val="1"/>
    </font>
  </fonts>
  <fills count="9">
    <fill>
      <patternFill patternType="none"/>
    </fill>
    <fill>
      <patternFill patternType="gray125"/>
    </fill>
    <fill>
      <patternFill patternType="solid">
        <fgColor rgb="FF2E5090"/>
        <bgColor rgb="FF1F3864"/>
      </patternFill>
    </fill>
    <fill>
      <patternFill patternType="solid">
        <fgColor rgb="FF1F3864"/>
        <bgColor rgb="FF2E5090"/>
      </patternFill>
    </fill>
    <fill>
      <patternFill patternType="solid">
        <fgColor rgb="FFDDEBF7"/>
        <bgColor rgb="FFDCE6F1"/>
      </patternFill>
    </fill>
    <fill>
      <patternFill patternType="solid">
        <fgColor rgb="FF833C0C"/>
        <bgColor rgb="FF632423"/>
      </patternFill>
    </fill>
    <fill>
      <patternFill patternType="solid">
        <fgColor rgb="FFDCE6F1"/>
        <bgColor rgb="FFDDEBF7"/>
      </patternFill>
    </fill>
    <fill>
      <patternFill patternType="solid">
        <fgColor rgb="FF375623"/>
        <bgColor rgb="FF006100"/>
      </patternFill>
    </fill>
    <fill>
      <patternFill patternType="solid">
        <fgColor rgb="FF632423"/>
        <bgColor rgb="FF833C0C"/>
      </patternFill>
    </fill>
  </fills>
  <borders count="5">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style="thin">
        <color rgb="FF999999"/>
      </left>
      <right style="thin">
        <color rgb="FF999999"/>
      </right>
      <top style="thin">
        <color rgb="FF999999"/>
      </top>
      <bottom style="medium"/>
      <diagonal/>
    </border>
    <border diagonalUp="false" diagonalDown="false">
      <left style="thin">
        <color rgb="FF999999"/>
      </left>
      <right style="thin">
        <color rgb="FF999999"/>
      </right>
      <top/>
      <bottom style="thin">
        <color rgb="FF999999"/>
      </bottom>
      <diagonal/>
    </border>
    <border diagonalUp="false" diagonalDown="false">
      <left/>
      <right/>
      <top style="thin">
        <color rgb="FF999999"/>
      </top>
      <bottom style="thin">
        <color rgb="FF99999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bottom" textRotation="0" wrapText="false" indent="0" shrinkToFit="false"/>
      <protection locked="true" hidden="false"/>
    </xf>
    <xf numFmtId="164" fontId="11" fillId="2" borderId="0" xfId="0" applyFont="true" applyBorder="true" applyAlignment="tru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left"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5" fontId="13" fillId="0"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7" fontId="13" fillId="0"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true" applyAlignment="true" applyProtection="false">
      <alignment horizontal="left" vertical="center" textRotation="0" wrapText="tru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64" fontId="16" fillId="3" borderId="0" xfId="0" applyFont="true" applyBorder="false" applyAlignment="true" applyProtection="false">
      <alignment horizontal="center" vertical="top" textRotation="0" wrapText="tru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8" fontId="20" fillId="0" borderId="0" xfId="0" applyFont="true" applyBorder="false" applyAlignment="true" applyProtection="false">
      <alignment horizontal="general" vertical="bottom" textRotation="0" wrapText="false" indent="0" shrinkToFit="false"/>
      <protection locked="true" hidden="false"/>
    </xf>
    <xf numFmtId="169" fontId="19" fillId="0" borderId="0" xfId="0" applyFont="true" applyBorder="false" applyAlignment="true" applyProtection="false">
      <alignment horizontal="general" vertical="bottom" textRotation="0" wrapText="false" indent="0" shrinkToFit="false"/>
      <protection locked="true" hidden="false"/>
    </xf>
    <xf numFmtId="168" fontId="19" fillId="0" borderId="0" xfId="0" applyFont="true" applyBorder="false" applyAlignment="true" applyProtection="false">
      <alignment horizontal="general" vertical="bottom" textRotation="0" wrapText="false" indent="0" shrinkToFit="false"/>
      <protection locked="true" hidden="false"/>
    </xf>
    <xf numFmtId="167" fontId="21" fillId="0" borderId="0" xfId="0" applyFont="true" applyBorder="false" applyAlignment="tru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7" fontId="22"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true" applyAlignment="true" applyProtection="false">
      <alignment horizontal="left" vertical="center" textRotation="0" wrapText="true" indent="0" shrinkToFit="false"/>
      <protection locked="true" hidden="false"/>
    </xf>
    <xf numFmtId="164" fontId="24" fillId="0" borderId="0" xfId="0" applyFont="true" applyBorder="false" applyAlignment="true" applyProtection="false">
      <alignment horizontal="center" vertical="bottom" textRotation="0" wrapText="false" indent="0" shrinkToFit="false"/>
      <protection locked="true" hidden="false"/>
    </xf>
    <xf numFmtId="164" fontId="25" fillId="0" borderId="0" xfId="0" applyFont="true" applyBorder="true" applyAlignment="true" applyProtection="false">
      <alignment horizontal="general" vertical="center" textRotation="0" wrapText="true" indent="0" shrinkToFit="false"/>
      <protection locked="true" hidden="false"/>
    </xf>
    <xf numFmtId="164" fontId="16" fillId="3" borderId="1" xfId="0" applyFont="true" applyBorder="true" applyAlignment="true" applyProtection="false">
      <alignment horizontal="center"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26" fillId="4" borderId="1" xfId="0" applyFont="true" applyBorder="true" applyAlignment="true" applyProtection="false">
      <alignment horizontal="center" vertical="center" textRotation="0" wrapText="false" indent="0" shrinkToFit="false"/>
      <protection locked="true" hidden="false"/>
    </xf>
    <xf numFmtId="164" fontId="19" fillId="4" borderId="1" xfId="0" applyFont="true" applyBorder="true" applyAlignment="true" applyProtection="false">
      <alignment horizontal="center" vertical="center" textRotation="0" wrapText="false" indent="0" shrinkToFit="false"/>
      <protection locked="true" hidden="false"/>
    </xf>
    <xf numFmtId="170" fontId="19" fillId="4" borderId="1" xfId="0" applyFont="true" applyBorder="true" applyAlignment="true" applyProtection="false">
      <alignment horizontal="center" vertical="center" textRotation="0" wrapText="false" indent="0" shrinkToFit="false"/>
      <protection locked="true" hidden="false"/>
    </xf>
    <xf numFmtId="164" fontId="27" fillId="0" borderId="1" xfId="0" applyFont="true" applyBorder="true" applyAlignment="true" applyProtection="false">
      <alignment horizontal="center" vertical="center" textRotation="0" wrapText="false" indent="0" shrinkToFit="false"/>
      <protection locked="true" hidden="false"/>
    </xf>
    <xf numFmtId="168" fontId="19" fillId="4" borderId="1" xfId="0" applyFont="true" applyBorder="true" applyAlignment="true" applyProtection="false">
      <alignment horizontal="center" vertical="center" textRotation="0" wrapText="false" indent="0" shrinkToFit="false"/>
      <protection locked="true" hidden="false"/>
    </xf>
    <xf numFmtId="167" fontId="20" fillId="0" borderId="1" xfId="0" applyFont="true" applyBorder="true" applyAlignment="true" applyProtection="false">
      <alignment horizontal="center" vertical="center" textRotation="0" wrapText="false" indent="0" shrinkToFit="false"/>
      <protection locked="true" hidden="false"/>
    </xf>
    <xf numFmtId="171" fontId="19" fillId="4" borderId="1" xfId="0" applyFont="true" applyBorder="true" applyAlignment="true" applyProtection="false">
      <alignment horizontal="center" vertical="center" textRotation="0" wrapText="false" indent="0" shrinkToFit="false"/>
      <protection locked="true" hidden="false"/>
    </xf>
    <xf numFmtId="164" fontId="19" fillId="4" borderId="1" xfId="0" applyFont="true" applyBorder="true" applyAlignment="true" applyProtection="false">
      <alignment horizontal="left" vertical="center" textRotation="0" wrapText="false" indent="0" shrinkToFit="false"/>
      <protection locked="true" hidden="false"/>
    </xf>
    <xf numFmtId="166" fontId="21" fillId="0" borderId="1" xfId="0" applyFont="true" applyBorder="true" applyAlignment="true" applyProtection="false">
      <alignment horizontal="center" vertical="center" textRotation="0" wrapText="false" indent="0" shrinkToFit="false"/>
      <protection locked="true" hidden="false"/>
    </xf>
    <xf numFmtId="164" fontId="20" fillId="0" borderId="1" xfId="0" applyFont="true" applyBorder="true" applyAlignment="true" applyProtection="false">
      <alignment horizontal="center" vertical="center" textRotation="0" wrapText="false" indent="0" shrinkToFit="false"/>
      <protection locked="true" hidden="false"/>
    </xf>
    <xf numFmtId="164" fontId="28" fillId="4" borderId="1" xfId="0" applyFont="true" applyBorder="true" applyAlignment="true" applyProtection="false">
      <alignment horizontal="center" vertical="center" textRotation="0" wrapText="false" indent="0" shrinkToFit="false"/>
      <protection locked="true" hidden="false"/>
    </xf>
    <xf numFmtId="164" fontId="29" fillId="4" borderId="1" xfId="0" applyFont="true" applyBorder="true" applyAlignment="true" applyProtection="false">
      <alignment horizontal="left" vertical="center" textRotation="0" wrapText="false" indent="0" shrinkToFit="false"/>
      <protection locked="true" hidden="false"/>
    </xf>
    <xf numFmtId="170" fontId="29" fillId="4" borderId="1" xfId="0" applyFont="true" applyBorder="true" applyAlignment="true" applyProtection="false">
      <alignment horizontal="center" vertical="center" textRotation="0" wrapText="false" indent="0" shrinkToFit="false"/>
      <protection locked="true" hidden="false"/>
    </xf>
    <xf numFmtId="164" fontId="29" fillId="4" borderId="1" xfId="0" applyFont="true" applyBorder="true" applyAlignment="true" applyProtection="false">
      <alignment horizontal="center" vertical="center" textRotation="0" wrapText="false" indent="0" shrinkToFit="false"/>
      <protection locked="true" hidden="false"/>
    </xf>
    <xf numFmtId="168" fontId="29" fillId="4" borderId="1" xfId="0" applyFont="true" applyBorder="true" applyAlignment="true" applyProtection="false">
      <alignment horizontal="center" vertical="center" textRotation="0" wrapText="false" indent="0" shrinkToFit="false"/>
      <protection locked="true" hidden="false"/>
    </xf>
    <xf numFmtId="171" fontId="29" fillId="4" borderId="1" xfId="0" applyFont="true" applyBorder="true" applyAlignment="true" applyProtection="false">
      <alignment horizontal="center" vertical="center" textRotation="0" wrapText="false" indent="0" shrinkToFit="false"/>
      <protection locked="true" hidden="false"/>
    </xf>
    <xf numFmtId="166" fontId="12" fillId="0" borderId="1" xfId="0" applyFont="true" applyBorder="true" applyAlignment="true" applyProtection="false">
      <alignment horizontal="center" vertical="center" textRotation="0" wrapText="false" indent="0" shrinkToFit="false"/>
      <protection locked="true" hidden="false"/>
    </xf>
    <xf numFmtId="164" fontId="30" fillId="0" borderId="0" xfId="0" applyFont="true" applyBorder="true" applyAlignment="true" applyProtection="false">
      <alignment horizontal="general" vertical="center" textRotation="0" wrapText="false" indent="0" shrinkToFit="false"/>
      <protection locked="true" hidden="false"/>
    </xf>
    <xf numFmtId="164" fontId="31" fillId="4" borderId="2" xfId="0" applyFont="true" applyBorder="true" applyAlignment="true" applyProtection="false">
      <alignment horizontal="center" vertical="center" textRotation="0" wrapText="true" indent="0" shrinkToFit="false"/>
      <protection locked="true" hidden="false"/>
    </xf>
    <xf numFmtId="164" fontId="28" fillId="4" borderId="2" xfId="0" applyFont="true" applyBorder="true" applyAlignment="true" applyProtection="false">
      <alignment horizontal="center" vertical="center" textRotation="0" wrapText="true" indent="0" shrinkToFit="false"/>
      <protection locked="true" hidden="false"/>
    </xf>
    <xf numFmtId="164" fontId="28" fillId="4" borderId="0" xfId="0" applyFont="true" applyBorder="false" applyAlignment="true" applyProtection="false">
      <alignment horizontal="center" vertical="center" textRotation="0" wrapText="true" indent="0" shrinkToFit="false"/>
      <protection locked="true" hidden="false"/>
    </xf>
    <xf numFmtId="171" fontId="32" fillId="4" borderId="3" xfId="0" applyFont="true" applyBorder="true" applyAlignment="true" applyProtection="false">
      <alignment horizontal="center" vertical="center" textRotation="0" wrapText="false" indent="0" shrinkToFit="false"/>
      <protection locked="true" hidden="false"/>
    </xf>
    <xf numFmtId="169" fontId="32" fillId="4" borderId="3" xfId="0" applyFont="true" applyBorder="true" applyAlignment="true" applyProtection="false">
      <alignment horizontal="center" vertical="center" textRotation="0" wrapText="false" indent="0" shrinkToFit="false"/>
      <protection locked="true" hidden="false"/>
    </xf>
    <xf numFmtId="171" fontId="32" fillId="4" borderId="1" xfId="0" applyFont="true" applyBorder="true" applyAlignment="true" applyProtection="false">
      <alignment horizontal="center" vertical="center" textRotation="0" wrapText="false" indent="0" shrinkToFit="false"/>
      <protection locked="true" hidden="false"/>
    </xf>
    <xf numFmtId="169" fontId="32" fillId="4" borderId="1" xfId="0" applyFont="true" applyBorder="true" applyAlignment="true" applyProtection="false">
      <alignment horizontal="center" vertical="center" textRotation="0" wrapText="false" indent="0" shrinkToFit="false"/>
      <protection locked="true" hidden="false"/>
    </xf>
    <xf numFmtId="169" fontId="32" fillId="0" borderId="0" xfId="0" applyFont="true" applyBorder="false" applyAlignment="true" applyProtection="false">
      <alignment horizontal="general" vertical="bottom" textRotation="0" wrapText="false" indent="0" shrinkToFit="false"/>
      <protection locked="true" hidden="false"/>
    </xf>
    <xf numFmtId="171" fontId="0" fillId="0" borderId="0" xfId="0" applyFont="false" applyBorder="false" applyAlignment="true" applyProtection="false">
      <alignment horizontal="general" vertical="bottom" textRotation="0" wrapText="false" indent="0" shrinkToFit="false"/>
      <protection locked="true" hidden="false"/>
    </xf>
    <xf numFmtId="164" fontId="33" fillId="3" borderId="1" xfId="0" applyFont="true" applyBorder="true" applyAlignment="true" applyProtection="false">
      <alignment horizontal="center" vertical="top" textRotation="0" wrapText="true" indent="0" shrinkToFit="false"/>
      <protection locked="true" hidden="false"/>
    </xf>
    <xf numFmtId="164" fontId="33" fillId="3" borderId="1" xfId="0" applyFont="true" applyBorder="true" applyAlignment="true" applyProtection="false">
      <alignment horizontal="center" vertical="center" textRotation="0" wrapText="true" indent="0" shrinkToFit="false"/>
      <protection locked="true" hidden="false"/>
    </xf>
    <xf numFmtId="164" fontId="34" fillId="0" borderId="1" xfId="0" applyFont="true" applyBorder="true" applyAlignment="true" applyProtection="false">
      <alignment horizontal="center" vertical="center" textRotation="0" wrapText="false" indent="0" shrinkToFit="false"/>
      <protection locked="true" hidden="false"/>
    </xf>
    <xf numFmtId="164" fontId="27" fillId="0" borderId="1" xfId="0" applyFont="true" applyBorder="true" applyAlignment="true" applyProtection="false">
      <alignment horizontal="left" vertical="center" textRotation="0" wrapText="false" indent="0" shrinkToFit="false"/>
      <protection locked="true" hidden="false"/>
    </xf>
    <xf numFmtId="171" fontId="27" fillId="0" borderId="1" xfId="0" applyFont="true" applyBorder="true" applyAlignment="true" applyProtection="false">
      <alignment horizontal="center" vertical="center" textRotation="0" wrapText="false" indent="0" shrinkToFit="false"/>
      <protection locked="true" hidden="false"/>
    </xf>
    <xf numFmtId="165" fontId="27" fillId="0" borderId="1" xfId="0" applyFont="true" applyBorder="true" applyAlignment="true" applyProtection="false">
      <alignment horizontal="center" vertical="center" textRotation="0" wrapText="false" indent="0" shrinkToFit="false"/>
      <protection locked="true" hidden="false"/>
    </xf>
    <xf numFmtId="172" fontId="34" fillId="0" borderId="1" xfId="0" applyFont="true" applyBorder="true" applyAlignment="true" applyProtection="false">
      <alignment horizontal="center" vertical="center" textRotation="0" wrapText="false" indent="0" shrinkToFit="false"/>
      <protection locked="true" hidden="false"/>
    </xf>
    <xf numFmtId="164" fontId="35" fillId="0" borderId="0" xfId="0" applyFont="true" applyBorder="false" applyAlignment="true" applyProtection="false">
      <alignment horizontal="center" vertical="bottom" textRotation="0" wrapText="false" indent="0" shrinkToFit="false"/>
      <protection locked="true" hidden="false"/>
    </xf>
    <xf numFmtId="164" fontId="35" fillId="0" borderId="0" xfId="0" applyFont="true" applyBorder="false" applyAlignment="true" applyProtection="false">
      <alignment horizontal="left" vertical="bottom" textRotation="0" wrapText="false" indent="0" shrinkToFit="false"/>
      <protection locked="true" hidden="false"/>
    </xf>
    <xf numFmtId="164" fontId="36" fillId="0" borderId="0" xfId="0" applyFont="true" applyBorder="false" applyAlignment="true" applyProtection="false">
      <alignment horizontal="general" vertical="bottom" textRotation="0" wrapText="false" indent="0" shrinkToFit="false"/>
      <protection locked="true" hidden="false"/>
    </xf>
    <xf numFmtId="164" fontId="16" fillId="2" borderId="1" xfId="0" applyFont="true" applyBorder="true" applyAlignment="true" applyProtection="false">
      <alignment horizontal="center" vertical="center" textRotation="0" wrapText="true" indent="0" shrinkToFit="false"/>
      <protection locked="true" hidden="false"/>
    </xf>
    <xf numFmtId="164" fontId="16" fillId="5" borderId="1" xfId="0" applyFont="true" applyBorder="true" applyAlignment="true" applyProtection="false">
      <alignment horizontal="center" vertical="center" textRotation="0" wrapText="true" indent="0" shrinkToFit="false"/>
      <protection locked="true" hidden="false"/>
    </xf>
    <xf numFmtId="164" fontId="37" fillId="5" borderId="1" xfId="0" applyFont="true" applyBorder="true" applyAlignment="true" applyProtection="false">
      <alignment horizontal="center" vertical="center" textRotation="0" wrapText="true" indent="0" shrinkToFit="false"/>
      <protection locked="true" hidden="false"/>
    </xf>
    <xf numFmtId="164" fontId="36" fillId="0" borderId="4" xfId="0" applyFont="true" applyBorder="true" applyAlignment="true" applyProtection="false">
      <alignment horizontal="general" vertical="bottom" textRotation="0" wrapText="true" indent="0" shrinkToFit="false"/>
      <protection locked="true" hidden="false"/>
    </xf>
    <xf numFmtId="164" fontId="16" fillId="3" borderId="1" xfId="0" applyFont="true" applyBorder="true" applyAlignment="true" applyProtection="false">
      <alignment horizontal="center" vertical="center" textRotation="0" wrapText="true" indent="0" shrinkToFit="false"/>
      <protection locked="true" hidden="false"/>
    </xf>
    <xf numFmtId="164" fontId="37" fillId="3" borderId="1" xfId="0" applyFont="true" applyBorder="true" applyAlignment="true" applyProtection="false">
      <alignment horizontal="center" vertical="center" textRotation="0" wrapText="true" indent="0" shrinkToFit="false"/>
      <protection locked="true" hidden="false"/>
    </xf>
    <xf numFmtId="164" fontId="38" fillId="5" borderId="1" xfId="0" applyFont="true" applyBorder="true" applyAlignment="true" applyProtection="false">
      <alignment horizontal="center" vertical="center" textRotation="0" wrapText="true" indent="0" shrinkToFit="false"/>
      <protection locked="true" hidden="false"/>
    </xf>
    <xf numFmtId="164" fontId="39" fillId="4" borderId="1" xfId="0" applyFont="true" applyBorder="true" applyAlignment="true" applyProtection="false">
      <alignment horizontal="center" vertical="center" textRotation="0" wrapText="false" indent="0" shrinkToFit="false"/>
      <protection locked="true" hidden="false"/>
    </xf>
    <xf numFmtId="171" fontId="39" fillId="4" borderId="1" xfId="0" applyFont="true" applyBorder="true" applyAlignment="true" applyProtection="false">
      <alignment horizontal="center" vertical="center" textRotation="0" wrapText="false" indent="0" shrinkToFit="false"/>
      <protection locked="true" hidden="false"/>
    </xf>
    <xf numFmtId="173" fontId="27" fillId="0" borderId="1" xfId="0" applyFont="true" applyBorder="true" applyAlignment="true" applyProtection="false">
      <alignment horizontal="center" vertical="center" textRotation="0" wrapText="false" indent="0" shrinkToFit="false"/>
      <protection locked="true" hidden="false"/>
    </xf>
    <xf numFmtId="165" fontId="34" fillId="0" borderId="1" xfId="0" applyFont="true" applyBorder="true" applyAlignment="true" applyProtection="false">
      <alignment horizontal="center" vertical="center" textRotation="0" wrapText="false" indent="0" shrinkToFit="false"/>
      <protection locked="true" hidden="false"/>
    </xf>
    <xf numFmtId="164" fontId="17" fillId="4" borderId="1" xfId="0" applyFont="true" applyBorder="true" applyAlignment="true" applyProtection="false">
      <alignment horizontal="center" vertical="center" textRotation="0" wrapText="false" indent="0" shrinkToFit="false"/>
      <protection locked="true" hidden="false"/>
    </xf>
    <xf numFmtId="164" fontId="40" fillId="0" borderId="1" xfId="0" applyFont="true" applyBorder="true" applyAlignment="true" applyProtection="false">
      <alignment horizontal="center" vertical="center" textRotation="0" wrapText="false" indent="0" shrinkToFit="false"/>
      <protection locked="true" hidden="false"/>
    </xf>
    <xf numFmtId="170" fontId="39" fillId="4" borderId="1" xfId="0" applyFont="true" applyBorder="true" applyAlignment="true" applyProtection="false">
      <alignment horizontal="center" vertical="center" textRotation="0" wrapText="false" indent="0" shrinkToFit="false"/>
      <protection locked="true" hidden="false"/>
    </xf>
    <xf numFmtId="164" fontId="41" fillId="4" borderId="1" xfId="0" applyFont="true" applyBorder="true" applyAlignment="true" applyProtection="false">
      <alignment horizontal="center" vertical="center" textRotation="0" wrapText="false" indent="0" shrinkToFit="false"/>
      <protection locked="true" hidden="false"/>
    </xf>
    <xf numFmtId="164" fontId="42" fillId="0" borderId="1" xfId="0" applyFont="true" applyBorder="true" applyAlignment="true" applyProtection="false">
      <alignment horizontal="center" vertical="center" textRotation="0" wrapText="false" indent="0" shrinkToFit="false"/>
      <protection locked="true" hidden="false"/>
    </xf>
    <xf numFmtId="164" fontId="35" fillId="0"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true" applyAlignment="true" applyProtection="false">
      <alignment horizontal="general" vertical="center" textRotation="0" wrapText="false" indent="0" shrinkToFit="false"/>
      <protection locked="true" hidden="false"/>
    </xf>
    <xf numFmtId="164" fontId="43" fillId="3" borderId="1" xfId="0" applyFont="true" applyBorder="true" applyAlignment="true" applyProtection="false">
      <alignment horizontal="center" vertical="top" textRotation="0" wrapText="true" indent="0" shrinkToFit="false"/>
      <protection locked="true" hidden="false"/>
    </xf>
    <xf numFmtId="164" fontId="21" fillId="0" borderId="1" xfId="0" applyFont="true" applyBorder="true" applyAlignment="true" applyProtection="false">
      <alignment horizontal="center" vertical="center" textRotation="0" wrapText="false" indent="0" shrinkToFit="false"/>
      <protection locked="true" hidden="false"/>
    </xf>
    <xf numFmtId="174" fontId="19" fillId="4" borderId="1" xfId="0" applyFont="true" applyBorder="true" applyAlignment="true" applyProtection="false">
      <alignment horizontal="center" vertical="center" textRotation="0" wrapText="false" indent="0" shrinkToFit="false"/>
      <protection locked="true" hidden="false"/>
    </xf>
    <xf numFmtId="167" fontId="19" fillId="4" borderId="1" xfId="0" applyFont="true" applyBorder="true" applyAlignment="true" applyProtection="false">
      <alignment horizontal="center" vertical="center" textRotation="0" wrapText="false" indent="0" shrinkToFit="false"/>
      <protection locked="true" hidden="false"/>
    </xf>
    <xf numFmtId="164" fontId="20" fillId="0" borderId="1" xfId="0" applyFont="true" applyBorder="true" applyAlignment="true" applyProtection="false">
      <alignment horizontal="left" vertical="center" textRotation="0" wrapText="false" indent="0" shrinkToFit="false"/>
      <protection locked="true" hidden="false"/>
    </xf>
    <xf numFmtId="164" fontId="25" fillId="0" borderId="0" xfId="0" applyFont="true" applyBorder="true" applyAlignment="true" applyProtection="false">
      <alignment horizontal="general" vertical="bottom" textRotation="0" wrapText="false" indent="0" shrinkToFit="false"/>
      <protection locked="true" hidden="false"/>
    </xf>
    <xf numFmtId="168" fontId="39" fillId="4" borderId="1" xfId="0" applyFont="true" applyBorder="true" applyAlignment="true" applyProtection="false">
      <alignment horizontal="center" vertical="center" textRotation="0" wrapText="false" indent="0" shrinkToFit="false"/>
      <protection locked="true" hidden="false"/>
    </xf>
    <xf numFmtId="175" fontId="39" fillId="4" borderId="1" xfId="0" applyFont="true" applyBorder="true" applyAlignment="true" applyProtection="false">
      <alignment horizontal="center" vertical="center" textRotation="0" wrapText="false" indent="0" shrinkToFit="false"/>
      <protection locked="true" hidden="false"/>
    </xf>
    <xf numFmtId="176" fontId="39" fillId="4" borderId="1" xfId="0" applyFont="true" applyBorder="true" applyAlignment="true" applyProtection="false">
      <alignment horizontal="center" vertical="center" textRotation="0" wrapText="false" indent="0" shrinkToFit="false"/>
      <protection locked="true" hidden="false"/>
    </xf>
    <xf numFmtId="172" fontId="39" fillId="4" borderId="1" xfId="0" applyFont="true" applyBorder="true" applyAlignment="true" applyProtection="false">
      <alignment horizontal="center" vertical="center" textRotation="0" wrapText="false" indent="0" shrinkToFit="false"/>
      <protection locked="true" hidden="false"/>
    </xf>
    <xf numFmtId="165" fontId="39" fillId="4" borderId="1" xfId="0" applyFont="true" applyBorder="true" applyAlignment="true" applyProtection="false">
      <alignment horizontal="center" vertical="center" textRotation="0" wrapText="false" indent="0" shrinkToFit="false"/>
      <protection locked="true" hidden="false"/>
    </xf>
    <xf numFmtId="164" fontId="44" fillId="0" borderId="0" xfId="0" applyFont="true" applyBorder="false" applyAlignment="true" applyProtection="false">
      <alignment horizontal="general" vertical="bottom" textRotation="0" wrapText="false" indent="0" shrinkToFit="false"/>
      <protection locked="true" hidden="false"/>
    </xf>
    <xf numFmtId="164" fontId="25" fillId="0" borderId="0" xfId="0" applyFont="true" applyBorder="true" applyAlignment="true" applyProtection="false">
      <alignment horizontal="general" vertical="center"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6" fillId="3" borderId="1" xfId="0" applyFont="true" applyBorder="true" applyAlignment="true" applyProtection="false">
      <alignment horizontal="center" vertical="center" textRotation="0" wrapText="false" indent="0" shrinkToFit="false"/>
      <protection locked="true" hidden="false"/>
    </xf>
    <xf numFmtId="171" fontId="45" fillId="0" borderId="1" xfId="0" applyFont="true" applyBorder="true" applyAlignment="true" applyProtection="false">
      <alignment horizontal="center" vertical="center" textRotation="0" wrapText="false" indent="0" shrinkToFit="false"/>
      <protection locked="true" hidden="false"/>
    </xf>
    <xf numFmtId="167" fontId="45" fillId="0" borderId="1" xfId="0" applyFont="true" applyBorder="true" applyAlignment="true" applyProtection="false">
      <alignment horizontal="center" vertical="center" textRotation="0" wrapText="false" indent="0" shrinkToFit="false"/>
      <protection locked="true" hidden="false"/>
    </xf>
    <xf numFmtId="167" fontId="45" fillId="0" borderId="0" xfId="0" applyFont="true" applyBorder="false" applyAlignment="true" applyProtection="false">
      <alignment horizontal="general" vertical="bottom" textRotation="0" wrapText="false" indent="0" shrinkToFit="false"/>
      <protection locked="true" hidden="false"/>
    </xf>
    <xf numFmtId="169" fontId="46" fillId="0"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true" applyAlignment="true" applyProtection="false">
      <alignment horizontal="general" vertical="bottom" textRotation="0" wrapText="false" indent="0" shrinkToFit="false"/>
      <protection locked="true" hidden="false"/>
    </xf>
    <xf numFmtId="164" fontId="33" fillId="0" borderId="0" xfId="0" applyFont="true" applyBorder="false" applyAlignment="true" applyProtection="false">
      <alignment horizontal="general" vertical="bottom" textRotation="0" wrapText="false" indent="0" shrinkToFit="false"/>
      <protection locked="true" hidden="false"/>
    </xf>
    <xf numFmtId="164" fontId="50" fillId="6" borderId="1" xfId="0" applyFont="true" applyBorder="true" applyAlignment="true" applyProtection="false">
      <alignment horizontal="center" vertical="center" textRotation="0" wrapText="true" indent="0" shrinkToFit="false"/>
      <protection locked="true" hidden="false"/>
    </xf>
    <xf numFmtId="165" fontId="21" fillId="0" borderId="1" xfId="0" applyFont="true" applyBorder="true" applyAlignment="true" applyProtection="false">
      <alignment horizontal="center" vertical="center"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50" fillId="0" borderId="0" xfId="0" applyFont="true" applyBorder="false" applyAlignment="true" applyProtection="false">
      <alignment horizontal="general" vertical="bottom" textRotation="0" wrapText="false" indent="0" shrinkToFit="false"/>
      <protection locked="true" hidden="false"/>
    </xf>
    <xf numFmtId="165" fontId="21" fillId="0" borderId="0" xfId="0" applyFont="true" applyBorder="false" applyAlignment="true" applyProtection="false">
      <alignment horizontal="general" vertical="bottom" textRotation="0" wrapText="false" indent="0" shrinkToFit="false"/>
      <protection locked="true" hidden="false"/>
    </xf>
    <xf numFmtId="166" fontId="20" fillId="0" borderId="1" xfId="0" applyFont="true" applyBorder="true" applyAlignment="true" applyProtection="false">
      <alignment horizontal="center" vertical="center" textRotation="0" wrapText="false" indent="0" shrinkToFit="false"/>
      <protection locked="true" hidden="false"/>
    </xf>
    <xf numFmtId="166" fontId="20" fillId="0" borderId="0" xfId="0" applyFont="true" applyBorder="false" applyAlignment="true" applyProtection="false">
      <alignment horizontal="center" vertical="bottom" textRotation="0" wrapText="false" indent="0" shrinkToFit="false"/>
      <protection locked="true" hidden="false"/>
    </xf>
    <xf numFmtId="164" fontId="20" fillId="0" borderId="0" xfId="0" applyFont="true" applyBorder="false" applyAlignment="true" applyProtection="false">
      <alignment horizontal="center" vertical="bottom" textRotation="0" wrapText="false" indent="0" shrinkToFit="false"/>
      <protection locked="true" hidden="false"/>
    </xf>
    <xf numFmtId="164" fontId="51" fillId="0" borderId="0" xfId="0" applyFont="true" applyBorder="true" applyAlignment="true" applyProtection="false">
      <alignment horizontal="general" vertical="center" textRotation="0" wrapText="false" indent="0" shrinkToFit="false"/>
      <protection locked="true" hidden="false"/>
    </xf>
    <xf numFmtId="176" fontId="27" fillId="0" borderId="1" xfId="0" applyFont="true" applyBorder="true" applyAlignment="true" applyProtection="false">
      <alignment horizontal="center" vertical="center" textRotation="0" wrapText="false" indent="0" shrinkToFit="false"/>
      <protection locked="true" hidden="false"/>
    </xf>
    <xf numFmtId="167" fontId="34" fillId="0" borderId="1" xfId="0" applyFont="true" applyBorder="true" applyAlignment="true" applyProtection="false">
      <alignment horizontal="center" vertical="center" textRotation="0" wrapText="false" indent="0" shrinkToFit="false"/>
      <protection locked="true" hidden="false"/>
    </xf>
    <xf numFmtId="164" fontId="25" fillId="0" borderId="0" xfId="0" applyFont="true" applyBorder="true" applyAlignment="true" applyProtection="false">
      <alignment horizontal="left" vertical="center" textRotation="0" wrapText="true" indent="0" shrinkToFit="false"/>
      <protection locked="true" hidden="false"/>
    </xf>
    <xf numFmtId="171" fontId="41" fillId="4" borderId="1" xfId="0" applyFont="true" applyBorder="true" applyAlignment="true" applyProtection="false">
      <alignment horizontal="center" vertical="center" textRotation="0" wrapText="false" indent="0" shrinkToFit="false"/>
      <protection locked="true" hidden="false"/>
    </xf>
    <xf numFmtId="166" fontId="45" fillId="0" borderId="1" xfId="0" applyFont="true" applyBorder="true" applyAlignment="true" applyProtection="false">
      <alignment horizontal="center" vertical="center" textRotation="0" wrapText="false" indent="0" shrinkToFit="false"/>
      <protection locked="true" hidden="false"/>
    </xf>
    <xf numFmtId="164" fontId="43" fillId="2" borderId="1" xfId="0" applyFont="true" applyBorder="true" applyAlignment="true" applyProtection="false">
      <alignment horizontal="center" vertical="center" textRotation="0" wrapText="true" indent="0" shrinkToFit="false"/>
      <protection locked="true" hidden="false"/>
    </xf>
    <xf numFmtId="164" fontId="43" fillId="5" borderId="1" xfId="0" applyFont="true" applyBorder="true" applyAlignment="true" applyProtection="false">
      <alignment horizontal="center" vertical="center" textRotation="0" wrapText="true" indent="0" shrinkToFit="false"/>
      <protection locked="true" hidden="false"/>
    </xf>
    <xf numFmtId="164" fontId="43" fillId="7" borderId="1" xfId="0" applyFont="true" applyBorder="true" applyAlignment="true" applyProtection="false">
      <alignment horizontal="center" vertical="center" textRotation="0" wrapText="true" indent="0" shrinkToFit="false"/>
      <protection locked="true" hidden="false"/>
    </xf>
    <xf numFmtId="164" fontId="43" fillId="8" borderId="1" xfId="0" applyFont="true" applyBorder="true" applyAlignment="true" applyProtection="false">
      <alignment horizontal="center" vertical="center" textRotation="0" wrapText="true" indent="0" shrinkToFit="false"/>
      <protection locked="true" hidden="false"/>
    </xf>
    <xf numFmtId="164" fontId="52" fillId="4" borderId="1" xfId="0" applyFont="true" applyBorder="true" applyAlignment="true" applyProtection="false">
      <alignment horizontal="center" vertical="center" textRotation="0" wrapText="false" indent="0" shrinkToFit="false"/>
      <protection locked="true" hidden="false"/>
    </xf>
    <xf numFmtId="168" fontId="52" fillId="4" borderId="1" xfId="0" applyFont="true" applyBorder="true" applyAlignment="true" applyProtection="false">
      <alignment horizontal="center" vertical="center" textRotation="0" wrapText="false" indent="0" shrinkToFit="false"/>
      <protection locked="true" hidden="false"/>
    </xf>
    <xf numFmtId="174" fontId="52" fillId="4" borderId="1" xfId="0" applyFont="true" applyBorder="true" applyAlignment="true" applyProtection="false">
      <alignment horizontal="center" vertical="center" textRotation="0" wrapText="false" indent="0" shrinkToFit="false"/>
      <protection locked="true" hidden="false"/>
    </xf>
    <xf numFmtId="167" fontId="53" fillId="0" borderId="1" xfId="0" applyFont="true" applyBorder="true" applyAlignment="true" applyProtection="false">
      <alignment horizontal="center" vertical="center" textRotation="0" wrapText="false" indent="0" shrinkToFit="false"/>
      <protection locked="true" hidden="false"/>
    </xf>
    <xf numFmtId="164" fontId="33" fillId="5" borderId="1" xfId="0" applyFont="true" applyBorder="true" applyAlignment="true" applyProtection="false">
      <alignment horizontal="center" vertical="center" textRotation="0" wrapText="true" indent="0" shrinkToFit="false"/>
      <protection locked="true" hidden="false"/>
    </xf>
    <xf numFmtId="164" fontId="33" fillId="8" borderId="1" xfId="0" applyFont="true" applyBorder="true" applyAlignment="true" applyProtection="false">
      <alignment horizontal="center" vertical="center" textRotation="0" wrapText="true" indent="0" shrinkToFit="false"/>
      <protection locked="true" hidden="false"/>
    </xf>
    <xf numFmtId="167" fontId="17" fillId="4" borderId="1" xfId="0" applyFont="true" applyBorder="true" applyAlignment="true" applyProtection="false">
      <alignment horizontal="center" vertical="center" textRotation="0" wrapText="false" indent="0" shrinkToFit="false"/>
      <protection locked="true" hidden="false"/>
    </xf>
    <xf numFmtId="164" fontId="46" fillId="0" borderId="1" xfId="0" applyFont="true" applyBorder="true" applyAlignment="true" applyProtection="false">
      <alignment horizontal="center" vertical="center" textRotation="0" wrapText="false" indent="0" shrinkToFit="false"/>
      <protection locked="true" hidden="false"/>
    </xf>
    <xf numFmtId="174" fontId="17" fillId="4" borderId="1" xfId="0" applyFont="true" applyBorder="true" applyAlignment="true" applyProtection="false">
      <alignment horizontal="center" vertical="center" textRotation="0" wrapText="false" indent="0" shrinkToFit="false"/>
      <protection locked="true" hidden="false"/>
    </xf>
    <xf numFmtId="164" fontId="54" fillId="4" borderId="1" xfId="0" applyFont="true" applyBorder="true" applyAlignment="true" applyProtection="false">
      <alignment horizontal="center" vertical="center" textRotation="0" wrapText="false" indent="0" shrinkToFit="false"/>
      <protection locked="true" hidden="false"/>
    </xf>
    <xf numFmtId="171" fontId="17" fillId="4" borderId="1" xfId="0" applyFont="true" applyBorder="true" applyAlignment="true" applyProtection="false">
      <alignment horizontal="center" vertical="center" textRotation="0" wrapText="false" indent="0" shrinkToFit="false"/>
      <protection locked="true" hidden="false"/>
    </xf>
    <xf numFmtId="168" fontId="17" fillId="4" borderId="1" xfId="0" applyFont="true" applyBorder="true" applyAlignment="true" applyProtection="false">
      <alignment horizontal="center" vertical="center" textRotation="0" wrapText="false" indent="0" shrinkToFit="false"/>
      <protection locked="true" hidden="false"/>
    </xf>
    <xf numFmtId="167" fontId="40" fillId="0" borderId="1" xfId="0" applyFont="true" applyBorder="true" applyAlignment="true" applyProtection="false">
      <alignment horizontal="center" vertical="center" textRotation="0" wrapText="false" indent="0" shrinkToFit="false"/>
      <protection locked="true" hidden="false"/>
    </xf>
    <xf numFmtId="167" fontId="46" fillId="0" borderId="1" xfId="0" applyFont="true" applyBorder="true" applyAlignment="true" applyProtection="false">
      <alignment horizontal="center" vertical="center" textRotation="0" wrapText="false" indent="0" shrinkToFit="false"/>
      <protection locked="true" hidden="false"/>
    </xf>
    <xf numFmtId="164" fontId="44" fillId="0" borderId="0" xfId="0" applyFont="true" applyBorder="true" applyAlignment="true" applyProtection="false">
      <alignment horizontal="left" vertical="center" textRotation="0" wrapText="fals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39" fillId="4" borderId="1" xfId="0" applyFont="true" applyBorder="true" applyAlignment="true" applyProtection="false">
      <alignment horizontal="left" vertical="top" textRotation="0" wrapText="true" indent="0" shrinkToFit="false"/>
      <protection locked="true" hidden="false"/>
    </xf>
    <xf numFmtId="164" fontId="39" fillId="4" borderId="1" xfId="0" applyFont="true" applyBorder="true" applyAlignment="true" applyProtection="false">
      <alignment horizontal="center" vertical="center" textRotation="0" wrapText="tru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55" fillId="2" borderId="1" xfId="0" applyFont="true" applyBorder="true" applyAlignment="true" applyProtection="false">
      <alignment horizontal="general" vertical="bottom" textRotation="0" wrapText="false" indent="0" shrinkToFit="false"/>
      <protection locked="true" hidden="false"/>
    </xf>
    <xf numFmtId="164" fontId="56" fillId="3" borderId="1" xfId="0" applyFont="true" applyBorder="true" applyAlignment="true" applyProtection="false">
      <alignment horizontal="center" vertical="center" textRotation="0" wrapText="true" indent="0" shrinkToFit="false"/>
      <protection locked="true" hidden="false"/>
    </xf>
    <xf numFmtId="164" fontId="57" fillId="0"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3">
    <dxf>
      <font>
        <b val="1"/>
        <color rgb="FF9C0006"/>
      </font>
      <fill>
        <patternFill>
          <bgColor rgb="FFFFC7CE"/>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002060"/>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FCE4D6"/>
          <bgColor rgb="FF000000"/>
        </patternFill>
      </fill>
    </dxf>
    <dxf>
      <fill>
        <patternFill patternType="solid">
          <fgColor rgb="FFC65911"/>
          <bgColor rgb="FF000000"/>
        </patternFill>
      </fill>
    </dxf>
    <dxf>
      <fill>
        <patternFill patternType="solid">
          <fgColor rgb="FFC6EFCE"/>
          <bgColor rgb="FF000000"/>
        </patternFill>
      </fill>
    </dxf>
    <dxf>
      <fill>
        <patternFill patternType="solid">
          <fgColor rgb="FFE2EFDA"/>
          <bgColor rgb="FF000000"/>
        </patternFill>
      </fill>
    </dxf>
    <dxf>
      <fill>
        <patternFill patternType="solid">
          <fgColor rgb="FF006100"/>
          <bgColor rgb="FF000000"/>
        </patternFill>
      </fill>
    </dxf>
    <dxf>
      <fill>
        <patternFill patternType="solid">
          <fgColor rgb="FF375623"/>
          <bgColor rgb="FF000000"/>
        </patternFill>
      </fill>
    </dxf>
    <dxf>
      <font>
        <b val="1"/>
        <color rgb="FF006100"/>
      </font>
      <fill>
        <patternFill>
          <bgColor rgb="FFC6EFCE"/>
        </patternFill>
      </fill>
    </dxf>
    <dxf>
      <font>
        <b val="1"/>
        <color rgb="FF375623"/>
      </font>
      <fill>
        <patternFill>
          <bgColor rgb="FFE2EFDA"/>
        </patternFill>
      </fill>
    </dxf>
    <dxf>
      <font>
        <b val="1"/>
        <color rgb="FF9C6500"/>
      </font>
      <fill>
        <patternFill>
          <bgColor rgb="FFFFEB9C"/>
        </patternFill>
      </fill>
    </dxf>
    <dxf>
      <font>
        <b val="1"/>
        <color rgb="FFC65911"/>
      </font>
      <fill>
        <patternFill>
          <bgColor rgb="FFFCE4D6"/>
        </patternFill>
      </fill>
    </dxf>
    <dxf>
      <font>
        <color rgb="FF006100"/>
      </font>
      <fill>
        <patternFill>
          <bgColor rgb="FFC6EFCE"/>
        </patternFill>
      </fill>
    </dxf>
    <dxf>
      <fill>
        <patternFill patternType="solid">
          <fgColor rgb="FFFFC7CE"/>
          <bgColor rgb="FF000000"/>
        </patternFill>
      </fill>
    </dxf>
    <dxf>
      <fill>
        <patternFill patternType="solid">
          <fgColor rgb="FF9C0006"/>
          <bgColor rgb="FF000000"/>
        </patternFill>
      </fill>
    </dxf>
    <dxf>
      <fill>
        <patternFill patternType="solid">
          <fgColor rgb="FFFFEB9C"/>
          <bgColor rgb="FF000000"/>
        </patternFill>
      </fill>
    </dxf>
    <dxf>
      <fill>
        <patternFill patternType="solid">
          <fgColor rgb="FF9C6500"/>
          <bgColor rgb="FF000000"/>
        </patternFill>
      </fill>
    </dxf>
    <dxf>
      <font>
        <b val="1"/>
        <color rgb="FF7F6000"/>
      </font>
      <fill>
        <patternFill>
          <bgColor rgb="FFFFF2CC"/>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7F6000"/>
      <rgbColor rgb="FF800080"/>
      <rgbColor rgb="FF008080"/>
      <rgbColor rgb="FFB3B3B3"/>
      <rgbColor rgb="FF808080"/>
      <rgbColor rgb="FF9999FF"/>
      <rgbColor rgb="FF9C6500"/>
      <rgbColor rgb="FFFFF2CC"/>
      <rgbColor rgb="FFDDEBF7"/>
      <rgbColor rgb="FF660066"/>
      <rgbColor rgb="FFFF8080"/>
      <rgbColor rgb="FF0066CC"/>
      <rgbColor rgb="FFD9D9D9"/>
      <rgbColor rgb="FF000080"/>
      <rgbColor rgb="FFFF00FF"/>
      <rgbColor rgb="FFFFFF00"/>
      <rgbColor rgb="FF00FFFF"/>
      <rgbColor rgb="FF800080"/>
      <rgbColor rgb="FF632423"/>
      <rgbColor rgb="FF008080"/>
      <rgbColor rgb="FF0000FF"/>
      <rgbColor rgb="FF00CCFF"/>
      <rgbColor rgb="FFE2EFDA"/>
      <rgbColor rgb="FFC6EFCE"/>
      <rgbColor rgb="FFFFEB9C"/>
      <rgbColor rgb="FFDCE6F1"/>
      <rgbColor rgb="FFFCE4D6"/>
      <rgbColor rgb="FFCC99FF"/>
      <rgbColor rgb="FFFFC7CE"/>
      <rgbColor rgb="FF3366FF"/>
      <rgbColor rgb="FF33CCCC"/>
      <rgbColor rgb="FF99CC00"/>
      <rgbColor rgb="FFFFCC00"/>
      <rgbColor rgb="FFFF9900"/>
      <rgbColor rgb="FFC65911"/>
      <rgbColor rgb="FF4F81BD"/>
      <rgbColor rgb="FF999999"/>
      <rgbColor rgb="FF002060"/>
      <rgbColor rgb="FF339966"/>
      <rgbColor rgb="FF003300"/>
      <rgbColor rgb="FF375623"/>
      <rgbColor rgb="FF833C0C"/>
      <rgbColor rgb="FF993366"/>
      <rgbColor rgb="FF2E5090"/>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_rels/chart13.xml.rels><?xml version="1.0" encoding="UTF-8"?>
<Relationships xmlns="http://schemas.openxmlformats.org/package/2006/relationships"><Relationship Id="rId1" Type="http://schemas.microsoft.com/office/2011/relationships/chartStyle" Target="style13.xml"/><Relationship Id="rId2" Type="http://schemas.microsoft.com/office/2011/relationships/chartColorStyle" Target="colors13.xml"/>
</Relationships>
</file>

<file path=xl/charts/_rels/chart14.xml.rels><?xml version="1.0" encoding="UTF-8"?>
<Relationships xmlns="http://schemas.openxmlformats.org/package/2006/relationships"><Relationship Id="rId1" Type="http://schemas.microsoft.com/office/2011/relationships/chartStyle" Target="style14.xml"/><Relationship Id="rId2" Type="http://schemas.microsoft.com/office/2011/relationships/chartColorStyle" Target="colors14.xml"/>
</Relationships>
</file>

<file path=xl/charts/_rels/chart15.xml.rels><?xml version="1.0" encoding="UTF-8"?>
<Relationships xmlns="http://schemas.openxmlformats.org/package/2006/relationships"><Relationship Id="rId1" Type="http://schemas.microsoft.com/office/2011/relationships/chartStyle" Target="style15.xml"/><Relationship Id="rId2" Type="http://schemas.microsoft.com/office/2011/relationships/chartColorStyle" Target="colors15.xml"/>
</Relationships>
</file>

<file path=xl/charts/_rels/chart16.xml.rels><?xml version="1.0" encoding="UTF-8"?>
<Relationships xmlns="http://schemas.openxmlformats.org/package/2006/relationships"><Relationship Id="rId1" Type="http://schemas.microsoft.com/office/2011/relationships/chartStyle" Target="style16.xml"/><Relationship Id="rId2" Type="http://schemas.microsoft.com/office/2011/relationships/chartColorStyle" Target="colors16.xml"/>
</Relationships>
</file>

<file path=xl/charts/_rels/chart17.xml.rels><?xml version="1.0" encoding="UTF-8"?>
<Relationships xmlns="http://schemas.openxmlformats.org/package/2006/relationships"><Relationship Id="rId1" Type="http://schemas.microsoft.com/office/2011/relationships/chartStyle" Target="style17.xml"/><Relationship Id="rId2" Type="http://schemas.microsoft.com/office/2011/relationships/chartColorStyle" Target="colors17.xml"/>
</Relationships>
</file>

<file path=xl/charts/_rels/chart18.xml.rels><?xml version="1.0" encoding="UTF-8"?>
<Relationships xmlns="http://schemas.openxmlformats.org/package/2006/relationships"><Relationship Id="rId1" Type="http://schemas.microsoft.com/office/2011/relationships/chartStyle" Target="style18.xml"/><Relationship Id="rId2" Type="http://schemas.microsoft.com/office/2011/relationships/chartColorStyle" Target="colors18.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ADBE</a:t>
            </a:r>
          </a:p>
        </c:rich>
      </c:tx>
      <c:overlay val="0"/>
      <c:spPr>
        <a:noFill/>
        <a:ln w="0">
          <a:noFill/>
        </a:ln>
      </c:spPr>
    </c:title>
    <c:autoTitleDeleted val="0"/>
    <c:plotArea>
      <c:barChart>
        <c:barDir val="col"/>
        <c:grouping val="clustered"/>
        <c:varyColors val="0"/>
        <c:ser>
          <c:idx val="0"/>
          <c:order val="0"/>
          <c:tx>
            <c:strRef>
              <c:f>'Returns (Calc)'!$B$2</c:f>
              <c:strCache>
                <c:ptCount val="1"/>
                <c:pt idx="0">
                  <c:v>ADBE</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(Calc)'!$B$3:$B$157</c:f>
              <c:numCache>
                <c:formatCode>0.0%</c:formatCode>
                <c:ptCount val="155"/>
                <c:pt idx="0">
                  <c:v>-0.00062936375258138</c:v>
                </c:pt>
                <c:pt idx="1">
                  <c:v>0.0333182453309191</c:v>
                </c:pt>
                <c:pt idx="2">
                  <c:v>0.0726583628537694</c:v>
                </c:pt>
                <c:pt idx="3">
                  <c:v>-0.00506027946946974</c:v>
                </c:pt>
                <c:pt idx="4">
                  <c:v>-0.0561603255050325</c:v>
                </c:pt>
                <c:pt idx="5">
                  <c:v>-0.0302331297623325</c:v>
                </c:pt>
                <c:pt idx="6">
                  <c:v>-0.00584909339052442</c:v>
                </c:pt>
                <c:pt idx="7">
                  <c:v>0.0329084134143949</c:v>
                </c:pt>
                <c:pt idx="8">
                  <c:v>0.0419229892914104</c:v>
                </c:pt>
                <c:pt idx="9">
                  <c:v>-0.0142138639842553</c:v>
                </c:pt>
                <c:pt idx="10">
                  <c:v>-0.0607068914522331</c:v>
                </c:pt>
                <c:pt idx="11">
                  <c:v>0.10930488860899</c:v>
                </c:pt>
                <c:pt idx="12">
                  <c:v>0.0595394386687012</c:v>
                </c:pt>
                <c:pt idx="13">
                  <c:v>0.00910887110277603</c:v>
                </c:pt>
                <c:pt idx="14">
                  <c:v>0.02782663525039</c:v>
                </c:pt>
                <c:pt idx="15">
                  <c:v>-0.0112361364480247</c:v>
                </c:pt>
                <c:pt idx="16">
                  <c:v>-0.00401652325828206</c:v>
                </c:pt>
                <c:pt idx="17">
                  <c:v>-0.0415239094441076</c:v>
                </c:pt>
                <c:pt idx="18">
                  <c:v>0.0240644455086545</c:v>
                </c:pt>
                <c:pt idx="19">
                  <c:v>-0.00359081419624219</c:v>
                </c:pt>
                <c:pt idx="20">
                  <c:v>-0.0536372779081462</c:v>
                </c:pt>
                <c:pt idx="21">
                  <c:v>0.0565710237336166</c:v>
                </c:pt>
                <c:pt idx="22">
                  <c:v>0.0251617661850001</c:v>
                </c:pt>
                <c:pt idx="23">
                  <c:v>0.00389175047011681</c:v>
                </c:pt>
                <c:pt idx="24">
                  <c:v>0.0339289495545096</c:v>
                </c:pt>
                <c:pt idx="25">
                  <c:v>-0.0118942592475896</c:v>
                </c:pt>
                <c:pt idx="26">
                  <c:v>-0.128425886066868</c:v>
                </c:pt>
                <c:pt idx="27">
                  <c:v>0.0124025902754914</c:v>
                </c:pt>
                <c:pt idx="28">
                  <c:v>0.0316023417172591</c:v>
                </c:pt>
                <c:pt idx="29">
                  <c:v>-0.0336994027288807</c:v>
                </c:pt>
                <c:pt idx="30">
                  <c:v>-0.107361017962987</c:v>
                </c:pt>
                <c:pt idx="31">
                  <c:v>0.0143361897412988</c:v>
                </c:pt>
                <c:pt idx="32">
                  <c:v>0.0101697629724535</c:v>
                </c:pt>
                <c:pt idx="33">
                  <c:v>-0.0386048355132779</c:v>
                </c:pt>
                <c:pt idx="34">
                  <c:v>-0.0227366424802111</c:v>
                </c:pt>
                <c:pt idx="35">
                  <c:v>-0.0191313885549157</c:v>
                </c:pt>
                <c:pt idx="36">
                  <c:v>0.0269665820824911</c:v>
                </c:pt>
                <c:pt idx="37">
                  <c:v>0.0180500879470642</c:v>
                </c:pt>
                <c:pt idx="38">
                  <c:v>-0.00800115183676819</c:v>
                </c:pt>
                <c:pt idx="39">
                  <c:v>0.00236372307118127</c:v>
                </c:pt>
                <c:pt idx="40">
                  <c:v>-0.0165484144550401</c:v>
                </c:pt>
                <c:pt idx="41">
                  <c:v>-0.0645100225059421</c:v>
                </c:pt>
                <c:pt idx="42">
                  <c:v>0.0464745031027971</c:v>
                </c:pt>
                <c:pt idx="43">
                  <c:v>0.128655222052725</c:v>
                </c:pt>
                <c:pt idx="44">
                  <c:v>0.0154765757362321</c:v>
                </c:pt>
                <c:pt idx="45">
                  <c:v>0.0414292141571684</c:v>
                </c:pt>
                <c:pt idx="46">
                  <c:v>0.0410411491521765</c:v>
                </c:pt>
                <c:pt idx="47">
                  <c:v>-0.0333540823736903</c:v>
                </c:pt>
                <c:pt idx="48">
                  <c:v>-0.0143994276003935</c:v>
                </c:pt>
                <c:pt idx="49">
                  <c:v>-0.0155353901996369</c:v>
                </c:pt>
                <c:pt idx="50">
                  <c:v>-0.0299941007300348</c:v>
                </c:pt>
                <c:pt idx="51">
                  <c:v>0.0192523328962122</c:v>
                </c:pt>
                <c:pt idx="52">
                  <c:v>0.0319970165951895</c:v>
                </c:pt>
                <c:pt idx="53">
                  <c:v>0.00874498608752194</c:v>
                </c:pt>
                <c:pt idx="54">
                  <c:v>0.0288554540569586</c:v>
                </c:pt>
                <c:pt idx="55">
                  <c:v>-0.0191500844344632</c:v>
                </c:pt>
                <c:pt idx="56">
                  <c:v>-0.0471060151577004</c:v>
                </c:pt>
                <c:pt idx="57">
                  <c:v>-0.0271387859258294</c:v>
                </c:pt>
                <c:pt idx="58">
                  <c:v>-0.0130576297147232</c:v>
                </c:pt>
                <c:pt idx="59">
                  <c:v>-0.0160239000543183</c:v>
                </c:pt>
                <c:pt idx="60">
                  <c:v>-0.0232640668743346</c:v>
                </c:pt>
                <c:pt idx="61">
                  <c:v>-0.0010496144685318</c:v>
                </c:pt>
                <c:pt idx="62">
                  <c:v>-0.0225904223075368</c:v>
                </c:pt>
                <c:pt idx="63">
                  <c:v>-0.00190192673447454</c:v>
                </c:pt>
                <c:pt idx="64">
                  <c:v>0.0246064623032312</c:v>
                </c:pt>
                <c:pt idx="65">
                  <c:v>0.0175669119430744</c:v>
                </c:pt>
                <c:pt idx="66">
                  <c:v>0.0174424379680951</c:v>
                </c:pt>
                <c:pt idx="67">
                  <c:v>0.00738065020013656</c:v>
                </c:pt>
                <c:pt idx="68">
                  <c:v>0.0717733025798075</c:v>
                </c:pt>
                <c:pt idx="69">
                  <c:v>-0.157823350694445</c:v>
                </c:pt>
                <c:pt idx="70">
                  <c:v>-0.0397689450063347</c:v>
                </c:pt>
                <c:pt idx="71">
                  <c:v>-0.00154303732361294</c:v>
                </c:pt>
                <c:pt idx="72">
                  <c:v>-0.0356342949292242</c:v>
                </c:pt>
                <c:pt idx="73">
                  <c:v>-0.0572496922683884</c:v>
                </c:pt>
                <c:pt idx="74">
                  <c:v>0.0592973985021679</c:v>
                </c:pt>
                <c:pt idx="75">
                  <c:v>0.0125351752366334</c:v>
                </c:pt>
                <c:pt idx="76">
                  <c:v>0.00475446736184471</c:v>
                </c:pt>
                <c:pt idx="77">
                  <c:v>-0.0100125728654703</c:v>
                </c:pt>
                <c:pt idx="78">
                  <c:v>0.0625533978340684</c:v>
                </c:pt>
                <c:pt idx="79">
                  <c:v>-0.03442280945758</c:v>
                </c:pt>
                <c:pt idx="80">
                  <c:v>-0.0129636298163486</c:v>
                </c:pt>
                <c:pt idx="81">
                  <c:v>0.0247172564757387</c:v>
                </c:pt>
                <c:pt idx="82">
                  <c:v>-0.121628838451268</c:v>
                </c:pt>
                <c:pt idx="83">
                  <c:v>-0.0189491817398795</c:v>
                </c:pt>
                <c:pt idx="84">
                  <c:v>-0.00400247895470751</c:v>
                </c:pt>
                <c:pt idx="85">
                  <c:v>-0.0949936480775712</c:v>
                </c:pt>
                <c:pt idx="86">
                  <c:v>0.00974016672873646</c:v>
                </c:pt>
                <c:pt idx="87">
                  <c:v>-0.0104122336652765</c:v>
                </c:pt>
                <c:pt idx="88">
                  <c:v>0.0542431192660551</c:v>
                </c:pt>
                <c:pt idx="89">
                  <c:v>0.0357609050364407</c:v>
                </c:pt>
                <c:pt idx="90">
                  <c:v>0.00632761834746765</c:v>
                </c:pt>
                <c:pt idx="91">
                  <c:v>0.088316635357963</c:v>
                </c:pt>
                <c:pt idx="92">
                  <c:v>-0.0226308345120226</c:v>
                </c:pt>
                <c:pt idx="93">
                  <c:v>0.018151046137997</c:v>
                </c:pt>
                <c:pt idx="94">
                  <c:v>0.00440868245440762</c:v>
                </c:pt>
                <c:pt idx="95">
                  <c:v>-0.06053919217116</c:v>
                </c:pt>
                <c:pt idx="96">
                  <c:v>-0.0376838235294117</c:v>
                </c:pt>
                <c:pt idx="97">
                  <c:v>0.0236389684813754</c:v>
                </c:pt>
                <c:pt idx="98">
                  <c:v>-0.0168986341134696</c:v>
                </c:pt>
                <c:pt idx="99">
                  <c:v>-0.0420764018876381</c:v>
                </c:pt>
                <c:pt idx="100">
                  <c:v>0.00671528828952805</c:v>
                </c:pt>
                <c:pt idx="101">
                  <c:v>0.0135323546297055</c:v>
                </c:pt>
                <c:pt idx="102">
                  <c:v>-0.06187624750499</c:v>
                </c:pt>
                <c:pt idx="103">
                  <c:v>-0.0194077055779184</c:v>
                </c:pt>
                <c:pt idx="104">
                  <c:v>0.0404632751795924</c:v>
                </c:pt>
                <c:pt idx="105">
                  <c:v>0.0204029871776805</c:v>
                </c:pt>
                <c:pt idx="106">
                  <c:v>-0.0148858018724626</c:v>
                </c:pt>
                <c:pt idx="107">
                  <c:v>-0.0216708718811325</c:v>
                </c:pt>
                <c:pt idx="108">
                  <c:v>0.00111757457661121</c:v>
                </c:pt>
                <c:pt idx="109">
                  <c:v>0.0473437142202884</c:v>
                </c:pt>
                <c:pt idx="110">
                  <c:v>-0.0151134189669307</c:v>
                </c:pt>
                <c:pt idx="111">
                  <c:v>-0.0378222382551267</c:v>
                </c:pt>
                <c:pt idx="112">
                  <c:v>-0.026619368979639</c:v>
                </c:pt>
                <c:pt idx="113">
                  <c:v>-0.0125922194897929</c:v>
                </c:pt>
                <c:pt idx="114">
                  <c:v>0.0607933745423992</c:v>
                </c:pt>
                <c:pt idx="115">
                  <c:v>-0.037367051369088</c:v>
                </c:pt>
                <c:pt idx="116">
                  <c:v>-0.0392583232934678</c:v>
                </c:pt>
                <c:pt idx="117">
                  <c:v>0.0127236580516898</c:v>
                </c:pt>
                <c:pt idx="118">
                  <c:v>-0.0208993989912718</c:v>
                </c:pt>
                <c:pt idx="119">
                  <c:v>-0.0125235201579321</c:v>
                </c:pt>
                <c:pt idx="120">
                  <c:v>0.0816230906194357</c:v>
                </c:pt>
                <c:pt idx="121">
                  <c:v>0.0293709928955122</c:v>
                </c:pt>
                <c:pt idx="122">
                  <c:v>-0.00159919198720648</c:v>
                </c:pt>
                <c:pt idx="123">
                  <c:v>-0.00578879334569771</c:v>
                </c:pt>
                <c:pt idx="124">
                  <c:v>-0.0579423403052572</c:v>
                </c:pt>
                <c:pt idx="125">
                  <c:v>0.00195019501950178</c:v>
                </c:pt>
                <c:pt idx="126">
                  <c:v>-0.113280431202276</c:v>
                </c:pt>
                <c:pt idx="127">
                  <c:v>0.0167161961367013</c:v>
                </c:pt>
                <c:pt idx="128">
                  <c:v>-0.025974025974026</c:v>
                </c:pt>
                <c:pt idx="129">
                  <c:v>-0.0848081841432226</c:v>
                </c:pt>
                <c:pt idx="130">
                  <c:v>-0.016431924882629</c:v>
                </c:pt>
                <c:pt idx="131">
                  <c:v>-0.0203053377277721</c:v>
                </c:pt>
                <c:pt idx="132">
                  <c:v>0.0146939406828817</c:v>
                </c:pt>
                <c:pt idx="133">
                  <c:v>0.0808277123585228</c:v>
                </c:pt>
                <c:pt idx="134">
                  <c:v>-0.120936464283196</c:v>
                </c:pt>
                <c:pt idx="135">
                  <c:v>-0.0046927643189475</c:v>
                </c:pt>
                <c:pt idx="136">
                  <c:v>-0.0536369131573645</c:v>
                </c:pt>
                <c:pt idx="137">
                  <c:v>0.0344064043604155</c:v>
                </c:pt>
                <c:pt idx="138">
                  <c:v>-0.07232833854767</c:v>
                </c:pt>
                <c:pt idx="139">
                  <c:v>0.0847570445972932</c:v>
                </c:pt>
                <c:pt idx="140">
                  <c:v>0.0040499079566374</c:v>
                </c:pt>
                <c:pt idx="141">
                  <c:v>0.0214716427640156</c:v>
                </c:pt>
                <c:pt idx="142">
                  <c:v>0.00929360615850983</c:v>
                </c:pt>
                <c:pt idx="143">
                  <c:v>-0.0214985773000316</c:v>
                </c:pt>
                <c:pt idx="144">
                  <c:v>-0.011470113085622</c:v>
                </c:pt>
                <c:pt idx="145">
                  <c:v>0.0590374244157541</c:v>
                </c:pt>
                <c:pt idx="146">
                  <c:v>-0.0299756953821225</c:v>
                </c:pt>
                <c:pt idx="147">
                  <c:v>-0.188593700286351</c:v>
                </c:pt>
                <c:pt idx="148">
                  <c:v>-0.0434271149887266</c:v>
                </c:pt>
                <c:pt idx="149">
                  <c:v>0.0387886862061897</c:v>
                </c:pt>
                <c:pt idx="150">
                  <c:v>0.0838060474522764</c:v>
                </c:pt>
                <c:pt idx="151">
                  <c:v>0.0178408884034225</c:v>
                </c:pt>
                <c:pt idx="152">
                  <c:v>0.0608567340368449</c:v>
                </c:pt>
                <c:pt idx="153">
                  <c:v>-0.0511696522655426</c:v>
                </c:pt>
                <c:pt idx="154">
                  <c:v>0.112389498467416</c:v>
                </c:pt>
              </c:numCache>
            </c:numRef>
          </c:val>
        </c:ser>
        <c:gapWidth val="150"/>
        <c:overlap val="0"/>
        <c:axId val="96201464"/>
        <c:axId val="76213891"/>
      </c:barChart>
      <c:lineChart>
        <c:grouping val="standard"/>
        <c:varyColors val="0"/>
        <c:ser>
          <c:idx val="1"/>
          <c:order val="1"/>
          <c:tx>
            <c:strRef>
              <c:f>'Returns (Calc)'!$W$2</c:f>
              <c:strCache>
                <c:ptCount val="1"/>
                <c:pt idx="0">
                  <c:v>ADBE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(Calc)'!$W$3:$W$157</c:f>
              <c:numCache>
                <c:formatCode>#,##0.00</c:formatCode>
                <c:ptCount val="155"/>
                <c:pt idx="0">
                  <c:v>508.45</c:v>
                </c:pt>
                <c:pt idx="1">
                  <c:v>506.774415584416</c:v>
                </c:pt>
                <c:pt idx="2">
                  <c:v>505.098831168831</c:v>
                </c:pt>
                <c:pt idx="3">
                  <c:v>503.423246753247</c:v>
                </c:pt>
                <c:pt idx="4">
                  <c:v>501.747662337662</c:v>
                </c:pt>
                <c:pt idx="5">
                  <c:v>500.072077922078</c:v>
                </c:pt>
                <c:pt idx="6">
                  <c:v>498.396493506493</c:v>
                </c:pt>
                <c:pt idx="7">
                  <c:v>496.720909090909</c:v>
                </c:pt>
                <c:pt idx="8">
                  <c:v>495.045324675325</c:v>
                </c:pt>
                <c:pt idx="9">
                  <c:v>493.36974025974</c:v>
                </c:pt>
                <c:pt idx="10">
                  <c:v>491.694155844156</c:v>
                </c:pt>
                <c:pt idx="11">
                  <c:v>490.018571428571</c:v>
                </c:pt>
                <c:pt idx="12">
                  <c:v>488.342987012987</c:v>
                </c:pt>
                <c:pt idx="13">
                  <c:v>486.667402597403</c:v>
                </c:pt>
                <c:pt idx="14">
                  <c:v>484.991818181818</c:v>
                </c:pt>
                <c:pt idx="15">
                  <c:v>483.316233766234</c:v>
                </c:pt>
                <c:pt idx="16">
                  <c:v>481.640649350649</c:v>
                </c:pt>
                <c:pt idx="17">
                  <c:v>479.965064935065</c:v>
                </c:pt>
                <c:pt idx="18">
                  <c:v>478.289480519481</c:v>
                </c:pt>
                <c:pt idx="19">
                  <c:v>476.613896103896</c:v>
                </c:pt>
                <c:pt idx="20">
                  <c:v>474.938311688312</c:v>
                </c:pt>
                <c:pt idx="21">
                  <c:v>473.262727272727</c:v>
                </c:pt>
                <c:pt idx="22">
                  <c:v>471.587142857143</c:v>
                </c:pt>
                <c:pt idx="23">
                  <c:v>469.911558441559</c:v>
                </c:pt>
                <c:pt idx="24">
                  <c:v>468.235974025974</c:v>
                </c:pt>
                <c:pt idx="25">
                  <c:v>466.56038961039</c:v>
                </c:pt>
                <c:pt idx="26">
                  <c:v>464.884805194805</c:v>
                </c:pt>
                <c:pt idx="27">
                  <c:v>463.209220779221</c:v>
                </c:pt>
                <c:pt idx="28">
                  <c:v>461.533636363636</c:v>
                </c:pt>
                <c:pt idx="29">
                  <c:v>459.858051948052</c:v>
                </c:pt>
                <c:pt idx="30">
                  <c:v>458.182467532467</c:v>
                </c:pt>
                <c:pt idx="31">
                  <c:v>456.506883116883</c:v>
                </c:pt>
                <c:pt idx="32">
                  <c:v>454.831298701299</c:v>
                </c:pt>
                <c:pt idx="33">
                  <c:v>453.155714285714</c:v>
                </c:pt>
                <c:pt idx="34">
                  <c:v>451.48012987013</c:v>
                </c:pt>
                <c:pt idx="35">
                  <c:v>449.804545454546</c:v>
                </c:pt>
                <c:pt idx="36">
                  <c:v>448.128961038961</c:v>
                </c:pt>
                <c:pt idx="37">
                  <c:v>446.453376623377</c:v>
                </c:pt>
                <c:pt idx="38">
                  <c:v>444.777792207792</c:v>
                </c:pt>
                <c:pt idx="39">
                  <c:v>443.102207792208</c:v>
                </c:pt>
                <c:pt idx="40">
                  <c:v>441.426623376623</c:v>
                </c:pt>
                <c:pt idx="41">
                  <c:v>439.751038961039</c:v>
                </c:pt>
                <c:pt idx="42">
                  <c:v>438.075454545455</c:v>
                </c:pt>
                <c:pt idx="43">
                  <c:v>436.39987012987</c:v>
                </c:pt>
                <c:pt idx="44">
                  <c:v>434.724285714286</c:v>
                </c:pt>
                <c:pt idx="45">
                  <c:v>433.048701298701</c:v>
                </c:pt>
                <c:pt idx="46">
                  <c:v>431.373116883117</c:v>
                </c:pt>
                <c:pt idx="47">
                  <c:v>429.697532467533</c:v>
                </c:pt>
                <c:pt idx="48">
                  <c:v>428.021948051948</c:v>
                </c:pt>
                <c:pt idx="49">
                  <c:v>426.346363636364</c:v>
                </c:pt>
                <c:pt idx="50">
                  <c:v>424.670779220779</c:v>
                </c:pt>
                <c:pt idx="51">
                  <c:v>422.995194805195</c:v>
                </c:pt>
                <c:pt idx="52">
                  <c:v>421.31961038961</c:v>
                </c:pt>
                <c:pt idx="53">
                  <c:v>419.644025974026</c:v>
                </c:pt>
                <c:pt idx="54">
                  <c:v>417.968441558441</c:v>
                </c:pt>
                <c:pt idx="55">
                  <c:v>416.292857142857</c:v>
                </c:pt>
                <c:pt idx="56">
                  <c:v>414.617272727273</c:v>
                </c:pt>
                <c:pt idx="57">
                  <c:v>412.941688311688</c:v>
                </c:pt>
                <c:pt idx="58">
                  <c:v>411.266103896104</c:v>
                </c:pt>
                <c:pt idx="59">
                  <c:v>409.59051948052</c:v>
                </c:pt>
                <c:pt idx="60">
                  <c:v>407.914935064935</c:v>
                </c:pt>
                <c:pt idx="61">
                  <c:v>406.239350649351</c:v>
                </c:pt>
                <c:pt idx="62">
                  <c:v>404.563766233766</c:v>
                </c:pt>
                <c:pt idx="63">
                  <c:v>402.888181818182</c:v>
                </c:pt>
                <c:pt idx="64">
                  <c:v>401.212597402597</c:v>
                </c:pt>
                <c:pt idx="65">
                  <c:v>399.537012987013</c:v>
                </c:pt>
                <c:pt idx="66">
                  <c:v>397.861428571428</c:v>
                </c:pt>
                <c:pt idx="67">
                  <c:v>396.185844155844</c:v>
                </c:pt>
                <c:pt idx="68">
                  <c:v>394.51025974026</c:v>
                </c:pt>
                <c:pt idx="69">
                  <c:v>392.834675324675</c:v>
                </c:pt>
                <c:pt idx="70">
                  <c:v>391.159090909091</c:v>
                </c:pt>
                <c:pt idx="71">
                  <c:v>389.483506493507</c:v>
                </c:pt>
                <c:pt idx="72">
                  <c:v>387.807922077922</c:v>
                </c:pt>
                <c:pt idx="73">
                  <c:v>386.132337662338</c:v>
                </c:pt>
                <c:pt idx="74">
                  <c:v>384.456753246753</c:v>
                </c:pt>
                <c:pt idx="75">
                  <c:v>382.781168831169</c:v>
                </c:pt>
                <c:pt idx="76">
                  <c:v>381.105584415584</c:v>
                </c:pt>
                <c:pt idx="77">
                  <c:v>379.43</c:v>
                </c:pt>
                <c:pt idx="78">
                  <c:v>377.754415584416</c:v>
                </c:pt>
                <c:pt idx="79">
                  <c:v>376.078831168831</c:v>
                </c:pt>
                <c:pt idx="80">
                  <c:v>374.403246753247</c:v>
                </c:pt>
                <c:pt idx="81">
                  <c:v>372.727662337662</c:v>
                </c:pt>
                <c:pt idx="82">
                  <c:v>371.052077922078</c:v>
                </c:pt>
                <c:pt idx="83">
                  <c:v>369.376493506494</c:v>
                </c:pt>
                <c:pt idx="84">
                  <c:v>367.700909090909</c:v>
                </c:pt>
                <c:pt idx="85">
                  <c:v>366.025324675325</c:v>
                </c:pt>
                <c:pt idx="86">
                  <c:v>364.34974025974</c:v>
                </c:pt>
                <c:pt idx="87">
                  <c:v>362.674155844156</c:v>
                </c:pt>
                <c:pt idx="88">
                  <c:v>360.998571428572</c:v>
                </c:pt>
                <c:pt idx="89">
                  <c:v>359.322987012987</c:v>
                </c:pt>
                <c:pt idx="90">
                  <c:v>357.647402597403</c:v>
                </c:pt>
                <c:pt idx="91">
                  <c:v>355.971818181818</c:v>
                </c:pt>
                <c:pt idx="92">
                  <c:v>354.296233766234</c:v>
                </c:pt>
                <c:pt idx="93">
                  <c:v>352.620649350649</c:v>
                </c:pt>
                <c:pt idx="94">
                  <c:v>350.945064935065</c:v>
                </c:pt>
                <c:pt idx="95">
                  <c:v>349.26948051948</c:v>
                </c:pt>
                <c:pt idx="96">
                  <c:v>347.593896103896</c:v>
                </c:pt>
                <c:pt idx="97">
                  <c:v>345.918311688312</c:v>
                </c:pt>
                <c:pt idx="98">
                  <c:v>344.242727272727</c:v>
                </c:pt>
                <c:pt idx="99">
                  <c:v>342.567142857143</c:v>
                </c:pt>
                <c:pt idx="100">
                  <c:v>340.891558441559</c:v>
                </c:pt>
                <c:pt idx="101">
                  <c:v>339.215974025974</c:v>
                </c:pt>
                <c:pt idx="102">
                  <c:v>337.54038961039</c:v>
                </c:pt>
                <c:pt idx="103">
                  <c:v>335.864805194805</c:v>
                </c:pt>
                <c:pt idx="104">
                  <c:v>334.189220779221</c:v>
                </c:pt>
                <c:pt idx="105">
                  <c:v>332.513636363636</c:v>
                </c:pt>
                <c:pt idx="106">
                  <c:v>330.838051948052</c:v>
                </c:pt>
                <c:pt idx="107">
                  <c:v>329.162467532468</c:v>
                </c:pt>
                <c:pt idx="108">
                  <c:v>327.486883116883</c:v>
                </c:pt>
                <c:pt idx="109">
                  <c:v>325.811298701299</c:v>
                </c:pt>
                <c:pt idx="110">
                  <c:v>324.135714285714</c:v>
                </c:pt>
                <c:pt idx="111">
                  <c:v>322.46012987013</c:v>
                </c:pt>
                <c:pt idx="112">
                  <c:v>320.784545454546</c:v>
                </c:pt>
                <c:pt idx="113">
                  <c:v>319.108961038961</c:v>
                </c:pt>
                <c:pt idx="114">
                  <c:v>317.433376623377</c:v>
                </c:pt>
                <c:pt idx="115">
                  <c:v>315.757792207792</c:v>
                </c:pt>
                <c:pt idx="116">
                  <c:v>314.082207792208</c:v>
                </c:pt>
                <c:pt idx="117">
                  <c:v>312.406623376623</c:v>
                </c:pt>
                <c:pt idx="118">
                  <c:v>310.731038961039</c:v>
                </c:pt>
                <c:pt idx="119">
                  <c:v>309.055454545455</c:v>
                </c:pt>
                <c:pt idx="120">
                  <c:v>307.37987012987</c:v>
                </c:pt>
                <c:pt idx="121">
                  <c:v>305.704285714286</c:v>
                </c:pt>
                <c:pt idx="122">
                  <c:v>304.028701298701</c:v>
                </c:pt>
                <c:pt idx="123">
                  <c:v>302.353116883117</c:v>
                </c:pt>
                <c:pt idx="124">
                  <c:v>300.677532467533</c:v>
                </c:pt>
                <c:pt idx="125">
                  <c:v>299.001948051948</c:v>
                </c:pt>
                <c:pt idx="126">
                  <c:v>297.326363636364</c:v>
                </c:pt>
                <c:pt idx="127">
                  <c:v>295.650779220779</c:v>
                </c:pt>
                <c:pt idx="128">
                  <c:v>293.975194805195</c:v>
                </c:pt>
                <c:pt idx="129">
                  <c:v>292.29961038961</c:v>
                </c:pt>
                <c:pt idx="130">
                  <c:v>290.624025974026</c:v>
                </c:pt>
                <c:pt idx="131">
                  <c:v>288.948441558441</c:v>
                </c:pt>
                <c:pt idx="132">
                  <c:v>287.272857142857</c:v>
                </c:pt>
                <c:pt idx="133">
                  <c:v>285.597272727273</c:v>
                </c:pt>
                <c:pt idx="134">
                  <c:v>283.921688311688</c:v>
                </c:pt>
                <c:pt idx="135">
                  <c:v>282.246103896104</c:v>
                </c:pt>
                <c:pt idx="136">
                  <c:v>280.57051948052</c:v>
                </c:pt>
                <c:pt idx="137">
                  <c:v>278.894935064935</c:v>
                </c:pt>
                <c:pt idx="138">
                  <c:v>277.219350649351</c:v>
                </c:pt>
                <c:pt idx="139">
                  <c:v>275.543766233766</c:v>
                </c:pt>
                <c:pt idx="140">
                  <c:v>273.868181818182</c:v>
                </c:pt>
                <c:pt idx="141">
                  <c:v>272.192597402597</c:v>
                </c:pt>
                <c:pt idx="142">
                  <c:v>270.517012987013</c:v>
                </c:pt>
                <c:pt idx="143">
                  <c:v>268.841428571429</c:v>
                </c:pt>
                <c:pt idx="144">
                  <c:v>267.165844155844</c:v>
                </c:pt>
                <c:pt idx="145">
                  <c:v>265.49025974026</c:v>
                </c:pt>
                <c:pt idx="146">
                  <c:v>263.814675324675</c:v>
                </c:pt>
                <c:pt idx="147">
                  <c:v>262.139090909091</c:v>
                </c:pt>
                <c:pt idx="148">
                  <c:v>260.463506493507</c:v>
                </c:pt>
                <c:pt idx="149">
                  <c:v>258.787922077922</c:v>
                </c:pt>
                <c:pt idx="150">
                  <c:v>257.112337662338</c:v>
                </c:pt>
                <c:pt idx="151">
                  <c:v>255.436753246753</c:v>
                </c:pt>
                <c:pt idx="152">
                  <c:v>253.761168831169</c:v>
                </c:pt>
                <c:pt idx="153">
                  <c:v>252.085584415584</c:v>
                </c:pt>
                <c:pt idx="154">
                  <c:v>250.41</c:v>
                </c:pt>
              </c:numCache>
            </c:numRef>
          </c:val>
          <c:smooth val="0"/>
        </c:ser>
        <c:hiLowLines>
          <c:spPr>
            <a:ln w="0">
              <a:noFill/>
            </a:ln>
          </c:spPr>
        </c:hiLowLines>
        <c:marker val="0"/>
        <c:axId val="53679203"/>
        <c:axId val="2432772"/>
      </c:lineChart>
      <c:dateAx>
        <c:axId val="9620146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6213891"/>
        <c:auto val="1"/>
        <c:lblOffset val="100"/>
        <c:baseTimeUnit val="days"/>
      </c:dateAx>
      <c:valAx>
        <c:axId val="7621389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6201464"/>
        <c:crosses val="autoZero"/>
        <c:crossBetween val="between"/>
      </c:valAx>
      <c:dateAx>
        <c:axId val="5367920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432772"/>
        <c:auto val="1"/>
        <c:lblOffset val="100"/>
        <c:baseTimeUnit val="days"/>
      </c:dateAx>
      <c:valAx>
        <c:axId val="243277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367920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ANET</a:t>
            </a:r>
          </a:p>
        </c:rich>
      </c:tx>
      <c:overlay val="0"/>
      <c:spPr>
        <a:noFill/>
        <a:ln w="0">
          <a:noFill/>
        </a:ln>
      </c:spPr>
    </c:title>
    <c:autoTitleDeleted val="0"/>
    <c:plotArea>
      <c:barChart>
        <c:barDir val="col"/>
        <c:grouping val="clustered"/>
        <c:varyColors val="0"/>
        <c:ser>
          <c:idx val="0"/>
          <c:order val="0"/>
          <c:tx>
            <c:strRef>
              <c:f>'Returns (Calc)'!$C$2</c:f>
              <c:strCache>
                <c:ptCount val="1"/>
                <c:pt idx="0">
                  <c:v>ANET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(Calc)'!$C$3:$C$157</c:f>
              <c:numCache>
                <c:formatCode>0.0%</c:formatCode>
                <c:ptCount val="155"/>
                <c:pt idx="0">
                  <c:v>0.0320073159579333</c:v>
                </c:pt>
                <c:pt idx="1">
                  <c:v>0.00199379707576419</c:v>
                </c:pt>
                <c:pt idx="2">
                  <c:v>0.0908688923281009</c:v>
                </c:pt>
                <c:pt idx="3">
                  <c:v>-0.00445885691122838</c:v>
                </c:pt>
                <c:pt idx="4">
                  <c:v>-0.0598534201954397</c:v>
                </c:pt>
                <c:pt idx="5">
                  <c:v>-0.023603291468168</c:v>
                </c:pt>
                <c:pt idx="6">
                  <c:v>0.0197383011754269</c:v>
                </c:pt>
                <c:pt idx="7">
                  <c:v>0.0550239234449761</c:v>
                </c:pt>
                <c:pt idx="8">
                  <c:v>-0.0216450216450216</c:v>
                </c:pt>
                <c:pt idx="9">
                  <c:v>-0.0195954487989887</c:v>
                </c:pt>
                <c:pt idx="10">
                  <c:v>-0.0532989469159683</c:v>
                </c:pt>
                <c:pt idx="11">
                  <c:v>0.205902383654938</c:v>
                </c:pt>
                <c:pt idx="12">
                  <c:v>-0.0265436746987952</c:v>
                </c:pt>
                <c:pt idx="13">
                  <c:v>0.0377103074840455</c:v>
                </c:pt>
                <c:pt idx="14">
                  <c:v>0.0175177040626167</c:v>
                </c:pt>
                <c:pt idx="15">
                  <c:v>-0.00805860805860814</c:v>
                </c:pt>
                <c:pt idx="16">
                  <c:v>0.0341580502215657</c:v>
                </c:pt>
                <c:pt idx="17">
                  <c:v>0.0515979289412605</c:v>
                </c:pt>
                <c:pt idx="18">
                  <c:v>0.0113752122241086</c:v>
                </c:pt>
                <c:pt idx="19">
                  <c:v>-0.0115830115830116</c:v>
                </c:pt>
                <c:pt idx="20">
                  <c:v>-0.0195312500000001</c:v>
                </c:pt>
                <c:pt idx="21">
                  <c:v>0.0914602459726313</c:v>
                </c:pt>
                <c:pt idx="22">
                  <c:v>0.0455483256625933</c:v>
                </c:pt>
                <c:pt idx="23">
                  <c:v>0.00333940497874918</c:v>
                </c:pt>
                <c:pt idx="24">
                  <c:v>0.032980332829047</c:v>
                </c:pt>
                <c:pt idx="25">
                  <c:v>0.0341241944932631</c:v>
                </c:pt>
                <c:pt idx="26">
                  <c:v>-0.0732190907803427</c:v>
                </c:pt>
                <c:pt idx="27">
                  <c:v>0.0226161369193154</c:v>
                </c:pt>
                <c:pt idx="28">
                  <c:v>0.0750149432157801</c:v>
                </c:pt>
                <c:pt idx="29">
                  <c:v>-0.0508757297748123</c:v>
                </c:pt>
                <c:pt idx="30">
                  <c:v>0.0168424135910956</c:v>
                </c:pt>
                <c:pt idx="31">
                  <c:v>0.103413510010082</c:v>
                </c:pt>
                <c:pt idx="32">
                  <c:v>-0.0536483487795327</c:v>
                </c:pt>
                <c:pt idx="33">
                  <c:v>0.0262068965517241</c:v>
                </c:pt>
                <c:pt idx="34">
                  <c:v>-0.0885752688172043</c:v>
                </c:pt>
                <c:pt idx="35">
                  <c:v>-0.0927591800619377</c:v>
                </c:pt>
                <c:pt idx="36">
                  <c:v>0.0757477243172953</c:v>
                </c:pt>
                <c:pt idx="37">
                  <c:v>0.0365669386521605</c:v>
                </c:pt>
                <c:pt idx="38">
                  <c:v>0.144460641399417</c:v>
                </c:pt>
                <c:pt idx="39">
                  <c:v>0.0185963571519552</c:v>
                </c:pt>
                <c:pt idx="40">
                  <c:v>-0.0416406152307115</c:v>
                </c:pt>
                <c:pt idx="41">
                  <c:v>-0.0290970772442589</c:v>
                </c:pt>
                <c:pt idx="42">
                  <c:v>-0.00282220131702715</c:v>
                </c:pt>
                <c:pt idx="43">
                  <c:v>0.106873315363881</c:v>
                </c:pt>
                <c:pt idx="44">
                  <c:v>0.0269085596006333</c:v>
                </c:pt>
                <c:pt idx="45">
                  <c:v>0.0388902063078018</c:v>
                </c:pt>
                <c:pt idx="46">
                  <c:v>0.0447386441451723</c:v>
                </c:pt>
                <c:pt idx="47">
                  <c:v>-0.0115796373170199</c:v>
                </c:pt>
                <c:pt idx="48">
                  <c:v>-0.0866489832007074</c:v>
                </c:pt>
                <c:pt idx="49">
                  <c:v>-0.0343659244917716</c:v>
                </c:pt>
                <c:pt idx="50">
                  <c:v>0.000375939849624141</c:v>
                </c:pt>
                <c:pt idx="51">
                  <c:v>0.0516096705499187</c:v>
                </c:pt>
                <c:pt idx="52">
                  <c:v>0.0538415723645027</c:v>
                </c:pt>
                <c:pt idx="53">
                  <c:v>0.00350401265965861</c:v>
                </c:pt>
                <c:pt idx="54">
                  <c:v>-0.00484343320567704</c:v>
                </c:pt>
                <c:pt idx="55">
                  <c:v>-0.110582908885116</c:v>
                </c:pt>
                <c:pt idx="56">
                  <c:v>0.14456604734029</c:v>
                </c:pt>
                <c:pt idx="57">
                  <c:v>0.0687124749833223</c:v>
                </c:pt>
                <c:pt idx="58">
                  <c:v>-0.0109238451935082</c:v>
                </c:pt>
                <c:pt idx="59">
                  <c:v>0.0412327758493742</c:v>
                </c:pt>
                <c:pt idx="60">
                  <c:v>0.0529346398626125</c:v>
                </c:pt>
                <c:pt idx="61">
                  <c:v>-0.0357862419648853</c:v>
                </c:pt>
                <c:pt idx="62">
                  <c:v>-0.0197014925373135</c:v>
                </c:pt>
                <c:pt idx="63">
                  <c:v>0.000203004466098333</c:v>
                </c:pt>
                <c:pt idx="64">
                  <c:v>0.0159326161964684</c:v>
                </c:pt>
                <c:pt idx="65">
                  <c:v>-0.0650284686844471</c:v>
                </c:pt>
                <c:pt idx="66">
                  <c:v>0.0856837606837608</c:v>
                </c:pt>
                <c:pt idx="67">
                  <c:v>-0.00157449320999814</c:v>
                </c:pt>
                <c:pt idx="68">
                  <c:v>0.0669229252907551</c:v>
                </c:pt>
                <c:pt idx="69">
                  <c:v>0.0380600461893765</c:v>
                </c:pt>
                <c:pt idx="70">
                  <c:v>0.00391563584586629</c:v>
                </c:pt>
                <c:pt idx="71">
                  <c:v>0.00195018172147865</c:v>
                </c:pt>
                <c:pt idx="72">
                  <c:v>0.0191984428912679</c:v>
                </c:pt>
                <c:pt idx="73">
                  <c:v>-0.00746527777777772</c:v>
                </c:pt>
                <c:pt idx="74">
                  <c:v>0.0490641945076089</c:v>
                </c:pt>
                <c:pt idx="75">
                  <c:v>0.0768653605669027</c:v>
                </c:pt>
                <c:pt idx="76">
                  <c:v>-0.107919795618177</c:v>
                </c:pt>
                <c:pt idx="77">
                  <c:v>0.028117677688102</c:v>
                </c:pt>
                <c:pt idx="78">
                  <c:v>-0.0979150839875074</c:v>
                </c:pt>
                <c:pt idx="79">
                  <c:v>-0.0801908861233275</c:v>
                </c:pt>
                <c:pt idx="80">
                  <c:v>-0.0534079348931842</c:v>
                </c:pt>
                <c:pt idx="81">
                  <c:v>-0.10413756045137</c:v>
                </c:pt>
                <c:pt idx="82">
                  <c:v>0.00179942418426116</c:v>
                </c:pt>
                <c:pt idx="83">
                  <c:v>-0.00455035325110775</c:v>
                </c:pt>
                <c:pt idx="84">
                  <c:v>-0.0624323348971491</c:v>
                </c:pt>
                <c:pt idx="85">
                  <c:v>-0.174108288426995</c:v>
                </c:pt>
                <c:pt idx="86">
                  <c:v>0.128942053751748</c:v>
                </c:pt>
                <c:pt idx="87">
                  <c:v>-0.0202284298885372</c:v>
                </c:pt>
                <c:pt idx="88">
                  <c:v>0.0942415730337078</c:v>
                </c:pt>
                <c:pt idx="89">
                  <c:v>0.168271082017713</c:v>
                </c:pt>
                <c:pt idx="90">
                  <c:v>-0.049439683586025</c:v>
                </c:pt>
                <c:pt idx="91">
                  <c:v>0.114424410540916</c:v>
                </c:pt>
                <c:pt idx="92">
                  <c:v>-0.0541381456129434</c:v>
                </c:pt>
                <c:pt idx="93">
                  <c:v>-0.05</c:v>
                </c:pt>
                <c:pt idx="94">
                  <c:v>0.122460757156048</c:v>
                </c:pt>
                <c:pt idx="95">
                  <c:v>-0.0503856041131106</c:v>
                </c:pt>
                <c:pt idx="96">
                  <c:v>-0.0660530590146182</c:v>
                </c:pt>
                <c:pt idx="97">
                  <c:v>0.152347826086957</c:v>
                </c:pt>
                <c:pt idx="98">
                  <c:v>0.0314921018211087</c:v>
                </c:pt>
                <c:pt idx="99">
                  <c:v>0.0590128755364807</c:v>
                </c:pt>
                <c:pt idx="100">
                  <c:v>0.0295661785023489</c:v>
                </c:pt>
                <c:pt idx="101">
                  <c:v>0.0223653605296117</c:v>
                </c:pt>
                <c:pt idx="102">
                  <c:v>0.0287889394469723</c:v>
                </c:pt>
                <c:pt idx="103">
                  <c:v>0.183805392532109</c:v>
                </c:pt>
                <c:pt idx="104">
                  <c:v>-0.0135076878861905</c:v>
                </c:pt>
                <c:pt idx="105">
                  <c:v>-0.029497450837582</c:v>
                </c:pt>
                <c:pt idx="106">
                  <c:v>0.024765478424015</c:v>
                </c:pt>
                <c:pt idx="107">
                  <c:v>0.0461369461735626</c:v>
                </c:pt>
                <c:pt idx="108">
                  <c:v>-0.0242212110605531</c:v>
                </c:pt>
                <c:pt idx="109">
                  <c:v>0.0733194633761392</c:v>
                </c:pt>
                <c:pt idx="110">
                  <c:v>-0.0475235612592742</c:v>
                </c:pt>
                <c:pt idx="111">
                  <c:v>0.0210526315789474</c:v>
                </c:pt>
                <c:pt idx="112">
                  <c:v>0.059106529209622</c:v>
                </c:pt>
                <c:pt idx="113">
                  <c:v>-0.0713822193380922</c:v>
                </c:pt>
                <c:pt idx="114">
                  <c:v>0.0749126484975542</c:v>
                </c:pt>
                <c:pt idx="115">
                  <c:v>0.0251592770771032</c:v>
                </c:pt>
                <c:pt idx="116">
                  <c:v>-0.146109455260321</c:v>
                </c:pt>
                <c:pt idx="117">
                  <c:v>-0.024359450427033</c:v>
                </c:pt>
                <c:pt idx="118">
                  <c:v>-0.106112506660577</c:v>
                </c:pt>
                <c:pt idx="119">
                  <c:v>0.112833177211956</c:v>
                </c:pt>
                <c:pt idx="120">
                  <c:v>-0.015993265993266</c:v>
                </c:pt>
                <c:pt idx="121">
                  <c:v>-0.0297845866708142</c:v>
                </c:pt>
                <c:pt idx="122">
                  <c:v>0.0509778775248477</c:v>
                </c:pt>
                <c:pt idx="123">
                  <c:v>0.00549115314215976</c:v>
                </c:pt>
                <c:pt idx="124">
                  <c:v>0.0133495145631066</c:v>
                </c:pt>
                <c:pt idx="125">
                  <c:v>-0.0801646706586826</c:v>
                </c:pt>
                <c:pt idx="126">
                  <c:v>0.0564732687769551</c:v>
                </c:pt>
                <c:pt idx="127">
                  <c:v>0.0501424940306554</c:v>
                </c:pt>
                <c:pt idx="128">
                  <c:v>0.0396068651899664</c:v>
                </c:pt>
                <c:pt idx="129">
                  <c:v>-0.0299844786228305</c:v>
                </c:pt>
                <c:pt idx="130">
                  <c:v>0.0298203505709507</c:v>
                </c:pt>
                <c:pt idx="131">
                  <c:v>-0.0621512818701887</c:v>
                </c:pt>
                <c:pt idx="132">
                  <c:v>0.00534678816175926</c:v>
                </c:pt>
                <c:pt idx="133">
                  <c:v>-0.0045692883895132</c:v>
                </c:pt>
                <c:pt idx="134">
                  <c:v>0.00511701407178866</c:v>
                </c:pt>
                <c:pt idx="135">
                  <c:v>-0.0175937710563749</c:v>
                </c:pt>
                <c:pt idx="136">
                  <c:v>-0.0796372504191435</c:v>
                </c:pt>
                <c:pt idx="137">
                  <c:v>0.0489359940382546</c:v>
                </c:pt>
                <c:pt idx="138">
                  <c:v>0.163167035048942</c:v>
                </c:pt>
                <c:pt idx="139">
                  <c:v>0.114557176789956</c:v>
                </c:pt>
                <c:pt idx="140">
                  <c:v>0.0772087925470377</c:v>
                </c:pt>
                <c:pt idx="141">
                  <c:v>-0.0237974111129954</c:v>
                </c:pt>
                <c:pt idx="142">
                  <c:v>-0.179096699478865</c:v>
                </c:pt>
                <c:pt idx="143">
                  <c:v>0.00141073569866679</c:v>
                </c:pt>
                <c:pt idx="144">
                  <c:v>0.0849475241248152</c:v>
                </c:pt>
                <c:pt idx="145">
                  <c:v>0.0353177952346946</c:v>
                </c:pt>
                <c:pt idx="146">
                  <c:v>-0.032608014046529</c:v>
                </c:pt>
                <c:pt idx="147">
                  <c:v>0.0581448110455693</c:v>
                </c:pt>
                <c:pt idx="148">
                  <c:v>0.0393898554275911</c:v>
                </c:pt>
                <c:pt idx="149">
                  <c:v>-0.0711380915895562</c:v>
                </c:pt>
                <c:pt idx="150">
                  <c:v>0.0151649746192895</c:v>
                </c:pt>
                <c:pt idx="151">
                  <c:v>0.168573035814738</c:v>
                </c:pt>
                <c:pt idx="152">
                  <c:v>-0.0981493367565254</c:v>
                </c:pt>
                <c:pt idx="153">
                  <c:v>0.0319079532649309</c:v>
                </c:pt>
                <c:pt idx="154">
                  <c:v>0.0365538249324673</c:v>
                </c:pt>
              </c:numCache>
            </c:numRef>
          </c:val>
        </c:ser>
        <c:gapWidth val="150"/>
        <c:overlap val="0"/>
        <c:axId val="33220094"/>
        <c:axId val="7095050"/>
      </c:barChart>
      <c:lineChart>
        <c:grouping val="standard"/>
        <c:varyColors val="0"/>
        <c:ser>
          <c:idx val="1"/>
          <c:order val="1"/>
          <c:tx>
            <c:strRef>
              <c:f>'Returns (Calc)'!$X$2</c:f>
              <c:strCache>
                <c:ptCount val="1"/>
                <c:pt idx="0">
                  <c:v>ANET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(Calc)'!$X$3:$X$157</c:f>
              <c:numCache>
                <c:formatCode>#,##0.00</c:formatCode>
                <c:ptCount val="155"/>
                <c:pt idx="0">
                  <c:v>43.74</c:v>
                </c:pt>
                <c:pt idx="1">
                  <c:v>44.6270779220779</c:v>
                </c:pt>
                <c:pt idx="2">
                  <c:v>45.5141558441558</c:v>
                </c:pt>
                <c:pt idx="3">
                  <c:v>46.4012337662338</c:v>
                </c:pt>
                <c:pt idx="4">
                  <c:v>47.2883116883117</c:v>
                </c:pt>
                <c:pt idx="5">
                  <c:v>48.1753896103896</c:v>
                </c:pt>
                <c:pt idx="6">
                  <c:v>49.0624675324675</c:v>
                </c:pt>
                <c:pt idx="7">
                  <c:v>49.9495454545455</c:v>
                </c:pt>
                <c:pt idx="8">
                  <c:v>50.8366233766234</c:v>
                </c:pt>
                <c:pt idx="9">
                  <c:v>51.7237012987013</c:v>
                </c:pt>
                <c:pt idx="10">
                  <c:v>52.6107792207792</c:v>
                </c:pt>
                <c:pt idx="11">
                  <c:v>53.4978571428571</c:v>
                </c:pt>
                <c:pt idx="12">
                  <c:v>54.3849350649351</c:v>
                </c:pt>
                <c:pt idx="13">
                  <c:v>55.272012987013</c:v>
                </c:pt>
                <c:pt idx="14">
                  <c:v>56.1590909090909</c:v>
                </c:pt>
                <c:pt idx="15">
                  <c:v>57.0461688311688</c:v>
                </c:pt>
                <c:pt idx="16">
                  <c:v>57.9332467532468</c:v>
                </c:pt>
                <c:pt idx="17">
                  <c:v>58.8203246753246</c:v>
                </c:pt>
                <c:pt idx="18">
                  <c:v>59.7074025974026</c:v>
                </c:pt>
                <c:pt idx="19">
                  <c:v>60.5944805194805</c:v>
                </c:pt>
                <c:pt idx="20">
                  <c:v>61.4815584415585</c:v>
                </c:pt>
                <c:pt idx="21">
                  <c:v>62.3686363636363</c:v>
                </c:pt>
                <c:pt idx="22">
                  <c:v>63.2557142857143</c:v>
                </c:pt>
                <c:pt idx="23">
                  <c:v>64.1427922077922</c:v>
                </c:pt>
                <c:pt idx="24">
                  <c:v>65.0298701298702</c:v>
                </c:pt>
                <c:pt idx="25">
                  <c:v>65.916948051948</c:v>
                </c:pt>
                <c:pt idx="26">
                  <c:v>66.804025974026</c:v>
                </c:pt>
                <c:pt idx="27">
                  <c:v>67.6911038961039</c:v>
                </c:pt>
                <c:pt idx="28">
                  <c:v>68.5781818181818</c:v>
                </c:pt>
                <c:pt idx="29">
                  <c:v>69.4652597402597</c:v>
                </c:pt>
                <c:pt idx="30">
                  <c:v>70.3523376623377</c:v>
                </c:pt>
                <c:pt idx="31">
                  <c:v>71.2394155844155</c:v>
                </c:pt>
                <c:pt idx="32">
                  <c:v>72.1264935064935</c:v>
                </c:pt>
                <c:pt idx="33">
                  <c:v>73.0135714285714</c:v>
                </c:pt>
                <c:pt idx="34">
                  <c:v>73.9006493506494</c:v>
                </c:pt>
                <c:pt idx="35">
                  <c:v>74.7877272727272</c:v>
                </c:pt>
                <c:pt idx="36">
                  <c:v>75.6748051948052</c:v>
                </c:pt>
                <c:pt idx="37">
                  <c:v>76.5618831168831</c:v>
                </c:pt>
                <c:pt idx="38">
                  <c:v>77.4489610389611</c:v>
                </c:pt>
                <c:pt idx="39">
                  <c:v>78.3360389610389</c:v>
                </c:pt>
                <c:pt idx="40">
                  <c:v>79.2231168831169</c:v>
                </c:pt>
                <c:pt idx="41">
                  <c:v>80.1101948051948</c:v>
                </c:pt>
                <c:pt idx="42">
                  <c:v>80.9972727272728</c:v>
                </c:pt>
                <c:pt idx="43">
                  <c:v>81.8843506493506</c:v>
                </c:pt>
                <c:pt idx="44">
                  <c:v>82.7714285714286</c:v>
                </c:pt>
                <c:pt idx="45">
                  <c:v>83.6585064935065</c:v>
                </c:pt>
                <c:pt idx="46">
                  <c:v>84.5455844155845</c:v>
                </c:pt>
                <c:pt idx="47">
                  <c:v>85.4326623376623</c:v>
                </c:pt>
                <c:pt idx="48">
                  <c:v>86.3197402597403</c:v>
                </c:pt>
                <c:pt idx="49">
                  <c:v>87.2068181818182</c:v>
                </c:pt>
                <c:pt idx="50">
                  <c:v>88.0938961038962</c:v>
                </c:pt>
                <c:pt idx="51">
                  <c:v>88.980974025974</c:v>
                </c:pt>
                <c:pt idx="52">
                  <c:v>89.868051948052</c:v>
                </c:pt>
                <c:pt idx="53">
                  <c:v>90.7551298701299</c:v>
                </c:pt>
                <c:pt idx="54">
                  <c:v>91.6422077922078</c:v>
                </c:pt>
                <c:pt idx="55">
                  <c:v>92.5292857142857</c:v>
                </c:pt>
                <c:pt idx="56">
                  <c:v>93.4163636363637</c:v>
                </c:pt>
                <c:pt idx="57">
                  <c:v>94.3034415584415</c:v>
                </c:pt>
                <c:pt idx="58">
                  <c:v>95.1905194805195</c:v>
                </c:pt>
                <c:pt idx="59">
                  <c:v>96.0775974025974</c:v>
                </c:pt>
                <c:pt idx="60">
                  <c:v>96.9646753246754</c:v>
                </c:pt>
                <c:pt idx="61">
                  <c:v>97.8517532467532</c:v>
                </c:pt>
                <c:pt idx="62">
                  <c:v>98.7388311688312</c:v>
                </c:pt>
                <c:pt idx="63">
                  <c:v>99.6259090909091</c:v>
                </c:pt>
                <c:pt idx="64">
                  <c:v>100.512987012987</c:v>
                </c:pt>
                <c:pt idx="65">
                  <c:v>101.400064935065</c:v>
                </c:pt>
                <c:pt idx="66">
                  <c:v>102.287142857143</c:v>
                </c:pt>
                <c:pt idx="67">
                  <c:v>103.174220779221</c:v>
                </c:pt>
                <c:pt idx="68">
                  <c:v>104.061298701299</c:v>
                </c:pt>
                <c:pt idx="69">
                  <c:v>104.948376623377</c:v>
                </c:pt>
                <c:pt idx="70">
                  <c:v>105.835454545455</c:v>
                </c:pt>
                <c:pt idx="71">
                  <c:v>106.722532467532</c:v>
                </c:pt>
                <c:pt idx="72">
                  <c:v>107.60961038961</c:v>
                </c:pt>
                <c:pt idx="73">
                  <c:v>108.496688311688</c:v>
                </c:pt>
                <c:pt idx="74">
                  <c:v>109.383766233766</c:v>
                </c:pt>
                <c:pt idx="75">
                  <c:v>110.270844155844</c:v>
                </c:pt>
                <c:pt idx="76">
                  <c:v>111.157922077922</c:v>
                </c:pt>
                <c:pt idx="77">
                  <c:v>112.045</c:v>
                </c:pt>
                <c:pt idx="78">
                  <c:v>112.932077922078</c:v>
                </c:pt>
                <c:pt idx="79">
                  <c:v>113.819155844156</c:v>
                </c:pt>
                <c:pt idx="80">
                  <c:v>114.706233766234</c:v>
                </c:pt>
                <c:pt idx="81">
                  <c:v>115.593311688312</c:v>
                </c:pt>
                <c:pt idx="82">
                  <c:v>116.48038961039</c:v>
                </c:pt>
                <c:pt idx="83">
                  <c:v>117.367467532468</c:v>
                </c:pt>
                <c:pt idx="84">
                  <c:v>118.254545454545</c:v>
                </c:pt>
                <c:pt idx="85">
                  <c:v>119.141623376623</c:v>
                </c:pt>
                <c:pt idx="86">
                  <c:v>120.028701298701</c:v>
                </c:pt>
                <c:pt idx="87">
                  <c:v>120.915779220779</c:v>
                </c:pt>
                <c:pt idx="88">
                  <c:v>121.802857142857</c:v>
                </c:pt>
                <c:pt idx="89">
                  <c:v>122.689935064935</c:v>
                </c:pt>
                <c:pt idx="90">
                  <c:v>123.577012987013</c:v>
                </c:pt>
                <c:pt idx="91">
                  <c:v>124.464090909091</c:v>
                </c:pt>
                <c:pt idx="92">
                  <c:v>125.351168831169</c:v>
                </c:pt>
                <c:pt idx="93">
                  <c:v>126.238246753247</c:v>
                </c:pt>
                <c:pt idx="94">
                  <c:v>127.125324675325</c:v>
                </c:pt>
                <c:pt idx="95">
                  <c:v>128.012402597403</c:v>
                </c:pt>
                <c:pt idx="96">
                  <c:v>128.89948051948</c:v>
                </c:pt>
                <c:pt idx="97">
                  <c:v>129.786558441558</c:v>
                </c:pt>
                <c:pt idx="98">
                  <c:v>130.673636363636</c:v>
                </c:pt>
                <c:pt idx="99">
                  <c:v>131.560714285714</c:v>
                </c:pt>
                <c:pt idx="100">
                  <c:v>132.447792207792</c:v>
                </c:pt>
                <c:pt idx="101">
                  <c:v>133.33487012987</c:v>
                </c:pt>
                <c:pt idx="102">
                  <c:v>134.221948051948</c:v>
                </c:pt>
                <c:pt idx="103">
                  <c:v>135.109025974026</c:v>
                </c:pt>
                <c:pt idx="104">
                  <c:v>135.996103896104</c:v>
                </c:pt>
                <c:pt idx="105">
                  <c:v>136.883181818182</c:v>
                </c:pt>
                <c:pt idx="106">
                  <c:v>137.77025974026</c:v>
                </c:pt>
                <c:pt idx="107">
                  <c:v>138.657337662338</c:v>
                </c:pt>
                <c:pt idx="108">
                  <c:v>139.544415584416</c:v>
                </c:pt>
                <c:pt idx="109">
                  <c:v>140.431493506494</c:v>
                </c:pt>
                <c:pt idx="110">
                  <c:v>141.318571428571</c:v>
                </c:pt>
                <c:pt idx="111">
                  <c:v>142.205649350649</c:v>
                </c:pt>
                <c:pt idx="112">
                  <c:v>143.092727272727</c:v>
                </c:pt>
                <c:pt idx="113">
                  <c:v>143.979805194805</c:v>
                </c:pt>
                <c:pt idx="114">
                  <c:v>144.866883116883</c:v>
                </c:pt>
                <c:pt idx="115">
                  <c:v>145.753961038961</c:v>
                </c:pt>
                <c:pt idx="116">
                  <c:v>146.641038961039</c:v>
                </c:pt>
                <c:pt idx="117">
                  <c:v>147.528116883117</c:v>
                </c:pt>
                <c:pt idx="118">
                  <c:v>148.415194805195</c:v>
                </c:pt>
                <c:pt idx="119">
                  <c:v>149.302272727273</c:v>
                </c:pt>
                <c:pt idx="120">
                  <c:v>150.189350649351</c:v>
                </c:pt>
                <c:pt idx="121">
                  <c:v>151.076428571429</c:v>
                </c:pt>
                <c:pt idx="122">
                  <c:v>151.963506493506</c:v>
                </c:pt>
                <c:pt idx="123">
                  <c:v>152.850584415584</c:v>
                </c:pt>
                <c:pt idx="124">
                  <c:v>153.737662337662</c:v>
                </c:pt>
                <c:pt idx="125">
                  <c:v>154.62474025974</c:v>
                </c:pt>
                <c:pt idx="126">
                  <c:v>155.511818181818</c:v>
                </c:pt>
                <c:pt idx="127">
                  <c:v>156.398896103896</c:v>
                </c:pt>
                <c:pt idx="128">
                  <c:v>157.285974025974</c:v>
                </c:pt>
                <c:pt idx="129">
                  <c:v>158.173051948052</c:v>
                </c:pt>
                <c:pt idx="130">
                  <c:v>159.06012987013</c:v>
                </c:pt>
                <c:pt idx="131">
                  <c:v>159.947207792208</c:v>
                </c:pt>
                <c:pt idx="132">
                  <c:v>160.834285714286</c:v>
                </c:pt>
                <c:pt idx="133">
                  <c:v>161.721363636364</c:v>
                </c:pt>
                <c:pt idx="134">
                  <c:v>162.608441558442</c:v>
                </c:pt>
                <c:pt idx="135">
                  <c:v>163.49551948052</c:v>
                </c:pt>
                <c:pt idx="136">
                  <c:v>164.382597402597</c:v>
                </c:pt>
                <c:pt idx="137">
                  <c:v>165.269675324675</c:v>
                </c:pt>
                <c:pt idx="138">
                  <c:v>166.156753246753</c:v>
                </c:pt>
                <c:pt idx="139">
                  <c:v>167.043831168831</c:v>
                </c:pt>
                <c:pt idx="140">
                  <c:v>167.930909090909</c:v>
                </c:pt>
                <c:pt idx="141">
                  <c:v>168.817987012987</c:v>
                </c:pt>
                <c:pt idx="142">
                  <c:v>169.705064935065</c:v>
                </c:pt>
                <c:pt idx="143">
                  <c:v>170.592142857143</c:v>
                </c:pt>
                <c:pt idx="144">
                  <c:v>171.479220779221</c:v>
                </c:pt>
                <c:pt idx="145">
                  <c:v>172.366298701299</c:v>
                </c:pt>
                <c:pt idx="146">
                  <c:v>173.253376623377</c:v>
                </c:pt>
                <c:pt idx="147">
                  <c:v>174.140454545455</c:v>
                </c:pt>
                <c:pt idx="148">
                  <c:v>175.027532467532</c:v>
                </c:pt>
                <c:pt idx="149">
                  <c:v>175.91461038961</c:v>
                </c:pt>
                <c:pt idx="150">
                  <c:v>176.801688311688</c:v>
                </c:pt>
                <c:pt idx="151">
                  <c:v>177.688766233766</c:v>
                </c:pt>
                <c:pt idx="152">
                  <c:v>178.575844155844</c:v>
                </c:pt>
                <c:pt idx="153">
                  <c:v>179.462922077922</c:v>
                </c:pt>
                <c:pt idx="154">
                  <c:v>180.35</c:v>
                </c:pt>
              </c:numCache>
            </c:numRef>
          </c:val>
          <c:smooth val="0"/>
        </c:ser>
        <c:hiLowLines>
          <c:spPr>
            <a:ln w="0">
              <a:noFill/>
            </a:ln>
          </c:spPr>
        </c:hiLowLines>
        <c:marker val="0"/>
        <c:axId val="43930987"/>
        <c:axId val="33465754"/>
      </c:lineChart>
      <c:dateAx>
        <c:axId val="3322009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095050"/>
        <c:auto val="1"/>
        <c:lblOffset val="100"/>
        <c:baseTimeUnit val="days"/>
      </c:dateAx>
      <c:valAx>
        <c:axId val="709505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3220094"/>
        <c:crosses val="autoZero"/>
        <c:crossBetween val="between"/>
      </c:valAx>
      <c:dateAx>
        <c:axId val="4393098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3465754"/>
        <c:auto val="1"/>
        <c:lblOffset val="100"/>
        <c:baseTimeUnit val="days"/>
      </c:dateAx>
      <c:valAx>
        <c:axId val="3346575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393098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ASML</a:t>
            </a:r>
          </a:p>
        </c:rich>
      </c:tx>
      <c:overlay val="0"/>
      <c:spPr>
        <a:noFill/>
        <a:ln w="0">
          <a:noFill/>
        </a:ln>
      </c:spPr>
    </c:title>
    <c:autoTitleDeleted val="0"/>
    <c:plotArea>
      <c:barChart>
        <c:barDir val="col"/>
        <c:grouping val="clustered"/>
        <c:varyColors val="0"/>
        <c:ser>
          <c:idx val="0"/>
          <c:order val="0"/>
          <c:tx>
            <c:strRef>
              <c:f>'Returns (Calc)'!$D$2</c:f>
              <c:strCache>
                <c:ptCount val="1"/>
                <c:pt idx="0">
                  <c:v>ASML</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(Calc)'!$D$3:$D$157</c:f>
              <c:numCache>
                <c:formatCode>0.0%</c:formatCode>
                <c:ptCount val="155"/>
                <c:pt idx="0">
                  <c:v>-0.00974644141557612</c:v>
                </c:pt>
                <c:pt idx="1">
                  <c:v>-0.00659209863732779</c:v>
                </c:pt>
                <c:pt idx="2">
                  <c:v>0.0176802199658992</c:v>
                </c:pt>
                <c:pt idx="3">
                  <c:v>-0.0523154017991909</c:v>
                </c:pt>
                <c:pt idx="4">
                  <c:v>-0.0496926066320518</c:v>
                </c:pt>
                <c:pt idx="5">
                  <c:v>-0.0160225253913451</c:v>
                </c:pt>
                <c:pt idx="6">
                  <c:v>0.00265712825753695</c:v>
                </c:pt>
                <c:pt idx="7">
                  <c:v>0.014779329324228</c:v>
                </c:pt>
                <c:pt idx="8">
                  <c:v>0.00400093745814911</c:v>
                </c:pt>
                <c:pt idx="9">
                  <c:v>-0.0327636515214672</c:v>
                </c:pt>
                <c:pt idx="10">
                  <c:v>0.0170660230994655</c:v>
                </c:pt>
                <c:pt idx="11">
                  <c:v>0.0888305084745762</c:v>
                </c:pt>
                <c:pt idx="12">
                  <c:v>0.029373764418362</c:v>
                </c:pt>
                <c:pt idx="13">
                  <c:v>0.0375181466247279</c:v>
                </c:pt>
                <c:pt idx="14">
                  <c:v>0.00741885175414292</c:v>
                </c:pt>
                <c:pt idx="15">
                  <c:v>0.00147573714517213</c:v>
                </c:pt>
                <c:pt idx="16">
                  <c:v>0.00611095059231426</c:v>
                </c:pt>
                <c:pt idx="17">
                  <c:v>0.0811711155464299</c:v>
                </c:pt>
                <c:pt idx="18">
                  <c:v>-0.00057107947301327</c:v>
                </c:pt>
                <c:pt idx="19">
                  <c:v>0.00583365447224704</c:v>
                </c:pt>
                <c:pt idx="20">
                  <c:v>-0.0707868731173703</c:v>
                </c:pt>
                <c:pt idx="21">
                  <c:v>0.014047260215543</c:v>
                </c:pt>
                <c:pt idx="22">
                  <c:v>0.0625473206023388</c:v>
                </c:pt>
                <c:pt idx="23">
                  <c:v>0.145045722655477</c:v>
                </c:pt>
                <c:pt idx="24">
                  <c:v>0.0264016133679055</c:v>
                </c:pt>
                <c:pt idx="25">
                  <c:v>0.0661756450272832</c:v>
                </c:pt>
                <c:pt idx="26">
                  <c:v>-0.0217565290648694</c:v>
                </c:pt>
                <c:pt idx="27">
                  <c:v>0.00463969685878518</c:v>
                </c:pt>
                <c:pt idx="28">
                  <c:v>0.0618162335922852</c:v>
                </c:pt>
                <c:pt idx="29">
                  <c:v>0.00342099420752007</c:v>
                </c:pt>
                <c:pt idx="30">
                  <c:v>-0.0544286102199471</c:v>
                </c:pt>
                <c:pt idx="31">
                  <c:v>0.042277789004584</c:v>
                </c:pt>
                <c:pt idx="32">
                  <c:v>-0.0096840687374995</c:v>
                </c:pt>
                <c:pt idx="33">
                  <c:v>0.00935629128154392</c:v>
                </c:pt>
                <c:pt idx="34">
                  <c:v>-0.0180797304884895</c:v>
                </c:pt>
                <c:pt idx="35">
                  <c:v>-0.106358645928637</c:v>
                </c:pt>
                <c:pt idx="36">
                  <c:v>0.0691416338972009</c:v>
                </c:pt>
                <c:pt idx="37">
                  <c:v>-0.0188689511083061</c:v>
                </c:pt>
                <c:pt idx="38">
                  <c:v>0.0317868748821579</c:v>
                </c:pt>
                <c:pt idx="39">
                  <c:v>-0.0057186468735555</c:v>
                </c:pt>
                <c:pt idx="40">
                  <c:v>0.0337848795096056</c:v>
                </c:pt>
                <c:pt idx="41">
                  <c:v>0.00431908974922091</c:v>
                </c:pt>
                <c:pt idx="42">
                  <c:v>0.070880408184516</c:v>
                </c:pt>
                <c:pt idx="43">
                  <c:v>-0.000505629995527057</c:v>
                </c:pt>
                <c:pt idx="44">
                  <c:v>0.0084638583519796</c:v>
                </c:pt>
                <c:pt idx="45">
                  <c:v>-0.0133802816901407</c:v>
                </c:pt>
                <c:pt idx="46">
                  <c:v>0.0505998650670265</c:v>
                </c:pt>
                <c:pt idx="47">
                  <c:v>0.0100327600327601</c:v>
                </c:pt>
                <c:pt idx="48">
                  <c:v>-0.174971896135488</c:v>
                </c:pt>
                <c:pt idx="49">
                  <c:v>-0.00779565989479214</c:v>
                </c:pt>
                <c:pt idx="50">
                  <c:v>-0.0889699343756684</c:v>
                </c:pt>
                <c:pt idx="51">
                  <c:v>0.0632606412553283</c:v>
                </c:pt>
                <c:pt idx="52">
                  <c:v>0.0675265818371971</c:v>
                </c:pt>
                <c:pt idx="53">
                  <c:v>-0.0124093788779309</c:v>
                </c:pt>
                <c:pt idx="54">
                  <c:v>-0.00373652536207925</c:v>
                </c:pt>
                <c:pt idx="55">
                  <c:v>-0.167147930565236</c:v>
                </c:pt>
                <c:pt idx="56">
                  <c:v>0.0844458613956085</c:v>
                </c:pt>
                <c:pt idx="57">
                  <c:v>-0.0258219413004067</c:v>
                </c:pt>
                <c:pt idx="58">
                  <c:v>0.0581681923347752</c:v>
                </c:pt>
                <c:pt idx="59">
                  <c:v>-0.0101480618865413</c:v>
                </c:pt>
                <c:pt idx="60">
                  <c:v>0.0092316926770708</c:v>
                </c:pt>
                <c:pt idx="61">
                  <c:v>-0.139682879539426</c:v>
                </c:pt>
                <c:pt idx="62">
                  <c:v>-0.0159831872355722</c:v>
                </c:pt>
                <c:pt idx="63">
                  <c:v>-0.051946044681748</c:v>
                </c:pt>
                <c:pt idx="64">
                  <c:v>-0.00779571087694331</c:v>
                </c:pt>
                <c:pt idx="65">
                  <c:v>-0.0161919130058106</c:v>
                </c:pt>
                <c:pt idx="66">
                  <c:v>0.0216358198077828</c:v>
                </c:pt>
                <c:pt idx="67">
                  <c:v>0.0204048270122459</c:v>
                </c:pt>
                <c:pt idx="68">
                  <c:v>0.0325803585732802</c:v>
                </c:pt>
                <c:pt idx="69">
                  <c:v>0.0135405794239611</c:v>
                </c:pt>
                <c:pt idx="70">
                  <c:v>-0.0179520721422808</c:v>
                </c:pt>
                <c:pt idx="71">
                  <c:v>0.011209046593357</c:v>
                </c:pt>
                <c:pt idx="72">
                  <c:v>0.00107905099566974</c:v>
                </c:pt>
                <c:pt idx="73">
                  <c:v>0.0345064113332214</c:v>
                </c:pt>
                <c:pt idx="74">
                  <c:v>0.0234367599897161</c:v>
                </c:pt>
                <c:pt idx="75">
                  <c:v>-0.0318379543321038</c:v>
                </c:pt>
                <c:pt idx="76">
                  <c:v>0.00964151587572548</c:v>
                </c:pt>
                <c:pt idx="77">
                  <c:v>-0.015703831951414</c:v>
                </c:pt>
                <c:pt idx="78">
                  <c:v>0.0327744949841966</c:v>
                </c:pt>
                <c:pt idx="79">
                  <c:v>-0.0190805668285542</c:v>
                </c:pt>
                <c:pt idx="80">
                  <c:v>-0.0381573771381288</c:v>
                </c:pt>
                <c:pt idx="81">
                  <c:v>0.0326338353923394</c:v>
                </c:pt>
                <c:pt idx="82">
                  <c:v>-0.0248832318155746</c:v>
                </c:pt>
                <c:pt idx="83">
                  <c:v>0.00310924369747911</c:v>
                </c:pt>
                <c:pt idx="84">
                  <c:v>-0.0581385607774148</c:v>
                </c:pt>
                <c:pt idx="85">
                  <c:v>-0.102330338877524</c:v>
                </c:pt>
                <c:pt idx="86">
                  <c:v>0.104467013458839</c:v>
                </c:pt>
                <c:pt idx="87">
                  <c:v>-0.0428372781507453</c:v>
                </c:pt>
                <c:pt idx="88">
                  <c:v>0.0579698825293677</c:v>
                </c:pt>
                <c:pt idx="89">
                  <c:v>0.019283299127379</c:v>
                </c:pt>
                <c:pt idx="90">
                  <c:v>0.0230034910839743</c:v>
                </c:pt>
                <c:pt idx="91">
                  <c:v>0.0593166338624489</c:v>
                </c:pt>
                <c:pt idx="92">
                  <c:v>-0.0208661943590429</c:v>
                </c:pt>
                <c:pt idx="93">
                  <c:v>0.00584308318202287</c:v>
                </c:pt>
                <c:pt idx="94">
                  <c:v>0.0220557297392674</c:v>
                </c:pt>
                <c:pt idx="95">
                  <c:v>0.0105973280922154</c:v>
                </c:pt>
                <c:pt idx="96">
                  <c:v>-0.00587385019710907</c:v>
                </c:pt>
                <c:pt idx="97">
                  <c:v>0.0521063275745841</c:v>
                </c:pt>
                <c:pt idx="98">
                  <c:v>-0.00182172247000445</c:v>
                </c:pt>
                <c:pt idx="99">
                  <c:v>0.00935179358086846</c:v>
                </c:pt>
                <c:pt idx="100">
                  <c:v>-0.0839848864614118</c:v>
                </c:pt>
                <c:pt idx="101">
                  <c:v>-0.0317596449671922</c:v>
                </c:pt>
                <c:pt idx="102">
                  <c:v>-0.0301300527240772</c:v>
                </c:pt>
                <c:pt idx="103">
                  <c:v>0.0471137398161838</c:v>
                </c:pt>
                <c:pt idx="104">
                  <c:v>0.0274670506146859</c:v>
                </c:pt>
                <c:pt idx="105">
                  <c:v>0.0171526355502858</c:v>
                </c:pt>
                <c:pt idx="106">
                  <c:v>-0.0162540237650518</c:v>
                </c:pt>
                <c:pt idx="107">
                  <c:v>0.0526244916646468</c:v>
                </c:pt>
                <c:pt idx="108">
                  <c:v>0.0411538953562747</c:v>
                </c:pt>
                <c:pt idx="109">
                  <c:v>0.145330335311536</c:v>
                </c:pt>
                <c:pt idx="110">
                  <c:v>0.020779917395269</c:v>
                </c:pt>
                <c:pt idx="111">
                  <c:v>0.0848116697494536</c:v>
                </c:pt>
                <c:pt idx="112">
                  <c:v>-0.0930324930731821</c:v>
                </c:pt>
                <c:pt idx="113">
                  <c:v>0.099424262169004</c:v>
                </c:pt>
                <c:pt idx="114">
                  <c:v>0.00372108387497927</c:v>
                </c:pt>
                <c:pt idx="115">
                  <c:v>0.0252928080534316</c:v>
                </c:pt>
                <c:pt idx="116">
                  <c:v>-0.0399063470634329</c:v>
                </c:pt>
                <c:pt idx="117">
                  <c:v>-0.00981356198867212</c:v>
                </c:pt>
                <c:pt idx="118">
                  <c:v>-0.0401298933444557</c:v>
                </c:pt>
                <c:pt idx="119">
                  <c:v>0.0966613902769586</c:v>
                </c:pt>
                <c:pt idx="120">
                  <c:v>0.0372358490566038</c:v>
                </c:pt>
                <c:pt idx="121">
                  <c:v>-0.0169354325265811</c:v>
                </c:pt>
                <c:pt idx="122">
                  <c:v>-0.0229726604061618</c:v>
                </c:pt>
                <c:pt idx="123">
                  <c:v>0.0158425029828981</c:v>
                </c:pt>
                <c:pt idx="124">
                  <c:v>0.0848566767653227</c:v>
                </c:pt>
                <c:pt idx="125">
                  <c:v>0.0946055096324048</c:v>
                </c:pt>
                <c:pt idx="126">
                  <c:v>0.0664819292241026</c:v>
                </c:pt>
                <c:pt idx="127">
                  <c:v>0.0224279941408982</c:v>
                </c:pt>
                <c:pt idx="128">
                  <c:v>0.0244485399988481</c:v>
                </c:pt>
                <c:pt idx="129">
                  <c:v>-0.00702037947997192</c:v>
                </c:pt>
                <c:pt idx="130">
                  <c:v>-0.00452933807970224</c:v>
                </c:pt>
                <c:pt idx="131">
                  <c:v>0.0447743155529963</c:v>
                </c:pt>
                <c:pt idx="132">
                  <c:v>-0.012949189910111</c:v>
                </c:pt>
                <c:pt idx="133">
                  <c:v>-0.108757996911538</c:v>
                </c:pt>
                <c:pt idx="134">
                  <c:v>0.0409112004950496</c:v>
                </c:pt>
                <c:pt idx="135">
                  <c:v>-0.0211341393634493</c:v>
                </c:pt>
                <c:pt idx="136">
                  <c:v>-0.0112203454165876</c:v>
                </c:pt>
                <c:pt idx="137">
                  <c:v>0.0113323147558102</c:v>
                </c:pt>
                <c:pt idx="138">
                  <c:v>0.12226414521382</c:v>
                </c:pt>
                <c:pt idx="139">
                  <c:v>-0.012501014692751</c:v>
                </c:pt>
                <c:pt idx="140">
                  <c:v>-0.00143855322646935</c:v>
                </c:pt>
                <c:pt idx="141">
                  <c:v>-0.0210468546340126</c:v>
                </c:pt>
                <c:pt idx="142">
                  <c:v>0.115625569368334</c:v>
                </c:pt>
                <c:pt idx="143">
                  <c:v>-0.0566638610067713</c:v>
                </c:pt>
                <c:pt idx="144">
                  <c:v>0.0872880058063272</c:v>
                </c:pt>
                <c:pt idx="145">
                  <c:v>-0.0123338844999694</c:v>
                </c:pt>
                <c:pt idx="146">
                  <c:v>0.0179691956645751</c:v>
                </c:pt>
                <c:pt idx="147">
                  <c:v>0.135106655134187</c:v>
                </c:pt>
                <c:pt idx="148">
                  <c:v>0.0354860347186821</c:v>
                </c:pt>
                <c:pt idx="149">
                  <c:v>-0.0699908793167781</c:v>
                </c:pt>
                <c:pt idx="150">
                  <c:v>-0.0140976919905049</c:v>
                </c:pt>
                <c:pt idx="151">
                  <c:v>0.0158252888115209</c:v>
                </c:pt>
                <c:pt idx="152">
                  <c:v>-0.027674537644938</c:v>
                </c:pt>
                <c:pt idx="153">
                  <c:v>0.00544181096144381</c:v>
                </c:pt>
                <c:pt idx="154">
                  <c:v>-0.0728989408624486</c:v>
                </c:pt>
              </c:numCache>
            </c:numRef>
          </c:val>
        </c:ser>
        <c:gapWidth val="150"/>
        <c:overlap val="0"/>
        <c:axId val="29146355"/>
        <c:axId val="36174534"/>
      </c:barChart>
      <c:lineChart>
        <c:grouping val="standard"/>
        <c:varyColors val="0"/>
        <c:ser>
          <c:idx val="1"/>
          <c:order val="1"/>
          <c:tx>
            <c:strRef>
              <c:f>'Returns (Calc)'!$Y$2</c:f>
              <c:strCache>
                <c:ptCount val="1"/>
                <c:pt idx="0">
                  <c:v>ASML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(Calc)'!$Y$3:$Y$157</c:f>
              <c:numCache>
                <c:formatCode>#,##0.00</c:formatCode>
                <c:ptCount val="155"/>
                <c:pt idx="0">
                  <c:v>661.78</c:v>
                </c:pt>
                <c:pt idx="1">
                  <c:v>668.060649350649</c:v>
                </c:pt>
                <c:pt idx="2">
                  <c:v>674.341298701299</c:v>
                </c:pt>
                <c:pt idx="3">
                  <c:v>680.621948051948</c:v>
                </c:pt>
                <c:pt idx="4">
                  <c:v>686.902597402597</c:v>
                </c:pt>
                <c:pt idx="5">
                  <c:v>693.183246753247</c:v>
                </c:pt>
                <c:pt idx="6">
                  <c:v>699.463896103896</c:v>
                </c:pt>
                <c:pt idx="7">
                  <c:v>705.744545454546</c:v>
                </c:pt>
                <c:pt idx="8">
                  <c:v>712.025194805195</c:v>
                </c:pt>
                <c:pt idx="9">
                  <c:v>718.305844155844</c:v>
                </c:pt>
                <c:pt idx="10">
                  <c:v>724.586493506493</c:v>
                </c:pt>
                <c:pt idx="11">
                  <c:v>730.867142857143</c:v>
                </c:pt>
                <c:pt idx="12">
                  <c:v>737.147792207792</c:v>
                </c:pt>
                <c:pt idx="13">
                  <c:v>743.428441558442</c:v>
                </c:pt>
                <c:pt idx="14">
                  <c:v>749.709090909091</c:v>
                </c:pt>
                <c:pt idx="15">
                  <c:v>755.98974025974</c:v>
                </c:pt>
                <c:pt idx="16">
                  <c:v>762.27038961039</c:v>
                </c:pt>
                <c:pt idx="17">
                  <c:v>768.551038961039</c:v>
                </c:pt>
                <c:pt idx="18">
                  <c:v>774.831688311688</c:v>
                </c:pt>
                <c:pt idx="19">
                  <c:v>781.112337662337</c:v>
                </c:pt>
                <c:pt idx="20">
                  <c:v>787.392987012987</c:v>
                </c:pt>
                <c:pt idx="21">
                  <c:v>793.673636363636</c:v>
                </c:pt>
                <c:pt idx="22">
                  <c:v>799.954285714286</c:v>
                </c:pt>
                <c:pt idx="23">
                  <c:v>806.234935064935</c:v>
                </c:pt>
                <c:pt idx="24">
                  <c:v>812.515584415585</c:v>
                </c:pt>
                <c:pt idx="25">
                  <c:v>818.796233766233</c:v>
                </c:pt>
                <c:pt idx="26">
                  <c:v>825.076883116883</c:v>
                </c:pt>
                <c:pt idx="27">
                  <c:v>831.357532467532</c:v>
                </c:pt>
                <c:pt idx="28">
                  <c:v>837.638181818182</c:v>
                </c:pt>
                <c:pt idx="29">
                  <c:v>843.918831168831</c:v>
                </c:pt>
                <c:pt idx="30">
                  <c:v>850.199480519481</c:v>
                </c:pt>
                <c:pt idx="31">
                  <c:v>856.48012987013</c:v>
                </c:pt>
                <c:pt idx="32">
                  <c:v>862.760779220779</c:v>
                </c:pt>
                <c:pt idx="33">
                  <c:v>869.041428571428</c:v>
                </c:pt>
                <c:pt idx="34">
                  <c:v>875.322077922078</c:v>
                </c:pt>
                <c:pt idx="35">
                  <c:v>881.602727272727</c:v>
                </c:pt>
                <c:pt idx="36">
                  <c:v>887.883376623377</c:v>
                </c:pt>
                <c:pt idx="37">
                  <c:v>894.164025974026</c:v>
                </c:pt>
                <c:pt idx="38">
                  <c:v>900.444675324676</c:v>
                </c:pt>
                <c:pt idx="39">
                  <c:v>906.725324675324</c:v>
                </c:pt>
                <c:pt idx="40">
                  <c:v>913.005974025974</c:v>
                </c:pt>
                <c:pt idx="41">
                  <c:v>919.286623376623</c:v>
                </c:pt>
                <c:pt idx="42">
                  <c:v>925.567272727273</c:v>
                </c:pt>
                <c:pt idx="43">
                  <c:v>931.847922077922</c:v>
                </c:pt>
                <c:pt idx="44">
                  <c:v>938.128571428572</c:v>
                </c:pt>
                <c:pt idx="45">
                  <c:v>944.409220779221</c:v>
                </c:pt>
                <c:pt idx="46">
                  <c:v>950.68987012987</c:v>
                </c:pt>
                <c:pt idx="47">
                  <c:v>956.970519480519</c:v>
                </c:pt>
                <c:pt idx="48">
                  <c:v>963.251168831169</c:v>
                </c:pt>
                <c:pt idx="49">
                  <c:v>969.531818181818</c:v>
                </c:pt>
                <c:pt idx="50">
                  <c:v>975.812467532468</c:v>
                </c:pt>
                <c:pt idx="51">
                  <c:v>982.093116883117</c:v>
                </c:pt>
                <c:pt idx="52">
                  <c:v>988.373766233767</c:v>
                </c:pt>
                <c:pt idx="53">
                  <c:v>994.654415584415</c:v>
                </c:pt>
                <c:pt idx="54">
                  <c:v>1000.93506493507</c:v>
                </c:pt>
                <c:pt idx="55">
                  <c:v>1007.21571428571</c:v>
                </c:pt>
                <c:pt idx="56">
                  <c:v>1013.49636363636</c:v>
                </c:pt>
                <c:pt idx="57">
                  <c:v>1019.77701298701</c:v>
                </c:pt>
                <c:pt idx="58">
                  <c:v>1026.05766233766</c:v>
                </c:pt>
                <c:pt idx="59">
                  <c:v>1032.33831168831</c:v>
                </c:pt>
                <c:pt idx="60">
                  <c:v>1038.61896103896</c:v>
                </c:pt>
                <c:pt idx="61">
                  <c:v>1044.89961038961</c:v>
                </c:pt>
                <c:pt idx="62">
                  <c:v>1051.18025974026</c:v>
                </c:pt>
                <c:pt idx="63">
                  <c:v>1057.46090909091</c:v>
                </c:pt>
                <c:pt idx="64">
                  <c:v>1063.74155844156</c:v>
                </c:pt>
                <c:pt idx="65">
                  <c:v>1070.02220779221</c:v>
                </c:pt>
                <c:pt idx="66">
                  <c:v>1076.30285714286</c:v>
                </c:pt>
                <c:pt idx="67">
                  <c:v>1082.58350649351</c:v>
                </c:pt>
                <c:pt idx="68">
                  <c:v>1088.86415584416</c:v>
                </c:pt>
                <c:pt idx="69">
                  <c:v>1095.14480519481</c:v>
                </c:pt>
                <c:pt idx="70">
                  <c:v>1101.42545454546</c:v>
                </c:pt>
                <c:pt idx="71">
                  <c:v>1107.7061038961</c:v>
                </c:pt>
                <c:pt idx="72">
                  <c:v>1113.98675324675</c:v>
                </c:pt>
                <c:pt idx="73">
                  <c:v>1120.2674025974</c:v>
                </c:pt>
                <c:pt idx="74">
                  <c:v>1126.54805194805</c:v>
                </c:pt>
                <c:pt idx="75">
                  <c:v>1132.8287012987</c:v>
                </c:pt>
                <c:pt idx="76">
                  <c:v>1139.10935064935</c:v>
                </c:pt>
                <c:pt idx="77">
                  <c:v>1145.39</c:v>
                </c:pt>
                <c:pt idx="78">
                  <c:v>1151.67064935065</c:v>
                </c:pt>
                <c:pt idx="79">
                  <c:v>1157.9512987013</c:v>
                </c:pt>
                <c:pt idx="80">
                  <c:v>1164.23194805195</c:v>
                </c:pt>
                <c:pt idx="81">
                  <c:v>1170.5125974026</c:v>
                </c:pt>
                <c:pt idx="82">
                  <c:v>1176.79324675325</c:v>
                </c:pt>
                <c:pt idx="83">
                  <c:v>1183.0738961039</c:v>
                </c:pt>
                <c:pt idx="84">
                  <c:v>1189.35454545455</c:v>
                </c:pt>
                <c:pt idx="85">
                  <c:v>1195.63519480519</c:v>
                </c:pt>
                <c:pt idx="86">
                  <c:v>1201.91584415584</c:v>
                </c:pt>
                <c:pt idx="87">
                  <c:v>1208.19649350649</c:v>
                </c:pt>
                <c:pt idx="88">
                  <c:v>1214.47714285714</c:v>
                </c:pt>
                <c:pt idx="89">
                  <c:v>1220.75779220779</c:v>
                </c:pt>
                <c:pt idx="90">
                  <c:v>1227.03844155844</c:v>
                </c:pt>
                <c:pt idx="91">
                  <c:v>1233.31909090909</c:v>
                </c:pt>
                <c:pt idx="92">
                  <c:v>1239.59974025974</c:v>
                </c:pt>
                <c:pt idx="93">
                  <c:v>1245.88038961039</c:v>
                </c:pt>
                <c:pt idx="94">
                  <c:v>1252.16103896104</c:v>
                </c:pt>
                <c:pt idx="95">
                  <c:v>1258.44168831169</c:v>
                </c:pt>
                <c:pt idx="96">
                  <c:v>1264.72233766234</c:v>
                </c:pt>
                <c:pt idx="97">
                  <c:v>1271.00298701299</c:v>
                </c:pt>
                <c:pt idx="98">
                  <c:v>1277.28363636364</c:v>
                </c:pt>
                <c:pt idx="99">
                  <c:v>1283.56428571429</c:v>
                </c:pt>
                <c:pt idx="100">
                  <c:v>1289.84493506493</c:v>
                </c:pt>
                <c:pt idx="101">
                  <c:v>1296.12558441558</c:v>
                </c:pt>
                <c:pt idx="102">
                  <c:v>1302.40623376623</c:v>
                </c:pt>
                <c:pt idx="103">
                  <c:v>1308.68688311688</c:v>
                </c:pt>
                <c:pt idx="104">
                  <c:v>1314.96753246753</c:v>
                </c:pt>
                <c:pt idx="105">
                  <c:v>1321.24818181818</c:v>
                </c:pt>
                <c:pt idx="106">
                  <c:v>1327.52883116883</c:v>
                </c:pt>
                <c:pt idx="107">
                  <c:v>1333.80948051948</c:v>
                </c:pt>
                <c:pt idx="108">
                  <c:v>1340.09012987013</c:v>
                </c:pt>
                <c:pt idx="109">
                  <c:v>1346.37077922078</c:v>
                </c:pt>
                <c:pt idx="110">
                  <c:v>1352.65142857143</c:v>
                </c:pt>
                <c:pt idx="111">
                  <c:v>1358.93207792208</c:v>
                </c:pt>
                <c:pt idx="112">
                  <c:v>1365.21272727273</c:v>
                </c:pt>
                <c:pt idx="113">
                  <c:v>1371.49337662338</c:v>
                </c:pt>
                <c:pt idx="114">
                  <c:v>1377.77402597403</c:v>
                </c:pt>
                <c:pt idx="115">
                  <c:v>1384.05467532468</c:v>
                </c:pt>
                <c:pt idx="116">
                  <c:v>1390.33532467532</c:v>
                </c:pt>
                <c:pt idx="117">
                  <c:v>1396.61597402597</c:v>
                </c:pt>
                <c:pt idx="118">
                  <c:v>1402.89662337662</c:v>
                </c:pt>
                <c:pt idx="119">
                  <c:v>1409.17727272727</c:v>
                </c:pt>
                <c:pt idx="120">
                  <c:v>1415.45792207792</c:v>
                </c:pt>
                <c:pt idx="121">
                  <c:v>1421.73857142857</c:v>
                </c:pt>
                <c:pt idx="122">
                  <c:v>1428.01922077922</c:v>
                </c:pt>
                <c:pt idx="123">
                  <c:v>1434.29987012987</c:v>
                </c:pt>
                <c:pt idx="124">
                  <c:v>1440.58051948052</c:v>
                </c:pt>
                <c:pt idx="125">
                  <c:v>1446.86116883117</c:v>
                </c:pt>
                <c:pt idx="126">
                  <c:v>1453.14181818182</c:v>
                </c:pt>
                <c:pt idx="127">
                  <c:v>1459.42246753247</c:v>
                </c:pt>
                <c:pt idx="128">
                  <c:v>1465.70311688312</c:v>
                </c:pt>
                <c:pt idx="129">
                  <c:v>1471.98376623377</c:v>
                </c:pt>
                <c:pt idx="130">
                  <c:v>1478.26441558442</c:v>
                </c:pt>
                <c:pt idx="131">
                  <c:v>1484.54506493507</c:v>
                </c:pt>
                <c:pt idx="132">
                  <c:v>1490.82571428571</c:v>
                </c:pt>
                <c:pt idx="133">
                  <c:v>1497.10636363636</c:v>
                </c:pt>
                <c:pt idx="134">
                  <c:v>1503.38701298701</c:v>
                </c:pt>
                <c:pt idx="135">
                  <c:v>1509.66766233766</c:v>
                </c:pt>
                <c:pt idx="136">
                  <c:v>1515.94831168831</c:v>
                </c:pt>
                <c:pt idx="137">
                  <c:v>1522.22896103896</c:v>
                </c:pt>
                <c:pt idx="138">
                  <c:v>1528.50961038961</c:v>
                </c:pt>
                <c:pt idx="139">
                  <c:v>1534.79025974026</c:v>
                </c:pt>
                <c:pt idx="140">
                  <c:v>1541.07090909091</c:v>
                </c:pt>
                <c:pt idx="141">
                  <c:v>1547.35155844156</c:v>
                </c:pt>
                <c:pt idx="142">
                  <c:v>1553.63220779221</c:v>
                </c:pt>
                <c:pt idx="143">
                  <c:v>1559.91285714286</c:v>
                </c:pt>
                <c:pt idx="144">
                  <c:v>1566.19350649351</c:v>
                </c:pt>
                <c:pt idx="145">
                  <c:v>1572.47415584416</c:v>
                </c:pt>
                <c:pt idx="146">
                  <c:v>1578.75480519481</c:v>
                </c:pt>
                <c:pt idx="147">
                  <c:v>1585.03545454546</c:v>
                </c:pt>
                <c:pt idx="148">
                  <c:v>1591.3161038961</c:v>
                </c:pt>
                <c:pt idx="149">
                  <c:v>1597.59675324675</c:v>
                </c:pt>
                <c:pt idx="150">
                  <c:v>1603.8774025974</c:v>
                </c:pt>
                <c:pt idx="151">
                  <c:v>1610.15805194805</c:v>
                </c:pt>
                <c:pt idx="152">
                  <c:v>1616.4387012987</c:v>
                </c:pt>
                <c:pt idx="153">
                  <c:v>1622.71935064935</c:v>
                </c:pt>
                <c:pt idx="154">
                  <c:v>1629</c:v>
                </c:pt>
              </c:numCache>
            </c:numRef>
          </c:val>
          <c:smooth val="0"/>
        </c:ser>
        <c:hiLowLines>
          <c:spPr>
            <a:ln w="0">
              <a:noFill/>
            </a:ln>
          </c:spPr>
        </c:hiLowLines>
        <c:marker val="0"/>
        <c:axId val="20399201"/>
        <c:axId val="52263354"/>
      </c:lineChart>
      <c:dateAx>
        <c:axId val="2914635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6174534"/>
        <c:auto val="1"/>
        <c:lblOffset val="100"/>
        <c:baseTimeUnit val="days"/>
      </c:dateAx>
      <c:valAx>
        <c:axId val="3617453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9146355"/>
        <c:crosses val="autoZero"/>
        <c:crossBetween val="between"/>
      </c:valAx>
      <c:dateAx>
        <c:axId val="2039920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2263354"/>
        <c:auto val="1"/>
        <c:lblOffset val="100"/>
        <c:baseTimeUnit val="days"/>
      </c:dateAx>
      <c:valAx>
        <c:axId val="5226335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039920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AVGO</a:t>
            </a:r>
          </a:p>
        </c:rich>
      </c:tx>
      <c:overlay val="0"/>
      <c:spPr>
        <a:noFill/>
        <a:ln w="0">
          <a:noFill/>
        </a:ln>
      </c:spPr>
    </c:title>
    <c:autoTitleDeleted val="0"/>
    <c:plotArea>
      <c:barChart>
        <c:barDir val="col"/>
        <c:grouping val="clustered"/>
        <c:varyColors val="0"/>
        <c:ser>
          <c:idx val="0"/>
          <c:order val="0"/>
          <c:tx>
            <c:strRef>
              <c:f>'Returns (Calc)'!$E$2</c:f>
              <c:strCache>
                <c:ptCount val="1"/>
                <c:pt idx="0">
                  <c:v>AVGO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(Calc)'!$E$3:$E$157</c:f>
              <c:numCache>
                <c:formatCode>0.0%</c:formatCode>
                <c:ptCount val="155"/>
                <c:pt idx="0">
                  <c:v>-0.0048204386599181</c:v>
                </c:pt>
                <c:pt idx="1">
                  <c:v>0.0314846209736015</c:v>
                </c:pt>
                <c:pt idx="2">
                  <c:v>0.0243014792204741</c:v>
                </c:pt>
                <c:pt idx="3">
                  <c:v>-0.0170773638968481</c:v>
                </c:pt>
                <c:pt idx="4">
                  <c:v>-0.00687966417910457</c:v>
                </c:pt>
                <c:pt idx="5">
                  <c:v>-0.0265351649641893</c:v>
                </c:pt>
                <c:pt idx="6">
                  <c:v>0.00180919068869856</c:v>
                </c:pt>
                <c:pt idx="7">
                  <c:v>0.0176980496026968</c:v>
                </c:pt>
                <c:pt idx="8">
                  <c:v>0.0448361528451438</c:v>
                </c:pt>
                <c:pt idx="9">
                  <c:v>-0.0335144927536232</c:v>
                </c:pt>
                <c:pt idx="10">
                  <c:v>-0.0178069353327085</c:v>
                </c:pt>
                <c:pt idx="11">
                  <c:v>0.0528387404580153</c:v>
                </c:pt>
                <c:pt idx="12">
                  <c:v>0.0847400022657756</c:v>
                </c:pt>
                <c:pt idx="13">
                  <c:v>0.0210966057441253</c:v>
                </c:pt>
                <c:pt idx="14">
                  <c:v>0.00122737035900578</c:v>
                </c:pt>
                <c:pt idx="15">
                  <c:v>-0.0499540300337114</c:v>
                </c:pt>
                <c:pt idx="16">
                  <c:v>0.0153763440860215</c:v>
                </c:pt>
                <c:pt idx="17">
                  <c:v>0.19633591019803</c:v>
                </c:pt>
                <c:pt idx="18">
                  <c:v>-0.00681596884128521</c:v>
                </c:pt>
                <c:pt idx="19">
                  <c:v>-0.00508021390374336</c:v>
                </c:pt>
                <c:pt idx="20">
                  <c:v>-0.060019707963809</c:v>
                </c:pt>
                <c:pt idx="21">
                  <c:v>0.0556561517201943</c:v>
                </c:pt>
                <c:pt idx="22">
                  <c:v>0.0934368511329784</c:v>
                </c:pt>
                <c:pt idx="23">
                  <c:v>-0.00520145310435938</c:v>
                </c:pt>
                <c:pt idx="24">
                  <c:v>0.0161009212382772</c:v>
                </c:pt>
                <c:pt idx="25">
                  <c:v>0.0482724822347465</c:v>
                </c:pt>
                <c:pt idx="26">
                  <c:v>-0.0295309334580023</c:v>
                </c:pt>
                <c:pt idx="27">
                  <c:v>0.0408671216378964</c:v>
                </c:pt>
                <c:pt idx="28">
                  <c:v>0.0792965134217833</c:v>
                </c:pt>
                <c:pt idx="29">
                  <c:v>-0.0646798170383075</c:v>
                </c:pt>
                <c:pt idx="30">
                  <c:v>-0.0559333689921296</c:v>
                </c:pt>
                <c:pt idx="31">
                  <c:v>0.0955078915418859</c:v>
                </c:pt>
                <c:pt idx="32">
                  <c:v>-0.0207609900258589</c:v>
                </c:pt>
                <c:pt idx="33">
                  <c:v>0.0105628489512601</c:v>
                </c:pt>
                <c:pt idx="34">
                  <c:v>0.00350903389577417</c:v>
                </c:pt>
                <c:pt idx="35">
                  <c:v>-0.103712521389777</c:v>
                </c:pt>
                <c:pt idx="36">
                  <c:v>0.115713455632108</c:v>
                </c:pt>
                <c:pt idx="37">
                  <c:v>-0.049103489323711</c:v>
                </c:pt>
                <c:pt idx="38">
                  <c:v>0.0427979031374697</c:v>
                </c:pt>
                <c:pt idx="39">
                  <c:v>0.0468937575030013</c:v>
                </c:pt>
                <c:pt idx="40">
                  <c:v>0.00895864688597436</c:v>
                </c:pt>
                <c:pt idx="41">
                  <c:v>-0.0563290240090922</c:v>
                </c:pt>
                <c:pt idx="42">
                  <c:v>0.0587881068874672</c:v>
                </c:pt>
                <c:pt idx="43">
                  <c:v>0.233470780605716</c:v>
                </c:pt>
                <c:pt idx="44">
                  <c:v>-0.0440345821325647</c:v>
                </c:pt>
                <c:pt idx="45">
                  <c:v>-0.0320149523694683</c:v>
                </c:pt>
                <c:pt idx="46">
                  <c:v>0.0609156026160074</c:v>
                </c:pt>
                <c:pt idx="47">
                  <c:v>-0.00152644865848661</c:v>
                </c:pt>
                <c:pt idx="48">
                  <c:v>-0.0747927324043041</c:v>
                </c:pt>
                <c:pt idx="49">
                  <c:v>-0.0363520813473149</c:v>
                </c:pt>
                <c:pt idx="50">
                  <c:v>-0.0515069577260436</c:v>
                </c:pt>
                <c:pt idx="51">
                  <c:v>0.03087192323738</c:v>
                </c:pt>
                <c:pt idx="52">
                  <c:v>0.117766086604614</c:v>
                </c:pt>
                <c:pt idx="53">
                  <c:v>0.00386193579531757</c:v>
                </c:pt>
                <c:pt idx="54">
                  <c:v>-0.0212791536427027</c:v>
                </c:pt>
                <c:pt idx="55">
                  <c:v>-0.158580027023707</c:v>
                </c:pt>
                <c:pt idx="56">
                  <c:v>0.224014598540146</c:v>
                </c:pt>
                <c:pt idx="57">
                  <c:v>0.0203351422267279</c:v>
                </c:pt>
                <c:pt idx="58">
                  <c:v>0.00929281122150782</c:v>
                </c:pt>
                <c:pt idx="59">
                  <c:v>0.0228733568822745</c:v>
                </c:pt>
                <c:pt idx="60">
                  <c:v>0.0274003623188406</c:v>
                </c:pt>
                <c:pt idx="61">
                  <c:v>-0.00876129601057973</c:v>
                </c:pt>
                <c:pt idx="62">
                  <c:v>-0.0383011840569236</c:v>
                </c:pt>
                <c:pt idx="63">
                  <c:v>-0.0235838150289018</c:v>
                </c:pt>
                <c:pt idx="64">
                  <c:v>0.0871418422922092</c:v>
                </c:pt>
                <c:pt idx="65">
                  <c:v>-0.102374210411675</c:v>
                </c:pt>
                <c:pt idx="66">
                  <c:v>-0.00370055811696202</c:v>
                </c:pt>
                <c:pt idx="67">
                  <c:v>-0.0130913962126284</c:v>
                </c:pt>
                <c:pt idx="68">
                  <c:v>0.107662882527147</c:v>
                </c:pt>
                <c:pt idx="69">
                  <c:v>0.252158413635604</c:v>
                </c:pt>
                <c:pt idx="70">
                  <c:v>-0.0178380782918151</c:v>
                </c:pt>
                <c:pt idx="71">
                  <c:v>0.0949318356809639</c:v>
                </c:pt>
                <c:pt idx="72">
                  <c:v>-0.0380558428128232</c:v>
                </c:pt>
                <c:pt idx="73">
                  <c:v>-0.0354332401634058</c:v>
                </c:pt>
                <c:pt idx="74">
                  <c:v>0.0585350630823414</c:v>
                </c:pt>
                <c:pt idx="75">
                  <c:v>0.0305761455525606</c:v>
                </c:pt>
                <c:pt idx="76">
                  <c:v>-0.0957498978340825</c:v>
                </c:pt>
                <c:pt idx="77">
                  <c:v>0.0162697157319112</c:v>
                </c:pt>
                <c:pt idx="78">
                  <c:v>0.0363321029928403</c:v>
                </c:pt>
                <c:pt idx="79">
                  <c:v>-0.0617061448678339</c:v>
                </c:pt>
                <c:pt idx="80">
                  <c:v>-0.0879447544132442</c:v>
                </c:pt>
                <c:pt idx="81">
                  <c:v>-0.0224138795567367</c:v>
                </c:pt>
                <c:pt idx="82">
                  <c:v>0.00297496922445628</c:v>
                </c:pt>
                <c:pt idx="83">
                  <c:v>-0.0198424874705943</c:v>
                </c:pt>
                <c:pt idx="84">
                  <c:v>-0.117604090577064</c:v>
                </c:pt>
                <c:pt idx="85">
                  <c:v>-0.134992904446547</c:v>
                </c:pt>
                <c:pt idx="86">
                  <c:v>0.243694032401395</c:v>
                </c:pt>
                <c:pt idx="87">
                  <c:v>-0.0601846762669012</c:v>
                </c:pt>
                <c:pt idx="88">
                  <c:v>0.12468565413182</c:v>
                </c:pt>
                <c:pt idx="89">
                  <c:v>0.0589152930164838</c:v>
                </c:pt>
                <c:pt idx="90">
                  <c:v>0.0223924572775487</c:v>
                </c:pt>
                <c:pt idx="91">
                  <c:v>0.098030739673391</c:v>
                </c:pt>
                <c:pt idx="92">
                  <c:v>0.000481168802764387</c:v>
                </c:pt>
                <c:pt idx="93">
                  <c:v>0.0583683105981112</c:v>
                </c:pt>
                <c:pt idx="94">
                  <c:v>0.0200768372784732</c:v>
                </c:pt>
                <c:pt idx="95">
                  <c:v>0.00716802332644861</c:v>
                </c:pt>
                <c:pt idx="96">
                  <c:v>0.00518697225572984</c:v>
                </c:pt>
                <c:pt idx="97">
                  <c:v>0.0774430977239091</c:v>
                </c:pt>
                <c:pt idx="98">
                  <c:v>0.0216447002041953</c:v>
                </c:pt>
                <c:pt idx="99">
                  <c:v>-0.00290718802238543</c:v>
                </c:pt>
                <c:pt idx="100">
                  <c:v>0.0326554413586995</c:v>
                </c:pt>
                <c:pt idx="101">
                  <c:v>0.0241406084562716</c:v>
                </c:pt>
                <c:pt idx="102">
                  <c:v>-0.00530705079605764</c:v>
                </c:pt>
                <c:pt idx="103">
                  <c:v>0.0565756651884701</c:v>
                </c:pt>
                <c:pt idx="104">
                  <c:v>0.00449224513886604</c:v>
                </c:pt>
                <c:pt idx="105">
                  <c:v>-0.0402820395638832</c:v>
                </c:pt>
                <c:pt idx="106">
                  <c:v>0.0115306122448979</c:v>
                </c:pt>
                <c:pt idx="107">
                  <c:v>0.126097044285282</c:v>
                </c:pt>
                <c:pt idx="108">
                  <c:v>0.0745916569619876</c:v>
                </c:pt>
                <c:pt idx="109">
                  <c:v>-0.0414872037124517</c:v>
                </c:pt>
                <c:pt idx="110">
                  <c:v>-0.0301791615933207</c:v>
                </c:pt>
                <c:pt idx="111">
                  <c:v>0.0114787911398082</c:v>
                </c:pt>
                <c:pt idx="112">
                  <c:v>-0.0406064367408459</c:v>
                </c:pt>
                <c:pt idx="113">
                  <c:v>0.0760866216923883</c:v>
                </c:pt>
                <c:pt idx="114">
                  <c:v>0.0137405891277589</c:v>
                </c:pt>
                <c:pt idx="115">
                  <c:v>0.0437692372857426</c:v>
                </c:pt>
                <c:pt idx="116">
                  <c:v>-0.054649243838433</c:v>
                </c:pt>
                <c:pt idx="117">
                  <c:v>-0.0199467704547407</c:v>
                </c:pt>
                <c:pt idx="118">
                  <c:v>-0.00659931086842258</c:v>
                </c:pt>
                <c:pt idx="119">
                  <c:v>0.184479717813051</c:v>
                </c:pt>
                <c:pt idx="120">
                  <c:v>-0.0315664085765336</c:v>
                </c:pt>
                <c:pt idx="121">
                  <c:v>-0.077670151701517</c:v>
                </c:pt>
                <c:pt idx="122">
                  <c:v>-0.05437168338288</c:v>
                </c:pt>
                <c:pt idx="123">
                  <c:v>0.0345810318486308</c:v>
                </c:pt>
                <c:pt idx="124">
                  <c:v>-0.012807769857723</c:v>
                </c:pt>
                <c:pt idx="125">
                  <c:v>-0.00762326678557035</c:v>
                </c:pt>
                <c:pt idx="126">
                  <c:v>0.0195379308345651</c:v>
                </c:pt>
                <c:pt idx="127">
                  <c:v>-0.090017343834409</c:v>
                </c:pt>
                <c:pt idx="128">
                  <c:v>0.0351507576941104</c:v>
                </c:pt>
                <c:pt idx="129">
                  <c:v>0.00488982795049808</c:v>
                </c:pt>
                <c:pt idx="130">
                  <c:v>-0.0232788657935841</c:v>
                </c:pt>
                <c:pt idx="131">
                  <c:v>0.0230033520927513</c:v>
                </c:pt>
                <c:pt idx="132">
                  <c:v>-0.0393807304975198</c:v>
                </c:pt>
                <c:pt idx="133">
                  <c:v>0.0342043498670004</c:v>
                </c:pt>
                <c:pt idx="134">
                  <c:v>-0.0251755022996852</c:v>
                </c:pt>
                <c:pt idx="135">
                  <c:v>-0.0361621554507078</c:v>
                </c:pt>
                <c:pt idx="136">
                  <c:v>-0.0316575955685807</c:v>
                </c:pt>
                <c:pt idx="137">
                  <c:v>0.0461287747771717</c:v>
                </c:pt>
                <c:pt idx="138">
                  <c:v>0.181211254172628</c:v>
                </c:pt>
                <c:pt idx="139">
                  <c:v>0.0941730588076974</c:v>
                </c:pt>
                <c:pt idx="140">
                  <c:v>0.0398976730457026</c:v>
                </c:pt>
                <c:pt idx="141">
                  <c:v>-0.00350080423881172</c:v>
                </c:pt>
                <c:pt idx="142">
                  <c:v>0.0206988226357767</c:v>
                </c:pt>
                <c:pt idx="143">
                  <c:v>-0.0111860465116279</c:v>
                </c:pt>
                <c:pt idx="144">
                  <c:v>-0.0259883816646675</c:v>
                </c:pt>
                <c:pt idx="145">
                  <c:v>0.0787897812333993</c:v>
                </c:pt>
                <c:pt idx="146">
                  <c:v>-0.136625109116548</c:v>
                </c:pt>
                <c:pt idx="147">
                  <c:v>-0.00948850232027587</c:v>
                </c:pt>
                <c:pt idx="148">
                  <c:v>0.0766351715654201</c:v>
                </c:pt>
                <c:pt idx="149">
                  <c:v>-0.112629147927556</c:v>
                </c:pt>
                <c:pt idx="150">
                  <c:v>-0.0125198619253739</c:v>
                </c:pt>
                <c:pt idx="151">
                  <c:v>0.109640726869191</c:v>
                </c:pt>
                <c:pt idx="152">
                  <c:v>-0.0728554641598121</c:v>
                </c:pt>
                <c:pt idx="153">
                  <c:v>0.0299058867944881</c:v>
                </c:pt>
                <c:pt idx="154">
                  <c:v>0.0192710515291159</c:v>
                </c:pt>
              </c:numCache>
            </c:numRef>
          </c:val>
        </c:ser>
        <c:gapWidth val="150"/>
        <c:overlap val="0"/>
        <c:axId val="22224065"/>
        <c:axId val="31317488"/>
      </c:barChart>
      <c:lineChart>
        <c:grouping val="standard"/>
        <c:varyColors val="0"/>
        <c:ser>
          <c:idx val="1"/>
          <c:order val="1"/>
          <c:tx>
            <c:strRef>
              <c:f>'Returns (Calc)'!$Z$2</c:f>
              <c:strCache>
                <c:ptCount val="1"/>
                <c:pt idx="0">
                  <c:v>AVGO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(Calc)'!$Z$3:$Z$157</c:f>
              <c:numCache>
                <c:formatCode>#,##0.00</c:formatCode>
                <c:ptCount val="155"/>
                <c:pt idx="0">
                  <c:v>82.98</c:v>
                </c:pt>
                <c:pt idx="1">
                  <c:v>84.968961038961</c:v>
                </c:pt>
                <c:pt idx="2">
                  <c:v>86.9579220779221</c:v>
                </c:pt>
                <c:pt idx="3">
                  <c:v>88.9468831168831</c:v>
                </c:pt>
                <c:pt idx="4">
                  <c:v>90.9358441558442</c:v>
                </c:pt>
                <c:pt idx="5">
                  <c:v>92.9248051948052</c:v>
                </c:pt>
                <c:pt idx="6">
                  <c:v>94.9137662337663</c:v>
                </c:pt>
                <c:pt idx="7">
                  <c:v>96.9027272727273</c:v>
                </c:pt>
                <c:pt idx="8">
                  <c:v>98.8916883116883</c:v>
                </c:pt>
                <c:pt idx="9">
                  <c:v>100.880649350649</c:v>
                </c:pt>
                <c:pt idx="10">
                  <c:v>102.86961038961</c:v>
                </c:pt>
                <c:pt idx="11">
                  <c:v>104.858571428571</c:v>
                </c:pt>
                <c:pt idx="12">
                  <c:v>106.847532467532</c:v>
                </c:pt>
                <c:pt idx="13">
                  <c:v>108.836493506494</c:v>
                </c:pt>
                <c:pt idx="14">
                  <c:v>110.825454545455</c:v>
                </c:pt>
                <c:pt idx="15">
                  <c:v>112.814415584416</c:v>
                </c:pt>
                <c:pt idx="16">
                  <c:v>114.803376623377</c:v>
                </c:pt>
                <c:pt idx="17">
                  <c:v>116.792337662338</c:v>
                </c:pt>
                <c:pt idx="18">
                  <c:v>118.781298701299</c:v>
                </c:pt>
                <c:pt idx="19">
                  <c:v>120.77025974026</c:v>
                </c:pt>
                <c:pt idx="20">
                  <c:v>122.759220779221</c:v>
                </c:pt>
                <c:pt idx="21">
                  <c:v>124.748181818182</c:v>
                </c:pt>
                <c:pt idx="22">
                  <c:v>126.737142857143</c:v>
                </c:pt>
                <c:pt idx="23">
                  <c:v>128.726103896104</c:v>
                </c:pt>
                <c:pt idx="24">
                  <c:v>130.715064935065</c:v>
                </c:pt>
                <c:pt idx="25">
                  <c:v>132.704025974026</c:v>
                </c:pt>
                <c:pt idx="26">
                  <c:v>134.692987012987</c:v>
                </c:pt>
                <c:pt idx="27">
                  <c:v>136.681948051948</c:v>
                </c:pt>
                <c:pt idx="28">
                  <c:v>138.670909090909</c:v>
                </c:pt>
                <c:pt idx="29">
                  <c:v>140.65987012987</c:v>
                </c:pt>
                <c:pt idx="30">
                  <c:v>142.648831168831</c:v>
                </c:pt>
                <c:pt idx="31">
                  <c:v>144.637792207792</c:v>
                </c:pt>
                <c:pt idx="32">
                  <c:v>146.626753246753</c:v>
                </c:pt>
                <c:pt idx="33">
                  <c:v>148.615714285714</c:v>
                </c:pt>
                <c:pt idx="34">
                  <c:v>150.604675324675</c:v>
                </c:pt>
                <c:pt idx="35">
                  <c:v>152.593636363636</c:v>
                </c:pt>
                <c:pt idx="36">
                  <c:v>154.582597402597</c:v>
                </c:pt>
                <c:pt idx="37">
                  <c:v>156.571558441558</c:v>
                </c:pt>
                <c:pt idx="38">
                  <c:v>158.56051948052</c:v>
                </c:pt>
                <c:pt idx="39">
                  <c:v>160.54948051948</c:v>
                </c:pt>
                <c:pt idx="40">
                  <c:v>162.538441558442</c:v>
                </c:pt>
                <c:pt idx="41">
                  <c:v>164.527402597403</c:v>
                </c:pt>
                <c:pt idx="42">
                  <c:v>166.516363636364</c:v>
                </c:pt>
                <c:pt idx="43">
                  <c:v>168.505324675325</c:v>
                </c:pt>
                <c:pt idx="44">
                  <c:v>170.494285714286</c:v>
                </c:pt>
                <c:pt idx="45">
                  <c:v>172.483246753247</c:v>
                </c:pt>
                <c:pt idx="46">
                  <c:v>174.472207792208</c:v>
                </c:pt>
                <c:pt idx="47">
                  <c:v>176.461168831169</c:v>
                </c:pt>
                <c:pt idx="48">
                  <c:v>178.45012987013</c:v>
                </c:pt>
                <c:pt idx="49">
                  <c:v>180.439090909091</c:v>
                </c:pt>
                <c:pt idx="50">
                  <c:v>182.428051948052</c:v>
                </c:pt>
                <c:pt idx="51">
                  <c:v>184.417012987013</c:v>
                </c:pt>
                <c:pt idx="52">
                  <c:v>186.405974025974</c:v>
                </c:pt>
                <c:pt idx="53">
                  <c:v>188.394935064935</c:v>
                </c:pt>
                <c:pt idx="54">
                  <c:v>190.383896103896</c:v>
                </c:pt>
                <c:pt idx="55">
                  <c:v>192.372857142857</c:v>
                </c:pt>
                <c:pt idx="56">
                  <c:v>194.361818181818</c:v>
                </c:pt>
                <c:pt idx="57">
                  <c:v>196.350779220779</c:v>
                </c:pt>
                <c:pt idx="58">
                  <c:v>198.33974025974</c:v>
                </c:pt>
                <c:pt idx="59">
                  <c:v>200.328701298701</c:v>
                </c:pt>
                <c:pt idx="60">
                  <c:v>202.317662337662</c:v>
                </c:pt>
                <c:pt idx="61">
                  <c:v>204.306623376623</c:v>
                </c:pt>
                <c:pt idx="62">
                  <c:v>206.295584415585</c:v>
                </c:pt>
                <c:pt idx="63">
                  <c:v>208.284545454545</c:v>
                </c:pt>
                <c:pt idx="64">
                  <c:v>210.273506493507</c:v>
                </c:pt>
                <c:pt idx="65">
                  <c:v>212.262467532468</c:v>
                </c:pt>
                <c:pt idx="66">
                  <c:v>214.251428571429</c:v>
                </c:pt>
                <c:pt idx="67">
                  <c:v>216.24038961039</c:v>
                </c:pt>
                <c:pt idx="68">
                  <c:v>218.229350649351</c:v>
                </c:pt>
                <c:pt idx="69">
                  <c:v>220.218311688312</c:v>
                </c:pt>
                <c:pt idx="70">
                  <c:v>222.207272727273</c:v>
                </c:pt>
                <c:pt idx="71">
                  <c:v>224.196233766234</c:v>
                </c:pt>
                <c:pt idx="72">
                  <c:v>226.185194805195</c:v>
                </c:pt>
                <c:pt idx="73">
                  <c:v>228.174155844156</c:v>
                </c:pt>
                <c:pt idx="74">
                  <c:v>230.163116883117</c:v>
                </c:pt>
                <c:pt idx="75">
                  <c:v>232.152077922078</c:v>
                </c:pt>
                <c:pt idx="76">
                  <c:v>234.141038961039</c:v>
                </c:pt>
                <c:pt idx="77">
                  <c:v>236.13</c:v>
                </c:pt>
                <c:pt idx="78">
                  <c:v>238.118961038961</c:v>
                </c:pt>
                <c:pt idx="79">
                  <c:v>240.107922077922</c:v>
                </c:pt>
                <c:pt idx="80">
                  <c:v>242.096883116883</c:v>
                </c:pt>
                <c:pt idx="81">
                  <c:v>244.085844155844</c:v>
                </c:pt>
                <c:pt idx="82">
                  <c:v>246.074805194805</c:v>
                </c:pt>
                <c:pt idx="83">
                  <c:v>248.063766233766</c:v>
                </c:pt>
                <c:pt idx="84">
                  <c:v>250.052727272727</c:v>
                </c:pt>
                <c:pt idx="85">
                  <c:v>252.041688311688</c:v>
                </c:pt>
                <c:pt idx="86">
                  <c:v>254.030649350649</c:v>
                </c:pt>
                <c:pt idx="87">
                  <c:v>256.01961038961</c:v>
                </c:pt>
                <c:pt idx="88">
                  <c:v>258.008571428571</c:v>
                </c:pt>
                <c:pt idx="89">
                  <c:v>259.997532467532</c:v>
                </c:pt>
                <c:pt idx="90">
                  <c:v>261.986493506493</c:v>
                </c:pt>
                <c:pt idx="91">
                  <c:v>263.975454545455</c:v>
                </c:pt>
                <c:pt idx="92">
                  <c:v>265.964415584415</c:v>
                </c:pt>
                <c:pt idx="93">
                  <c:v>267.953376623377</c:v>
                </c:pt>
                <c:pt idx="94">
                  <c:v>269.942337662338</c:v>
                </c:pt>
                <c:pt idx="95">
                  <c:v>271.931298701299</c:v>
                </c:pt>
                <c:pt idx="96">
                  <c:v>273.92025974026</c:v>
                </c:pt>
                <c:pt idx="97">
                  <c:v>275.909220779221</c:v>
                </c:pt>
                <c:pt idx="98">
                  <c:v>277.898181818182</c:v>
                </c:pt>
                <c:pt idx="99">
                  <c:v>279.887142857143</c:v>
                </c:pt>
                <c:pt idx="100">
                  <c:v>281.876103896104</c:v>
                </c:pt>
                <c:pt idx="101">
                  <c:v>283.865064935065</c:v>
                </c:pt>
                <c:pt idx="102">
                  <c:v>285.854025974026</c:v>
                </c:pt>
                <c:pt idx="103">
                  <c:v>287.842987012987</c:v>
                </c:pt>
                <c:pt idx="104">
                  <c:v>289.831948051948</c:v>
                </c:pt>
                <c:pt idx="105">
                  <c:v>291.820909090909</c:v>
                </c:pt>
                <c:pt idx="106">
                  <c:v>293.80987012987</c:v>
                </c:pt>
                <c:pt idx="107">
                  <c:v>295.798831168831</c:v>
                </c:pt>
                <c:pt idx="108">
                  <c:v>297.787792207792</c:v>
                </c:pt>
                <c:pt idx="109">
                  <c:v>299.776753246753</c:v>
                </c:pt>
                <c:pt idx="110">
                  <c:v>301.765714285714</c:v>
                </c:pt>
                <c:pt idx="111">
                  <c:v>303.754675324675</c:v>
                </c:pt>
                <c:pt idx="112">
                  <c:v>305.743636363636</c:v>
                </c:pt>
                <c:pt idx="113">
                  <c:v>307.732597402597</c:v>
                </c:pt>
                <c:pt idx="114">
                  <c:v>309.721558441558</c:v>
                </c:pt>
                <c:pt idx="115">
                  <c:v>311.71051948052</c:v>
                </c:pt>
                <c:pt idx="116">
                  <c:v>313.69948051948</c:v>
                </c:pt>
                <c:pt idx="117">
                  <c:v>315.688441558442</c:v>
                </c:pt>
                <c:pt idx="118">
                  <c:v>317.677402597403</c:v>
                </c:pt>
                <c:pt idx="119">
                  <c:v>319.666363636364</c:v>
                </c:pt>
                <c:pt idx="120">
                  <c:v>321.655324675325</c:v>
                </c:pt>
                <c:pt idx="121">
                  <c:v>323.644285714286</c:v>
                </c:pt>
                <c:pt idx="122">
                  <c:v>325.633246753247</c:v>
                </c:pt>
                <c:pt idx="123">
                  <c:v>327.622207792208</c:v>
                </c:pt>
                <c:pt idx="124">
                  <c:v>329.611168831169</c:v>
                </c:pt>
                <c:pt idx="125">
                  <c:v>331.60012987013</c:v>
                </c:pt>
                <c:pt idx="126">
                  <c:v>333.589090909091</c:v>
                </c:pt>
                <c:pt idx="127">
                  <c:v>335.578051948052</c:v>
                </c:pt>
                <c:pt idx="128">
                  <c:v>337.567012987013</c:v>
                </c:pt>
                <c:pt idx="129">
                  <c:v>339.555974025974</c:v>
                </c:pt>
                <c:pt idx="130">
                  <c:v>341.544935064935</c:v>
                </c:pt>
                <c:pt idx="131">
                  <c:v>343.533896103896</c:v>
                </c:pt>
                <c:pt idx="132">
                  <c:v>345.522857142857</c:v>
                </c:pt>
                <c:pt idx="133">
                  <c:v>347.511818181818</c:v>
                </c:pt>
                <c:pt idx="134">
                  <c:v>349.500779220779</c:v>
                </c:pt>
                <c:pt idx="135">
                  <c:v>351.48974025974</c:v>
                </c:pt>
                <c:pt idx="136">
                  <c:v>353.478701298701</c:v>
                </c:pt>
                <c:pt idx="137">
                  <c:v>355.467662337662</c:v>
                </c:pt>
                <c:pt idx="138">
                  <c:v>357.456623376623</c:v>
                </c:pt>
                <c:pt idx="139">
                  <c:v>359.445584415585</c:v>
                </c:pt>
                <c:pt idx="140">
                  <c:v>361.434545454545</c:v>
                </c:pt>
                <c:pt idx="141">
                  <c:v>363.423506493507</c:v>
                </c:pt>
                <c:pt idx="142">
                  <c:v>365.412467532468</c:v>
                </c:pt>
                <c:pt idx="143">
                  <c:v>367.401428571429</c:v>
                </c:pt>
                <c:pt idx="144">
                  <c:v>369.39038961039</c:v>
                </c:pt>
                <c:pt idx="145">
                  <c:v>371.379350649351</c:v>
                </c:pt>
                <c:pt idx="146">
                  <c:v>373.368311688312</c:v>
                </c:pt>
                <c:pt idx="147">
                  <c:v>375.357272727273</c:v>
                </c:pt>
                <c:pt idx="148">
                  <c:v>377.346233766234</c:v>
                </c:pt>
                <c:pt idx="149">
                  <c:v>379.335194805195</c:v>
                </c:pt>
                <c:pt idx="150">
                  <c:v>381.324155844156</c:v>
                </c:pt>
                <c:pt idx="151">
                  <c:v>383.313116883117</c:v>
                </c:pt>
                <c:pt idx="152">
                  <c:v>385.302077922078</c:v>
                </c:pt>
                <c:pt idx="153">
                  <c:v>387.291038961039</c:v>
                </c:pt>
                <c:pt idx="154">
                  <c:v>389.28</c:v>
                </c:pt>
              </c:numCache>
            </c:numRef>
          </c:val>
          <c:smooth val="0"/>
        </c:ser>
        <c:hiLowLines>
          <c:spPr>
            <a:ln w="0">
              <a:noFill/>
            </a:ln>
          </c:spPr>
        </c:hiLowLines>
        <c:marker val="0"/>
        <c:axId val="57213050"/>
        <c:axId val="43839265"/>
      </c:lineChart>
      <c:dateAx>
        <c:axId val="2222406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1317488"/>
        <c:auto val="1"/>
        <c:lblOffset val="100"/>
        <c:baseTimeUnit val="days"/>
      </c:dateAx>
      <c:valAx>
        <c:axId val="3131748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2224065"/>
        <c:crosses val="autoZero"/>
        <c:crossBetween val="between"/>
      </c:valAx>
      <c:dateAx>
        <c:axId val="5721305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3839265"/>
        <c:auto val="1"/>
        <c:lblOffset val="100"/>
        <c:baseTimeUnit val="days"/>
      </c:dateAx>
      <c:valAx>
        <c:axId val="4383926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721305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CRWD</a:t>
            </a:r>
          </a:p>
        </c:rich>
      </c:tx>
      <c:overlay val="0"/>
      <c:spPr>
        <a:noFill/>
        <a:ln w="0">
          <a:noFill/>
        </a:ln>
      </c:spPr>
    </c:title>
    <c:autoTitleDeleted val="0"/>
    <c:plotArea>
      <c:barChart>
        <c:barDir val="col"/>
        <c:grouping val="clustered"/>
        <c:varyColors val="0"/>
        <c:ser>
          <c:idx val="0"/>
          <c:order val="0"/>
          <c:tx>
            <c:strRef>
              <c:f>'Returns (Calc)'!$F$2</c:f>
              <c:strCache>
                <c:ptCount val="1"/>
                <c:pt idx="0">
                  <c:v>CRWD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(Calc)'!$F$3:$F$157</c:f>
              <c:numCache>
                <c:formatCode>0.0%</c:formatCode>
                <c:ptCount val="155"/>
                <c:pt idx="0">
                  <c:v>-0.00971397733405288</c:v>
                </c:pt>
                <c:pt idx="1">
                  <c:v>0.0190735694822888</c:v>
                </c:pt>
                <c:pt idx="2">
                  <c:v>0.0778074866310161</c:v>
                </c:pt>
                <c:pt idx="3">
                  <c:v>0.0424212354254527</c:v>
                </c:pt>
                <c:pt idx="4">
                  <c:v>-0.0157068062827226</c:v>
                </c:pt>
                <c:pt idx="5">
                  <c:v>-0.0174081237911025</c:v>
                </c:pt>
                <c:pt idx="6">
                  <c:v>0.0297736220472442</c:v>
                </c:pt>
                <c:pt idx="7">
                  <c:v>0.055436081242533</c:v>
                </c:pt>
                <c:pt idx="8">
                  <c:v>0.0511659497396422</c:v>
                </c:pt>
                <c:pt idx="9">
                  <c:v>-0.0374757699763084</c:v>
                </c:pt>
                <c:pt idx="10">
                  <c:v>-0.0331170284179906</c:v>
                </c:pt>
                <c:pt idx="11">
                  <c:v>0.0890997454292988</c:v>
                </c:pt>
                <c:pt idx="12">
                  <c:v>0.0429239269018273</c:v>
                </c:pt>
                <c:pt idx="13">
                  <c:v>0.0548084759576204</c:v>
                </c:pt>
                <c:pt idx="14">
                  <c:v>0.0173845856673749</c:v>
                </c:pt>
                <c:pt idx="15">
                  <c:v>0.115625593316879</c:v>
                </c:pt>
                <c:pt idx="16">
                  <c:v>0.0319945541184479</c:v>
                </c:pt>
                <c:pt idx="17">
                  <c:v>0.0722295514511873</c:v>
                </c:pt>
                <c:pt idx="18">
                  <c:v>-0.0170716702553061</c:v>
                </c:pt>
                <c:pt idx="19">
                  <c:v>-0.00125176028790486</c:v>
                </c:pt>
                <c:pt idx="20">
                  <c:v>-0.0307065643114524</c:v>
                </c:pt>
                <c:pt idx="21">
                  <c:v>0.144981412639405</c:v>
                </c:pt>
                <c:pt idx="22">
                  <c:v>0.0254093732354601</c:v>
                </c:pt>
                <c:pt idx="23">
                  <c:v>-0.000825991189427389</c:v>
                </c:pt>
                <c:pt idx="24">
                  <c:v>0.0456048498208874</c:v>
                </c:pt>
                <c:pt idx="25">
                  <c:v>0.0849914349716696</c:v>
                </c:pt>
                <c:pt idx="26">
                  <c:v>-0.000364342968180775</c:v>
                </c:pt>
                <c:pt idx="27">
                  <c:v>-0.0539424128295468</c:v>
                </c:pt>
                <c:pt idx="28">
                  <c:v>0.010016694490818</c:v>
                </c:pt>
                <c:pt idx="29">
                  <c:v>0.0261919898283534</c:v>
                </c:pt>
                <c:pt idx="30">
                  <c:v>-0.0223020691364143</c:v>
                </c:pt>
                <c:pt idx="31">
                  <c:v>0.0378912685337727</c:v>
                </c:pt>
                <c:pt idx="32">
                  <c:v>-0.0213675213675214</c:v>
                </c:pt>
                <c:pt idx="33">
                  <c:v>-0.015845290081098</c:v>
                </c:pt>
                <c:pt idx="34">
                  <c:v>-0.0205375253549694</c:v>
                </c:pt>
                <c:pt idx="35">
                  <c:v>-0.0854258348433861</c:v>
                </c:pt>
                <c:pt idx="36">
                  <c:v>0.0758562128502689</c:v>
                </c:pt>
                <c:pt idx="37">
                  <c:v>0.0201262825572217</c:v>
                </c:pt>
                <c:pt idx="38">
                  <c:v>0.0340425531914894</c:v>
                </c:pt>
                <c:pt idx="39">
                  <c:v>0.0784387080683378</c:v>
                </c:pt>
                <c:pt idx="40">
                  <c:v>0.0160730804810361</c:v>
                </c:pt>
                <c:pt idx="41">
                  <c:v>-0.107545237282349</c:v>
                </c:pt>
                <c:pt idx="42">
                  <c:v>0.112981382300434</c:v>
                </c:pt>
                <c:pt idx="43">
                  <c:v>0.104032997250229</c:v>
                </c:pt>
                <c:pt idx="44">
                  <c:v>-0.0124533001245331</c:v>
                </c:pt>
                <c:pt idx="45">
                  <c:v>0.00672551492223628</c:v>
                </c:pt>
                <c:pt idx="46">
                  <c:v>0.016910229645094</c:v>
                </c:pt>
                <c:pt idx="47">
                  <c:v>-0.0471155820160132</c:v>
                </c:pt>
                <c:pt idx="48">
                  <c:v>-0.178713777873532</c:v>
                </c:pt>
                <c:pt idx="49">
                  <c:v>-0.160020986358867</c:v>
                </c:pt>
                <c:pt idx="50">
                  <c:v>-0.149437851342911</c:v>
                </c:pt>
                <c:pt idx="51">
                  <c:v>0.105746282357261</c:v>
                </c:pt>
                <c:pt idx="52">
                  <c:v>0.0898223476672755</c:v>
                </c:pt>
                <c:pt idx="53">
                  <c:v>0.0342778793418648</c:v>
                </c:pt>
                <c:pt idx="54">
                  <c:v>0.0210634850493445</c:v>
                </c:pt>
                <c:pt idx="55">
                  <c:v>-0.11136757068667</c:v>
                </c:pt>
                <c:pt idx="56">
                  <c:v>0.0516233766233767</c:v>
                </c:pt>
                <c:pt idx="57">
                  <c:v>0.157147267675208</c:v>
                </c:pt>
                <c:pt idx="58">
                  <c:v>-0.0465581643543223</c:v>
                </c:pt>
                <c:pt idx="59">
                  <c:v>0.0222470966839234</c:v>
                </c:pt>
                <c:pt idx="60">
                  <c:v>0.0956747878456064</c:v>
                </c:pt>
                <c:pt idx="61">
                  <c:v>-0.0313554028732042</c:v>
                </c:pt>
                <c:pt idx="62">
                  <c:v>-0.0306938354397731</c:v>
                </c:pt>
                <c:pt idx="63">
                  <c:v>0.00824906865353925</c:v>
                </c:pt>
                <c:pt idx="64">
                  <c:v>0.0888097123251519</c:v>
                </c:pt>
                <c:pt idx="65">
                  <c:v>0.020361168343231</c:v>
                </c:pt>
                <c:pt idx="66">
                  <c:v>0.10547570970424</c:v>
                </c:pt>
                <c:pt idx="67">
                  <c:v>-0.070699473514559</c:v>
                </c:pt>
                <c:pt idx="68">
                  <c:v>0.0568851890391953</c:v>
                </c:pt>
                <c:pt idx="69">
                  <c:v>0.00656383327863486</c:v>
                </c:pt>
                <c:pt idx="70">
                  <c:v>-0.0156504727746986</c:v>
                </c:pt>
                <c:pt idx="71">
                  <c:v>-0.0200949541790879</c:v>
                </c:pt>
                <c:pt idx="72">
                  <c:v>0.0113802816901409</c:v>
                </c:pt>
                <c:pt idx="73">
                  <c:v>-0.0284090909090911</c:v>
                </c:pt>
                <c:pt idx="74">
                  <c:v>0.0233918128654971</c:v>
                </c:pt>
                <c:pt idx="75">
                  <c:v>0.0501960784313726</c:v>
                </c:pt>
                <c:pt idx="76">
                  <c:v>0.0617731782780326</c:v>
                </c:pt>
                <c:pt idx="77">
                  <c:v>0.0590836012861737</c:v>
                </c:pt>
                <c:pt idx="78">
                  <c:v>0.0715370018975332</c:v>
                </c:pt>
                <c:pt idx="79">
                  <c:v>-0.0997874977864353</c:v>
                </c:pt>
                <c:pt idx="80">
                  <c:v>-0.0418019081341595</c:v>
                </c:pt>
                <c:pt idx="81">
                  <c:v>-0.144118250872511</c:v>
                </c:pt>
                <c:pt idx="82">
                  <c:v>0.0605660829935237</c:v>
                </c:pt>
                <c:pt idx="83">
                  <c:v>0.0240868483546308</c:v>
                </c:pt>
                <c:pt idx="84">
                  <c:v>-0.0141342756183745</c:v>
                </c:pt>
                <c:pt idx="85">
                  <c:v>-0.0993503584229392</c:v>
                </c:pt>
                <c:pt idx="86">
                  <c:v>0.174978236537744</c:v>
                </c:pt>
                <c:pt idx="87">
                  <c:v>-0.00603302286198149</c:v>
                </c:pt>
                <c:pt idx="88">
                  <c:v>0.131082951762326</c:v>
                </c:pt>
                <c:pt idx="89">
                  <c:v>0.0369986819807946</c:v>
                </c:pt>
                <c:pt idx="90">
                  <c:v>-0.0681797548797095</c:v>
                </c:pt>
                <c:pt idx="91">
                  <c:v>0.0699532346063911</c:v>
                </c:pt>
                <c:pt idx="92">
                  <c:v>0.0371517027863779</c:v>
                </c:pt>
                <c:pt idx="93">
                  <c:v>0.0345917471466197</c:v>
                </c:pt>
                <c:pt idx="94">
                  <c:v>-0.00627970128988464</c:v>
                </c:pt>
                <c:pt idx="95">
                  <c:v>0.026131511528608</c:v>
                </c:pt>
                <c:pt idx="96">
                  <c:v>-0.00898801597869503</c:v>
                </c:pt>
                <c:pt idx="97">
                  <c:v>0.0482868659724556</c:v>
                </c:pt>
                <c:pt idx="98">
                  <c:v>0.029640310822719</c:v>
                </c:pt>
                <c:pt idx="99">
                  <c:v>-0.0694001400451256</c:v>
                </c:pt>
                <c:pt idx="100">
                  <c:v>-0.00518351308419029</c:v>
                </c:pt>
                <c:pt idx="101">
                  <c:v>-0.0168921758130934</c:v>
                </c:pt>
                <c:pt idx="102">
                  <c:v>-0.0453923747649171</c:v>
                </c:pt>
                <c:pt idx="103">
                  <c:v>-0.0497000089549565</c:v>
                </c:pt>
                <c:pt idx="104">
                  <c:v>0.00810403316999619</c:v>
                </c:pt>
                <c:pt idx="105">
                  <c:v>-0.0171994765376706</c:v>
                </c:pt>
                <c:pt idx="106">
                  <c:v>0.00751379113562867</c:v>
                </c:pt>
                <c:pt idx="107">
                  <c:v>-0.0143490984612481</c:v>
                </c:pt>
                <c:pt idx="108">
                  <c:v>0.0442486351882003</c:v>
                </c:pt>
                <c:pt idx="109">
                  <c:v>0.152343391727048</c:v>
                </c:pt>
                <c:pt idx="110">
                  <c:v>-0.0420248328557784</c:v>
                </c:pt>
                <c:pt idx="111">
                  <c:v>0.0175307411100034</c:v>
                </c:pt>
                <c:pt idx="112">
                  <c:v>0.00775700171470573</c:v>
                </c:pt>
                <c:pt idx="113">
                  <c:v>-0.0183114568141306</c:v>
                </c:pt>
                <c:pt idx="114">
                  <c:v>0.0880653681082868</c:v>
                </c:pt>
                <c:pt idx="115">
                  <c:v>0.029735265114162</c:v>
                </c:pt>
                <c:pt idx="116">
                  <c:v>-0.00589318600368327</c:v>
                </c:pt>
                <c:pt idx="117">
                  <c:v>-0.00414968506854396</c:v>
                </c:pt>
                <c:pt idx="118">
                  <c:v>-0.0872088697075675</c:v>
                </c:pt>
                <c:pt idx="119">
                  <c:v>0.0376620200538029</c:v>
                </c:pt>
                <c:pt idx="120">
                  <c:v>0.00565637520622198</c:v>
                </c:pt>
                <c:pt idx="121">
                  <c:v>-0.0141395203499726</c:v>
                </c:pt>
                <c:pt idx="122">
                  <c:v>-0.0465927099841522</c:v>
                </c:pt>
                <c:pt idx="123">
                  <c:v>-0.000166223404255317</c:v>
                </c:pt>
                <c:pt idx="124">
                  <c:v>-0.057356608478803</c:v>
                </c:pt>
                <c:pt idx="125">
                  <c:v>0.0374779541446209</c:v>
                </c:pt>
                <c:pt idx="126">
                  <c:v>-0.0355291117722057</c:v>
                </c:pt>
                <c:pt idx="127">
                  <c:v>-0.00308451573103019</c:v>
                </c:pt>
                <c:pt idx="128">
                  <c:v>-0.0244872701555871</c:v>
                </c:pt>
                <c:pt idx="129">
                  <c:v>-0.103942002718623</c:v>
                </c:pt>
                <c:pt idx="130">
                  <c:v>0.0862661812297736</c:v>
                </c:pt>
                <c:pt idx="131">
                  <c:v>-0.0955218322316357</c:v>
                </c:pt>
                <c:pt idx="132">
                  <c:v>-0.042717447246526</c:v>
                </c:pt>
                <c:pt idx="133">
                  <c:v>0.153225806451613</c:v>
                </c:pt>
                <c:pt idx="134">
                  <c:v>0.0298368298368299</c:v>
                </c:pt>
                <c:pt idx="135">
                  <c:v>-0.0742417383431417</c:v>
                </c:pt>
                <c:pt idx="136">
                  <c:v>-0.0963325183374083</c:v>
                </c:pt>
                <c:pt idx="137">
                  <c:v>0.0798701298701299</c:v>
                </c:pt>
                <c:pt idx="138">
                  <c:v>-0.0503106835037082</c:v>
                </c:pt>
                <c:pt idx="139">
                  <c:v>0.118509919797383</c:v>
                </c:pt>
                <c:pt idx="140">
                  <c:v>0.0569865081611474</c:v>
                </c:pt>
                <c:pt idx="141">
                  <c:v>0.0167812193162544</c:v>
                </c:pt>
                <c:pt idx="142">
                  <c:v>0.158282854885436</c:v>
                </c:pt>
                <c:pt idx="143">
                  <c:v>0.12566318023344</c:v>
                </c:pt>
                <c:pt idx="144">
                  <c:v>0.116819283598169</c:v>
                </c:pt>
                <c:pt idx="145">
                  <c:v>0.10176644360041</c:v>
                </c:pt>
                <c:pt idx="146">
                  <c:v>-0.0820246238030097</c:v>
                </c:pt>
                <c:pt idx="147">
                  <c:v>0.0175250357653791</c:v>
                </c:pt>
                <c:pt idx="148">
                  <c:v>0.00304628002343299</c:v>
                </c:pt>
                <c:pt idx="149">
                  <c:v>0.0236537787641631</c:v>
                </c:pt>
                <c:pt idx="150">
                  <c:v>0.106749586352485</c:v>
                </c:pt>
                <c:pt idx="151">
                  <c:v>-0.0350551603258067</c:v>
                </c:pt>
                <c:pt idx="152">
                  <c:v>0.0849449727534994</c:v>
                </c:pt>
                <c:pt idx="153">
                  <c:v>-0.0974985227496553</c:v>
                </c:pt>
                <c:pt idx="154">
                  <c:v>0.0413574858140551</c:v>
                </c:pt>
              </c:numCache>
            </c:numRef>
          </c:val>
        </c:ser>
        <c:gapWidth val="150"/>
        <c:overlap val="0"/>
        <c:axId val="12976003"/>
        <c:axId val="7094458"/>
      </c:barChart>
      <c:lineChart>
        <c:grouping val="standard"/>
        <c:varyColors val="0"/>
        <c:ser>
          <c:idx val="1"/>
          <c:order val="1"/>
          <c:tx>
            <c:strRef>
              <c:f>'Returns (Calc)'!$AA$2</c:f>
              <c:strCache>
                <c:ptCount val="1"/>
                <c:pt idx="0">
                  <c:v>CRWD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(Calc)'!$AA$3:$AA$157</c:f>
              <c:numCache>
                <c:formatCode>#,##0.00</c:formatCode>
                <c:ptCount val="155"/>
                <c:pt idx="0">
                  <c:v>37.06</c:v>
                </c:pt>
                <c:pt idx="1">
                  <c:v>38.0587012987013</c:v>
                </c:pt>
                <c:pt idx="2">
                  <c:v>39.0574025974026</c:v>
                </c:pt>
                <c:pt idx="3">
                  <c:v>40.0561038961039</c:v>
                </c:pt>
                <c:pt idx="4">
                  <c:v>41.0548051948052</c:v>
                </c:pt>
                <c:pt idx="5">
                  <c:v>42.0535064935065</c:v>
                </c:pt>
                <c:pt idx="6">
                  <c:v>43.0522077922078</c:v>
                </c:pt>
                <c:pt idx="7">
                  <c:v>44.0509090909091</c:v>
                </c:pt>
                <c:pt idx="8">
                  <c:v>45.0496103896104</c:v>
                </c:pt>
                <c:pt idx="9">
                  <c:v>46.0483116883117</c:v>
                </c:pt>
                <c:pt idx="10">
                  <c:v>47.047012987013</c:v>
                </c:pt>
                <c:pt idx="11">
                  <c:v>48.0457142857143</c:v>
                </c:pt>
                <c:pt idx="12">
                  <c:v>49.0444155844156</c:v>
                </c:pt>
                <c:pt idx="13">
                  <c:v>50.0431168831169</c:v>
                </c:pt>
                <c:pt idx="14">
                  <c:v>51.0418181818182</c:v>
                </c:pt>
                <c:pt idx="15">
                  <c:v>52.0405194805195</c:v>
                </c:pt>
                <c:pt idx="16">
                  <c:v>53.0392207792208</c:v>
                </c:pt>
                <c:pt idx="17">
                  <c:v>54.037922077922</c:v>
                </c:pt>
                <c:pt idx="18">
                  <c:v>55.0366233766234</c:v>
                </c:pt>
                <c:pt idx="19">
                  <c:v>56.0353246753246</c:v>
                </c:pt>
                <c:pt idx="20">
                  <c:v>57.034025974026</c:v>
                </c:pt>
                <c:pt idx="21">
                  <c:v>58.0327272727272</c:v>
                </c:pt>
                <c:pt idx="22">
                  <c:v>59.0314285714286</c:v>
                </c:pt>
                <c:pt idx="23">
                  <c:v>60.0301298701298</c:v>
                </c:pt>
                <c:pt idx="24">
                  <c:v>61.0288311688312</c:v>
                </c:pt>
                <c:pt idx="25">
                  <c:v>62.0275324675324</c:v>
                </c:pt>
                <c:pt idx="26">
                  <c:v>63.0262337662338</c:v>
                </c:pt>
                <c:pt idx="27">
                  <c:v>64.024935064935</c:v>
                </c:pt>
                <c:pt idx="28">
                  <c:v>65.0236363636364</c:v>
                </c:pt>
                <c:pt idx="29">
                  <c:v>66.0223376623376</c:v>
                </c:pt>
                <c:pt idx="30">
                  <c:v>67.021038961039</c:v>
                </c:pt>
                <c:pt idx="31">
                  <c:v>68.0197402597402</c:v>
                </c:pt>
                <c:pt idx="32">
                  <c:v>69.0184415584416</c:v>
                </c:pt>
                <c:pt idx="33">
                  <c:v>70.0171428571428</c:v>
                </c:pt>
                <c:pt idx="34">
                  <c:v>71.0158441558442</c:v>
                </c:pt>
                <c:pt idx="35">
                  <c:v>72.0145454545454</c:v>
                </c:pt>
                <c:pt idx="36">
                  <c:v>73.0132467532468</c:v>
                </c:pt>
                <c:pt idx="37">
                  <c:v>74.011948051948</c:v>
                </c:pt>
                <c:pt idx="38">
                  <c:v>75.0106493506494</c:v>
                </c:pt>
                <c:pt idx="39">
                  <c:v>76.0093506493506</c:v>
                </c:pt>
                <c:pt idx="40">
                  <c:v>77.008051948052</c:v>
                </c:pt>
                <c:pt idx="41">
                  <c:v>78.0067532467532</c:v>
                </c:pt>
                <c:pt idx="42">
                  <c:v>79.0054545454546</c:v>
                </c:pt>
                <c:pt idx="43">
                  <c:v>80.0041558441558</c:v>
                </c:pt>
                <c:pt idx="44">
                  <c:v>81.0028571428572</c:v>
                </c:pt>
                <c:pt idx="45">
                  <c:v>82.0015584415584</c:v>
                </c:pt>
                <c:pt idx="46">
                  <c:v>83.0002597402598</c:v>
                </c:pt>
                <c:pt idx="47">
                  <c:v>83.998961038961</c:v>
                </c:pt>
                <c:pt idx="48">
                  <c:v>84.9976623376624</c:v>
                </c:pt>
                <c:pt idx="49">
                  <c:v>85.9963636363636</c:v>
                </c:pt>
                <c:pt idx="50">
                  <c:v>86.995064935065</c:v>
                </c:pt>
                <c:pt idx="51">
                  <c:v>87.9937662337662</c:v>
                </c:pt>
                <c:pt idx="52">
                  <c:v>88.9924675324676</c:v>
                </c:pt>
                <c:pt idx="53">
                  <c:v>89.9911688311688</c:v>
                </c:pt>
                <c:pt idx="54">
                  <c:v>90.9898701298702</c:v>
                </c:pt>
                <c:pt idx="55">
                  <c:v>91.9885714285714</c:v>
                </c:pt>
                <c:pt idx="56">
                  <c:v>92.9872727272728</c:v>
                </c:pt>
                <c:pt idx="57">
                  <c:v>93.985974025974</c:v>
                </c:pt>
                <c:pt idx="58">
                  <c:v>94.9846753246754</c:v>
                </c:pt>
                <c:pt idx="59">
                  <c:v>95.9833766233766</c:v>
                </c:pt>
                <c:pt idx="60">
                  <c:v>96.982077922078</c:v>
                </c:pt>
                <c:pt idx="61">
                  <c:v>97.9807792207792</c:v>
                </c:pt>
                <c:pt idx="62">
                  <c:v>98.9794805194806</c:v>
                </c:pt>
                <c:pt idx="63">
                  <c:v>99.9781818181818</c:v>
                </c:pt>
                <c:pt idx="64">
                  <c:v>100.976883116883</c:v>
                </c:pt>
                <c:pt idx="65">
                  <c:v>101.975584415584</c:v>
                </c:pt>
                <c:pt idx="66">
                  <c:v>102.974285714286</c:v>
                </c:pt>
                <c:pt idx="67">
                  <c:v>103.972987012987</c:v>
                </c:pt>
                <c:pt idx="68">
                  <c:v>104.971688311688</c:v>
                </c:pt>
                <c:pt idx="69">
                  <c:v>105.97038961039</c:v>
                </c:pt>
                <c:pt idx="70">
                  <c:v>106.969090909091</c:v>
                </c:pt>
                <c:pt idx="71">
                  <c:v>107.967792207792</c:v>
                </c:pt>
                <c:pt idx="72">
                  <c:v>108.966493506494</c:v>
                </c:pt>
                <c:pt idx="73">
                  <c:v>109.965194805195</c:v>
                </c:pt>
                <c:pt idx="74">
                  <c:v>110.963896103896</c:v>
                </c:pt>
                <c:pt idx="75">
                  <c:v>111.962597402597</c:v>
                </c:pt>
                <c:pt idx="76">
                  <c:v>112.961298701299</c:v>
                </c:pt>
                <c:pt idx="77">
                  <c:v>113.96</c:v>
                </c:pt>
                <c:pt idx="78">
                  <c:v>114.958701298701</c:v>
                </c:pt>
                <c:pt idx="79">
                  <c:v>115.957402597403</c:v>
                </c:pt>
                <c:pt idx="80">
                  <c:v>116.956103896104</c:v>
                </c:pt>
                <c:pt idx="81">
                  <c:v>117.954805194805</c:v>
                </c:pt>
                <c:pt idx="82">
                  <c:v>118.953506493506</c:v>
                </c:pt>
                <c:pt idx="83">
                  <c:v>119.952207792208</c:v>
                </c:pt>
                <c:pt idx="84">
                  <c:v>120.950909090909</c:v>
                </c:pt>
                <c:pt idx="85">
                  <c:v>121.94961038961</c:v>
                </c:pt>
                <c:pt idx="86">
                  <c:v>122.948311688312</c:v>
                </c:pt>
                <c:pt idx="87">
                  <c:v>123.947012987013</c:v>
                </c:pt>
                <c:pt idx="88">
                  <c:v>124.945714285714</c:v>
                </c:pt>
                <c:pt idx="89">
                  <c:v>125.944415584416</c:v>
                </c:pt>
                <c:pt idx="90">
                  <c:v>126.943116883117</c:v>
                </c:pt>
                <c:pt idx="91">
                  <c:v>127.941818181818</c:v>
                </c:pt>
                <c:pt idx="92">
                  <c:v>128.940519480519</c:v>
                </c:pt>
                <c:pt idx="93">
                  <c:v>129.939220779221</c:v>
                </c:pt>
                <c:pt idx="94">
                  <c:v>130.937922077922</c:v>
                </c:pt>
                <c:pt idx="95">
                  <c:v>131.936623376623</c:v>
                </c:pt>
                <c:pt idx="96">
                  <c:v>132.935324675325</c:v>
                </c:pt>
                <c:pt idx="97">
                  <c:v>133.934025974026</c:v>
                </c:pt>
                <c:pt idx="98">
                  <c:v>134.932727272727</c:v>
                </c:pt>
                <c:pt idx="99">
                  <c:v>135.931428571429</c:v>
                </c:pt>
                <c:pt idx="100">
                  <c:v>136.93012987013</c:v>
                </c:pt>
                <c:pt idx="101">
                  <c:v>137.928831168831</c:v>
                </c:pt>
                <c:pt idx="102">
                  <c:v>138.927532467532</c:v>
                </c:pt>
                <c:pt idx="103">
                  <c:v>139.926233766234</c:v>
                </c:pt>
                <c:pt idx="104">
                  <c:v>140.924935064935</c:v>
                </c:pt>
                <c:pt idx="105">
                  <c:v>141.923636363636</c:v>
                </c:pt>
                <c:pt idx="106">
                  <c:v>142.922337662338</c:v>
                </c:pt>
                <c:pt idx="107">
                  <c:v>143.921038961039</c:v>
                </c:pt>
                <c:pt idx="108">
                  <c:v>144.91974025974</c:v>
                </c:pt>
                <c:pt idx="109">
                  <c:v>145.918441558442</c:v>
                </c:pt>
                <c:pt idx="110">
                  <c:v>146.917142857143</c:v>
                </c:pt>
                <c:pt idx="111">
                  <c:v>147.915844155844</c:v>
                </c:pt>
                <c:pt idx="112">
                  <c:v>148.914545454545</c:v>
                </c:pt>
                <c:pt idx="113">
                  <c:v>149.913246753247</c:v>
                </c:pt>
                <c:pt idx="114">
                  <c:v>150.911948051948</c:v>
                </c:pt>
                <c:pt idx="115">
                  <c:v>151.910649350649</c:v>
                </c:pt>
                <c:pt idx="116">
                  <c:v>152.909350649351</c:v>
                </c:pt>
                <c:pt idx="117">
                  <c:v>153.908051948052</c:v>
                </c:pt>
                <c:pt idx="118">
                  <c:v>154.906753246753</c:v>
                </c:pt>
                <c:pt idx="119">
                  <c:v>155.905454545455</c:v>
                </c:pt>
                <c:pt idx="120">
                  <c:v>156.904155844156</c:v>
                </c:pt>
                <c:pt idx="121">
                  <c:v>157.902857142857</c:v>
                </c:pt>
                <c:pt idx="122">
                  <c:v>158.901558441558</c:v>
                </c:pt>
                <c:pt idx="123">
                  <c:v>159.90025974026</c:v>
                </c:pt>
                <c:pt idx="124">
                  <c:v>160.898961038961</c:v>
                </c:pt>
                <c:pt idx="125">
                  <c:v>161.897662337662</c:v>
                </c:pt>
                <c:pt idx="126">
                  <c:v>162.896363636364</c:v>
                </c:pt>
                <c:pt idx="127">
                  <c:v>163.895064935065</c:v>
                </c:pt>
                <c:pt idx="128">
                  <c:v>164.893766233766</c:v>
                </c:pt>
                <c:pt idx="129">
                  <c:v>165.892467532468</c:v>
                </c:pt>
                <c:pt idx="130">
                  <c:v>166.891168831169</c:v>
                </c:pt>
                <c:pt idx="131">
                  <c:v>167.88987012987</c:v>
                </c:pt>
                <c:pt idx="132">
                  <c:v>168.888571428571</c:v>
                </c:pt>
                <c:pt idx="133">
                  <c:v>169.887272727273</c:v>
                </c:pt>
                <c:pt idx="134">
                  <c:v>170.885974025974</c:v>
                </c:pt>
                <c:pt idx="135">
                  <c:v>171.884675324675</c:v>
                </c:pt>
                <c:pt idx="136">
                  <c:v>172.883376623377</c:v>
                </c:pt>
                <c:pt idx="137">
                  <c:v>173.882077922078</c:v>
                </c:pt>
                <c:pt idx="138">
                  <c:v>174.880779220779</c:v>
                </c:pt>
                <c:pt idx="139">
                  <c:v>175.879480519481</c:v>
                </c:pt>
                <c:pt idx="140">
                  <c:v>176.878181818182</c:v>
                </c:pt>
                <c:pt idx="141">
                  <c:v>177.876883116883</c:v>
                </c:pt>
                <c:pt idx="142">
                  <c:v>178.875584415584</c:v>
                </c:pt>
                <c:pt idx="143">
                  <c:v>179.874285714286</c:v>
                </c:pt>
                <c:pt idx="144">
                  <c:v>180.872987012987</c:v>
                </c:pt>
                <c:pt idx="145">
                  <c:v>181.871688311688</c:v>
                </c:pt>
                <c:pt idx="146">
                  <c:v>182.87038961039</c:v>
                </c:pt>
                <c:pt idx="147">
                  <c:v>183.869090909091</c:v>
                </c:pt>
                <c:pt idx="148">
                  <c:v>184.867792207792</c:v>
                </c:pt>
                <c:pt idx="149">
                  <c:v>185.866493506494</c:v>
                </c:pt>
                <c:pt idx="150">
                  <c:v>186.865194805195</c:v>
                </c:pt>
                <c:pt idx="151">
                  <c:v>187.863896103896</c:v>
                </c:pt>
                <c:pt idx="152">
                  <c:v>188.862597402597</c:v>
                </c:pt>
                <c:pt idx="153">
                  <c:v>189.861298701299</c:v>
                </c:pt>
                <c:pt idx="154">
                  <c:v>190.86</c:v>
                </c:pt>
              </c:numCache>
            </c:numRef>
          </c:val>
          <c:smooth val="0"/>
        </c:ser>
        <c:hiLowLines>
          <c:spPr>
            <a:ln w="0">
              <a:noFill/>
            </a:ln>
          </c:spPr>
        </c:hiLowLines>
        <c:marker val="0"/>
        <c:axId val="68055757"/>
        <c:axId val="13487036"/>
      </c:lineChart>
      <c:dateAx>
        <c:axId val="1297600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094458"/>
        <c:auto val="1"/>
        <c:lblOffset val="100"/>
        <c:baseTimeUnit val="days"/>
      </c:dateAx>
      <c:valAx>
        <c:axId val="709445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2976003"/>
        <c:crosses val="autoZero"/>
        <c:crossBetween val="between"/>
      </c:valAx>
      <c:dateAx>
        <c:axId val="6805575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3487036"/>
        <c:auto val="1"/>
        <c:lblOffset val="100"/>
        <c:baseTimeUnit val="days"/>
      </c:dateAx>
      <c:valAx>
        <c:axId val="1348703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805575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KLAC</a:t>
            </a:r>
          </a:p>
        </c:rich>
      </c:tx>
      <c:overlay val="0"/>
      <c:spPr>
        <a:noFill/>
        <a:ln w="0">
          <a:noFill/>
        </a:ln>
      </c:spPr>
    </c:title>
    <c:autoTitleDeleted val="0"/>
    <c:plotArea>
      <c:barChart>
        <c:barDir val="col"/>
        <c:grouping val="clustered"/>
        <c:varyColors val="0"/>
        <c:ser>
          <c:idx val="0"/>
          <c:order val="0"/>
          <c:tx>
            <c:strRef>
              <c:f>'Returns (Calc)'!$G$2</c:f>
              <c:strCache>
                <c:ptCount val="1"/>
                <c:pt idx="0">
                  <c:v>KLAC</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(Calc)'!$G$3:$G$157</c:f>
              <c:numCache>
                <c:formatCode>0.0%</c:formatCode>
                <c:ptCount val="155"/>
                <c:pt idx="0">
                  <c:v>-0.0020876826722338</c:v>
                </c:pt>
                <c:pt idx="1">
                  <c:v>0.00774058577405867</c:v>
                </c:pt>
                <c:pt idx="2">
                  <c:v>0.0525223167946856</c:v>
                </c:pt>
                <c:pt idx="3">
                  <c:v>-0.0183431952662722</c:v>
                </c:pt>
                <c:pt idx="4">
                  <c:v>-0.087402049427366</c:v>
                </c:pt>
                <c:pt idx="5">
                  <c:v>-0.00528401585204763</c:v>
                </c:pt>
                <c:pt idx="6">
                  <c:v>0.0152722443559097</c:v>
                </c:pt>
                <c:pt idx="7">
                  <c:v>0.0204926967516896</c:v>
                </c:pt>
                <c:pt idx="8">
                  <c:v>0.0399487289040803</c:v>
                </c:pt>
                <c:pt idx="9">
                  <c:v>-0.0501232539030402</c:v>
                </c:pt>
                <c:pt idx="10">
                  <c:v>-0.00973183391003463</c:v>
                </c:pt>
                <c:pt idx="11">
                  <c:v>0.0910679187595544</c:v>
                </c:pt>
                <c:pt idx="12">
                  <c:v>0.0694555644515613</c:v>
                </c:pt>
                <c:pt idx="13">
                  <c:v>0.0190903986524424</c:v>
                </c:pt>
                <c:pt idx="14">
                  <c:v>0.0203856749311295</c:v>
                </c:pt>
                <c:pt idx="15">
                  <c:v>-0.0118790496760259</c:v>
                </c:pt>
                <c:pt idx="16">
                  <c:v>-0.0265938069216758</c:v>
                </c:pt>
                <c:pt idx="17">
                  <c:v>0.094872754491018</c:v>
                </c:pt>
                <c:pt idx="18">
                  <c:v>-0.00410186292941372</c:v>
                </c:pt>
                <c:pt idx="19">
                  <c:v>-0.00240260854642183</c:v>
                </c:pt>
                <c:pt idx="20">
                  <c:v>-0.0636504386719422</c:v>
                </c:pt>
                <c:pt idx="21">
                  <c:v>0.0299467205585156</c:v>
                </c:pt>
                <c:pt idx="22">
                  <c:v>0.0934712807706029</c:v>
                </c:pt>
                <c:pt idx="23">
                  <c:v>-0.0221859706362153</c:v>
                </c:pt>
                <c:pt idx="24">
                  <c:v>0.00817484150817482</c:v>
                </c:pt>
                <c:pt idx="25">
                  <c:v>0.0752937282806554</c:v>
                </c:pt>
                <c:pt idx="26">
                  <c:v>0.017851646660511</c:v>
                </c:pt>
                <c:pt idx="27">
                  <c:v>0.0111883882673116</c:v>
                </c:pt>
                <c:pt idx="28">
                  <c:v>0.0729665071770336</c:v>
                </c:pt>
                <c:pt idx="29">
                  <c:v>-0.0256410256410257</c:v>
                </c:pt>
                <c:pt idx="30">
                  <c:v>-0.0218821510297483</c:v>
                </c:pt>
                <c:pt idx="31">
                  <c:v>0.0390407954379295</c:v>
                </c:pt>
                <c:pt idx="32">
                  <c:v>-0.0168871376301717</c:v>
                </c:pt>
                <c:pt idx="33">
                  <c:v>-0.0226166618952189</c:v>
                </c:pt>
                <c:pt idx="34">
                  <c:v>-0.00292911540714713</c:v>
                </c:pt>
                <c:pt idx="35">
                  <c:v>-0.077262044653349</c:v>
                </c:pt>
                <c:pt idx="36">
                  <c:v>0.124323463865011</c:v>
                </c:pt>
                <c:pt idx="37">
                  <c:v>-0.0137335409882486</c:v>
                </c:pt>
                <c:pt idx="38">
                  <c:v>0.0311513063451048</c:v>
                </c:pt>
                <c:pt idx="39">
                  <c:v>0.0409299735486566</c:v>
                </c:pt>
                <c:pt idx="40">
                  <c:v>0.0419954527216799</c:v>
                </c:pt>
                <c:pt idx="41">
                  <c:v>-0.0251572327044024</c:v>
                </c:pt>
                <c:pt idx="42">
                  <c:v>0.0125082290980909</c:v>
                </c:pt>
                <c:pt idx="43">
                  <c:v>0.0725617685305591</c:v>
                </c:pt>
                <c:pt idx="44">
                  <c:v>-0.00994180407371492</c:v>
                </c:pt>
                <c:pt idx="45">
                  <c:v>0.00967425912319375</c:v>
                </c:pt>
                <c:pt idx="46">
                  <c:v>0.0372346876895087</c:v>
                </c:pt>
                <c:pt idx="47">
                  <c:v>0.00292329279700665</c:v>
                </c:pt>
                <c:pt idx="48">
                  <c:v>-0.110877929345925</c:v>
                </c:pt>
                <c:pt idx="49">
                  <c:v>0.032520325203252</c:v>
                </c:pt>
                <c:pt idx="50">
                  <c:v>-0.115824231648463</c:v>
                </c:pt>
                <c:pt idx="51">
                  <c:v>0.0726802642918702</c:v>
                </c:pt>
                <c:pt idx="52">
                  <c:v>0.0974825923942151</c:v>
                </c:pt>
                <c:pt idx="53">
                  <c:v>-0.0021961932650072</c:v>
                </c:pt>
                <c:pt idx="54">
                  <c:v>0.00195646857422349</c:v>
                </c:pt>
                <c:pt idx="55">
                  <c:v>-0.142299243348792</c:v>
                </c:pt>
                <c:pt idx="56">
                  <c:v>0.069294251565168</c:v>
                </c:pt>
                <c:pt idx="57">
                  <c:v>0.00984697272122426</c:v>
                </c:pt>
                <c:pt idx="58">
                  <c:v>0.0309658716563446</c:v>
                </c:pt>
                <c:pt idx="59">
                  <c:v>0.00639059304703471</c:v>
                </c:pt>
                <c:pt idx="60">
                  <c:v>0.020701041402083</c:v>
                </c:pt>
                <c:pt idx="61">
                  <c:v>-0.155779519721289</c:v>
                </c:pt>
                <c:pt idx="62">
                  <c:v>-0.0079587324981576</c:v>
                </c:pt>
                <c:pt idx="63">
                  <c:v>-0.00549695439013531</c:v>
                </c:pt>
                <c:pt idx="64">
                  <c:v>0.0268897520167313</c:v>
                </c:pt>
                <c:pt idx="65">
                  <c:v>-0.106051789351178</c:v>
                </c:pt>
                <c:pt idx="66">
                  <c:v>0.040846216436127</c:v>
                </c:pt>
                <c:pt idx="67">
                  <c:v>0.0115697310819263</c:v>
                </c:pt>
                <c:pt idx="68">
                  <c:v>0.00200927357032454</c:v>
                </c:pt>
                <c:pt idx="69">
                  <c:v>0.00848372666975172</c:v>
                </c:pt>
                <c:pt idx="70">
                  <c:v>-0.0373202814316305</c:v>
                </c:pt>
                <c:pt idx="71">
                  <c:v>0.0244677470606929</c:v>
                </c:pt>
                <c:pt idx="72">
                  <c:v>0.0189205955334988</c:v>
                </c:pt>
                <c:pt idx="73">
                  <c:v>0.0397260273972602</c:v>
                </c:pt>
                <c:pt idx="74">
                  <c:v>0.108915239350022</c:v>
                </c:pt>
                <c:pt idx="75">
                  <c:v>-0.0101650165016501</c:v>
                </c:pt>
                <c:pt idx="76">
                  <c:v>-0.0154707922112565</c:v>
                </c:pt>
                <c:pt idx="77">
                  <c:v>0.0128691411541588</c:v>
                </c:pt>
                <c:pt idx="78">
                  <c:v>0.00401230440016054</c:v>
                </c:pt>
                <c:pt idx="79">
                  <c:v>0.00479552417743467</c:v>
                </c:pt>
                <c:pt idx="80">
                  <c:v>-0.0603208272570597</c:v>
                </c:pt>
                <c:pt idx="81">
                  <c:v>0.00352708803611734</c:v>
                </c:pt>
                <c:pt idx="82">
                  <c:v>0.00238999015886399</c:v>
                </c:pt>
                <c:pt idx="83">
                  <c:v>-0.00911640953716675</c:v>
                </c:pt>
                <c:pt idx="84">
                  <c:v>-0.0465675866949753</c:v>
                </c:pt>
                <c:pt idx="85">
                  <c:v>-0.144150831353919</c:v>
                </c:pt>
                <c:pt idx="86">
                  <c:v>0.162532523850824</c:v>
                </c:pt>
                <c:pt idx="87">
                  <c:v>-0.0534168904804536</c:v>
                </c:pt>
                <c:pt idx="88">
                  <c:v>0.0948928121059267</c:v>
                </c:pt>
                <c:pt idx="89">
                  <c:v>0.00518283904405403</c:v>
                </c:pt>
                <c:pt idx="90">
                  <c:v>0.00429676310512761</c:v>
                </c:pt>
                <c:pt idx="91">
                  <c:v>0.128351397604107</c:v>
                </c:pt>
                <c:pt idx="92">
                  <c:v>-0.0429726996966634</c:v>
                </c:pt>
                <c:pt idx="93">
                  <c:v>-0.00039619651347067</c:v>
                </c:pt>
                <c:pt idx="94">
                  <c:v>0.0675122209010437</c:v>
                </c:pt>
                <c:pt idx="95">
                  <c:v>0.0738861386138614</c:v>
                </c:pt>
                <c:pt idx="96">
                  <c:v>-0.0203987553301832</c:v>
                </c:pt>
                <c:pt idx="97">
                  <c:v>0.0469411764705883</c:v>
                </c:pt>
                <c:pt idx="98">
                  <c:v>0.0389931452972243</c:v>
                </c:pt>
                <c:pt idx="99">
                  <c:v>0</c:v>
                </c:pt>
                <c:pt idx="100">
                  <c:v>0.00703006705602438</c:v>
                </c:pt>
                <c:pt idx="101">
                  <c:v>-0.0311459563956611</c:v>
                </c:pt>
                <c:pt idx="102">
                  <c:v>-0.0171821305841924</c:v>
                </c:pt>
                <c:pt idx="103">
                  <c:v>0.0318069027746448</c:v>
                </c:pt>
                <c:pt idx="104">
                  <c:v>-0.0436160909488413</c:v>
                </c:pt>
                <c:pt idx="105">
                  <c:v>-0.00525774374214194</c:v>
                </c:pt>
                <c:pt idx="106">
                  <c:v>0.00195334941974035</c:v>
                </c:pt>
                <c:pt idx="107">
                  <c:v>0.0379587155963304</c:v>
                </c:pt>
                <c:pt idx="108">
                  <c:v>0.0650756822450558</c:v>
                </c:pt>
                <c:pt idx="109">
                  <c:v>0.083817427385892</c:v>
                </c:pt>
                <c:pt idx="110">
                  <c:v>0.0186638591117918</c:v>
                </c:pt>
                <c:pt idx="111">
                  <c:v>0.0350465094428263</c:v>
                </c:pt>
                <c:pt idx="112">
                  <c:v>-0.107843137254902</c:v>
                </c:pt>
                <c:pt idx="113">
                  <c:v>0.126068376068376</c:v>
                </c:pt>
                <c:pt idx="114">
                  <c:v>0.0687629890665944</c:v>
                </c:pt>
                <c:pt idx="115">
                  <c:v>0.021897193101116</c:v>
                </c:pt>
                <c:pt idx="116">
                  <c:v>-0.0126582278481012</c:v>
                </c:pt>
                <c:pt idx="117">
                  <c:v>-0.0495223730517848</c:v>
                </c:pt>
                <c:pt idx="118">
                  <c:v>-0.0327955567310236</c:v>
                </c:pt>
                <c:pt idx="119">
                  <c:v>0.0714611247835202</c:v>
                </c:pt>
                <c:pt idx="120">
                  <c:v>0.0331773713313484</c:v>
                </c:pt>
                <c:pt idx="121">
                  <c:v>-0.0169617126389461</c:v>
                </c:pt>
                <c:pt idx="122">
                  <c:v>0.0433872183599966</c:v>
                </c:pt>
                <c:pt idx="123">
                  <c:v>0.0272136148350326</c:v>
                </c:pt>
                <c:pt idx="124">
                  <c:v>-0.00398562050640816</c:v>
                </c:pt>
                <c:pt idx="125">
                  <c:v>0.0984699882306788</c:v>
                </c:pt>
                <c:pt idx="126">
                  <c:v>0.119857142857143</c:v>
                </c:pt>
                <c:pt idx="127">
                  <c:v>-0.0350810052302589</c:v>
                </c:pt>
                <c:pt idx="128">
                  <c:v>-0.056121099947118</c:v>
                </c:pt>
                <c:pt idx="129">
                  <c:v>0.0105049373205406</c:v>
                </c:pt>
                <c:pt idx="130">
                  <c:v>0.0146926328920924</c:v>
                </c:pt>
                <c:pt idx="131">
                  <c:v>0.0217881292261457</c:v>
                </c:pt>
                <c:pt idx="132">
                  <c:v>0.0191176470588237</c:v>
                </c:pt>
                <c:pt idx="133">
                  <c:v>-0.118063754427391</c:v>
                </c:pt>
                <c:pt idx="134">
                  <c:v>0.0550349546333482</c:v>
                </c:pt>
                <c:pt idx="135">
                  <c:v>0.0564641195544904</c:v>
                </c:pt>
                <c:pt idx="136">
                  <c:v>-0.0370320944818844</c:v>
                </c:pt>
                <c:pt idx="137">
                  <c:v>0.0509977827050998</c:v>
                </c:pt>
                <c:pt idx="138">
                  <c:v>0.145371835443038</c:v>
                </c:pt>
                <c:pt idx="139">
                  <c:v>0.0311402751395844</c:v>
                </c:pt>
                <c:pt idx="140">
                  <c:v>0.0801607681143242</c:v>
                </c:pt>
                <c:pt idx="141">
                  <c:v>-0.107855297157623</c:v>
                </c:pt>
                <c:pt idx="142">
                  <c:v>0.0827781961420377</c:v>
                </c:pt>
                <c:pt idx="143">
                  <c:v>-0.0347207361438048</c:v>
                </c:pt>
                <c:pt idx="144">
                  <c:v>0.0466108740231668</c:v>
                </c:pt>
                <c:pt idx="145">
                  <c:v>0.0176339758525734</c:v>
                </c:pt>
                <c:pt idx="146">
                  <c:v>0.003902794400791</c:v>
                </c:pt>
                <c:pt idx="147">
                  <c:v>0.319407008086253</c:v>
                </c:pt>
                <c:pt idx="148">
                  <c:v>0.0197218511825255</c:v>
                </c:pt>
                <c:pt idx="149">
                  <c:v>-0.0420711974110033</c:v>
                </c:pt>
                <c:pt idx="150">
                  <c:v>-0.0526463963963963</c:v>
                </c:pt>
                <c:pt idx="151">
                  <c:v>-0.0171088940776906</c:v>
                </c:pt>
                <c:pt idx="152">
                  <c:v>-0.0810729094678646</c:v>
                </c:pt>
                <c:pt idx="153">
                  <c:v>-0.01048178613396</c:v>
                </c:pt>
                <c:pt idx="154">
                  <c:v>-0.131578947368421</c:v>
                </c:pt>
              </c:numCache>
            </c:numRef>
          </c:val>
        </c:ser>
        <c:gapWidth val="150"/>
        <c:overlap val="0"/>
        <c:axId val="1421474"/>
        <c:axId val="47328340"/>
      </c:barChart>
      <c:lineChart>
        <c:grouping val="standard"/>
        <c:varyColors val="0"/>
        <c:ser>
          <c:idx val="1"/>
          <c:order val="1"/>
          <c:tx>
            <c:strRef>
              <c:f>'Returns (Calc)'!$AB$2</c:f>
              <c:strCache>
                <c:ptCount val="1"/>
                <c:pt idx="0">
                  <c:v>KLAC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(Calc)'!$AB$3:$AB$157</c:f>
              <c:numCache>
                <c:formatCode>#,##0.00</c:formatCode>
                <c:ptCount val="155"/>
                <c:pt idx="0">
                  <c:v>47.9</c:v>
                </c:pt>
                <c:pt idx="1">
                  <c:v>48.7761038961039</c:v>
                </c:pt>
                <c:pt idx="2">
                  <c:v>49.6522077922078</c:v>
                </c:pt>
                <c:pt idx="3">
                  <c:v>50.5283116883117</c:v>
                </c:pt>
                <c:pt idx="4">
                  <c:v>51.4044155844156</c:v>
                </c:pt>
                <c:pt idx="5">
                  <c:v>52.2805194805195</c:v>
                </c:pt>
                <c:pt idx="6">
                  <c:v>53.1566233766234</c:v>
                </c:pt>
                <c:pt idx="7">
                  <c:v>54.0327272727273</c:v>
                </c:pt>
                <c:pt idx="8">
                  <c:v>54.9088311688312</c:v>
                </c:pt>
                <c:pt idx="9">
                  <c:v>55.7849350649351</c:v>
                </c:pt>
                <c:pt idx="10">
                  <c:v>56.661038961039</c:v>
                </c:pt>
                <c:pt idx="11">
                  <c:v>57.5371428571429</c:v>
                </c:pt>
                <c:pt idx="12">
                  <c:v>58.4132467532468</c:v>
                </c:pt>
                <c:pt idx="13">
                  <c:v>59.2893506493506</c:v>
                </c:pt>
                <c:pt idx="14">
                  <c:v>60.1654545454545</c:v>
                </c:pt>
                <c:pt idx="15">
                  <c:v>61.0415584415584</c:v>
                </c:pt>
                <c:pt idx="16">
                  <c:v>61.9176623376624</c:v>
                </c:pt>
                <c:pt idx="17">
                  <c:v>62.7937662337662</c:v>
                </c:pt>
                <c:pt idx="18">
                  <c:v>63.6698701298701</c:v>
                </c:pt>
                <c:pt idx="19">
                  <c:v>64.545974025974</c:v>
                </c:pt>
                <c:pt idx="20">
                  <c:v>65.4220779220779</c:v>
                </c:pt>
                <c:pt idx="21">
                  <c:v>66.2981818181818</c:v>
                </c:pt>
                <c:pt idx="22">
                  <c:v>67.1742857142857</c:v>
                </c:pt>
                <c:pt idx="23">
                  <c:v>68.0503896103896</c:v>
                </c:pt>
                <c:pt idx="24">
                  <c:v>68.9264935064935</c:v>
                </c:pt>
                <c:pt idx="25">
                  <c:v>69.8025974025974</c:v>
                </c:pt>
                <c:pt idx="26">
                  <c:v>70.6787012987013</c:v>
                </c:pt>
                <c:pt idx="27">
                  <c:v>71.5548051948051</c:v>
                </c:pt>
                <c:pt idx="28">
                  <c:v>72.4309090909091</c:v>
                </c:pt>
                <c:pt idx="29">
                  <c:v>73.3070129870129</c:v>
                </c:pt>
                <c:pt idx="30">
                  <c:v>74.1831168831169</c:v>
                </c:pt>
                <c:pt idx="31">
                  <c:v>75.0592207792207</c:v>
                </c:pt>
                <c:pt idx="32">
                  <c:v>75.9353246753247</c:v>
                </c:pt>
                <c:pt idx="33">
                  <c:v>76.8114285714285</c:v>
                </c:pt>
                <c:pt idx="34">
                  <c:v>77.6875324675325</c:v>
                </c:pt>
                <c:pt idx="35">
                  <c:v>78.5636363636363</c:v>
                </c:pt>
                <c:pt idx="36">
                  <c:v>79.4397402597403</c:v>
                </c:pt>
                <c:pt idx="37">
                  <c:v>80.3158441558441</c:v>
                </c:pt>
                <c:pt idx="38">
                  <c:v>81.1919480519481</c:v>
                </c:pt>
                <c:pt idx="39">
                  <c:v>82.0680519480519</c:v>
                </c:pt>
                <c:pt idx="40">
                  <c:v>82.9441558441559</c:v>
                </c:pt>
                <c:pt idx="41">
                  <c:v>83.8202597402597</c:v>
                </c:pt>
                <c:pt idx="42">
                  <c:v>84.6963636363637</c:v>
                </c:pt>
                <c:pt idx="43">
                  <c:v>85.5724675324675</c:v>
                </c:pt>
                <c:pt idx="44">
                  <c:v>86.4485714285715</c:v>
                </c:pt>
                <c:pt idx="45">
                  <c:v>87.3246753246753</c:v>
                </c:pt>
                <c:pt idx="46">
                  <c:v>88.2007792207793</c:v>
                </c:pt>
                <c:pt idx="47">
                  <c:v>89.0768831168831</c:v>
                </c:pt>
                <c:pt idx="48">
                  <c:v>89.9529870129871</c:v>
                </c:pt>
                <c:pt idx="49">
                  <c:v>90.8290909090909</c:v>
                </c:pt>
                <c:pt idx="50">
                  <c:v>91.7051948051949</c:v>
                </c:pt>
                <c:pt idx="51">
                  <c:v>92.5812987012987</c:v>
                </c:pt>
                <c:pt idx="52">
                  <c:v>93.4574025974026</c:v>
                </c:pt>
                <c:pt idx="53">
                  <c:v>94.3335064935065</c:v>
                </c:pt>
                <c:pt idx="54">
                  <c:v>95.2096103896104</c:v>
                </c:pt>
                <c:pt idx="55">
                  <c:v>96.0857142857143</c:v>
                </c:pt>
                <c:pt idx="56">
                  <c:v>96.9618181818182</c:v>
                </c:pt>
                <c:pt idx="57">
                  <c:v>97.8379220779221</c:v>
                </c:pt>
                <c:pt idx="58">
                  <c:v>98.714025974026</c:v>
                </c:pt>
                <c:pt idx="59">
                  <c:v>99.5901298701299</c:v>
                </c:pt>
                <c:pt idx="60">
                  <c:v>100.466233766234</c:v>
                </c:pt>
                <c:pt idx="61">
                  <c:v>101.342337662338</c:v>
                </c:pt>
                <c:pt idx="62">
                  <c:v>102.218441558442</c:v>
                </c:pt>
                <c:pt idx="63">
                  <c:v>103.094545454545</c:v>
                </c:pt>
                <c:pt idx="64">
                  <c:v>103.970649350649</c:v>
                </c:pt>
                <c:pt idx="65">
                  <c:v>104.846753246753</c:v>
                </c:pt>
                <c:pt idx="66">
                  <c:v>105.722857142857</c:v>
                </c:pt>
                <c:pt idx="67">
                  <c:v>106.598961038961</c:v>
                </c:pt>
                <c:pt idx="68">
                  <c:v>107.475064935065</c:v>
                </c:pt>
                <c:pt idx="69">
                  <c:v>108.351168831169</c:v>
                </c:pt>
                <c:pt idx="70">
                  <c:v>109.227272727273</c:v>
                </c:pt>
                <c:pt idx="71">
                  <c:v>110.103376623377</c:v>
                </c:pt>
                <c:pt idx="72">
                  <c:v>110.979480519481</c:v>
                </c:pt>
                <c:pt idx="73">
                  <c:v>111.855584415584</c:v>
                </c:pt>
                <c:pt idx="74">
                  <c:v>112.731688311688</c:v>
                </c:pt>
                <c:pt idx="75">
                  <c:v>113.607792207792</c:v>
                </c:pt>
                <c:pt idx="76">
                  <c:v>114.483896103896</c:v>
                </c:pt>
                <c:pt idx="77">
                  <c:v>115.36</c:v>
                </c:pt>
                <c:pt idx="78">
                  <c:v>116.236103896104</c:v>
                </c:pt>
                <c:pt idx="79">
                  <c:v>117.112207792208</c:v>
                </c:pt>
                <c:pt idx="80">
                  <c:v>117.988311688312</c:v>
                </c:pt>
                <c:pt idx="81">
                  <c:v>118.864415584416</c:v>
                </c:pt>
                <c:pt idx="82">
                  <c:v>119.740519480519</c:v>
                </c:pt>
                <c:pt idx="83">
                  <c:v>120.616623376623</c:v>
                </c:pt>
                <c:pt idx="84">
                  <c:v>121.492727272727</c:v>
                </c:pt>
                <c:pt idx="85">
                  <c:v>122.368831168831</c:v>
                </c:pt>
                <c:pt idx="86">
                  <c:v>123.244935064935</c:v>
                </c:pt>
                <c:pt idx="87">
                  <c:v>124.121038961039</c:v>
                </c:pt>
                <c:pt idx="88">
                  <c:v>124.997142857143</c:v>
                </c:pt>
                <c:pt idx="89">
                  <c:v>125.873246753247</c:v>
                </c:pt>
                <c:pt idx="90">
                  <c:v>126.749350649351</c:v>
                </c:pt>
                <c:pt idx="91">
                  <c:v>127.625454545455</c:v>
                </c:pt>
                <c:pt idx="92">
                  <c:v>128.501558441558</c:v>
                </c:pt>
                <c:pt idx="93">
                  <c:v>129.377662337662</c:v>
                </c:pt>
                <c:pt idx="94">
                  <c:v>130.253766233766</c:v>
                </c:pt>
                <c:pt idx="95">
                  <c:v>131.12987012987</c:v>
                </c:pt>
                <c:pt idx="96">
                  <c:v>132.005974025974</c:v>
                </c:pt>
                <c:pt idx="97">
                  <c:v>132.882077922078</c:v>
                </c:pt>
                <c:pt idx="98">
                  <c:v>133.758181818182</c:v>
                </c:pt>
                <c:pt idx="99">
                  <c:v>134.634285714286</c:v>
                </c:pt>
                <c:pt idx="100">
                  <c:v>135.51038961039</c:v>
                </c:pt>
                <c:pt idx="101">
                  <c:v>136.386493506494</c:v>
                </c:pt>
                <c:pt idx="102">
                  <c:v>137.262597402597</c:v>
                </c:pt>
                <c:pt idx="103">
                  <c:v>138.138701298701</c:v>
                </c:pt>
                <c:pt idx="104">
                  <c:v>139.014805194805</c:v>
                </c:pt>
                <c:pt idx="105">
                  <c:v>139.890909090909</c:v>
                </c:pt>
                <c:pt idx="106">
                  <c:v>140.767012987013</c:v>
                </c:pt>
                <c:pt idx="107">
                  <c:v>141.643116883117</c:v>
                </c:pt>
                <c:pt idx="108">
                  <c:v>142.519220779221</c:v>
                </c:pt>
                <c:pt idx="109">
                  <c:v>143.395324675325</c:v>
                </c:pt>
                <c:pt idx="110">
                  <c:v>144.271428571429</c:v>
                </c:pt>
                <c:pt idx="111">
                  <c:v>145.147532467532</c:v>
                </c:pt>
                <c:pt idx="112">
                  <c:v>146.023636363636</c:v>
                </c:pt>
                <c:pt idx="113">
                  <c:v>146.89974025974</c:v>
                </c:pt>
                <c:pt idx="114">
                  <c:v>147.775844155844</c:v>
                </c:pt>
                <c:pt idx="115">
                  <c:v>148.651948051948</c:v>
                </c:pt>
                <c:pt idx="116">
                  <c:v>149.528051948052</c:v>
                </c:pt>
                <c:pt idx="117">
                  <c:v>150.404155844156</c:v>
                </c:pt>
                <c:pt idx="118">
                  <c:v>151.28025974026</c:v>
                </c:pt>
                <c:pt idx="119">
                  <c:v>152.156363636364</c:v>
                </c:pt>
                <c:pt idx="120">
                  <c:v>153.032467532468</c:v>
                </c:pt>
                <c:pt idx="121">
                  <c:v>153.908571428571</c:v>
                </c:pt>
                <c:pt idx="122">
                  <c:v>154.784675324675</c:v>
                </c:pt>
                <c:pt idx="123">
                  <c:v>155.660779220779</c:v>
                </c:pt>
                <c:pt idx="124">
                  <c:v>156.536883116883</c:v>
                </c:pt>
                <c:pt idx="125">
                  <c:v>157.412987012987</c:v>
                </c:pt>
                <c:pt idx="126">
                  <c:v>158.289090909091</c:v>
                </c:pt>
                <c:pt idx="127">
                  <c:v>159.165194805195</c:v>
                </c:pt>
                <c:pt idx="128">
                  <c:v>160.041298701299</c:v>
                </c:pt>
                <c:pt idx="129">
                  <c:v>160.917402597403</c:v>
                </c:pt>
                <c:pt idx="130">
                  <c:v>161.793506493506</c:v>
                </c:pt>
                <c:pt idx="131">
                  <c:v>162.66961038961</c:v>
                </c:pt>
                <c:pt idx="132">
                  <c:v>163.545714285714</c:v>
                </c:pt>
                <c:pt idx="133">
                  <c:v>164.421818181818</c:v>
                </c:pt>
                <c:pt idx="134">
                  <c:v>165.297922077922</c:v>
                </c:pt>
                <c:pt idx="135">
                  <c:v>166.174025974026</c:v>
                </c:pt>
                <c:pt idx="136">
                  <c:v>167.05012987013</c:v>
                </c:pt>
                <c:pt idx="137">
                  <c:v>167.926233766234</c:v>
                </c:pt>
                <c:pt idx="138">
                  <c:v>168.802337662338</c:v>
                </c:pt>
                <c:pt idx="139">
                  <c:v>169.678441558442</c:v>
                </c:pt>
                <c:pt idx="140">
                  <c:v>170.554545454545</c:v>
                </c:pt>
                <c:pt idx="141">
                  <c:v>171.430649350649</c:v>
                </c:pt>
                <c:pt idx="142">
                  <c:v>172.306753246753</c:v>
                </c:pt>
                <c:pt idx="143">
                  <c:v>173.182857142857</c:v>
                </c:pt>
                <c:pt idx="144">
                  <c:v>174.058961038961</c:v>
                </c:pt>
                <c:pt idx="145">
                  <c:v>174.935064935065</c:v>
                </c:pt>
                <c:pt idx="146">
                  <c:v>175.811168831169</c:v>
                </c:pt>
                <c:pt idx="147">
                  <c:v>176.687272727273</c:v>
                </c:pt>
                <c:pt idx="148">
                  <c:v>177.563376623377</c:v>
                </c:pt>
                <c:pt idx="149">
                  <c:v>178.439480519481</c:v>
                </c:pt>
                <c:pt idx="150">
                  <c:v>179.315584415584</c:v>
                </c:pt>
                <c:pt idx="151">
                  <c:v>180.191688311688</c:v>
                </c:pt>
                <c:pt idx="152">
                  <c:v>181.067792207792</c:v>
                </c:pt>
                <c:pt idx="153">
                  <c:v>181.943896103896</c:v>
                </c:pt>
                <c:pt idx="154">
                  <c:v>182.82</c:v>
                </c:pt>
              </c:numCache>
            </c:numRef>
          </c:val>
          <c:smooth val="0"/>
        </c:ser>
        <c:hiLowLines>
          <c:spPr>
            <a:ln w="0">
              <a:noFill/>
            </a:ln>
          </c:spPr>
        </c:hiLowLines>
        <c:marker val="0"/>
        <c:axId val="75425349"/>
        <c:axId val="82096281"/>
      </c:lineChart>
      <c:dateAx>
        <c:axId val="142147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7328340"/>
        <c:auto val="1"/>
        <c:lblOffset val="100"/>
        <c:baseTimeUnit val="days"/>
      </c:dateAx>
      <c:valAx>
        <c:axId val="4732834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421474"/>
        <c:crosses val="autoZero"/>
        <c:crossBetween val="between"/>
      </c:valAx>
      <c:dateAx>
        <c:axId val="7542534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2096281"/>
        <c:auto val="1"/>
        <c:lblOffset val="100"/>
        <c:baseTimeUnit val="days"/>
      </c:dateAx>
      <c:valAx>
        <c:axId val="8209628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542534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MU</a:t>
            </a:r>
          </a:p>
        </c:rich>
      </c:tx>
      <c:overlay val="0"/>
      <c:spPr>
        <a:noFill/>
        <a:ln w="0">
          <a:noFill/>
        </a:ln>
      </c:spPr>
    </c:title>
    <c:autoTitleDeleted val="0"/>
    <c:plotArea>
      <c:barChart>
        <c:barDir val="col"/>
        <c:grouping val="clustered"/>
        <c:varyColors val="0"/>
        <c:ser>
          <c:idx val="0"/>
          <c:order val="0"/>
          <c:tx>
            <c:strRef>
              <c:f>'Returns (Calc)'!$H$2</c:f>
              <c:strCache>
                <c:ptCount val="1"/>
                <c:pt idx="0">
                  <c:v>MU</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(Calc)'!$H$3:$H$157</c:f>
              <c:numCache>
                <c:formatCode>0.0%</c:formatCode>
                <c:ptCount val="155"/>
                <c:pt idx="0">
                  <c:v>-0.0121174460152245</c:v>
                </c:pt>
                <c:pt idx="1">
                  <c:v>0.00204434659537656</c:v>
                </c:pt>
                <c:pt idx="2">
                  <c:v>0.104676710608914</c:v>
                </c:pt>
                <c:pt idx="3">
                  <c:v>-0.0029833783207841</c:v>
                </c:pt>
                <c:pt idx="4">
                  <c:v>-0.00427472214306091</c:v>
                </c:pt>
                <c:pt idx="5">
                  <c:v>-0.0143102461362336</c:v>
                </c:pt>
                <c:pt idx="6">
                  <c:v>-0.0123403019744482</c:v>
                </c:pt>
                <c:pt idx="7">
                  <c:v>0.0283698368366896</c:v>
                </c:pt>
                <c:pt idx="8">
                  <c:v>-0.0107204116638079</c:v>
                </c:pt>
                <c:pt idx="9">
                  <c:v>-0.0287530703655541</c:v>
                </c:pt>
                <c:pt idx="10">
                  <c:v>-0.0233561440047604</c:v>
                </c:pt>
                <c:pt idx="11">
                  <c:v>0.105559786747905</c:v>
                </c:pt>
                <c:pt idx="12">
                  <c:v>0.0383025626894462</c:v>
                </c:pt>
                <c:pt idx="13">
                  <c:v>0.0291932059447984</c:v>
                </c:pt>
                <c:pt idx="14">
                  <c:v>-0.00889633831872094</c:v>
                </c:pt>
                <c:pt idx="15">
                  <c:v>-0.0122284376219591</c:v>
                </c:pt>
                <c:pt idx="16">
                  <c:v>-0.0127749242723563</c:v>
                </c:pt>
                <c:pt idx="17">
                  <c:v>0.0860458911419424</c:v>
                </c:pt>
                <c:pt idx="18">
                  <c:v>0.0624001965360521</c:v>
                </c:pt>
                <c:pt idx="19">
                  <c:v>-0.0132963348363971</c:v>
                </c:pt>
                <c:pt idx="20">
                  <c:v>-0.0221467072884931</c:v>
                </c:pt>
                <c:pt idx="21">
                  <c:v>-0.0127022168963451</c:v>
                </c:pt>
                <c:pt idx="22">
                  <c:v>0.0621434640126231</c:v>
                </c:pt>
                <c:pt idx="23">
                  <c:v>0.00617072334590318</c:v>
                </c:pt>
                <c:pt idx="24">
                  <c:v>-0.0178307779670641</c:v>
                </c:pt>
                <c:pt idx="25">
                  <c:v>-0.0106382978723405</c:v>
                </c:pt>
                <c:pt idx="26">
                  <c:v>-0.070827489481066</c:v>
                </c:pt>
                <c:pt idx="27">
                  <c:v>0.0817610062893082</c:v>
                </c:pt>
                <c:pt idx="28">
                  <c:v>0.106395348837209</c:v>
                </c:pt>
                <c:pt idx="29">
                  <c:v>0.0259590120861797</c:v>
                </c:pt>
                <c:pt idx="30">
                  <c:v>-0.0447654169227618</c:v>
                </c:pt>
                <c:pt idx="31">
                  <c:v>0.181876675603217</c:v>
                </c:pt>
                <c:pt idx="32">
                  <c:v>0.0696851465384267</c:v>
                </c:pt>
                <c:pt idx="33">
                  <c:v>0.0482653320892357</c:v>
                </c:pt>
                <c:pt idx="34">
                  <c:v>-0.00857743971516434</c:v>
                </c:pt>
                <c:pt idx="35">
                  <c:v>-0.128550440744368</c:v>
                </c:pt>
                <c:pt idx="36">
                  <c:v>0.0755830289407138</c:v>
                </c:pt>
                <c:pt idx="37">
                  <c:v>-0.00121908742598398</c:v>
                </c:pt>
                <c:pt idx="38">
                  <c:v>0.0570183086312117</c:v>
                </c:pt>
                <c:pt idx="39">
                  <c:v>0.0334048168921148</c:v>
                </c:pt>
                <c:pt idx="40">
                  <c:v>0.0335222284300423</c:v>
                </c:pt>
                <c:pt idx="41">
                  <c:v>-0.0346744922387829</c:v>
                </c:pt>
                <c:pt idx="42">
                  <c:v>0.04752</c:v>
                </c:pt>
                <c:pt idx="43">
                  <c:v>0.0795784328700169</c:v>
                </c:pt>
                <c:pt idx="44">
                  <c:v>-0.0128749292586307</c:v>
                </c:pt>
                <c:pt idx="45">
                  <c:v>-0.0574028952271749</c:v>
                </c:pt>
                <c:pt idx="46">
                  <c:v>0.000532197977647586</c:v>
                </c:pt>
                <c:pt idx="47">
                  <c:v>0.0148176291793314</c:v>
                </c:pt>
                <c:pt idx="48">
                  <c:v>-0.144440284537626</c:v>
                </c:pt>
                <c:pt idx="49">
                  <c:v>-0.042447050586382</c:v>
                </c:pt>
                <c:pt idx="50">
                  <c:v>-0.152728269810803</c:v>
                </c:pt>
                <c:pt idx="51">
                  <c:v>0.00409924487594382</c:v>
                </c:pt>
                <c:pt idx="52">
                  <c:v>0.160184787279759</c:v>
                </c:pt>
                <c:pt idx="53">
                  <c:v>-0.0475969997221966</c:v>
                </c:pt>
                <c:pt idx="54">
                  <c:v>-0.0642683519688867</c:v>
                </c:pt>
                <c:pt idx="55">
                  <c:v>-0.102452202826268</c:v>
                </c:pt>
                <c:pt idx="56">
                  <c:v>0.0560314887705489</c:v>
                </c:pt>
                <c:pt idx="57">
                  <c:v>-0.00350800263100193</c:v>
                </c:pt>
                <c:pt idx="58">
                  <c:v>0.182618261826182</c:v>
                </c:pt>
                <c:pt idx="59">
                  <c:v>-0.0488372093023256</c:v>
                </c:pt>
                <c:pt idx="60">
                  <c:v>0.0456723716381418</c:v>
                </c:pt>
                <c:pt idx="61">
                  <c:v>0.0395622895622896</c:v>
                </c:pt>
                <c:pt idx="62">
                  <c:v>-0.0291497975708502</c:v>
                </c:pt>
                <c:pt idx="63">
                  <c:v>-0.0758039106662959</c:v>
                </c:pt>
                <c:pt idx="64">
                  <c:v>0.122029479594906</c:v>
                </c:pt>
                <c:pt idx="65">
                  <c:v>-0.1390527256479</c:v>
                </c:pt>
                <c:pt idx="66">
                  <c:v>0.0653933983807349</c:v>
                </c:pt>
                <c:pt idx="67">
                  <c:v>-0.0456936866718628</c:v>
                </c:pt>
                <c:pt idx="68">
                  <c:v>0.0328739152628892</c:v>
                </c:pt>
                <c:pt idx="69">
                  <c:v>0.0131461895818918</c:v>
                </c:pt>
                <c:pt idx="70">
                  <c:v>-0.120780487804878</c:v>
                </c:pt>
                <c:pt idx="71">
                  <c:v>-0.0165335108743898</c:v>
                </c:pt>
                <c:pt idx="72">
                  <c:v>0.0139907480537065</c:v>
                </c:pt>
                <c:pt idx="73">
                  <c:v>0.105374429731835</c:v>
                </c:pt>
                <c:pt idx="74">
                  <c:v>0.0645258707469296</c:v>
                </c:pt>
                <c:pt idx="75">
                  <c:v>-0.0242080378250591</c:v>
                </c:pt>
                <c:pt idx="76">
                  <c:v>-0.115805795135188</c:v>
                </c:pt>
                <c:pt idx="77">
                  <c:v>0.0116177115300307</c:v>
                </c:pt>
                <c:pt idx="78">
                  <c:v>0.0782231852654387</c:v>
                </c:pt>
                <c:pt idx="79">
                  <c:v>-0.00683279742765264</c:v>
                </c:pt>
                <c:pt idx="80">
                  <c:v>-0.052711452853096</c:v>
                </c:pt>
                <c:pt idx="81">
                  <c:v>-0.00715582612410559</c:v>
                </c:pt>
                <c:pt idx="82">
                  <c:v>0.0842297762478488</c:v>
                </c:pt>
                <c:pt idx="83">
                  <c:v>-0.0602242285941066</c:v>
                </c:pt>
                <c:pt idx="84">
                  <c:v>-0.0663006756756757</c:v>
                </c:pt>
                <c:pt idx="85">
                  <c:v>-0.268204432383537</c:v>
                </c:pt>
                <c:pt idx="86">
                  <c:v>0.074629171817058</c:v>
                </c:pt>
                <c:pt idx="87">
                  <c:v>-0.0107836089144501</c:v>
                </c:pt>
                <c:pt idx="88">
                  <c:v>0.159593023255814</c:v>
                </c:pt>
                <c:pt idx="89">
                  <c:v>0.0117824016044121</c:v>
                </c:pt>
                <c:pt idx="90">
                  <c:v>0.0636769078295343</c:v>
                </c:pt>
                <c:pt idx="91">
                  <c:v>0.141392965292336</c:v>
                </c:pt>
                <c:pt idx="92">
                  <c:v>-0.0472448979591836</c:v>
                </c:pt>
                <c:pt idx="93">
                  <c:v>0.011673985220092</c:v>
                </c:pt>
                <c:pt idx="94">
                  <c:v>0.14926953207707</c:v>
                </c:pt>
                <c:pt idx="95">
                  <c:v>0.06484893146647</c:v>
                </c:pt>
                <c:pt idx="96">
                  <c:v>0.0692041522491349</c:v>
                </c:pt>
                <c:pt idx="97">
                  <c:v>0.00938511326860847</c:v>
                </c:pt>
                <c:pt idx="98">
                  <c:v>-0.0197980121833921</c:v>
                </c:pt>
                <c:pt idx="99">
                  <c:v>0.0183171150543788</c:v>
                </c:pt>
                <c:pt idx="100">
                  <c:v>-0.0814261623705131</c:v>
                </c:pt>
                <c:pt idx="101">
                  <c:v>-0.0273625316898329</c:v>
                </c:pt>
                <c:pt idx="102">
                  <c:v>-0.0573431601653784</c:v>
                </c:pt>
                <c:pt idx="103">
                  <c:v>0.13358123569794</c:v>
                </c:pt>
                <c:pt idx="104">
                  <c:v>0.0166540499621499</c:v>
                </c:pt>
                <c:pt idx="105">
                  <c:v>-0.0263919913957144</c:v>
                </c:pt>
                <c:pt idx="106">
                  <c:v>0.0113018354860639</c:v>
                </c:pt>
                <c:pt idx="107">
                  <c:v>0.103856818754726</c:v>
                </c:pt>
                <c:pt idx="108">
                  <c:v>0.196848595569765</c:v>
                </c:pt>
                <c:pt idx="109">
                  <c:v>0.0349806016663488</c:v>
                </c:pt>
                <c:pt idx="110">
                  <c:v>-0.0335525102931235</c:v>
                </c:pt>
                <c:pt idx="111">
                  <c:v>0.194315508361417</c:v>
                </c:pt>
                <c:pt idx="112">
                  <c:v>-0.03316829047543</c:v>
                </c:pt>
                <c:pt idx="113">
                  <c:v>0.11442731277533</c:v>
                </c:pt>
                <c:pt idx="114">
                  <c:v>0.0822215633955925</c:v>
                </c:pt>
                <c:pt idx="115">
                  <c:v>0.0216875171217241</c:v>
                </c:pt>
                <c:pt idx="116">
                  <c:v>0.0632345712115117</c:v>
                </c:pt>
                <c:pt idx="117">
                  <c:v>0.0374495628782785</c:v>
                </c:pt>
                <c:pt idx="118">
                  <c:v>-0.159867115018434</c:v>
                </c:pt>
                <c:pt idx="119">
                  <c:v>0.140377103727636</c:v>
                </c:pt>
                <c:pt idx="120">
                  <c:v>0.00312922868741539</c:v>
                </c:pt>
                <c:pt idx="121">
                  <c:v>0.0165247449624821</c:v>
                </c:pt>
                <c:pt idx="122">
                  <c:v>0.102761881064942</c:v>
                </c:pt>
                <c:pt idx="123">
                  <c:v>0.0709611913357402</c:v>
                </c:pt>
                <c:pt idx="124">
                  <c:v>0.107552933740651</c:v>
                </c:pt>
                <c:pt idx="125">
                  <c:v>0.0940650561156551</c:v>
                </c:pt>
                <c:pt idx="126">
                  <c:v>0.0511750557825497</c:v>
                </c:pt>
                <c:pt idx="127">
                  <c:v>0.101722949689869</c:v>
                </c:pt>
                <c:pt idx="128">
                  <c:v>0.0381083448017014</c:v>
                </c:pt>
                <c:pt idx="129">
                  <c:v>-0.0486646741226379</c:v>
                </c:pt>
                <c:pt idx="130">
                  <c:v>0.0429957688312348</c:v>
                </c:pt>
                <c:pt idx="131">
                  <c:v>0.0401059126463585</c:v>
                </c:pt>
                <c:pt idx="132">
                  <c:v>-0.0369012308195343</c:v>
                </c:pt>
                <c:pt idx="133">
                  <c:v>-0.102020030555084</c:v>
                </c:pt>
                <c:pt idx="134">
                  <c:v>0.150769646232784</c:v>
                </c:pt>
                <c:pt idx="135">
                  <c:v>-0.0075798465257082</c:v>
                </c:pt>
                <c:pt idx="136">
                  <c:v>-0.155308583589501</c:v>
                </c:pt>
                <c:pt idx="137">
                  <c:v>0.0252505458820895</c:v>
                </c:pt>
                <c:pt idx="138">
                  <c:v>0.1483999563128</c:v>
                </c:pt>
                <c:pt idx="139">
                  <c:v>0.0819800756080744</c:v>
                </c:pt>
                <c:pt idx="140">
                  <c:v>0.0915243808644826</c:v>
                </c:pt>
                <c:pt idx="141">
                  <c:v>0.0915807698502174</c:v>
                </c:pt>
                <c:pt idx="142">
                  <c:v>0.377344571291566</c:v>
                </c:pt>
                <c:pt idx="143">
                  <c:v>-0.0296594850095741</c:v>
                </c:pt>
                <c:pt idx="144">
                  <c:v>0.0363480804791212</c:v>
                </c:pt>
                <c:pt idx="145">
                  <c:v>0.292942743009321</c:v>
                </c:pt>
                <c:pt idx="146">
                  <c:v>-0.110185375901133</c:v>
                </c:pt>
                <c:pt idx="147">
                  <c:v>0.136109535769262</c:v>
                </c:pt>
                <c:pt idx="148">
                  <c:v>0.155234767371971</c:v>
                </c:pt>
                <c:pt idx="149">
                  <c:v>-0.00146385770597635</c:v>
                </c:pt>
                <c:pt idx="150">
                  <c:v>-0.138449038707797</c:v>
                </c:pt>
                <c:pt idx="151">
                  <c:v>0.00383369551847146</c:v>
                </c:pt>
                <c:pt idx="152">
                  <c:v>-0.133105279281119</c:v>
                </c:pt>
                <c:pt idx="153">
                  <c:v>0.0848106484480828</c:v>
                </c:pt>
                <c:pt idx="154">
                  <c:v>-0.106324990498941</c:v>
                </c:pt>
              </c:numCache>
            </c:numRef>
          </c:val>
        </c:ser>
        <c:gapWidth val="150"/>
        <c:overlap val="0"/>
        <c:axId val="72711648"/>
        <c:axId val="81952290"/>
      </c:barChart>
      <c:lineChart>
        <c:grouping val="standard"/>
        <c:varyColors val="0"/>
        <c:ser>
          <c:idx val="1"/>
          <c:order val="1"/>
          <c:tx>
            <c:strRef>
              <c:f>'Returns (Calc)'!$AC$2</c:f>
              <c:strCache>
                <c:ptCount val="1"/>
                <c:pt idx="0">
                  <c:v>MU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(Calc)'!$AC$3:$AC$157</c:f>
              <c:numCache>
                <c:formatCode>#,##0.00</c:formatCode>
                <c:ptCount val="155"/>
                <c:pt idx="0">
                  <c:v>64.37</c:v>
                </c:pt>
                <c:pt idx="1">
                  <c:v>69.2963636363636</c:v>
                </c:pt>
                <c:pt idx="2">
                  <c:v>74.2227272727273</c:v>
                </c:pt>
                <c:pt idx="3">
                  <c:v>79.1490909090909</c:v>
                </c:pt>
                <c:pt idx="4">
                  <c:v>84.0754545454546</c:v>
                </c:pt>
                <c:pt idx="5">
                  <c:v>89.0018181818182</c:v>
                </c:pt>
                <c:pt idx="6">
                  <c:v>93.9281818181819</c:v>
                </c:pt>
                <c:pt idx="7">
                  <c:v>98.8545454545455</c:v>
                </c:pt>
                <c:pt idx="8">
                  <c:v>103.780909090909</c:v>
                </c:pt>
                <c:pt idx="9">
                  <c:v>108.707272727273</c:v>
                </c:pt>
                <c:pt idx="10">
                  <c:v>113.633636363636</c:v>
                </c:pt>
                <c:pt idx="11">
                  <c:v>118.56</c:v>
                </c:pt>
                <c:pt idx="12">
                  <c:v>123.486363636364</c:v>
                </c:pt>
                <c:pt idx="13">
                  <c:v>128.412727272727</c:v>
                </c:pt>
                <c:pt idx="14">
                  <c:v>133.339090909091</c:v>
                </c:pt>
                <c:pt idx="15">
                  <c:v>138.265454545455</c:v>
                </c:pt>
                <c:pt idx="16">
                  <c:v>143.191818181818</c:v>
                </c:pt>
                <c:pt idx="17">
                  <c:v>148.118181818182</c:v>
                </c:pt>
                <c:pt idx="18">
                  <c:v>153.044545454546</c:v>
                </c:pt>
                <c:pt idx="19">
                  <c:v>157.970909090909</c:v>
                </c:pt>
                <c:pt idx="20">
                  <c:v>162.897272727273</c:v>
                </c:pt>
                <c:pt idx="21">
                  <c:v>167.823636363636</c:v>
                </c:pt>
                <c:pt idx="22">
                  <c:v>172.75</c:v>
                </c:pt>
                <c:pt idx="23">
                  <c:v>177.676363636363</c:v>
                </c:pt>
                <c:pt idx="24">
                  <c:v>182.602727272727</c:v>
                </c:pt>
                <c:pt idx="25">
                  <c:v>187.529090909091</c:v>
                </c:pt>
                <c:pt idx="26">
                  <c:v>192.455454545455</c:v>
                </c:pt>
                <c:pt idx="27">
                  <c:v>197.381818181818</c:v>
                </c:pt>
                <c:pt idx="28">
                  <c:v>202.308181818182</c:v>
                </c:pt>
                <c:pt idx="29">
                  <c:v>207.234545454545</c:v>
                </c:pt>
                <c:pt idx="30">
                  <c:v>212.160909090909</c:v>
                </c:pt>
                <c:pt idx="31">
                  <c:v>217.087272727273</c:v>
                </c:pt>
                <c:pt idx="32">
                  <c:v>222.013636363637</c:v>
                </c:pt>
                <c:pt idx="33">
                  <c:v>226.94</c:v>
                </c:pt>
                <c:pt idx="34">
                  <c:v>231.866363636364</c:v>
                </c:pt>
                <c:pt idx="35">
                  <c:v>236.792727272727</c:v>
                </c:pt>
                <c:pt idx="36">
                  <c:v>241.719090909091</c:v>
                </c:pt>
                <c:pt idx="37">
                  <c:v>246.645454545454</c:v>
                </c:pt>
                <c:pt idx="38">
                  <c:v>251.571818181818</c:v>
                </c:pt>
                <c:pt idx="39">
                  <c:v>256.498181818182</c:v>
                </c:pt>
                <c:pt idx="40">
                  <c:v>261.424545454546</c:v>
                </c:pt>
                <c:pt idx="41">
                  <c:v>266.350909090909</c:v>
                </c:pt>
                <c:pt idx="42">
                  <c:v>271.277272727273</c:v>
                </c:pt>
                <c:pt idx="43">
                  <c:v>276.203636363636</c:v>
                </c:pt>
                <c:pt idx="44">
                  <c:v>281.13</c:v>
                </c:pt>
                <c:pt idx="45">
                  <c:v>286.056363636363</c:v>
                </c:pt>
                <c:pt idx="46">
                  <c:v>290.982727272728</c:v>
                </c:pt>
                <c:pt idx="47">
                  <c:v>295.909090909091</c:v>
                </c:pt>
                <c:pt idx="48">
                  <c:v>300.835454545455</c:v>
                </c:pt>
                <c:pt idx="49">
                  <c:v>305.761818181818</c:v>
                </c:pt>
                <c:pt idx="50">
                  <c:v>310.688181818182</c:v>
                </c:pt>
                <c:pt idx="51">
                  <c:v>315.614545454545</c:v>
                </c:pt>
                <c:pt idx="52">
                  <c:v>320.540909090909</c:v>
                </c:pt>
                <c:pt idx="53">
                  <c:v>325.467272727273</c:v>
                </c:pt>
                <c:pt idx="54">
                  <c:v>330.393636363637</c:v>
                </c:pt>
                <c:pt idx="55">
                  <c:v>335.32</c:v>
                </c:pt>
                <c:pt idx="56">
                  <c:v>340.246363636364</c:v>
                </c:pt>
                <c:pt idx="57">
                  <c:v>345.172727272727</c:v>
                </c:pt>
                <c:pt idx="58">
                  <c:v>350.099090909091</c:v>
                </c:pt>
                <c:pt idx="59">
                  <c:v>355.025454545454</c:v>
                </c:pt>
                <c:pt idx="60">
                  <c:v>359.951818181819</c:v>
                </c:pt>
                <c:pt idx="61">
                  <c:v>364.878181818182</c:v>
                </c:pt>
                <c:pt idx="62">
                  <c:v>369.804545454546</c:v>
                </c:pt>
                <c:pt idx="63">
                  <c:v>374.730909090909</c:v>
                </c:pt>
                <c:pt idx="64">
                  <c:v>379.657272727273</c:v>
                </c:pt>
                <c:pt idx="65">
                  <c:v>384.583636363636</c:v>
                </c:pt>
                <c:pt idx="66">
                  <c:v>389.51</c:v>
                </c:pt>
                <c:pt idx="67">
                  <c:v>394.436363636364</c:v>
                </c:pt>
                <c:pt idx="68">
                  <c:v>399.362727272728</c:v>
                </c:pt>
                <c:pt idx="69">
                  <c:v>404.289090909091</c:v>
                </c:pt>
                <c:pt idx="70">
                  <c:v>409.215454545455</c:v>
                </c:pt>
                <c:pt idx="71">
                  <c:v>414.141818181818</c:v>
                </c:pt>
                <c:pt idx="72">
                  <c:v>419.068181818182</c:v>
                </c:pt>
                <c:pt idx="73">
                  <c:v>423.994545454545</c:v>
                </c:pt>
                <c:pt idx="74">
                  <c:v>428.920909090909</c:v>
                </c:pt>
                <c:pt idx="75">
                  <c:v>433.847272727273</c:v>
                </c:pt>
                <c:pt idx="76">
                  <c:v>438.773636363637</c:v>
                </c:pt>
                <c:pt idx="77">
                  <c:v>443.7</c:v>
                </c:pt>
                <c:pt idx="78">
                  <c:v>448.626363636363</c:v>
                </c:pt>
                <c:pt idx="79">
                  <c:v>453.552727272727</c:v>
                </c:pt>
                <c:pt idx="80">
                  <c:v>458.479090909091</c:v>
                </c:pt>
                <c:pt idx="81">
                  <c:v>463.405454545455</c:v>
                </c:pt>
                <c:pt idx="82">
                  <c:v>468.331818181818</c:v>
                </c:pt>
                <c:pt idx="83">
                  <c:v>473.258181818182</c:v>
                </c:pt>
                <c:pt idx="84">
                  <c:v>478.184545454545</c:v>
                </c:pt>
                <c:pt idx="85">
                  <c:v>483.110909090909</c:v>
                </c:pt>
                <c:pt idx="86">
                  <c:v>488.037272727272</c:v>
                </c:pt>
                <c:pt idx="87">
                  <c:v>492.963636363636</c:v>
                </c:pt>
                <c:pt idx="88">
                  <c:v>497.89</c:v>
                </c:pt>
                <c:pt idx="89">
                  <c:v>502.816363636364</c:v>
                </c:pt>
                <c:pt idx="90">
                  <c:v>507.742727272727</c:v>
                </c:pt>
                <c:pt idx="91">
                  <c:v>512.669090909091</c:v>
                </c:pt>
                <c:pt idx="92">
                  <c:v>517.595454545454</c:v>
                </c:pt>
                <c:pt idx="93">
                  <c:v>522.521818181818</c:v>
                </c:pt>
                <c:pt idx="94">
                  <c:v>527.448181818182</c:v>
                </c:pt>
                <c:pt idx="95">
                  <c:v>532.374545454546</c:v>
                </c:pt>
                <c:pt idx="96">
                  <c:v>537.300909090909</c:v>
                </c:pt>
                <c:pt idx="97">
                  <c:v>542.227272727273</c:v>
                </c:pt>
                <c:pt idx="98">
                  <c:v>547.153636363636</c:v>
                </c:pt>
                <c:pt idx="99">
                  <c:v>552.08</c:v>
                </c:pt>
                <c:pt idx="100">
                  <c:v>557.006363636363</c:v>
                </c:pt>
                <c:pt idx="101">
                  <c:v>561.932727272727</c:v>
                </c:pt>
                <c:pt idx="102">
                  <c:v>566.859090909091</c:v>
                </c:pt>
                <c:pt idx="103">
                  <c:v>571.785454545455</c:v>
                </c:pt>
                <c:pt idx="104">
                  <c:v>576.711818181818</c:v>
                </c:pt>
                <c:pt idx="105">
                  <c:v>581.638181818182</c:v>
                </c:pt>
                <c:pt idx="106">
                  <c:v>586.564545454545</c:v>
                </c:pt>
                <c:pt idx="107">
                  <c:v>591.490909090909</c:v>
                </c:pt>
                <c:pt idx="108">
                  <c:v>596.417272727273</c:v>
                </c:pt>
                <c:pt idx="109">
                  <c:v>601.343636363637</c:v>
                </c:pt>
                <c:pt idx="110">
                  <c:v>606.27</c:v>
                </c:pt>
                <c:pt idx="111">
                  <c:v>611.196363636364</c:v>
                </c:pt>
                <c:pt idx="112">
                  <c:v>616.122727272727</c:v>
                </c:pt>
                <c:pt idx="113">
                  <c:v>621.049090909091</c:v>
                </c:pt>
                <c:pt idx="114">
                  <c:v>625.975454545454</c:v>
                </c:pt>
                <c:pt idx="115">
                  <c:v>630.901818181818</c:v>
                </c:pt>
                <c:pt idx="116">
                  <c:v>635.828181818182</c:v>
                </c:pt>
                <c:pt idx="117">
                  <c:v>640.754545454546</c:v>
                </c:pt>
                <c:pt idx="118">
                  <c:v>645.680909090909</c:v>
                </c:pt>
                <c:pt idx="119">
                  <c:v>650.607272727273</c:v>
                </c:pt>
                <c:pt idx="120">
                  <c:v>655.533636363636</c:v>
                </c:pt>
                <c:pt idx="121">
                  <c:v>660.46</c:v>
                </c:pt>
                <c:pt idx="122">
                  <c:v>665.386363636364</c:v>
                </c:pt>
                <c:pt idx="123">
                  <c:v>670.312727272727</c:v>
                </c:pt>
                <c:pt idx="124">
                  <c:v>675.239090909091</c:v>
                </c:pt>
                <c:pt idx="125">
                  <c:v>680.165454545455</c:v>
                </c:pt>
                <c:pt idx="126">
                  <c:v>685.091818181818</c:v>
                </c:pt>
                <c:pt idx="127">
                  <c:v>690.018181818182</c:v>
                </c:pt>
                <c:pt idx="128">
                  <c:v>694.944545454545</c:v>
                </c:pt>
                <c:pt idx="129">
                  <c:v>699.870909090909</c:v>
                </c:pt>
                <c:pt idx="130">
                  <c:v>704.797272727273</c:v>
                </c:pt>
                <c:pt idx="131">
                  <c:v>709.723636363637</c:v>
                </c:pt>
                <c:pt idx="132">
                  <c:v>714.65</c:v>
                </c:pt>
                <c:pt idx="133">
                  <c:v>719.576363636364</c:v>
                </c:pt>
                <c:pt idx="134">
                  <c:v>724.502727272727</c:v>
                </c:pt>
                <c:pt idx="135">
                  <c:v>729.429090909091</c:v>
                </c:pt>
                <c:pt idx="136">
                  <c:v>734.355454545454</c:v>
                </c:pt>
                <c:pt idx="137">
                  <c:v>739.281818181818</c:v>
                </c:pt>
                <c:pt idx="138">
                  <c:v>744.208181818182</c:v>
                </c:pt>
                <c:pt idx="139">
                  <c:v>749.134545454546</c:v>
                </c:pt>
                <c:pt idx="140">
                  <c:v>754.060909090909</c:v>
                </c:pt>
                <c:pt idx="141">
                  <c:v>758.987272727273</c:v>
                </c:pt>
                <c:pt idx="142">
                  <c:v>763.913636363636</c:v>
                </c:pt>
                <c:pt idx="143">
                  <c:v>768.84</c:v>
                </c:pt>
                <c:pt idx="144">
                  <c:v>773.766363636364</c:v>
                </c:pt>
                <c:pt idx="145">
                  <c:v>778.692727272728</c:v>
                </c:pt>
                <c:pt idx="146">
                  <c:v>783.619090909091</c:v>
                </c:pt>
                <c:pt idx="147">
                  <c:v>788.545454545455</c:v>
                </c:pt>
                <c:pt idx="148">
                  <c:v>793.471818181818</c:v>
                </c:pt>
                <c:pt idx="149">
                  <c:v>798.398181818182</c:v>
                </c:pt>
                <c:pt idx="150">
                  <c:v>803.324545454545</c:v>
                </c:pt>
                <c:pt idx="151">
                  <c:v>808.250909090909</c:v>
                </c:pt>
                <c:pt idx="152">
                  <c:v>813.177272727273</c:v>
                </c:pt>
                <c:pt idx="153">
                  <c:v>818.103636363637</c:v>
                </c:pt>
                <c:pt idx="154">
                  <c:v>823.03</c:v>
                </c:pt>
              </c:numCache>
            </c:numRef>
          </c:val>
          <c:smooth val="0"/>
        </c:ser>
        <c:hiLowLines>
          <c:spPr>
            <a:ln w="0">
              <a:noFill/>
            </a:ln>
          </c:spPr>
        </c:hiLowLines>
        <c:marker val="0"/>
        <c:axId val="4532393"/>
        <c:axId val="55368956"/>
      </c:lineChart>
      <c:dateAx>
        <c:axId val="7271164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1952290"/>
        <c:auto val="1"/>
        <c:lblOffset val="100"/>
        <c:baseTimeUnit val="days"/>
      </c:dateAx>
      <c:valAx>
        <c:axId val="8195229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2711648"/>
        <c:crosses val="autoZero"/>
        <c:crossBetween val="between"/>
      </c:valAx>
      <c:dateAx>
        <c:axId val="453239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5368956"/>
        <c:auto val="1"/>
        <c:lblOffset val="100"/>
        <c:baseTimeUnit val="days"/>
      </c:dateAx>
      <c:valAx>
        <c:axId val="5536895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53239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NVDA</a:t>
            </a:r>
          </a:p>
        </c:rich>
      </c:tx>
      <c:overlay val="0"/>
      <c:spPr>
        <a:noFill/>
        <a:ln w="0">
          <a:noFill/>
        </a:ln>
      </c:spPr>
    </c:title>
    <c:autoTitleDeleted val="0"/>
    <c:plotArea>
      <c:barChart>
        <c:barDir val="col"/>
        <c:grouping val="clustered"/>
        <c:varyColors val="0"/>
        <c:ser>
          <c:idx val="0"/>
          <c:order val="0"/>
          <c:tx>
            <c:strRef>
              <c:f>'Returns (Calc)'!$I$2</c:f>
              <c:strCache>
                <c:ptCount val="1"/>
                <c:pt idx="0">
                  <c:v>NVDA</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(Calc)'!$I$3:$I$157</c:f>
              <c:numCache>
                <c:formatCode>0.0%</c:formatCode>
                <c:ptCount val="155"/>
                <c:pt idx="0">
                  <c:v>0.0599755201958383</c:v>
                </c:pt>
                <c:pt idx="1">
                  <c:v>0.0628175519630487</c:v>
                </c:pt>
                <c:pt idx="2">
                  <c:v>0.0541069100391134</c:v>
                </c:pt>
                <c:pt idx="3">
                  <c:v>-0.0606060606060606</c:v>
                </c:pt>
                <c:pt idx="4">
                  <c:v>-0.0366469168312487</c:v>
                </c:pt>
                <c:pt idx="5">
                  <c:v>-0.0521640091116173</c:v>
                </c:pt>
                <c:pt idx="6">
                  <c:v>0.0454217736121125</c:v>
                </c:pt>
                <c:pt idx="7">
                  <c:v>0.0519540229885056</c:v>
                </c:pt>
                <c:pt idx="8">
                  <c:v>-0.00655594405594395</c:v>
                </c:pt>
                <c:pt idx="9">
                  <c:v>-0.0895292564892213</c:v>
                </c:pt>
                <c:pt idx="10">
                  <c:v>-0.0215027784489007</c:v>
                </c:pt>
                <c:pt idx="11">
                  <c:v>0.111358024691358</c:v>
                </c:pt>
                <c:pt idx="12">
                  <c:v>0.0739835592090647</c:v>
                </c:pt>
                <c:pt idx="13">
                  <c:v>0.0198593297476208</c:v>
                </c:pt>
                <c:pt idx="14">
                  <c:v>-0.0308316430020283</c:v>
                </c:pt>
                <c:pt idx="15">
                  <c:v>-0.0211385516952699</c:v>
                </c:pt>
                <c:pt idx="16">
                  <c:v>0.01582210818901</c:v>
                </c:pt>
                <c:pt idx="17">
                  <c:v>0.0290465165228373</c:v>
                </c:pt>
                <c:pt idx="18">
                  <c:v>-0.00122724483534464</c:v>
                </c:pt>
                <c:pt idx="19">
                  <c:v>0.0141306573827567</c:v>
                </c:pt>
                <c:pt idx="20">
                  <c:v>-0.00848142164781907</c:v>
                </c:pt>
                <c:pt idx="21">
                  <c:v>0.114256619144603</c:v>
                </c:pt>
                <c:pt idx="22">
                  <c:v>0.0873697678669347</c:v>
                </c:pt>
                <c:pt idx="23">
                  <c:v>0.0258867036476718</c:v>
                </c:pt>
                <c:pt idx="24">
                  <c:v>0.0840570211371456</c:v>
                </c:pt>
                <c:pt idx="25">
                  <c:v>0.0902357920193471</c:v>
                </c:pt>
                <c:pt idx="26">
                  <c:v>0.00665465132399845</c:v>
                </c:pt>
                <c:pt idx="27">
                  <c:v>0.0855254097231786</c:v>
                </c:pt>
                <c:pt idx="28">
                  <c:v>0.0438974879472216</c:v>
                </c:pt>
                <c:pt idx="29">
                  <c:v>0.0638065143412736</c:v>
                </c:pt>
                <c:pt idx="30">
                  <c:v>0.00354164286530345</c:v>
                </c:pt>
                <c:pt idx="31">
                  <c:v>0.0734289617486339</c:v>
                </c:pt>
                <c:pt idx="32">
                  <c:v>-0.0416799236398346</c:v>
                </c:pt>
                <c:pt idx="33">
                  <c:v>-0.0260070827799911</c:v>
                </c:pt>
                <c:pt idx="34">
                  <c:v>0.00204522213384828</c:v>
                </c:pt>
                <c:pt idx="35">
                  <c:v>-0.135956457648259</c:v>
                </c:pt>
                <c:pt idx="36">
                  <c:v>0.151443569553806</c:v>
                </c:pt>
                <c:pt idx="37">
                  <c:v>0.0119671757465241</c:v>
                </c:pt>
                <c:pt idx="38">
                  <c:v>0.0122761572249126</c:v>
                </c:pt>
                <c:pt idx="39">
                  <c:v>0.0289274588340009</c:v>
                </c:pt>
                <c:pt idx="40">
                  <c:v>0.151275951557093</c:v>
                </c:pt>
                <c:pt idx="41">
                  <c:v>0.0296797219874143</c:v>
                </c:pt>
                <c:pt idx="42">
                  <c:v>0.102709112469215</c:v>
                </c:pt>
                <c:pt idx="43">
                  <c:v>0.0909090909090908</c:v>
                </c:pt>
                <c:pt idx="44">
                  <c:v>-0.0402638762511374</c:v>
                </c:pt>
                <c:pt idx="45">
                  <c:v>-0.023939322114245</c:v>
                </c:pt>
                <c:pt idx="46">
                  <c:v>0.0185365063946898</c:v>
                </c:pt>
                <c:pt idx="47">
                  <c:v>0.0271000556306129</c:v>
                </c:pt>
                <c:pt idx="48">
                  <c:v>-0.0875116063138347</c:v>
                </c:pt>
                <c:pt idx="49">
                  <c:v>-0.0412956838802679</c:v>
                </c:pt>
                <c:pt idx="50">
                  <c:v>-0.0512117459755882</c:v>
                </c:pt>
                <c:pt idx="51">
                  <c:v>-0.023492122681085</c:v>
                </c:pt>
                <c:pt idx="52">
                  <c:v>0.189307875894988</c:v>
                </c:pt>
                <c:pt idx="53">
                  <c:v>0.0384491892759673</c:v>
                </c:pt>
                <c:pt idx="54">
                  <c:v>-0.0772976733400325</c:v>
                </c:pt>
                <c:pt idx="55">
                  <c:v>-0.138560777414761</c:v>
                </c:pt>
                <c:pt idx="56">
                  <c:v>0.158222308664786</c:v>
                </c:pt>
                <c:pt idx="57">
                  <c:v>-0.0260285474391267</c:v>
                </c:pt>
                <c:pt idx="58">
                  <c:v>0.0465517241379312</c:v>
                </c:pt>
                <c:pt idx="59">
                  <c:v>0.0289950576606259</c:v>
                </c:pt>
                <c:pt idx="60">
                  <c:v>0.0790906179955173</c:v>
                </c:pt>
                <c:pt idx="61">
                  <c:v>0.0237388724035608</c:v>
                </c:pt>
                <c:pt idx="62">
                  <c:v>0.0256521739130435</c:v>
                </c:pt>
                <c:pt idx="63">
                  <c:v>-0.0433799632612688</c:v>
                </c:pt>
                <c:pt idx="64">
                  <c:v>0.0903249630723781</c:v>
                </c:pt>
                <c:pt idx="65">
                  <c:v>-0.0382713540608278</c:v>
                </c:pt>
                <c:pt idx="66">
                  <c:v>-0.000211297365826146</c:v>
                </c:pt>
                <c:pt idx="67">
                  <c:v>-0.0260655160267699</c:v>
                </c:pt>
                <c:pt idx="68">
                  <c:v>0.0303074141048825</c:v>
                </c:pt>
                <c:pt idx="69">
                  <c:v>-0.0574978938500421</c:v>
                </c:pt>
                <c:pt idx="70">
                  <c:v>0.00335195530726251</c:v>
                </c:pt>
                <c:pt idx="71">
                  <c:v>0.0171492204899777</c:v>
                </c:pt>
                <c:pt idx="72">
                  <c:v>0.0544485803955916</c:v>
                </c:pt>
                <c:pt idx="73">
                  <c:v>-0.0592510555824739</c:v>
                </c:pt>
                <c:pt idx="74">
                  <c:v>0.0132440585681701</c:v>
                </c:pt>
                <c:pt idx="75">
                  <c:v>0.0356546365550794</c:v>
                </c:pt>
                <c:pt idx="76">
                  <c:v>-0.158112466694713</c:v>
                </c:pt>
                <c:pt idx="77">
                  <c:v>0.0813692012992422</c:v>
                </c:pt>
                <c:pt idx="78">
                  <c:v>0.0693930991990142</c:v>
                </c:pt>
                <c:pt idx="79">
                  <c:v>-0.0318329132157003</c:v>
                </c:pt>
                <c:pt idx="80">
                  <c:v>-0.0707431376924794</c:v>
                </c:pt>
                <c:pt idx="81">
                  <c:v>-0.0979026577009287</c:v>
                </c:pt>
                <c:pt idx="82">
                  <c:v>0.0796876386547165</c:v>
                </c:pt>
                <c:pt idx="83">
                  <c:v>-0.0326292430344374</c:v>
                </c:pt>
                <c:pt idx="84">
                  <c:v>-0.0682242990654206</c:v>
                </c:pt>
                <c:pt idx="85">
                  <c:v>-0.140056533236072</c:v>
                </c:pt>
                <c:pt idx="86">
                  <c:v>0.17622733538331</c:v>
                </c:pt>
                <c:pt idx="87">
                  <c:v>-0.0850987108987651</c:v>
                </c:pt>
                <c:pt idx="88">
                  <c:v>0.0938023450586265</c:v>
                </c:pt>
                <c:pt idx="89">
                  <c:v>0.0314386091343122</c:v>
                </c:pt>
                <c:pt idx="90">
                  <c:v>0.0187772925764194</c:v>
                </c:pt>
                <c:pt idx="91">
                  <c:v>0.160737248178311</c:v>
                </c:pt>
                <c:pt idx="92">
                  <c:v>-0.0303545051698672</c:v>
                </c:pt>
                <c:pt idx="93">
                  <c:v>0.029248229111128</c:v>
                </c:pt>
                <c:pt idx="94">
                  <c:v>0.0487678531784208</c:v>
                </c:pt>
                <c:pt idx="95">
                  <c:v>0.00176404177250911</c:v>
                </c:pt>
                <c:pt idx="96">
                  <c:v>0.0132422342748468</c:v>
                </c:pt>
                <c:pt idx="97">
                  <c:v>0.0966284323948559</c:v>
                </c:pt>
                <c:pt idx="98">
                  <c:v>0.0100792393026941</c:v>
                </c:pt>
                <c:pt idx="99">
                  <c:v>0.0350194552529182</c:v>
                </c:pt>
                <c:pt idx="100">
                  <c:v>0.0454159592529713</c:v>
                </c:pt>
                <c:pt idx="101">
                  <c:v>0.00632213908706003</c:v>
                </c:pt>
                <c:pt idx="102">
                  <c:v>0.00126801152737754</c:v>
                </c:pt>
                <c:pt idx="103">
                  <c:v>0.0516923785401795</c:v>
                </c:pt>
                <c:pt idx="104">
                  <c:v>-0.0123152709359606</c:v>
                </c:pt>
                <c:pt idx="105">
                  <c:v>-0.0136325852036574</c:v>
                </c:pt>
                <c:pt idx="106">
                  <c:v>-0.0214056969492669</c:v>
                </c:pt>
                <c:pt idx="107">
                  <c:v>-0.0411069009071076</c:v>
                </c:pt>
                <c:pt idx="108">
                  <c:v>0.0646629146210034</c:v>
                </c:pt>
                <c:pt idx="109">
                  <c:v>-0.00646721403666628</c:v>
                </c:pt>
                <c:pt idx="110">
                  <c:v>0.00860361125261799</c:v>
                </c:pt>
                <c:pt idx="111">
                  <c:v>0.0529210393400303</c:v>
                </c:pt>
                <c:pt idx="112">
                  <c:v>-0.0237714529367872</c:v>
                </c:pt>
                <c:pt idx="113">
                  <c:v>0.000327582441581153</c:v>
                </c:pt>
                <c:pt idx="114">
                  <c:v>0.0165920751009714</c:v>
                </c:pt>
                <c:pt idx="115">
                  <c:v>0.0871362611403415</c:v>
                </c:pt>
                <c:pt idx="116">
                  <c:v>-0.0708183120154082</c:v>
                </c:pt>
                <c:pt idx="117">
                  <c:v>0.0107361148020195</c:v>
                </c:pt>
                <c:pt idx="118">
                  <c:v>-0.0593679339538308</c:v>
                </c:pt>
                <c:pt idx="119">
                  <c:v>-0.0105098389982111</c:v>
                </c:pt>
                <c:pt idx="120">
                  <c:v>0.0305649717514125</c:v>
                </c:pt>
                <c:pt idx="121">
                  <c:v>-0.0405131297626226</c:v>
                </c:pt>
                <c:pt idx="122">
                  <c:v>0.0341103873842989</c:v>
                </c:pt>
                <c:pt idx="123">
                  <c:v>0.052710094480358</c:v>
                </c:pt>
                <c:pt idx="124">
                  <c:v>-0.00881750905369239</c:v>
                </c:pt>
                <c:pt idx="125">
                  <c:v>-0.0211278792692612</c:v>
                </c:pt>
                <c:pt idx="126">
                  <c:v>0.00741101374012754</c:v>
                </c:pt>
                <c:pt idx="127">
                  <c:v>0.00773237394619564</c:v>
                </c:pt>
                <c:pt idx="128">
                  <c:v>0.01843661746683</c:v>
                </c:pt>
                <c:pt idx="129">
                  <c:v>-0.0299272746298331</c:v>
                </c:pt>
                <c:pt idx="130">
                  <c:v>-0.0140229761070061</c:v>
                </c:pt>
                <c:pt idx="131">
                  <c:v>0.0383458235326295</c:v>
                </c:pt>
                <c:pt idx="132">
                  <c:v>-0.0665367189969445</c:v>
                </c:pt>
                <c:pt idx="133">
                  <c:v>0.00355550538969474</c:v>
                </c:pt>
                <c:pt idx="134">
                  <c:v>0.013665504442695</c:v>
                </c:pt>
                <c:pt idx="135">
                  <c:v>-0.0418862690707351</c:v>
                </c:pt>
                <c:pt idx="136">
                  <c:v>-0.0299942096120439</c:v>
                </c:pt>
                <c:pt idx="137">
                  <c:v>0.0589183381088825</c:v>
                </c:pt>
                <c:pt idx="138">
                  <c:v>0.0633632110040026</c:v>
                </c:pt>
                <c:pt idx="139">
                  <c:v>0.0691830567778191</c:v>
                </c:pt>
                <c:pt idx="140">
                  <c:v>0.0326755255850852</c:v>
                </c:pt>
                <c:pt idx="141">
                  <c:v>-0.0471503337014454</c:v>
                </c:pt>
                <c:pt idx="142">
                  <c:v>0.0844041320231797</c:v>
                </c:pt>
                <c:pt idx="143">
                  <c:v>0.0470260223048327</c:v>
                </c:pt>
                <c:pt idx="144">
                  <c:v>-0.0443369430143795</c:v>
                </c:pt>
                <c:pt idx="145">
                  <c:v>-0.0194585055496216</c:v>
                </c:pt>
                <c:pt idx="146">
                  <c:v>-0.0286066117268163</c:v>
                </c:pt>
                <c:pt idx="147">
                  <c:v>0.000438810336421236</c:v>
                </c:pt>
                <c:pt idx="148">
                  <c:v>0.0268044251669184</c:v>
                </c:pt>
                <c:pt idx="149">
                  <c:v>-0.0861929849541981</c:v>
                </c:pt>
                <c:pt idx="150">
                  <c:v>0.011946190204124</c:v>
                </c:pt>
                <c:pt idx="151">
                  <c:v>0.0827901247241185</c:v>
                </c:pt>
                <c:pt idx="152">
                  <c:v>-0.0386329161926432</c:v>
                </c:pt>
                <c:pt idx="153">
                  <c:v>0.0198708150485676</c:v>
                </c:pt>
                <c:pt idx="154">
                  <c:v>-0.0294430477663895</c:v>
                </c:pt>
              </c:numCache>
            </c:numRef>
          </c:val>
        </c:ser>
        <c:gapWidth val="150"/>
        <c:overlap val="0"/>
        <c:axId val="69904115"/>
        <c:axId val="68304447"/>
      </c:barChart>
      <c:lineChart>
        <c:grouping val="standard"/>
        <c:varyColors val="0"/>
        <c:ser>
          <c:idx val="1"/>
          <c:order val="1"/>
          <c:tx>
            <c:strRef>
              <c:f>'Returns (Calc)'!$AD$2</c:f>
              <c:strCache>
                <c:ptCount val="1"/>
                <c:pt idx="0">
                  <c:v>NVDA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(Calc)'!$AD$3:$AD$157</c:f>
              <c:numCache>
                <c:formatCode>#,##0.00</c:formatCode>
                <c:ptCount val="155"/>
                <c:pt idx="0">
                  <c:v>40.85</c:v>
                </c:pt>
                <c:pt idx="1">
                  <c:v>41.8883116883117</c:v>
                </c:pt>
                <c:pt idx="2">
                  <c:v>42.9266233766234</c:v>
                </c:pt>
                <c:pt idx="3">
                  <c:v>43.9649350649351</c:v>
                </c:pt>
                <c:pt idx="4">
                  <c:v>45.0032467532468</c:v>
                </c:pt>
                <c:pt idx="5">
                  <c:v>46.0415584415585</c:v>
                </c:pt>
                <c:pt idx="6">
                  <c:v>47.0798701298701</c:v>
                </c:pt>
                <c:pt idx="7">
                  <c:v>48.1181818181818</c:v>
                </c:pt>
                <c:pt idx="8">
                  <c:v>49.1564935064935</c:v>
                </c:pt>
                <c:pt idx="9">
                  <c:v>50.1948051948052</c:v>
                </c:pt>
                <c:pt idx="10">
                  <c:v>51.2331168831169</c:v>
                </c:pt>
                <c:pt idx="11">
                  <c:v>52.2714285714286</c:v>
                </c:pt>
                <c:pt idx="12">
                  <c:v>53.3097402597403</c:v>
                </c:pt>
                <c:pt idx="13">
                  <c:v>54.3480519480519</c:v>
                </c:pt>
                <c:pt idx="14">
                  <c:v>55.3863636363636</c:v>
                </c:pt>
                <c:pt idx="15">
                  <c:v>56.4246753246753</c:v>
                </c:pt>
                <c:pt idx="16">
                  <c:v>57.462987012987</c:v>
                </c:pt>
                <c:pt idx="17">
                  <c:v>58.5012987012986</c:v>
                </c:pt>
                <c:pt idx="18">
                  <c:v>59.5396103896104</c:v>
                </c:pt>
                <c:pt idx="19">
                  <c:v>60.577922077922</c:v>
                </c:pt>
                <c:pt idx="20">
                  <c:v>61.6162337662338</c:v>
                </c:pt>
                <c:pt idx="21">
                  <c:v>62.6545454545454</c:v>
                </c:pt>
                <c:pt idx="22">
                  <c:v>63.6928571428572</c:v>
                </c:pt>
                <c:pt idx="23">
                  <c:v>64.7311688311688</c:v>
                </c:pt>
                <c:pt idx="24">
                  <c:v>65.7694805194806</c:v>
                </c:pt>
                <c:pt idx="25">
                  <c:v>66.8077922077922</c:v>
                </c:pt>
                <c:pt idx="26">
                  <c:v>67.8461038961039</c:v>
                </c:pt>
                <c:pt idx="27">
                  <c:v>68.8844155844155</c:v>
                </c:pt>
                <c:pt idx="28">
                  <c:v>69.9227272727273</c:v>
                </c:pt>
                <c:pt idx="29">
                  <c:v>70.9610389610389</c:v>
                </c:pt>
                <c:pt idx="30">
                  <c:v>71.9993506493507</c:v>
                </c:pt>
                <c:pt idx="31">
                  <c:v>73.0376623376623</c:v>
                </c:pt>
                <c:pt idx="32">
                  <c:v>74.0759740259741</c:v>
                </c:pt>
                <c:pt idx="33">
                  <c:v>75.1142857142857</c:v>
                </c:pt>
                <c:pt idx="34">
                  <c:v>76.1525974025974</c:v>
                </c:pt>
                <c:pt idx="35">
                  <c:v>77.1909090909091</c:v>
                </c:pt>
                <c:pt idx="36">
                  <c:v>78.2292207792208</c:v>
                </c:pt>
                <c:pt idx="37">
                  <c:v>79.2675324675324</c:v>
                </c:pt>
                <c:pt idx="38">
                  <c:v>80.3058441558442</c:v>
                </c:pt>
                <c:pt idx="39">
                  <c:v>81.3441558441558</c:v>
                </c:pt>
                <c:pt idx="40">
                  <c:v>82.3824675324676</c:v>
                </c:pt>
                <c:pt idx="41">
                  <c:v>83.4207792207792</c:v>
                </c:pt>
                <c:pt idx="42">
                  <c:v>84.459090909091</c:v>
                </c:pt>
                <c:pt idx="43">
                  <c:v>85.4974025974026</c:v>
                </c:pt>
                <c:pt idx="44">
                  <c:v>86.5357142857143</c:v>
                </c:pt>
                <c:pt idx="45">
                  <c:v>87.5740259740259</c:v>
                </c:pt>
                <c:pt idx="46">
                  <c:v>88.6123376623377</c:v>
                </c:pt>
                <c:pt idx="47">
                  <c:v>89.6506493506493</c:v>
                </c:pt>
                <c:pt idx="48">
                  <c:v>90.6889610389611</c:v>
                </c:pt>
                <c:pt idx="49">
                  <c:v>91.7272727272727</c:v>
                </c:pt>
                <c:pt idx="50">
                  <c:v>92.7655844155845</c:v>
                </c:pt>
                <c:pt idx="51">
                  <c:v>93.8038961038961</c:v>
                </c:pt>
                <c:pt idx="52">
                  <c:v>94.8422077922079</c:v>
                </c:pt>
                <c:pt idx="53">
                  <c:v>95.8805194805195</c:v>
                </c:pt>
                <c:pt idx="54">
                  <c:v>96.9188311688312</c:v>
                </c:pt>
                <c:pt idx="55">
                  <c:v>97.9571428571428</c:v>
                </c:pt>
                <c:pt idx="56">
                  <c:v>98.9954545454546</c:v>
                </c:pt>
                <c:pt idx="57">
                  <c:v>100.033766233766</c:v>
                </c:pt>
                <c:pt idx="58">
                  <c:v>101.072077922078</c:v>
                </c:pt>
                <c:pt idx="59">
                  <c:v>102.11038961039</c:v>
                </c:pt>
                <c:pt idx="60">
                  <c:v>103.148701298701</c:v>
                </c:pt>
                <c:pt idx="61">
                  <c:v>104.187012987013</c:v>
                </c:pt>
                <c:pt idx="62">
                  <c:v>105.225324675325</c:v>
                </c:pt>
                <c:pt idx="63">
                  <c:v>106.263636363636</c:v>
                </c:pt>
                <c:pt idx="64">
                  <c:v>107.301948051948</c:v>
                </c:pt>
                <c:pt idx="65">
                  <c:v>108.34025974026</c:v>
                </c:pt>
                <c:pt idx="66">
                  <c:v>109.378571428571</c:v>
                </c:pt>
                <c:pt idx="67">
                  <c:v>110.416883116883</c:v>
                </c:pt>
                <c:pt idx="68">
                  <c:v>111.455194805195</c:v>
                </c:pt>
                <c:pt idx="69">
                  <c:v>112.493506493506</c:v>
                </c:pt>
                <c:pt idx="70">
                  <c:v>113.531818181818</c:v>
                </c:pt>
                <c:pt idx="71">
                  <c:v>114.57012987013</c:v>
                </c:pt>
                <c:pt idx="72">
                  <c:v>115.608441558442</c:v>
                </c:pt>
                <c:pt idx="73">
                  <c:v>116.646753246753</c:v>
                </c:pt>
                <c:pt idx="74">
                  <c:v>117.685064935065</c:v>
                </c:pt>
                <c:pt idx="75">
                  <c:v>118.723376623377</c:v>
                </c:pt>
                <c:pt idx="76">
                  <c:v>119.761688311688</c:v>
                </c:pt>
                <c:pt idx="77">
                  <c:v>120.8</c:v>
                </c:pt>
                <c:pt idx="78">
                  <c:v>121.838311688312</c:v>
                </c:pt>
                <c:pt idx="79">
                  <c:v>122.876623376623</c:v>
                </c:pt>
                <c:pt idx="80">
                  <c:v>123.914935064935</c:v>
                </c:pt>
                <c:pt idx="81">
                  <c:v>124.953246753247</c:v>
                </c:pt>
                <c:pt idx="82">
                  <c:v>125.991558441558</c:v>
                </c:pt>
                <c:pt idx="83">
                  <c:v>127.02987012987</c:v>
                </c:pt>
                <c:pt idx="84">
                  <c:v>128.068181818182</c:v>
                </c:pt>
                <c:pt idx="85">
                  <c:v>129.106493506494</c:v>
                </c:pt>
                <c:pt idx="86">
                  <c:v>130.144805194805</c:v>
                </c:pt>
                <c:pt idx="87">
                  <c:v>131.183116883117</c:v>
                </c:pt>
                <c:pt idx="88">
                  <c:v>132.221428571429</c:v>
                </c:pt>
                <c:pt idx="89">
                  <c:v>133.25974025974</c:v>
                </c:pt>
                <c:pt idx="90">
                  <c:v>134.298051948052</c:v>
                </c:pt>
                <c:pt idx="91">
                  <c:v>135.336363636364</c:v>
                </c:pt>
                <c:pt idx="92">
                  <c:v>136.374675324675</c:v>
                </c:pt>
                <c:pt idx="93">
                  <c:v>137.412987012987</c:v>
                </c:pt>
                <c:pt idx="94">
                  <c:v>138.451298701299</c:v>
                </c:pt>
                <c:pt idx="95">
                  <c:v>139.48961038961</c:v>
                </c:pt>
                <c:pt idx="96">
                  <c:v>140.527922077922</c:v>
                </c:pt>
                <c:pt idx="97">
                  <c:v>141.566233766234</c:v>
                </c:pt>
                <c:pt idx="98">
                  <c:v>142.604545454545</c:v>
                </c:pt>
                <c:pt idx="99">
                  <c:v>143.642857142857</c:v>
                </c:pt>
                <c:pt idx="100">
                  <c:v>144.681168831169</c:v>
                </c:pt>
                <c:pt idx="101">
                  <c:v>145.719480519481</c:v>
                </c:pt>
                <c:pt idx="102">
                  <c:v>146.757792207792</c:v>
                </c:pt>
                <c:pt idx="103">
                  <c:v>147.796103896104</c:v>
                </c:pt>
                <c:pt idx="104">
                  <c:v>148.834415584416</c:v>
                </c:pt>
                <c:pt idx="105">
                  <c:v>149.872727272727</c:v>
                </c:pt>
                <c:pt idx="106">
                  <c:v>150.911038961039</c:v>
                </c:pt>
                <c:pt idx="107">
                  <c:v>151.949350649351</c:v>
                </c:pt>
                <c:pt idx="108">
                  <c:v>152.987662337662</c:v>
                </c:pt>
                <c:pt idx="109">
                  <c:v>154.025974025974</c:v>
                </c:pt>
                <c:pt idx="110">
                  <c:v>155.064285714286</c:v>
                </c:pt>
                <c:pt idx="111">
                  <c:v>156.102597402597</c:v>
                </c:pt>
                <c:pt idx="112">
                  <c:v>157.140909090909</c:v>
                </c:pt>
                <c:pt idx="113">
                  <c:v>158.179220779221</c:v>
                </c:pt>
                <c:pt idx="114">
                  <c:v>159.217532467532</c:v>
                </c:pt>
                <c:pt idx="115">
                  <c:v>160.255844155844</c:v>
                </c:pt>
                <c:pt idx="116">
                  <c:v>161.294155844156</c:v>
                </c:pt>
                <c:pt idx="117">
                  <c:v>162.332467532468</c:v>
                </c:pt>
                <c:pt idx="118">
                  <c:v>163.370779220779</c:v>
                </c:pt>
                <c:pt idx="119">
                  <c:v>164.409090909091</c:v>
                </c:pt>
                <c:pt idx="120">
                  <c:v>165.447402597403</c:v>
                </c:pt>
                <c:pt idx="121">
                  <c:v>166.485714285714</c:v>
                </c:pt>
                <c:pt idx="122">
                  <c:v>167.524025974026</c:v>
                </c:pt>
                <c:pt idx="123">
                  <c:v>168.562337662338</c:v>
                </c:pt>
                <c:pt idx="124">
                  <c:v>169.600649350649</c:v>
                </c:pt>
                <c:pt idx="125">
                  <c:v>170.638961038961</c:v>
                </c:pt>
                <c:pt idx="126">
                  <c:v>171.677272727273</c:v>
                </c:pt>
                <c:pt idx="127">
                  <c:v>172.715584415584</c:v>
                </c:pt>
                <c:pt idx="128">
                  <c:v>173.753896103896</c:v>
                </c:pt>
                <c:pt idx="129">
                  <c:v>174.792207792208</c:v>
                </c:pt>
                <c:pt idx="130">
                  <c:v>175.830519480519</c:v>
                </c:pt>
                <c:pt idx="131">
                  <c:v>176.868831168831</c:v>
                </c:pt>
                <c:pt idx="132">
                  <c:v>177.907142857143</c:v>
                </c:pt>
                <c:pt idx="133">
                  <c:v>178.945454545455</c:v>
                </c:pt>
                <c:pt idx="134">
                  <c:v>179.983766233766</c:v>
                </c:pt>
                <c:pt idx="135">
                  <c:v>181.022077922078</c:v>
                </c:pt>
                <c:pt idx="136">
                  <c:v>182.06038961039</c:v>
                </c:pt>
                <c:pt idx="137">
                  <c:v>183.098701298701</c:v>
                </c:pt>
                <c:pt idx="138">
                  <c:v>184.137012987013</c:v>
                </c:pt>
                <c:pt idx="139">
                  <c:v>185.175324675325</c:v>
                </c:pt>
                <c:pt idx="140">
                  <c:v>186.213636363636</c:v>
                </c:pt>
                <c:pt idx="141">
                  <c:v>187.251948051948</c:v>
                </c:pt>
                <c:pt idx="142">
                  <c:v>188.29025974026</c:v>
                </c:pt>
                <c:pt idx="143">
                  <c:v>189.328571428572</c:v>
                </c:pt>
                <c:pt idx="144">
                  <c:v>190.366883116883</c:v>
                </c:pt>
                <c:pt idx="145">
                  <c:v>191.405194805195</c:v>
                </c:pt>
                <c:pt idx="146">
                  <c:v>192.443506493507</c:v>
                </c:pt>
                <c:pt idx="147">
                  <c:v>193.481818181818</c:v>
                </c:pt>
                <c:pt idx="148">
                  <c:v>194.52012987013</c:v>
                </c:pt>
                <c:pt idx="149">
                  <c:v>195.558441558442</c:v>
                </c:pt>
                <c:pt idx="150">
                  <c:v>196.596753246753</c:v>
                </c:pt>
                <c:pt idx="151">
                  <c:v>197.635064935065</c:v>
                </c:pt>
                <c:pt idx="152">
                  <c:v>198.673376623377</c:v>
                </c:pt>
                <c:pt idx="153">
                  <c:v>199.711688311688</c:v>
                </c:pt>
                <c:pt idx="154">
                  <c:v>200.75</c:v>
                </c:pt>
              </c:numCache>
            </c:numRef>
          </c:val>
          <c:smooth val="0"/>
        </c:ser>
        <c:hiLowLines>
          <c:spPr>
            <a:ln w="0">
              <a:noFill/>
            </a:ln>
          </c:spPr>
        </c:hiLowLines>
        <c:marker val="0"/>
        <c:axId val="1580476"/>
        <c:axId val="98496174"/>
      </c:lineChart>
      <c:dateAx>
        <c:axId val="6990411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8304447"/>
        <c:auto val="1"/>
        <c:lblOffset val="100"/>
        <c:baseTimeUnit val="days"/>
      </c:dateAx>
      <c:valAx>
        <c:axId val="6830444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9904115"/>
        <c:crosses val="autoZero"/>
        <c:crossBetween val="between"/>
      </c:valAx>
      <c:dateAx>
        <c:axId val="158047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8496174"/>
        <c:auto val="1"/>
        <c:lblOffset val="100"/>
        <c:baseTimeUnit val="days"/>
      </c:dateAx>
      <c:valAx>
        <c:axId val="9849617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58047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PLD</a:t>
            </a:r>
          </a:p>
        </c:rich>
      </c:tx>
      <c:overlay val="0"/>
      <c:spPr>
        <a:noFill/>
        <a:ln w="0">
          <a:noFill/>
        </a:ln>
      </c:spPr>
    </c:title>
    <c:autoTitleDeleted val="0"/>
    <c:plotArea>
      <c:barChart>
        <c:barDir val="col"/>
        <c:grouping val="clustered"/>
        <c:varyColors val="0"/>
        <c:ser>
          <c:idx val="0"/>
          <c:order val="0"/>
          <c:tx>
            <c:strRef>
              <c:f>'Returns (Calc)'!$J$2</c:f>
              <c:strCache>
                <c:ptCount val="1"/>
                <c:pt idx="0">
                  <c:v>PLD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(Calc)'!$J$3:$J$157</c:f>
              <c:numCache>
                <c:formatCode>0.0%</c:formatCode>
                <c:ptCount val="155"/>
                <c:pt idx="0">
                  <c:v>-0.0165168812241924</c:v>
                </c:pt>
                <c:pt idx="1">
                  <c:v>0.00979665761093274</c:v>
                </c:pt>
                <c:pt idx="2">
                  <c:v>0.015734550790804</c:v>
                </c:pt>
                <c:pt idx="3">
                  <c:v>-0.016935548599406</c:v>
                </c:pt>
                <c:pt idx="4">
                  <c:v>0.0057152188112346</c:v>
                </c:pt>
                <c:pt idx="5">
                  <c:v>-0.0739568111706447</c:v>
                </c:pt>
                <c:pt idx="6">
                  <c:v>-0.0163057771543789</c:v>
                </c:pt>
                <c:pt idx="7">
                  <c:v>-0.0294091435700917</c:v>
                </c:pt>
                <c:pt idx="8">
                  <c:v>0.0067946010467359</c:v>
                </c:pt>
                <c:pt idx="9">
                  <c:v>-0.0658458732330142</c:v>
                </c:pt>
                <c:pt idx="10">
                  <c:v>-0.0498877282046277</c:v>
                </c:pt>
                <c:pt idx="11">
                  <c:v>0.0948417591450885</c:v>
                </c:pt>
                <c:pt idx="12">
                  <c:v>-0.0187705302674801</c:v>
                </c:pt>
                <c:pt idx="13">
                  <c:v>0.0527977044476327</c:v>
                </c:pt>
                <c:pt idx="14">
                  <c:v>0.0175342963568639</c:v>
                </c:pt>
                <c:pt idx="15">
                  <c:v>0.0558928571428572</c:v>
                </c:pt>
                <c:pt idx="16">
                  <c:v>0.0134449518011162</c:v>
                </c:pt>
                <c:pt idx="17">
                  <c:v>0.12023362536504</c:v>
                </c:pt>
                <c:pt idx="18">
                  <c:v>-0.0138537166691493</c:v>
                </c:pt>
                <c:pt idx="19">
                  <c:v>0.00679758308157097</c:v>
                </c:pt>
                <c:pt idx="20">
                  <c:v>-0.0205551387846963</c:v>
                </c:pt>
                <c:pt idx="21">
                  <c:v>0.00758272058823528</c:v>
                </c:pt>
                <c:pt idx="22">
                  <c:v>-0.0236412010642343</c:v>
                </c:pt>
                <c:pt idx="23">
                  <c:v>-0.012223606353161</c:v>
                </c:pt>
                <c:pt idx="24">
                  <c:v>0.0187593599747773</c:v>
                </c:pt>
                <c:pt idx="25">
                  <c:v>0.0249903288201159</c:v>
                </c:pt>
                <c:pt idx="26">
                  <c:v>0.00686896135265691</c:v>
                </c:pt>
                <c:pt idx="27">
                  <c:v>-0.00134942649374004</c:v>
                </c:pt>
                <c:pt idx="28">
                  <c:v>0.0104346520531491</c:v>
                </c:pt>
                <c:pt idx="29">
                  <c:v>0.00349182763744427</c:v>
                </c:pt>
                <c:pt idx="30">
                  <c:v>-0.0447915895461611</c:v>
                </c:pt>
                <c:pt idx="31">
                  <c:v>-0.00310029452798022</c:v>
                </c:pt>
                <c:pt idx="32">
                  <c:v>0.0124397449852278</c:v>
                </c:pt>
                <c:pt idx="33">
                  <c:v>-0.0420826293964062</c:v>
                </c:pt>
                <c:pt idx="34">
                  <c:v>-0.0460157126823794</c:v>
                </c:pt>
                <c:pt idx="35">
                  <c:v>-0.130336134453782</c:v>
                </c:pt>
                <c:pt idx="36">
                  <c:v>0.00550777852932649</c:v>
                </c:pt>
                <c:pt idx="37">
                  <c:v>0.0175860080722661</c:v>
                </c:pt>
                <c:pt idx="38">
                  <c:v>0.015110019831901</c:v>
                </c:pt>
                <c:pt idx="39">
                  <c:v>0.0373057958879897</c:v>
                </c:pt>
                <c:pt idx="40">
                  <c:v>-0.0605381165919282</c:v>
                </c:pt>
                <c:pt idx="41">
                  <c:v>0.054797136038186</c:v>
                </c:pt>
                <c:pt idx="42">
                  <c:v>-0.00262467191601046</c:v>
                </c:pt>
                <c:pt idx="43">
                  <c:v>0.0189655172413794</c:v>
                </c:pt>
                <c:pt idx="44">
                  <c:v>-0.0257369311603883</c:v>
                </c:pt>
                <c:pt idx="45">
                  <c:v>0.0265996343692869</c:v>
                </c:pt>
                <c:pt idx="46">
                  <c:v>0.0191434422580357</c:v>
                </c:pt>
                <c:pt idx="47">
                  <c:v>0.0497116896732484</c:v>
                </c:pt>
                <c:pt idx="48">
                  <c:v>0.0299625468164793</c:v>
                </c:pt>
                <c:pt idx="49">
                  <c:v>-0.00864646464646457</c:v>
                </c:pt>
                <c:pt idx="50">
                  <c:v>0.0105966742745354</c:v>
                </c:pt>
                <c:pt idx="51">
                  <c:v>-0.0167768994999193</c:v>
                </c:pt>
                <c:pt idx="52">
                  <c:v>0.00779327317473322</c:v>
                </c:pt>
                <c:pt idx="53">
                  <c:v>0.0489214489214491</c:v>
                </c:pt>
                <c:pt idx="54">
                  <c:v>-0.00807077448393623</c:v>
                </c:pt>
                <c:pt idx="55">
                  <c:v>-0.0046158660616491</c:v>
                </c:pt>
                <c:pt idx="56">
                  <c:v>0.0216143991197044</c:v>
                </c:pt>
                <c:pt idx="57">
                  <c:v>-0.0346976457916602</c:v>
                </c:pt>
                <c:pt idx="58">
                  <c:v>0.000956403921256177</c:v>
                </c:pt>
                <c:pt idx="59">
                  <c:v>-0.0252408631260451</c:v>
                </c:pt>
                <c:pt idx="60">
                  <c:v>-0.0178075477863094</c:v>
                </c:pt>
                <c:pt idx="61">
                  <c:v>0.0187957418496341</c:v>
                </c:pt>
                <c:pt idx="62">
                  <c:v>-0.0404897959183673</c:v>
                </c:pt>
                <c:pt idx="63">
                  <c:v>-0.0352220520673813</c:v>
                </c:pt>
                <c:pt idx="64">
                  <c:v>0.0214285714285714</c:v>
                </c:pt>
                <c:pt idx="65">
                  <c:v>-0.0208063541396875</c:v>
                </c:pt>
                <c:pt idx="66">
                  <c:v>0.0209839534473637</c:v>
                </c:pt>
                <c:pt idx="67">
                  <c:v>0.00846286701208987</c:v>
                </c:pt>
                <c:pt idx="68">
                  <c:v>-0.0409316663812297</c:v>
                </c:pt>
                <c:pt idx="69">
                  <c:v>-0.00776785714285722</c:v>
                </c:pt>
                <c:pt idx="70">
                  <c:v>-0.0702780527310357</c:v>
                </c:pt>
                <c:pt idx="71">
                  <c:v>0.0185830429732869</c:v>
                </c:pt>
                <c:pt idx="72">
                  <c:v>0.00370581527936142</c:v>
                </c:pt>
                <c:pt idx="73">
                  <c:v>-0.0193126952570292</c:v>
                </c:pt>
                <c:pt idx="74">
                  <c:v>0.056858770151559</c:v>
                </c:pt>
                <c:pt idx="75">
                  <c:v>0.0863171355498722</c:v>
                </c:pt>
                <c:pt idx="76">
                  <c:v>0.00269065837047</c:v>
                </c:pt>
                <c:pt idx="77">
                  <c:v>-0.0159329140461216</c:v>
                </c:pt>
                <c:pt idx="78">
                  <c:v>0.0298253089049851</c:v>
                </c:pt>
                <c:pt idx="79">
                  <c:v>0.00099296648738112</c:v>
                </c:pt>
                <c:pt idx="80">
                  <c:v>0.0243862114573861</c:v>
                </c:pt>
                <c:pt idx="81">
                  <c:v>-0.0323595868302131</c:v>
                </c:pt>
                <c:pt idx="82">
                  <c:v>-0.0668834959552997</c:v>
                </c:pt>
                <c:pt idx="83">
                  <c:v>-0.031012601662347</c:v>
                </c:pt>
                <c:pt idx="84">
                  <c:v>0.0187234827522598</c:v>
                </c:pt>
                <c:pt idx="85">
                  <c:v>-0.11063829787234</c:v>
                </c:pt>
                <c:pt idx="86">
                  <c:v>-0.0203603787030439</c:v>
                </c:pt>
                <c:pt idx="87">
                  <c:v>0.0609996882469084</c:v>
                </c:pt>
                <c:pt idx="88">
                  <c:v>0.00137120470127328</c:v>
                </c:pt>
                <c:pt idx="89">
                  <c:v>0.0310054773082942</c:v>
                </c:pt>
                <c:pt idx="90">
                  <c:v>0.0142301489422256</c:v>
                </c:pt>
                <c:pt idx="91">
                  <c:v>0.0340473295295107</c:v>
                </c:pt>
                <c:pt idx="92">
                  <c:v>-0.0588873812754409</c:v>
                </c:pt>
                <c:pt idx="93">
                  <c:v>0.043829296424452</c:v>
                </c:pt>
                <c:pt idx="94">
                  <c:v>0.00174953959484347</c:v>
                </c:pt>
                <c:pt idx="95">
                  <c:v>-0.0138799522014892</c:v>
                </c:pt>
                <c:pt idx="96">
                  <c:v>-0.0148210290827741</c:v>
                </c:pt>
                <c:pt idx="97">
                  <c:v>-0.000662314315450829</c:v>
                </c:pt>
                <c:pt idx="98">
                  <c:v>0.0227229691346336</c:v>
                </c:pt>
                <c:pt idx="99">
                  <c:v>0.0106461766339567</c:v>
                </c:pt>
                <c:pt idx="100">
                  <c:v>-0.0218924612988917</c:v>
                </c:pt>
                <c:pt idx="101">
                  <c:v>0.0328713242180183</c:v>
                </c:pt>
                <c:pt idx="102">
                  <c:v>-0.0487804878048781</c:v>
                </c:pt>
                <c:pt idx="103">
                  <c:v>0.00733962443999636</c:v>
                </c:pt>
                <c:pt idx="104">
                  <c:v>0.00861090083270244</c:v>
                </c:pt>
                <c:pt idx="105">
                  <c:v>0.0533821183975982</c:v>
                </c:pt>
                <c:pt idx="106">
                  <c:v>0.0133594584966157</c:v>
                </c:pt>
                <c:pt idx="107">
                  <c:v>-0.00114255580945677</c:v>
                </c:pt>
                <c:pt idx="108">
                  <c:v>0.014958205015398</c:v>
                </c:pt>
                <c:pt idx="109">
                  <c:v>-0.0159514521022973</c:v>
                </c:pt>
                <c:pt idx="110">
                  <c:v>0.0059906616157166</c:v>
                </c:pt>
                <c:pt idx="111">
                  <c:v>0.0251335493475786</c:v>
                </c:pt>
                <c:pt idx="112">
                  <c:v>-0.0498035195626174</c:v>
                </c:pt>
                <c:pt idx="113">
                  <c:v>0.11552638676616</c:v>
                </c:pt>
                <c:pt idx="114">
                  <c:v>0.018939393939394</c:v>
                </c:pt>
                <c:pt idx="115">
                  <c:v>-0.0185082654433284</c:v>
                </c:pt>
                <c:pt idx="116">
                  <c:v>0.0121685873156578</c:v>
                </c:pt>
                <c:pt idx="117">
                  <c:v>-0.0220541401273885</c:v>
                </c:pt>
                <c:pt idx="118">
                  <c:v>0.0240983473092893</c:v>
                </c:pt>
                <c:pt idx="119">
                  <c:v>0.021782335638763</c:v>
                </c:pt>
                <c:pt idx="120">
                  <c:v>-0.00427915661713219</c:v>
                </c:pt>
                <c:pt idx="121">
                  <c:v>0.0171901859665573</c:v>
                </c:pt>
                <c:pt idx="122">
                  <c:v>-0.0226609310185897</c:v>
                </c:pt>
                <c:pt idx="123">
                  <c:v>0.0116324766171501</c:v>
                </c:pt>
                <c:pt idx="124">
                  <c:v>0.00264159738948022</c:v>
                </c:pt>
                <c:pt idx="125">
                  <c:v>0.00271212708252611</c:v>
                </c:pt>
                <c:pt idx="126">
                  <c:v>0.0294435857805255</c:v>
                </c:pt>
                <c:pt idx="127">
                  <c:v>-0.0454920801741611</c:v>
                </c:pt>
                <c:pt idx="128">
                  <c:v>0.0268187180495478</c:v>
                </c:pt>
                <c:pt idx="129">
                  <c:v>0.0489430147058823</c:v>
                </c:pt>
                <c:pt idx="130">
                  <c:v>0.0147499087258125</c:v>
                </c:pt>
                <c:pt idx="131">
                  <c:v>0.0182773260415916</c:v>
                </c:pt>
                <c:pt idx="132">
                  <c:v>0.00749063670411987</c:v>
                </c:pt>
                <c:pt idx="133">
                  <c:v>-0.0563232096513994</c:v>
                </c:pt>
                <c:pt idx="134">
                  <c:v>-0.0207373271889401</c:v>
                </c:pt>
                <c:pt idx="135">
                  <c:v>-0.0283870967741936</c:v>
                </c:pt>
                <c:pt idx="136">
                  <c:v>0.00695258182954461</c:v>
                </c:pt>
                <c:pt idx="137">
                  <c:v>0.0377812257564003</c:v>
                </c:pt>
                <c:pt idx="138">
                  <c:v>0.0255662704642297</c:v>
                </c:pt>
                <c:pt idx="139">
                  <c:v>0.0576572636489541</c:v>
                </c:pt>
                <c:pt idx="140">
                  <c:v>-0.0206753962784286</c:v>
                </c:pt>
                <c:pt idx="141">
                  <c:v>-0.00485573539760731</c:v>
                </c:pt>
                <c:pt idx="142">
                  <c:v>0.0189519835938052</c:v>
                </c:pt>
                <c:pt idx="143">
                  <c:v>-0.0247067804844194</c:v>
                </c:pt>
                <c:pt idx="144">
                  <c:v>0.0382124813207145</c:v>
                </c:pt>
                <c:pt idx="145">
                  <c:v>-0.0166552433173407</c:v>
                </c:pt>
                <c:pt idx="146">
                  <c:v>0.00745800515787276</c:v>
                </c:pt>
                <c:pt idx="147">
                  <c:v>0.0290577002905772</c:v>
                </c:pt>
                <c:pt idx="148">
                  <c:v>-0.055129756622294</c:v>
                </c:pt>
                <c:pt idx="149">
                  <c:v>-0.00405578482994162</c:v>
                </c:pt>
                <c:pt idx="150">
                  <c:v>-0.00385796956490669</c:v>
                </c:pt>
                <c:pt idx="151">
                  <c:v>0.0103277630352148</c:v>
                </c:pt>
                <c:pt idx="152">
                  <c:v>0.0633207922197769</c:v>
                </c:pt>
                <c:pt idx="153">
                  <c:v>-0.0144201882635689</c:v>
                </c:pt>
                <c:pt idx="154">
                  <c:v>-0.0204565467723361</c:v>
                </c:pt>
              </c:numCache>
            </c:numRef>
          </c:val>
        </c:ser>
        <c:gapWidth val="150"/>
        <c:overlap val="0"/>
        <c:axId val="48772324"/>
        <c:axId val="35993524"/>
      </c:barChart>
      <c:lineChart>
        <c:grouping val="standard"/>
        <c:varyColors val="0"/>
        <c:ser>
          <c:idx val="1"/>
          <c:order val="1"/>
          <c:tx>
            <c:strRef>
              <c:f>'Returns (Calc)'!$AE$2</c:f>
              <c:strCache>
                <c:ptCount val="1"/>
                <c:pt idx="0">
                  <c:v>PLD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(Calc)'!$AE$3:$AE$157</c:f>
              <c:numCache>
                <c:formatCode>#,##0.00</c:formatCode>
                <c:ptCount val="155"/>
                <c:pt idx="0">
                  <c:v>123.51</c:v>
                </c:pt>
                <c:pt idx="1">
                  <c:v>123.647012987013</c:v>
                </c:pt>
                <c:pt idx="2">
                  <c:v>123.784025974026</c:v>
                </c:pt>
                <c:pt idx="3">
                  <c:v>123.921038961039</c:v>
                </c:pt>
                <c:pt idx="4">
                  <c:v>124.058051948052</c:v>
                </c:pt>
                <c:pt idx="5">
                  <c:v>124.195064935065</c:v>
                </c:pt>
                <c:pt idx="6">
                  <c:v>124.332077922078</c:v>
                </c:pt>
                <c:pt idx="7">
                  <c:v>124.469090909091</c:v>
                </c:pt>
                <c:pt idx="8">
                  <c:v>124.606103896104</c:v>
                </c:pt>
                <c:pt idx="9">
                  <c:v>124.743116883117</c:v>
                </c:pt>
                <c:pt idx="10">
                  <c:v>124.88012987013</c:v>
                </c:pt>
                <c:pt idx="11">
                  <c:v>125.017142857143</c:v>
                </c:pt>
                <c:pt idx="12">
                  <c:v>125.154155844156</c:v>
                </c:pt>
                <c:pt idx="13">
                  <c:v>125.291168831169</c:v>
                </c:pt>
                <c:pt idx="14">
                  <c:v>125.428181818182</c:v>
                </c:pt>
                <c:pt idx="15">
                  <c:v>125.565194805195</c:v>
                </c:pt>
                <c:pt idx="16">
                  <c:v>125.702207792208</c:v>
                </c:pt>
                <c:pt idx="17">
                  <c:v>125.839220779221</c:v>
                </c:pt>
                <c:pt idx="18">
                  <c:v>125.976233766234</c:v>
                </c:pt>
                <c:pt idx="19">
                  <c:v>126.113246753247</c:v>
                </c:pt>
                <c:pt idx="20">
                  <c:v>126.25025974026</c:v>
                </c:pt>
                <c:pt idx="21">
                  <c:v>126.387272727273</c:v>
                </c:pt>
                <c:pt idx="22">
                  <c:v>126.524285714286</c:v>
                </c:pt>
                <c:pt idx="23">
                  <c:v>126.661298701299</c:v>
                </c:pt>
                <c:pt idx="24">
                  <c:v>126.798311688312</c:v>
                </c:pt>
                <c:pt idx="25">
                  <c:v>126.935324675325</c:v>
                </c:pt>
                <c:pt idx="26">
                  <c:v>127.072337662338</c:v>
                </c:pt>
                <c:pt idx="27">
                  <c:v>127.209350649351</c:v>
                </c:pt>
                <c:pt idx="28">
                  <c:v>127.346363636364</c:v>
                </c:pt>
                <c:pt idx="29">
                  <c:v>127.483376623377</c:v>
                </c:pt>
                <c:pt idx="30">
                  <c:v>127.62038961039</c:v>
                </c:pt>
                <c:pt idx="31">
                  <c:v>127.757402597403</c:v>
                </c:pt>
                <c:pt idx="32">
                  <c:v>127.894415584416</c:v>
                </c:pt>
                <c:pt idx="33">
                  <c:v>128.031428571429</c:v>
                </c:pt>
                <c:pt idx="34">
                  <c:v>128.168441558442</c:v>
                </c:pt>
                <c:pt idx="35">
                  <c:v>128.305454545455</c:v>
                </c:pt>
                <c:pt idx="36">
                  <c:v>128.442467532468</c:v>
                </c:pt>
                <c:pt idx="37">
                  <c:v>128.579480519481</c:v>
                </c:pt>
                <c:pt idx="38">
                  <c:v>128.716493506494</c:v>
                </c:pt>
                <c:pt idx="39">
                  <c:v>128.853506493507</c:v>
                </c:pt>
                <c:pt idx="40">
                  <c:v>128.990519480519</c:v>
                </c:pt>
                <c:pt idx="41">
                  <c:v>129.127532467532</c:v>
                </c:pt>
                <c:pt idx="42">
                  <c:v>129.264545454545</c:v>
                </c:pt>
                <c:pt idx="43">
                  <c:v>129.401558441558</c:v>
                </c:pt>
                <c:pt idx="44">
                  <c:v>129.538571428571</c:v>
                </c:pt>
                <c:pt idx="45">
                  <c:v>129.675584415584</c:v>
                </c:pt>
                <c:pt idx="46">
                  <c:v>129.812597402597</c:v>
                </c:pt>
                <c:pt idx="47">
                  <c:v>129.94961038961</c:v>
                </c:pt>
                <c:pt idx="48">
                  <c:v>130.086623376623</c:v>
                </c:pt>
                <c:pt idx="49">
                  <c:v>130.223636363636</c:v>
                </c:pt>
                <c:pt idx="50">
                  <c:v>130.360649350649</c:v>
                </c:pt>
                <c:pt idx="51">
                  <c:v>130.497662337662</c:v>
                </c:pt>
                <c:pt idx="52">
                  <c:v>130.634675324675</c:v>
                </c:pt>
                <c:pt idx="53">
                  <c:v>130.771688311688</c:v>
                </c:pt>
                <c:pt idx="54">
                  <c:v>130.908701298701</c:v>
                </c:pt>
                <c:pt idx="55">
                  <c:v>131.045714285714</c:v>
                </c:pt>
                <c:pt idx="56">
                  <c:v>131.182727272727</c:v>
                </c:pt>
                <c:pt idx="57">
                  <c:v>131.31974025974</c:v>
                </c:pt>
                <c:pt idx="58">
                  <c:v>131.456753246753</c:v>
                </c:pt>
                <c:pt idx="59">
                  <c:v>131.593766233766</c:v>
                </c:pt>
                <c:pt idx="60">
                  <c:v>131.730779220779</c:v>
                </c:pt>
                <c:pt idx="61">
                  <c:v>131.867792207792</c:v>
                </c:pt>
                <c:pt idx="62">
                  <c:v>132.004805194805</c:v>
                </c:pt>
                <c:pt idx="63">
                  <c:v>132.141818181818</c:v>
                </c:pt>
                <c:pt idx="64">
                  <c:v>132.278831168831</c:v>
                </c:pt>
                <c:pt idx="65">
                  <c:v>132.415844155844</c:v>
                </c:pt>
                <c:pt idx="66">
                  <c:v>132.552857142857</c:v>
                </c:pt>
                <c:pt idx="67">
                  <c:v>132.68987012987</c:v>
                </c:pt>
                <c:pt idx="68">
                  <c:v>132.826883116883</c:v>
                </c:pt>
                <c:pt idx="69">
                  <c:v>132.963896103896</c:v>
                </c:pt>
                <c:pt idx="70">
                  <c:v>133.100909090909</c:v>
                </c:pt>
                <c:pt idx="71">
                  <c:v>133.237922077922</c:v>
                </c:pt>
                <c:pt idx="72">
                  <c:v>133.374935064935</c:v>
                </c:pt>
                <c:pt idx="73">
                  <c:v>133.511948051948</c:v>
                </c:pt>
                <c:pt idx="74">
                  <c:v>133.648961038961</c:v>
                </c:pt>
                <c:pt idx="75">
                  <c:v>133.785974025974</c:v>
                </c:pt>
                <c:pt idx="76">
                  <c:v>133.922987012987</c:v>
                </c:pt>
                <c:pt idx="77">
                  <c:v>134.06</c:v>
                </c:pt>
                <c:pt idx="78">
                  <c:v>134.197012987013</c:v>
                </c:pt>
                <c:pt idx="79">
                  <c:v>134.334025974026</c:v>
                </c:pt>
                <c:pt idx="80">
                  <c:v>134.471038961039</c:v>
                </c:pt>
                <c:pt idx="81">
                  <c:v>134.608051948052</c:v>
                </c:pt>
                <c:pt idx="82">
                  <c:v>134.745064935065</c:v>
                </c:pt>
                <c:pt idx="83">
                  <c:v>134.882077922078</c:v>
                </c:pt>
                <c:pt idx="84">
                  <c:v>135.019090909091</c:v>
                </c:pt>
                <c:pt idx="85">
                  <c:v>135.156103896104</c:v>
                </c:pt>
                <c:pt idx="86">
                  <c:v>135.293116883117</c:v>
                </c:pt>
                <c:pt idx="87">
                  <c:v>135.43012987013</c:v>
                </c:pt>
                <c:pt idx="88">
                  <c:v>135.567142857143</c:v>
                </c:pt>
                <c:pt idx="89">
                  <c:v>135.704155844156</c:v>
                </c:pt>
                <c:pt idx="90">
                  <c:v>135.841168831169</c:v>
                </c:pt>
                <c:pt idx="91">
                  <c:v>135.978181818182</c:v>
                </c:pt>
                <c:pt idx="92">
                  <c:v>136.115194805195</c:v>
                </c:pt>
                <c:pt idx="93">
                  <c:v>136.252207792208</c:v>
                </c:pt>
                <c:pt idx="94">
                  <c:v>136.389220779221</c:v>
                </c:pt>
                <c:pt idx="95">
                  <c:v>136.526233766234</c:v>
                </c:pt>
                <c:pt idx="96">
                  <c:v>136.663246753247</c:v>
                </c:pt>
                <c:pt idx="97">
                  <c:v>136.80025974026</c:v>
                </c:pt>
                <c:pt idx="98">
                  <c:v>136.937272727273</c:v>
                </c:pt>
                <c:pt idx="99">
                  <c:v>137.074285714286</c:v>
                </c:pt>
                <c:pt idx="100">
                  <c:v>137.211298701299</c:v>
                </c:pt>
                <c:pt idx="101">
                  <c:v>137.348311688312</c:v>
                </c:pt>
                <c:pt idx="102">
                  <c:v>137.485324675325</c:v>
                </c:pt>
                <c:pt idx="103">
                  <c:v>137.622337662338</c:v>
                </c:pt>
                <c:pt idx="104">
                  <c:v>137.759350649351</c:v>
                </c:pt>
                <c:pt idx="105">
                  <c:v>137.896363636364</c:v>
                </c:pt>
                <c:pt idx="106">
                  <c:v>138.033376623377</c:v>
                </c:pt>
                <c:pt idx="107">
                  <c:v>138.17038961039</c:v>
                </c:pt>
                <c:pt idx="108">
                  <c:v>138.307402597403</c:v>
                </c:pt>
                <c:pt idx="109">
                  <c:v>138.444415584416</c:v>
                </c:pt>
                <c:pt idx="110">
                  <c:v>138.581428571429</c:v>
                </c:pt>
                <c:pt idx="111">
                  <c:v>138.718441558442</c:v>
                </c:pt>
                <c:pt idx="112">
                  <c:v>138.855454545455</c:v>
                </c:pt>
                <c:pt idx="113">
                  <c:v>138.992467532468</c:v>
                </c:pt>
                <c:pt idx="114">
                  <c:v>139.129480519481</c:v>
                </c:pt>
                <c:pt idx="115">
                  <c:v>139.266493506494</c:v>
                </c:pt>
                <c:pt idx="116">
                  <c:v>139.403506493507</c:v>
                </c:pt>
                <c:pt idx="117">
                  <c:v>139.54051948052</c:v>
                </c:pt>
                <c:pt idx="118">
                  <c:v>139.677532467532</c:v>
                </c:pt>
                <c:pt idx="119">
                  <c:v>139.814545454545</c:v>
                </c:pt>
                <c:pt idx="120">
                  <c:v>139.951558441558</c:v>
                </c:pt>
                <c:pt idx="121">
                  <c:v>140.088571428571</c:v>
                </c:pt>
                <c:pt idx="122">
                  <c:v>140.225584415584</c:v>
                </c:pt>
                <c:pt idx="123">
                  <c:v>140.362597402597</c:v>
                </c:pt>
                <c:pt idx="124">
                  <c:v>140.49961038961</c:v>
                </c:pt>
                <c:pt idx="125">
                  <c:v>140.636623376623</c:v>
                </c:pt>
                <c:pt idx="126">
                  <c:v>140.773636363636</c:v>
                </c:pt>
                <c:pt idx="127">
                  <c:v>140.910649350649</c:v>
                </c:pt>
                <c:pt idx="128">
                  <c:v>141.047662337662</c:v>
                </c:pt>
                <c:pt idx="129">
                  <c:v>141.184675324675</c:v>
                </c:pt>
                <c:pt idx="130">
                  <c:v>141.321688311688</c:v>
                </c:pt>
                <c:pt idx="131">
                  <c:v>141.458701298701</c:v>
                </c:pt>
                <c:pt idx="132">
                  <c:v>141.595714285714</c:v>
                </c:pt>
                <c:pt idx="133">
                  <c:v>141.732727272727</c:v>
                </c:pt>
                <c:pt idx="134">
                  <c:v>141.86974025974</c:v>
                </c:pt>
                <c:pt idx="135">
                  <c:v>142.006753246753</c:v>
                </c:pt>
                <c:pt idx="136">
                  <c:v>142.143766233766</c:v>
                </c:pt>
                <c:pt idx="137">
                  <c:v>142.280779220779</c:v>
                </c:pt>
                <c:pt idx="138">
                  <c:v>142.417792207792</c:v>
                </c:pt>
                <c:pt idx="139">
                  <c:v>142.554805194805</c:v>
                </c:pt>
                <c:pt idx="140">
                  <c:v>142.691818181818</c:v>
                </c:pt>
                <c:pt idx="141">
                  <c:v>142.828831168831</c:v>
                </c:pt>
                <c:pt idx="142">
                  <c:v>142.965844155844</c:v>
                </c:pt>
                <c:pt idx="143">
                  <c:v>143.102857142857</c:v>
                </c:pt>
                <c:pt idx="144">
                  <c:v>143.23987012987</c:v>
                </c:pt>
                <c:pt idx="145">
                  <c:v>143.376883116883</c:v>
                </c:pt>
                <c:pt idx="146">
                  <c:v>143.513896103896</c:v>
                </c:pt>
                <c:pt idx="147">
                  <c:v>143.650909090909</c:v>
                </c:pt>
                <c:pt idx="148">
                  <c:v>143.787922077922</c:v>
                </c:pt>
                <c:pt idx="149">
                  <c:v>143.924935064935</c:v>
                </c:pt>
                <c:pt idx="150">
                  <c:v>144.061948051948</c:v>
                </c:pt>
                <c:pt idx="151">
                  <c:v>144.198961038961</c:v>
                </c:pt>
                <c:pt idx="152">
                  <c:v>144.335974025974</c:v>
                </c:pt>
                <c:pt idx="153">
                  <c:v>144.472987012987</c:v>
                </c:pt>
                <c:pt idx="154">
                  <c:v>144.61</c:v>
                </c:pt>
              </c:numCache>
            </c:numRef>
          </c:val>
          <c:smooth val="0"/>
        </c:ser>
        <c:hiLowLines>
          <c:spPr>
            <a:ln w="0">
              <a:noFill/>
            </a:ln>
          </c:spPr>
        </c:hiLowLines>
        <c:marker val="0"/>
        <c:axId val="21531578"/>
        <c:axId val="83137955"/>
      </c:lineChart>
      <c:dateAx>
        <c:axId val="4877232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5993524"/>
        <c:auto val="1"/>
        <c:lblOffset val="100"/>
        <c:baseTimeUnit val="days"/>
      </c:dateAx>
      <c:valAx>
        <c:axId val="3599352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8772324"/>
        <c:crosses val="autoZero"/>
        <c:crossBetween val="between"/>
      </c:valAx>
      <c:dateAx>
        <c:axId val="2153157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3137955"/>
        <c:auto val="1"/>
        <c:lblOffset val="100"/>
        <c:baseTimeUnit val="days"/>
      </c:dateAx>
      <c:valAx>
        <c:axId val="8313795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153157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PLTR</a:t>
            </a:r>
          </a:p>
        </c:rich>
      </c:tx>
      <c:overlay val="0"/>
      <c:spPr>
        <a:noFill/>
        <a:ln w="0">
          <a:noFill/>
        </a:ln>
      </c:spPr>
    </c:title>
    <c:autoTitleDeleted val="0"/>
    <c:plotArea>
      <c:barChart>
        <c:barDir val="col"/>
        <c:grouping val="clustered"/>
        <c:varyColors val="0"/>
        <c:ser>
          <c:idx val="0"/>
          <c:order val="0"/>
          <c:tx>
            <c:strRef>
              <c:f>'Returns (Calc)'!$K$2</c:f>
              <c:strCache>
                <c:ptCount val="1"/>
                <c:pt idx="0">
                  <c:v>PLTR</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(Calc)'!$K$3:$K$157</c:f>
              <c:numCache>
                <c:formatCode>0.0%</c:formatCode>
                <c:ptCount val="155"/>
                <c:pt idx="0">
                  <c:v>-0.0655418559377028</c:v>
                </c:pt>
                <c:pt idx="1">
                  <c:v>0.00902777777777764</c:v>
                </c:pt>
                <c:pt idx="2">
                  <c:v>0.044735030970406</c:v>
                </c:pt>
                <c:pt idx="3">
                  <c:v>-0.00329380764163367</c:v>
                </c:pt>
                <c:pt idx="4">
                  <c:v>0.0132187706543292</c:v>
                </c:pt>
                <c:pt idx="5">
                  <c:v>-0.0782778864970646</c:v>
                </c:pt>
                <c:pt idx="6">
                  <c:v>0.132342533616419</c:v>
                </c:pt>
                <c:pt idx="7">
                  <c:v>0.038125</c:v>
                </c:pt>
                <c:pt idx="8">
                  <c:v>0.0451535219747141</c:v>
                </c:pt>
                <c:pt idx="9">
                  <c:v>-0.0720046082949308</c:v>
                </c:pt>
                <c:pt idx="10">
                  <c:v>-0.0645561762880198</c:v>
                </c:pt>
                <c:pt idx="11">
                  <c:v>0.253483742534838</c:v>
                </c:pt>
                <c:pt idx="12">
                  <c:v>0.0412916887241928</c:v>
                </c:pt>
                <c:pt idx="13">
                  <c:v>0.0416878495170308</c:v>
                </c:pt>
                <c:pt idx="14">
                  <c:v>-0.0629575402635432</c:v>
                </c:pt>
                <c:pt idx="15">
                  <c:v>0.0557291666666666</c:v>
                </c:pt>
                <c:pt idx="16">
                  <c:v>-0.123334977799704</c:v>
                </c:pt>
                <c:pt idx="17">
                  <c:v>0.024198086662915</c:v>
                </c:pt>
                <c:pt idx="18">
                  <c:v>-0.0434065934065934</c:v>
                </c:pt>
                <c:pt idx="19">
                  <c:v>-0.0137851809304996</c:v>
                </c:pt>
                <c:pt idx="20">
                  <c:v>-0.0693069306930694</c:v>
                </c:pt>
                <c:pt idx="21">
                  <c:v>0.0488110137672091</c:v>
                </c:pt>
                <c:pt idx="22">
                  <c:v>0.00119331742243434</c:v>
                </c:pt>
                <c:pt idx="23">
                  <c:v>-0.0256257449344458</c:v>
                </c:pt>
                <c:pt idx="24">
                  <c:v>0.0409785932721711</c:v>
                </c:pt>
                <c:pt idx="25">
                  <c:v>0.432432432432432</c:v>
                </c:pt>
                <c:pt idx="26">
                  <c:v>0.00246103363412642</c:v>
                </c:pt>
                <c:pt idx="27">
                  <c:v>-0.0601472995090018</c:v>
                </c:pt>
                <c:pt idx="28">
                  <c:v>0.0853286895951242</c:v>
                </c:pt>
                <c:pt idx="29">
                  <c:v>0.0445246690734056</c:v>
                </c:pt>
                <c:pt idx="30">
                  <c:v>-0.097926267281106</c:v>
                </c:pt>
                <c:pt idx="31">
                  <c:v>0.029374201787995</c:v>
                </c:pt>
                <c:pt idx="32">
                  <c:v>-0.0483870967741935</c:v>
                </c:pt>
                <c:pt idx="33">
                  <c:v>-0.00217296827466318</c:v>
                </c:pt>
                <c:pt idx="34">
                  <c:v>-0.0126306620209059</c:v>
                </c:pt>
                <c:pt idx="35">
                  <c:v>-0.0970445522717248</c:v>
                </c:pt>
                <c:pt idx="36">
                  <c:v>0.100146555935515</c:v>
                </c:pt>
                <c:pt idx="37">
                  <c:v>0.0359680284191828</c:v>
                </c:pt>
                <c:pt idx="38">
                  <c:v>-0.11701671667381</c:v>
                </c:pt>
                <c:pt idx="39">
                  <c:v>0.0563106796116506</c:v>
                </c:pt>
                <c:pt idx="40">
                  <c:v>-0.0344669117647058</c:v>
                </c:pt>
                <c:pt idx="41">
                  <c:v>0.031889576392194</c:v>
                </c:pt>
                <c:pt idx="42">
                  <c:v>0.0751845018450184</c:v>
                </c:pt>
                <c:pt idx="43">
                  <c:v>0.0111540111540112</c:v>
                </c:pt>
                <c:pt idx="44">
                  <c:v>0.0114552397114978</c:v>
                </c:pt>
                <c:pt idx="45">
                  <c:v>0.0625</c:v>
                </c:pt>
                <c:pt idx="46">
                  <c:v>0.0750098697197001</c:v>
                </c:pt>
                <c:pt idx="47">
                  <c:v>0.0308483290488433</c:v>
                </c:pt>
                <c:pt idx="48">
                  <c:v>0.0181688635553972</c:v>
                </c:pt>
                <c:pt idx="49">
                  <c:v>-0.0489853044086773</c:v>
                </c:pt>
                <c:pt idx="50">
                  <c:v>-0.0897718910963945</c:v>
                </c:pt>
                <c:pt idx="51">
                  <c:v>0.21301535974131</c:v>
                </c:pt>
                <c:pt idx="52">
                  <c:v>0.0689770076641119</c:v>
                </c:pt>
                <c:pt idx="53">
                  <c:v>-0.00935162094763087</c:v>
                </c:pt>
                <c:pt idx="54">
                  <c:v>-0.0094398993077407</c:v>
                </c:pt>
                <c:pt idx="55">
                  <c:v>-0.0365311308767472</c:v>
                </c:pt>
                <c:pt idx="56">
                  <c:v>0.173425651170458</c:v>
                </c:pt>
                <c:pt idx="57">
                  <c:v>0.0452374262433268</c:v>
                </c:pt>
                <c:pt idx="58">
                  <c:v>-0.00967741935483868</c:v>
                </c:pt>
                <c:pt idx="59">
                  <c:v>0.0860477741585233</c:v>
                </c:pt>
                <c:pt idx="60">
                  <c:v>0.0874781304673831</c:v>
                </c:pt>
                <c:pt idx="61">
                  <c:v>-0.01241094001379</c:v>
                </c:pt>
                <c:pt idx="62">
                  <c:v>0.0439841750058181</c:v>
                </c:pt>
                <c:pt idx="63">
                  <c:v>-0.0655372269282211</c:v>
                </c:pt>
                <c:pt idx="64">
                  <c:v>0.392891221374046</c:v>
                </c:pt>
                <c:pt idx="65">
                  <c:v>0.126391505394759</c:v>
                </c:pt>
                <c:pt idx="66">
                  <c:v>-0.0215903907556637</c:v>
                </c:pt>
                <c:pt idx="67">
                  <c:v>0.0424242424242425</c:v>
                </c:pt>
                <c:pt idx="68">
                  <c:v>0.13804412641622</c:v>
                </c:pt>
                <c:pt idx="69">
                  <c:v>-0.00353680901231346</c:v>
                </c:pt>
                <c:pt idx="70">
                  <c:v>0.0588931247535165</c:v>
                </c:pt>
                <c:pt idx="71">
                  <c:v>-0.0182495344506518</c:v>
                </c:pt>
                <c:pt idx="72">
                  <c:v>0.0102427921092565</c:v>
                </c:pt>
                <c:pt idx="73">
                  <c:v>-0.1580923770184</c:v>
                </c:pt>
                <c:pt idx="74">
                  <c:v>0.0670532262860539</c:v>
                </c:pt>
                <c:pt idx="75">
                  <c:v>0.100459802145743</c:v>
                </c:pt>
                <c:pt idx="76">
                  <c:v>0.0444416307926057</c:v>
                </c:pt>
                <c:pt idx="77">
                  <c:v>0.343799248393745</c:v>
                </c:pt>
                <c:pt idx="78">
                  <c:v>0.0749661705006766</c:v>
                </c:pt>
                <c:pt idx="79">
                  <c:v>-0.149462907015777</c:v>
                </c:pt>
                <c:pt idx="80">
                  <c:v>-0.162111494819931</c:v>
                </c:pt>
                <c:pt idx="81">
                  <c:v>-0.000117757889778636</c:v>
                </c:pt>
                <c:pt idx="82">
                  <c:v>0.0156636438582027</c:v>
                </c:pt>
                <c:pt idx="83">
                  <c:v>0.0547309833024119</c:v>
                </c:pt>
                <c:pt idx="84">
                  <c:v>-0.0561785400175902</c:v>
                </c:pt>
                <c:pt idx="85">
                  <c:v>-0.137914967967385</c:v>
                </c:pt>
                <c:pt idx="86">
                  <c:v>0.196459937846237</c:v>
                </c:pt>
                <c:pt idx="87">
                  <c:v>0.0590626764539808</c:v>
                </c:pt>
                <c:pt idx="88">
                  <c:v>0.202601834079761</c:v>
                </c:pt>
                <c:pt idx="89">
                  <c:v>0.101968434119525</c:v>
                </c:pt>
                <c:pt idx="90">
                  <c:v>-0.0561635017701964</c:v>
                </c:pt>
                <c:pt idx="91">
                  <c:v>0.104177323103154</c:v>
                </c:pt>
                <c:pt idx="92">
                  <c:v>-0.0479462631253861</c:v>
                </c:pt>
                <c:pt idx="93">
                  <c:v>0.0686886708296164</c:v>
                </c:pt>
                <c:pt idx="94">
                  <c:v>-0.0308089239641828</c:v>
                </c:pt>
                <c:pt idx="95">
                  <c:v>0.0757907923582839</c:v>
                </c:pt>
                <c:pt idx="96">
                  <c:v>-0.000727802037845615</c:v>
                </c:pt>
                <c:pt idx="97">
                  <c:v>-0.0477785870356883</c:v>
                </c:pt>
                <c:pt idx="98">
                  <c:v>0.0276885421447148</c:v>
                </c:pt>
                <c:pt idx="99">
                  <c:v>0.0576064304852633</c:v>
                </c:pt>
                <c:pt idx="100">
                  <c:v>0.08036593947924</c:v>
                </c:pt>
                <c:pt idx="101">
                  <c:v>0.0343929129755081</c:v>
                </c:pt>
                <c:pt idx="102">
                  <c:v>-0.0285264483627204</c:v>
                </c:pt>
                <c:pt idx="103">
                  <c:v>0.211901212160498</c:v>
                </c:pt>
                <c:pt idx="104">
                  <c:v>-0.0523641420624734</c:v>
                </c:pt>
                <c:pt idx="105">
                  <c:v>-0.104024383360614</c:v>
                </c:pt>
                <c:pt idx="106">
                  <c:v>-0.0127882071311579</c:v>
                </c:pt>
                <c:pt idx="107">
                  <c:v>-0.0229723693446493</c:v>
                </c:pt>
                <c:pt idx="108">
                  <c:v>0.119652537391418</c:v>
                </c:pt>
                <c:pt idx="109">
                  <c:v>0.0639328005599953</c:v>
                </c:pt>
                <c:pt idx="110">
                  <c:v>-0.0264268874390043</c:v>
                </c:pt>
                <c:pt idx="111">
                  <c:v>-0.025342118601115</c:v>
                </c:pt>
                <c:pt idx="112">
                  <c:v>0.0136938810885769</c:v>
                </c:pt>
                <c:pt idx="113">
                  <c:v>0.0154468764249887</c:v>
                </c:pt>
                <c:pt idx="114">
                  <c:v>0.0363738422677518</c:v>
                </c:pt>
                <c:pt idx="115">
                  <c:v>0.0857932080376971</c:v>
                </c:pt>
                <c:pt idx="116">
                  <c:v>-0.112435775926573</c:v>
                </c:pt>
                <c:pt idx="117">
                  <c:v>-0.0220311358399371</c:v>
                </c:pt>
                <c:pt idx="118">
                  <c:v>-0.110108614447446</c:v>
                </c:pt>
                <c:pt idx="119">
                  <c:v>0.0878269292864062</c:v>
                </c:pt>
                <c:pt idx="120">
                  <c:v>0.0790145443751855</c:v>
                </c:pt>
                <c:pt idx="121">
                  <c:v>0.00995818661971826</c:v>
                </c:pt>
                <c:pt idx="122">
                  <c:v>0.0534401045922537</c:v>
                </c:pt>
                <c:pt idx="123">
                  <c:v>-0.0241493432619712</c:v>
                </c:pt>
                <c:pt idx="124">
                  <c:v>-0.110486990620529</c:v>
                </c:pt>
                <c:pt idx="125">
                  <c:v>0.0573692362683189</c:v>
                </c:pt>
                <c:pt idx="126">
                  <c:v>-0.0367908051157811</c:v>
                </c:pt>
                <c:pt idx="127">
                  <c:v>-0.0079550772110436</c:v>
                </c:pt>
                <c:pt idx="128">
                  <c:v>-0.135672169811321</c:v>
                </c:pt>
                <c:pt idx="129">
                  <c:v>-0.0729244832526093</c:v>
                </c:pt>
                <c:pt idx="130">
                  <c:v>-0.0330389992641649</c:v>
                </c:pt>
                <c:pt idx="131">
                  <c:v>0.0291454227227761</c:v>
                </c:pt>
                <c:pt idx="132">
                  <c:v>0.014418811002662</c:v>
                </c:pt>
                <c:pt idx="133">
                  <c:v>0.145564545520811</c:v>
                </c:pt>
                <c:pt idx="134">
                  <c:v>-0.0395138712140495</c:v>
                </c:pt>
                <c:pt idx="135">
                  <c:v>-0.00178867174561104</c:v>
                </c:pt>
                <c:pt idx="136">
                  <c:v>-0.0505707459516858</c:v>
                </c:pt>
                <c:pt idx="137">
                  <c:v>0.0377464001118413</c:v>
                </c:pt>
                <c:pt idx="138">
                  <c:v>-0.13741075037047</c:v>
                </c:pt>
                <c:pt idx="139">
                  <c:v>0.143136029985944</c:v>
                </c:pt>
                <c:pt idx="140">
                  <c:v>-0.0225425233964067</c:v>
                </c:pt>
                <c:pt idx="141">
                  <c:v>0.00684883639667344</c:v>
                </c:pt>
                <c:pt idx="142">
                  <c:v>-0.0435205108627749</c:v>
                </c:pt>
                <c:pt idx="143">
                  <c:v>-0.0276487663280116</c:v>
                </c:pt>
                <c:pt idx="144">
                  <c:v>0.0215687737890886</c:v>
                </c:pt>
                <c:pt idx="145">
                  <c:v>0.143629456458211</c:v>
                </c:pt>
                <c:pt idx="146">
                  <c:v>-0.134214897150888</c:v>
                </c:pt>
                <c:pt idx="147">
                  <c:v>-0.0556334390909762</c:v>
                </c:pt>
                <c:pt idx="148">
                  <c:v>0.00375029299163998</c:v>
                </c:pt>
                <c:pt idx="149">
                  <c:v>-0.120962092317273</c:v>
                </c:pt>
                <c:pt idx="150">
                  <c:v>0.144957053041707</c:v>
                </c:pt>
                <c:pt idx="151">
                  <c:v>-0.0194122196442382</c:v>
                </c:pt>
                <c:pt idx="152">
                  <c:v>0.0440886505244893</c:v>
                </c:pt>
                <c:pt idx="153">
                  <c:v>-0.0714609457621996</c:v>
                </c:pt>
                <c:pt idx="154">
                  <c:v>0.00113895216400906</c:v>
                </c:pt>
              </c:numCache>
            </c:numRef>
          </c:val>
        </c:ser>
        <c:gapWidth val="150"/>
        <c:overlap val="0"/>
        <c:axId val="21999761"/>
        <c:axId val="66778403"/>
      </c:barChart>
      <c:lineChart>
        <c:grouping val="standard"/>
        <c:varyColors val="0"/>
        <c:ser>
          <c:idx val="1"/>
          <c:order val="1"/>
          <c:tx>
            <c:strRef>
              <c:f>'Returns (Calc)'!$AF$2</c:f>
              <c:strCache>
                <c:ptCount val="1"/>
                <c:pt idx="0">
                  <c:v>PLTR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(Calc)'!$AF$3:$AF$157</c:f>
              <c:numCache>
                <c:formatCode>#,##0.00</c:formatCode>
                <c:ptCount val="155"/>
                <c:pt idx="0">
                  <c:v>15.41</c:v>
                </c:pt>
                <c:pt idx="1">
                  <c:v>16.109025974026</c:v>
                </c:pt>
                <c:pt idx="2">
                  <c:v>16.808051948052</c:v>
                </c:pt>
                <c:pt idx="3">
                  <c:v>17.5070779220779</c:v>
                </c:pt>
                <c:pt idx="4">
                  <c:v>18.2061038961039</c:v>
                </c:pt>
                <c:pt idx="5">
                  <c:v>18.9051298701299</c:v>
                </c:pt>
                <c:pt idx="6">
                  <c:v>19.6041558441558</c:v>
                </c:pt>
                <c:pt idx="7">
                  <c:v>20.3031818181818</c:v>
                </c:pt>
                <c:pt idx="8">
                  <c:v>21.0022077922078</c:v>
                </c:pt>
                <c:pt idx="9">
                  <c:v>21.7012337662338</c:v>
                </c:pt>
                <c:pt idx="10">
                  <c:v>22.4002597402597</c:v>
                </c:pt>
                <c:pt idx="11">
                  <c:v>23.0992857142857</c:v>
                </c:pt>
                <c:pt idx="12">
                  <c:v>23.7983116883117</c:v>
                </c:pt>
                <c:pt idx="13">
                  <c:v>24.4973376623377</c:v>
                </c:pt>
                <c:pt idx="14">
                  <c:v>25.1963636363636</c:v>
                </c:pt>
                <c:pt idx="15">
                  <c:v>25.8953896103896</c:v>
                </c:pt>
                <c:pt idx="16">
                  <c:v>26.5944155844156</c:v>
                </c:pt>
                <c:pt idx="17">
                  <c:v>27.2934415584415</c:v>
                </c:pt>
                <c:pt idx="18">
                  <c:v>27.9924675324675</c:v>
                </c:pt>
                <c:pt idx="19">
                  <c:v>28.6914935064935</c:v>
                </c:pt>
                <c:pt idx="20">
                  <c:v>29.3905194805195</c:v>
                </c:pt>
                <c:pt idx="21">
                  <c:v>30.0895454545454</c:v>
                </c:pt>
                <c:pt idx="22">
                  <c:v>30.7885714285714</c:v>
                </c:pt>
                <c:pt idx="23">
                  <c:v>31.4875974025974</c:v>
                </c:pt>
                <c:pt idx="24">
                  <c:v>32.1866233766234</c:v>
                </c:pt>
                <c:pt idx="25">
                  <c:v>32.8856493506493</c:v>
                </c:pt>
                <c:pt idx="26">
                  <c:v>33.5846753246753</c:v>
                </c:pt>
                <c:pt idx="27">
                  <c:v>34.2837012987013</c:v>
                </c:pt>
                <c:pt idx="28">
                  <c:v>34.9827272727273</c:v>
                </c:pt>
                <c:pt idx="29">
                  <c:v>35.6817532467532</c:v>
                </c:pt>
                <c:pt idx="30">
                  <c:v>36.3807792207792</c:v>
                </c:pt>
                <c:pt idx="31">
                  <c:v>37.0798051948052</c:v>
                </c:pt>
                <c:pt idx="32">
                  <c:v>37.7788311688312</c:v>
                </c:pt>
                <c:pt idx="33">
                  <c:v>38.4778571428571</c:v>
                </c:pt>
                <c:pt idx="34">
                  <c:v>39.1768831168831</c:v>
                </c:pt>
                <c:pt idx="35">
                  <c:v>39.8759090909091</c:v>
                </c:pt>
                <c:pt idx="36">
                  <c:v>40.5749350649351</c:v>
                </c:pt>
                <c:pt idx="37">
                  <c:v>41.273961038961</c:v>
                </c:pt>
                <c:pt idx="38">
                  <c:v>41.972987012987</c:v>
                </c:pt>
                <c:pt idx="39">
                  <c:v>42.672012987013</c:v>
                </c:pt>
                <c:pt idx="40">
                  <c:v>43.371038961039</c:v>
                </c:pt>
                <c:pt idx="41">
                  <c:v>44.0700649350649</c:v>
                </c:pt>
                <c:pt idx="42">
                  <c:v>44.7690909090909</c:v>
                </c:pt>
                <c:pt idx="43">
                  <c:v>45.4681168831169</c:v>
                </c:pt>
                <c:pt idx="44">
                  <c:v>46.1671428571429</c:v>
                </c:pt>
                <c:pt idx="45">
                  <c:v>46.8661688311688</c:v>
                </c:pt>
                <c:pt idx="46">
                  <c:v>47.5651948051948</c:v>
                </c:pt>
                <c:pt idx="47">
                  <c:v>48.2642207792208</c:v>
                </c:pt>
                <c:pt idx="48">
                  <c:v>48.9632467532468</c:v>
                </c:pt>
                <c:pt idx="49">
                  <c:v>49.6622727272727</c:v>
                </c:pt>
                <c:pt idx="50">
                  <c:v>50.3612987012987</c:v>
                </c:pt>
                <c:pt idx="51">
                  <c:v>51.0603246753247</c:v>
                </c:pt>
                <c:pt idx="52">
                  <c:v>51.7593506493507</c:v>
                </c:pt>
                <c:pt idx="53">
                  <c:v>52.4583766233766</c:v>
                </c:pt>
                <c:pt idx="54">
                  <c:v>53.1574025974026</c:v>
                </c:pt>
                <c:pt idx="55">
                  <c:v>53.8564285714286</c:v>
                </c:pt>
                <c:pt idx="56">
                  <c:v>54.5554545454546</c:v>
                </c:pt>
                <c:pt idx="57">
                  <c:v>55.2544805194805</c:v>
                </c:pt>
                <c:pt idx="58">
                  <c:v>55.9535064935065</c:v>
                </c:pt>
                <c:pt idx="59">
                  <c:v>56.6525324675325</c:v>
                </c:pt>
                <c:pt idx="60">
                  <c:v>57.3515584415585</c:v>
                </c:pt>
                <c:pt idx="61">
                  <c:v>58.0505844155844</c:v>
                </c:pt>
                <c:pt idx="62">
                  <c:v>58.7496103896104</c:v>
                </c:pt>
                <c:pt idx="63">
                  <c:v>59.4486363636364</c:v>
                </c:pt>
                <c:pt idx="64">
                  <c:v>60.1476623376624</c:v>
                </c:pt>
                <c:pt idx="65">
                  <c:v>60.8466883116883</c:v>
                </c:pt>
                <c:pt idx="66">
                  <c:v>61.5457142857143</c:v>
                </c:pt>
                <c:pt idx="67">
                  <c:v>62.2447402597403</c:v>
                </c:pt>
                <c:pt idx="68">
                  <c:v>62.9437662337663</c:v>
                </c:pt>
                <c:pt idx="69">
                  <c:v>63.6427922077922</c:v>
                </c:pt>
                <c:pt idx="70">
                  <c:v>64.3418181818182</c:v>
                </c:pt>
                <c:pt idx="71">
                  <c:v>65.0408441558442</c:v>
                </c:pt>
                <c:pt idx="72">
                  <c:v>65.7398701298702</c:v>
                </c:pt>
                <c:pt idx="73">
                  <c:v>66.4388961038961</c:v>
                </c:pt>
                <c:pt idx="74">
                  <c:v>67.1379220779221</c:v>
                </c:pt>
                <c:pt idx="75">
                  <c:v>67.8369480519481</c:v>
                </c:pt>
                <c:pt idx="76">
                  <c:v>68.5359740259741</c:v>
                </c:pt>
                <c:pt idx="77">
                  <c:v>69.235</c:v>
                </c:pt>
                <c:pt idx="78">
                  <c:v>69.9340259740259</c:v>
                </c:pt>
                <c:pt idx="79">
                  <c:v>70.633051948052</c:v>
                </c:pt>
                <c:pt idx="80">
                  <c:v>71.3320779220779</c:v>
                </c:pt>
                <c:pt idx="81">
                  <c:v>72.0311038961039</c:v>
                </c:pt>
                <c:pt idx="82">
                  <c:v>72.7301298701298</c:v>
                </c:pt>
                <c:pt idx="83">
                  <c:v>73.4291558441558</c:v>
                </c:pt>
                <c:pt idx="84">
                  <c:v>74.1281818181818</c:v>
                </c:pt>
                <c:pt idx="85">
                  <c:v>74.8272077922078</c:v>
                </c:pt>
                <c:pt idx="86">
                  <c:v>75.5262337662337</c:v>
                </c:pt>
                <c:pt idx="87">
                  <c:v>76.2252597402597</c:v>
                </c:pt>
                <c:pt idx="88">
                  <c:v>76.9242857142857</c:v>
                </c:pt>
                <c:pt idx="89">
                  <c:v>77.6233116883117</c:v>
                </c:pt>
                <c:pt idx="90">
                  <c:v>78.3223376623376</c:v>
                </c:pt>
                <c:pt idx="91">
                  <c:v>79.0213636363637</c:v>
                </c:pt>
                <c:pt idx="92">
                  <c:v>79.7203896103896</c:v>
                </c:pt>
                <c:pt idx="93">
                  <c:v>80.4194155844156</c:v>
                </c:pt>
                <c:pt idx="94">
                  <c:v>81.1184415584415</c:v>
                </c:pt>
                <c:pt idx="95">
                  <c:v>81.8174675324676</c:v>
                </c:pt>
                <c:pt idx="96">
                  <c:v>82.5164935064935</c:v>
                </c:pt>
                <c:pt idx="97">
                  <c:v>83.2155194805195</c:v>
                </c:pt>
                <c:pt idx="98">
                  <c:v>83.9145454545454</c:v>
                </c:pt>
                <c:pt idx="99">
                  <c:v>84.6135714285715</c:v>
                </c:pt>
                <c:pt idx="100">
                  <c:v>85.3125974025974</c:v>
                </c:pt>
                <c:pt idx="101">
                  <c:v>86.0116233766234</c:v>
                </c:pt>
                <c:pt idx="102">
                  <c:v>86.7106493506493</c:v>
                </c:pt>
                <c:pt idx="103">
                  <c:v>87.4096753246754</c:v>
                </c:pt>
                <c:pt idx="104">
                  <c:v>88.1087012987013</c:v>
                </c:pt>
                <c:pt idx="105">
                  <c:v>88.8077272727273</c:v>
                </c:pt>
                <c:pt idx="106">
                  <c:v>89.5067532467532</c:v>
                </c:pt>
                <c:pt idx="107">
                  <c:v>90.2057792207792</c:v>
                </c:pt>
                <c:pt idx="108">
                  <c:v>90.9048051948052</c:v>
                </c:pt>
                <c:pt idx="109">
                  <c:v>91.6038311688312</c:v>
                </c:pt>
                <c:pt idx="110">
                  <c:v>92.3028571428571</c:v>
                </c:pt>
                <c:pt idx="111">
                  <c:v>93.0018831168831</c:v>
                </c:pt>
                <c:pt idx="112">
                  <c:v>93.7009090909091</c:v>
                </c:pt>
                <c:pt idx="113">
                  <c:v>94.3999350649351</c:v>
                </c:pt>
                <c:pt idx="114">
                  <c:v>95.098961038961</c:v>
                </c:pt>
                <c:pt idx="115">
                  <c:v>95.797987012987</c:v>
                </c:pt>
                <c:pt idx="116">
                  <c:v>96.497012987013</c:v>
                </c:pt>
                <c:pt idx="117">
                  <c:v>97.196038961039</c:v>
                </c:pt>
                <c:pt idx="118">
                  <c:v>97.8950649350649</c:v>
                </c:pt>
                <c:pt idx="119">
                  <c:v>98.5940909090909</c:v>
                </c:pt>
                <c:pt idx="120">
                  <c:v>99.2931168831169</c:v>
                </c:pt>
                <c:pt idx="121">
                  <c:v>99.9921428571429</c:v>
                </c:pt>
                <c:pt idx="122">
                  <c:v>100.691168831169</c:v>
                </c:pt>
                <c:pt idx="123">
                  <c:v>101.390194805195</c:v>
                </c:pt>
                <c:pt idx="124">
                  <c:v>102.089220779221</c:v>
                </c:pt>
                <c:pt idx="125">
                  <c:v>102.788246753247</c:v>
                </c:pt>
                <c:pt idx="126">
                  <c:v>103.487272727273</c:v>
                </c:pt>
                <c:pt idx="127">
                  <c:v>104.186298701299</c:v>
                </c:pt>
                <c:pt idx="128">
                  <c:v>104.885324675325</c:v>
                </c:pt>
                <c:pt idx="129">
                  <c:v>105.584350649351</c:v>
                </c:pt>
                <c:pt idx="130">
                  <c:v>106.283376623377</c:v>
                </c:pt>
                <c:pt idx="131">
                  <c:v>106.982402597403</c:v>
                </c:pt>
                <c:pt idx="132">
                  <c:v>107.681428571429</c:v>
                </c:pt>
                <c:pt idx="133">
                  <c:v>108.380454545455</c:v>
                </c:pt>
                <c:pt idx="134">
                  <c:v>109.079480519481</c:v>
                </c:pt>
                <c:pt idx="135">
                  <c:v>109.778506493507</c:v>
                </c:pt>
                <c:pt idx="136">
                  <c:v>110.477532467532</c:v>
                </c:pt>
                <c:pt idx="137">
                  <c:v>111.176558441558</c:v>
                </c:pt>
                <c:pt idx="138">
                  <c:v>111.875584415584</c:v>
                </c:pt>
                <c:pt idx="139">
                  <c:v>112.57461038961</c:v>
                </c:pt>
                <c:pt idx="140">
                  <c:v>113.273636363636</c:v>
                </c:pt>
                <c:pt idx="141">
                  <c:v>113.972662337662</c:v>
                </c:pt>
                <c:pt idx="142">
                  <c:v>114.671688311688</c:v>
                </c:pt>
                <c:pt idx="143">
                  <c:v>115.370714285714</c:v>
                </c:pt>
                <c:pt idx="144">
                  <c:v>116.06974025974</c:v>
                </c:pt>
                <c:pt idx="145">
                  <c:v>116.768766233766</c:v>
                </c:pt>
                <c:pt idx="146">
                  <c:v>117.467792207792</c:v>
                </c:pt>
                <c:pt idx="147">
                  <c:v>118.166818181818</c:v>
                </c:pt>
                <c:pt idx="148">
                  <c:v>118.865844155844</c:v>
                </c:pt>
                <c:pt idx="149">
                  <c:v>119.56487012987</c:v>
                </c:pt>
                <c:pt idx="150">
                  <c:v>120.263896103896</c:v>
                </c:pt>
                <c:pt idx="151">
                  <c:v>120.962922077922</c:v>
                </c:pt>
                <c:pt idx="152">
                  <c:v>121.661948051948</c:v>
                </c:pt>
                <c:pt idx="153">
                  <c:v>122.360974025974</c:v>
                </c:pt>
                <c:pt idx="154">
                  <c:v>123.06</c:v>
                </c:pt>
              </c:numCache>
            </c:numRef>
          </c:val>
          <c:smooth val="0"/>
        </c:ser>
        <c:hiLowLines>
          <c:spPr>
            <a:ln w="0">
              <a:noFill/>
            </a:ln>
          </c:spPr>
        </c:hiLowLines>
        <c:marker val="0"/>
        <c:axId val="5687816"/>
        <c:axId val="88763148"/>
      </c:lineChart>
      <c:dateAx>
        <c:axId val="2199976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6778403"/>
        <c:auto val="1"/>
        <c:lblOffset val="100"/>
        <c:baseTimeUnit val="days"/>
      </c:dateAx>
      <c:valAx>
        <c:axId val="6677840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1999761"/>
        <c:crosses val="autoZero"/>
        <c:crossBetween val="between"/>
      </c:valAx>
      <c:dateAx>
        <c:axId val="568781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8763148"/>
        <c:auto val="1"/>
        <c:lblOffset val="100"/>
        <c:baseTimeUnit val="days"/>
      </c:dateAx>
      <c:valAx>
        <c:axId val="8876314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68781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TSM</a:t>
            </a:r>
          </a:p>
        </c:rich>
      </c:tx>
      <c:overlay val="0"/>
      <c:spPr>
        <a:noFill/>
        <a:ln w="0">
          <a:noFill/>
        </a:ln>
      </c:spPr>
    </c:title>
    <c:autoTitleDeleted val="0"/>
    <c:plotArea>
      <c:barChart>
        <c:barDir val="col"/>
        <c:grouping val="clustered"/>
        <c:varyColors val="0"/>
        <c:ser>
          <c:idx val="0"/>
          <c:order val="0"/>
          <c:tx>
            <c:strRef>
              <c:f>'Returns (Calc)'!$L$2</c:f>
              <c:strCache>
                <c:ptCount val="1"/>
                <c:pt idx="0">
                  <c:v>TSM</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(Calc)'!$L$3:$L$157</c:f>
              <c:numCache>
                <c:formatCode>0.0%</c:formatCode>
                <c:ptCount val="155"/>
                <c:pt idx="0">
                  <c:v>-0.00967496467007289</c:v>
                </c:pt>
                <c:pt idx="1">
                  <c:v>0.021953896816685</c:v>
                </c:pt>
                <c:pt idx="2">
                  <c:v>0.000966702470461822</c:v>
                </c:pt>
                <c:pt idx="3">
                  <c:v>-0.0380942161176091</c:v>
                </c:pt>
                <c:pt idx="4">
                  <c:v>-0.00435073627844718</c:v>
                </c:pt>
                <c:pt idx="5">
                  <c:v>-0.0404481792717086</c:v>
                </c:pt>
                <c:pt idx="6">
                  <c:v>0.0147127510509109</c:v>
                </c:pt>
                <c:pt idx="7">
                  <c:v>0.0275028768699654</c:v>
                </c:pt>
                <c:pt idx="8">
                  <c:v>0.01310337103819</c:v>
                </c:pt>
                <c:pt idx="9">
                  <c:v>0.0093964183064339</c:v>
                </c:pt>
                <c:pt idx="10">
                  <c:v>-0.0582630599058155</c:v>
                </c:pt>
                <c:pt idx="11">
                  <c:v>0.0674497034538901</c:v>
                </c:pt>
                <c:pt idx="12">
                  <c:v>0.0615535461379235</c:v>
                </c:pt>
                <c:pt idx="13">
                  <c:v>0.0219622331691298</c:v>
                </c:pt>
                <c:pt idx="14">
                  <c:v>-0.0175738100020084</c:v>
                </c:pt>
                <c:pt idx="15">
                  <c:v>0.00735970561177557</c:v>
                </c:pt>
                <c:pt idx="16">
                  <c:v>0.0182648401826484</c:v>
                </c:pt>
                <c:pt idx="17">
                  <c:v>0.0218236173393125</c:v>
                </c:pt>
                <c:pt idx="18">
                  <c:v>0.00594889799102782</c:v>
                </c:pt>
                <c:pt idx="19">
                  <c:v>0.00824042656325741</c:v>
                </c:pt>
                <c:pt idx="20">
                  <c:v>-0.0422115384615385</c:v>
                </c:pt>
                <c:pt idx="21">
                  <c:v>0.0163638188936854</c:v>
                </c:pt>
                <c:pt idx="22">
                  <c:v>0.128012643224022</c:v>
                </c:pt>
                <c:pt idx="23">
                  <c:v>0.0267950963222416</c:v>
                </c:pt>
                <c:pt idx="24">
                  <c:v>-0.0128773665359032</c:v>
                </c:pt>
                <c:pt idx="25">
                  <c:v>0.149978401727862</c:v>
                </c:pt>
                <c:pt idx="26">
                  <c:v>-0.0482307865675007</c:v>
                </c:pt>
                <c:pt idx="27">
                  <c:v>0.0224169231983582</c:v>
                </c:pt>
                <c:pt idx="28">
                  <c:v>0.0337373581409712</c:v>
                </c:pt>
                <c:pt idx="29">
                  <c:v>0.0931292008961913</c:v>
                </c:pt>
                <c:pt idx="30">
                  <c:v>-0.0641524902643985</c:v>
                </c:pt>
                <c:pt idx="31">
                  <c:v>0.0259891955029932</c:v>
                </c:pt>
                <c:pt idx="32">
                  <c:v>-0.0319481998007684</c:v>
                </c:pt>
                <c:pt idx="33">
                  <c:v>0.0390297684674752</c:v>
                </c:pt>
                <c:pt idx="34">
                  <c:v>0.008205998868138</c:v>
                </c:pt>
                <c:pt idx="35">
                  <c:v>-0.103985405557115</c:v>
                </c:pt>
                <c:pt idx="36">
                  <c:v>0.0830070477682068</c:v>
                </c:pt>
                <c:pt idx="37">
                  <c:v>0.0235719450469991</c:v>
                </c:pt>
                <c:pt idx="38">
                  <c:v>0.054393896580955</c:v>
                </c:pt>
                <c:pt idx="39">
                  <c:v>0.0162133190406004</c:v>
                </c:pt>
                <c:pt idx="40">
                  <c:v>0.0548523206751055</c:v>
                </c:pt>
                <c:pt idx="41">
                  <c:v>-0.0560000000000001</c:v>
                </c:pt>
                <c:pt idx="42">
                  <c:v>0.0883871822033897</c:v>
                </c:pt>
                <c:pt idx="43">
                  <c:v>0.0493947320396617</c:v>
                </c:pt>
                <c:pt idx="44">
                  <c:v>0.00840530983711108</c:v>
                </c:pt>
                <c:pt idx="45">
                  <c:v>-0.000862267187859311</c:v>
                </c:pt>
                <c:pt idx="46">
                  <c:v>0.0585697025487602</c:v>
                </c:pt>
                <c:pt idx="47">
                  <c:v>0.0182618620577204</c:v>
                </c:pt>
                <c:pt idx="48">
                  <c:v>-0.115185481718708</c:v>
                </c:pt>
                <c:pt idx="49">
                  <c:v>-0.023104301140134</c:v>
                </c:pt>
                <c:pt idx="50">
                  <c:v>-0.0745955292083487</c:v>
                </c:pt>
                <c:pt idx="51">
                  <c:v>0.115174162551715</c:v>
                </c:pt>
                <c:pt idx="52">
                  <c:v>0.0443992340832933</c:v>
                </c:pt>
                <c:pt idx="53">
                  <c:v>-0.0186776670104274</c:v>
                </c:pt>
                <c:pt idx="54">
                  <c:v>0.0024521251751517</c:v>
                </c:pt>
                <c:pt idx="55">
                  <c:v>-0.0866627839254514</c:v>
                </c:pt>
                <c:pt idx="56">
                  <c:v>0.0999872465246781</c:v>
                </c:pt>
                <c:pt idx="57">
                  <c:v>0.00915942028985506</c:v>
                </c:pt>
                <c:pt idx="58">
                  <c:v>0.0223460477941175</c:v>
                </c:pt>
                <c:pt idx="59">
                  <c:v>0.0179243692757207</c:v>
                </c:pt>
                <c:pt idx="60">
                  <c:v>0.0532678295429454</c:v>
                </c:pt>
                <c:pt idx="61">
                  <c:v>0.052250930244746</c:v>
                </c:pt>
                <c:pt idx="62">
                  <c:v>0.0132483315071221</c:v>
                </c:pt>
                <c:pt idx="63">
                  <c:v>-0.0515631144317735</c:v>
                </c:pt>
                <c:pt idx="64">
                  <c:v>0.0427571909821198</c:v>
                </c:pt>
                <c:pt idx="65">
                  <c:v>-0.0754970178926442</c:v>
                </c:pt>
                <c:pt idx="66">
                  <c:v>0.0218805440567713</c:v>
                </c:pt>
                <c:pt idx="67">
                  <c:v>-0.0285143097643098</c:v>
                </c:pt>
                <c:pt idx="68">
                  <c:v>0.099425972056753</c:v>
                </c:pt>
                <c:pt idx="69">
                  <c:v>-0.0099990148753818</c:v>
                </c:pt>
                <c:pt idx="70">
                  <c:v>-0.0188069058162098</c:v>
                </c:pt>
                <c:pt idx="71">
                  <c:v>0.0224126565589979</c:v>
                </c:pt>
                <c:pt idx="72">
                  <c:v>0.0346178644050985</c:v>
                </c:pt>
                <c:pt idx="73">
                  <c:v>-0.00115047217295439</c:v>
                </c:pt>
                <c:pt idx="74">
                  <c:v>0.0150213562413015</c:v>
                </c:pt>
                <c:pt idx="75">
                  <c:v>0.0490780141843972</c:v>
                </c:pt>
                <c:pt idx="76">
                  <c:v>-0.0566071750495764</c:v>
                </c:pt>
                <c:pt idx="77">
                  <c:v>-0.0152875979361742</c:v>
                </c:pt>
                <c:pt idx="78">
                  <c:v>-0.0107704249951485</c:v>
                </c:pt>
                <c:pt idx="79">
                  <c:v>-0.0277587052476704</c:v>
                </c:pt>
                <c:pt idx="80">
                  <c:v>-0.0893361581920904</c:v>
                </c:pt>
                <c:pt idx="81">
                  <c:v>-0.0189996122528112</c:v>
                </c:pt>
                <c:pt idx="82">
                  <c:v>-0.0169960474308299</c:v>
                </c:pt>
                <c:pt idx="83">
                  <c:v>0.0151645700499741</c:v>
                </c:pt>
                <c:pt idx="84">
                  <c:v>-0.0649578453007412</c:v>
                </c:pt>
                <c:pt idx="85">
                  <c:v>-0.111649016641452</c:v>
                </c:pt>
                <c:pt idx="86">
                  <c:v>0.0700272479564033</c:v>
                </c:pt>
                <c:pt idx="87">
                  <c:v>-0.0339954163483576</c:v>
                </c:pt>
                <c:pt idx="88">
                  <c:v>0.0880453407143798</c:v>
                </c:pt>
                <c:pt idx="89">
                  <c:v>0.0858873410054513</c:v>
                </c:pt>
                <c:pt idx="90">
                  <c:v>-0.0153949129852744</c:v>
                </c:pt>
                <c:pt idx="91">
                  <c:v>0.100271923861319</c:v>
                </c:pt>
                <c:pt idx="92">
                  <c:v>-0.0115333127381321</c:v>
                </c:pt>
                <c:pt idx="93">
                  <c:v>0.00697989373893115</c:v>
                </c:pt>
                <c:pt idx="94">
                  <c:v>0.0613490585557626</c:v>
                </c:pt>
                <c:pt idx="95">
                  <c:v>0.0288527146895408</c:v>
                </c:pt>
                <c:pt idx="96">
                  <c:v>-0.00753197536712458</c:v>
                </c:pt>
                <c:pt idx="97">
                  <c:v>0.0909741778435398</c:v>
                </c:pt>
                <c:pt idx="98">
                  <c:v>0.0272564203526273</c:v>
                </c:pt>
                <c:pt idx="99">
                  <c:v>-0.0187393526405452</c:v>
                </c:pt>
                <c:pt idx="100">
                  <c:v>0.0434027777777777</c:v>
                </c:pt>
                <c:pt idx="101">
                  <c:v>0.021630615640599</c:v>
                </c:pt>
                <c:pt idx="102">
                  <c:v>-0.0423045602605863</c:v>
                </c:pt>
                <c:pt idx="103">
                  <c:v>0.0281450618596149</c:v>
                </c:pt>
                <c:pt idx="104">
                  <c:v>-0.0121986519455817</c:v>
                </c:pt>
                <c:pt idx="105">
                  <c:v>-0.0246567314132619</c:v>
                </c:pt>
                <c:pt idx="106">
                  <c:v>-0.00909910296579253</c:v>
                </c:pt>
                <c:pt idx="107">
                  <c:v>0.0543162818902412</c:v>
                </c:pt>
                <c:pt idx="108">
                  <c:v>0.0654040507785219</c:v>
                </c:pt>
                <c:pt idx="109">
                  <c:v>0.0213627424517024</c:v>
                </c:pt>
                <c:pt idx="110">
                  <c:v>0.0320534601880167</c:v>
                </c:pt>
                <c:pt idx="111">
                  <c:v>0.0688835235586771</c:v>
                </c:pt>
                <c:pt idx="112">
                  <c:v>-0.0394606249358294</c:v>
                </c:pt>
                <c:pt idx="113">
                  <c:v>0.0513788926102756</c:v>
                </c:pt>
                <c:pt idx="114">
                  <c:v>-0.000406669377795876</c:v>
                </c:pt>
                <c:pt idx="115">
                  <c:v>0.0185448874423653</c:v>
                </c:pt>
                <c:pt idx="116">
                  <c:v>-0.0463668741470559</c:v>
                </c:pt>
                <c:pt idx="117">
                  <c:v>-0.0058638743455498</c:v>
                </c:pt>
                <c:pt idx="118">
                  <c:v>-0.0342672565128853</c:v>
                </c:pt>
                <c:pt idx="119">
                  <c:v>0.0598051334254344</c:v>
                </c:pt>
                <c:pt idx="120">
                  <c:v>0.0110116291036328</c:v>
                </c:pt>
                <c:pt idx="121">
                  <c:v>-0.0090933767643866</c:v>
                </c:pt>
                <c:pt idx="122">
                  <c:v>-0.0105807423640598</c:v>
                </c:pt>
                <c:pt idx="123">
                  <c:v>0.0480706004499047</c:v>
                </c:pt>
                <c:pt idx="124">
                  <c:v>0.0553757759873201</c:v>
                </c:pt>
                <c:pt idx="125">
                  <c:v>0.0125778292293732</c:v>
                </c:pt>
                <c:pt idx="126">
                  <c:v>0.0579983314278651</c:v>
                </c:pt>
                <c:pt idx="127">
                  <c:v>-0.0219918224299065</c:v>
                </c:pt>
                <c:pt idx="128">
                  <c:v>-0.0128706662286857</c:v>
                </c:pt>
                <c:pt idx="129">
                  <c:v>0.055330348499516</c:v>
                </c:pt>
                <c:pt idx="130">
                  <c:v>0.0501934929052601</c:v>
                </c:pt>
                <c:pt idx="131">
                  <c:v>0.0114095425264766</c:v>
                </c:pt>
                <c:pt idx="132">
                  <c:v>0.0109030064230582</c:v>
                </c:pt>
                <c:pt idx="133">
                  <c:v>-0.0952800469859576</c:v>
                </c:pt>
                <c:pt idx="134">
                  <c:v>-0.0017114697984596</c:v>
                </c:pt>
                <c:pt idx="135">
                  <c:v>-0.0268097307203452</c:v>
                </c:pt>
                <c:pt idx="136">
                  <c:v>-0.00759324504920422</c:v>
                </c:pt>
                <c:pt idx="137">
                  <c:v>0.0376446103935852</c:v>
                </c:pt>
                <c:pt idx="138">
                  <c:v>0.0930863614912694</c:v>
                </c:pt>
                <c:pt idx="139">
                  <c:v>-0.000269832703723716</c:v>
                </c:pt>
                <c:pt idx="140">
                  <c:v>0.0862618083670714</c:v>
                </c:pt>
                <c:pt idx="141">
                  <c:v>-0.0119018039059782</c:v>
                </c:pt>
                <c:pt idx="142">
                  <c:v>0.0352302160082481</c:v>
                </c:pt>
                <c:pt idx="143">
                  <c:v>-0.0178050913330742</c:v>
                </c:pt>
                <c:pt idx="144">
                  <c:v>0.000420427847162008</c:v>
                </c:pt>
                <c:pt idx="145">
                  <c:v>0.0344358746168298</c:v>
                </c:pt>
                <c:pt idx="146">
                  <c:v>-0.00783845142788853</c:v>
                </c:pt>
                <c:pt idx="147">
                  <c:v>0.0210997904472867</c:v>
                </c:pt>
                <c:pt idx="148">
                  <c:v>0.0900856273441371</c:v>
                </c:pt>
                <c:pt idx="149">
                  <c:v>-0.0644204968406474</c:v>
                </c:pt>
                <c:pt idx="150">
                  <c:v>0.00418642303689132</c:v>
                </c:pt>
                <c:pt idx="151">
                  <c:v>-0.000115164916159927</c:v>
                </c:pt>
                <c:pt idx="152">
                  <c:v>-0.0823293635253738</c:v>
                </c:pt>
                <c:pt idx="153">
                  <c:v>0.0126515550869795</c:v>
                </c:pt>
                <c:pt idx="154">
                  <c:v>0.00208224882873487</c:v>
                </c:pt>
              </c:numCache>
            </c:numRef>
          </c:val>
        </c:ser>
        <c:gapWidth val="150"/>
        <c:overlap val="0"/>
        <c:axId val="27965965"/>
        <c:axId val="11201559"/>
      </c:barChart>
      <c:lineChart>
        <c:grouping val="standard"/>
        <c:varyColors val="0"/>
        <c:ser>
          <c:idx val="1"/>
          <c:order val="1"/>
          <c:tx>
            <c:strRef>
              <c:f>'Returns (Calc)'!$AG$2</c:f>
              <c:strCache>
                <c:ptCount val="1"/>
                <c:pt idx="0">
                  <c:v>TSM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(Calc)'!$AG$3:$AG$157</c:f>
              <c:numCache>
                <c:formatCode>#,##0.00</c:formatCode>
                <c:ptCount val="155"/>
                <c:pt idx="0">
                  <c:v>91.99</c:v>
                </c:pt>
                <c:pt idx="1">
                  <c:v>94.0176623376623</c:v>
                </c:pt>
                <c:pt idx="2">
                  <c:v>96.0453246753247</c:v>
                </c:pt>
                <c:pt idx="3">
                  <c:v>98.072987012987</c:v>
                </c:pt>
                <c:pt idx="4">
                  <c:v>100.100649350649</c:v>
                </c:pt>
                <c:pt idx="5">
                  <c:v>102.128311688312</c:v>
                </c:pt>
                <c:pt idx="6">
                  <c:v>104.155974025974</c:v>
                </c:pt>
                <c:pt idx="7">
                  <c:v>106.183636363636</c:v>
                </c:pt>
                <c:pt idx="8">
                  <c:v>108.211298701299</c:v>
                </c:pt>
                <c:pt idx="9">
                  <c:v>110.238961038961</c:v>
                </c:pt>
                <c:pt idx="10">
                  <c:v>112.266623376623</c:v>
                </c:pt>
                <c:pt idx="11">
                  <c:v>114.294285714286</c:v>
                </c:pt>
                <c:pt idx="12">
                  <c:v>116.321948051948</c:v>
                </c:pt>
                <c:pt idx="13">
                  <c:v>118.34961038961</c:v>
                </c:pt>
                <c:pt idx="14">
                  <c:v>120.377272727273</c:v>
                </c:pt>
                <c:pt idx="15">
                  <c:v>122.404935064935</c:v>
                </c:pt>
                <c:pt idx="16">
                  <c:v>124.432597402597</c:v>
                </c:pt>
                <c:pt idx="17">
                  <c:v>126.46025974026</c:v>
                </c:pt>
                <c:pt idx="18">
                  <c:v>128.487922077922</c:v>
                </c:pt>
                <c:pt idx="19">
                  <c:v>130.515584415584</c:v>
                </c:pt>
                <c:pt idx="20">
                  <c:v>132.543246753247</c:v>
                </c:pt>
                <c:pt idx="21">
                  <c:v>134.570909090909</c:v>
                </c:pt>
                <c:pt idx="22">
                  <c:v>136.598571428571</c:v>
                </c:pt>
                <c:pt idx="23">
                  <c:v>138.626233766234</c:v>
                </c:pt>
                <c:pt idx="24">
                  <c:v>140.653896103896</c:v>
                </c:pt>
                <c:pt idx="25">
                  <c:v>142.681558441558</c:v>
                </c:pt>
                <c:pt idx="26">
                  <c:v>144.709220779221</c:v>
                </c:pt>
                <c:pt idx="27">
                  <c:v>146.736883116883</c:v>
                </c:pt>
                <c:pt idx="28">
                  <c:v>148.764545454546</c:v>
                </c:pt>
                <c:pt idx="29">
                  <c:v>150.792207792208</c:v>
                </c:pt>
                <c:pt idx="30">
                  <c:v>152.81987012987</c:v>
                </c:pt>
                <c:pt idx="31">
                  <c:v>154.847532467532</c:v>
                </c:pt>
                <c:pt idx="32">
                  <c:v>156.875194805195</c:v>
                </c:pt>
                <c:pt idx="33">
                  <c:v>158.902857142857</c:v>
                </c:pt>
                <c:pt idx="34">
                  <c:v>160.93051948052</c:v>
                </c:pt>
                <c:pt idx="35">
                  <c:v>162.958181818182</c:v>
                </c:pt>
                <c:pt idx="36">
                  <c:v>164.985844155844</c:v>
                </c:pt>
                <c:pt idx="37">
                  <c:v>167.013506493506</c:v>
                </c:pt>
                <c:pt idx="38">
                  <c:v>169.041168831169</c:v>
                </c:pt>
                <c:pt idx="39">
                  <c:v>171.068831168831</c:v>
                </c:pt>
                <c:pt idx="40">
                  <c:v>173.096493506494</c:v>
                </c:pt>
                <c:pt idx="41">
                  <c:v>175.124155844156</c:v>
                </c:pt>
                <c:pt idx="42">
                  <c:v>177.151818181818</c:v>
                </c:pt>
                <c:pt idx="43">
                  <c:v>179.17948051948</c:v>
                </c:pt>
                <c:pt idx="44">
                  <c:v>181.207142857143</c:v>
                </c:pt>
                <c:pt idx="45">
                  <c:v>183.234805194805</c:v>
                </c:pt>
                <c:pt idx="46">
                  <c:v>185.262467532468</c:v>
                </c:pt>
                <c:pt idx="47">
                  <c:v>187.29012987013</c:v>
                </c:pt>
                <c:pt idx="48">
                  <c:v>189.317792207792</c:v>
                </c:pt>
                <c:pt idx="49">
                  <c:v>191.345454545455</c:v>
                </c:pt>
                <c:pt idx="50">
                  <c:v>193.373116883117</c:v>
                </c:pt>
                <c:pt idx="51">
                  <c:v>195.400779220779</c:v>
                </c:pt>
                <c:pt idx="52">
                  <c:v>197.428441558442</c:v>
                </c:pt>
                <c:pt idx="53">
                  <c:v>199.456103896104</c:v>
                </c:pt>
                <c:pt idx="54">
                  <c:v>201.483766233766</c:v>
                </c:pt>
                <c:pt idx="55">
                  <c:v>203.511428571429</c:v>
                </c:pt>
                <c:pt idx="56">
                  <c:v>205.539090909091</c:v>
                </c:pt>
                <c:pt idx="57">
                  <c:v>207.566753246753</c:v>
                </c:pt>
                <c:pt idx="58">
                  <c:v>209.594415584416</c:v>
                </c:pt>
                <c:pt idx="59">
                  <c:v>211.622077922078</c:v>
                </c:pt>
                <c:pt idx="60">
                  <c:v>213.64974025974</c:v>
                </c:pt>
                <c:pt idx="61">
                  <c:v>215.677402597403</c:v>
                </c:pt>
                <c:pt idx="62">
                  <c:v>217.705064935065</c:v>
                </c:pt>
                <c:pt idx="63">
                  <c:v>219.732727272727</c:v>
                </c:pt>
                <c:pt idx="64">
                  <c:v>221.76038961039</c:v>
                </c:pt>
                <c:pt idx="65">
                  <c:v>223.788051948052</c:v>
                </c:pt>
                <c:pt idx="66">
                  <c:v>225.815714285714</c:v>
                </c:pt>
                <c:pt idx="67">
                  <c:v>227.843376623377</c:v>
                </c:pt>
                <c:pt idx="68">
                  <c:v>229.871038961039</c:v>
                </c:pt>
                <c:pt idx="69">
                  <c:v>231.898701298701</c:v>
                </c:pt>
                <c:pt idx="70">
                  <c:v>233.926363636364</c:v>
                </c:pt>
                <c:pt idx="71">
                  <c:v>235.954025974026</c:v>
                </c:pt>
                <c:pt idx="72">
                  <c:v>237.981688311688</c:v>
                </c:pt>
                <c:pt idx="73">
                  <c:v>240.009350649351</c:v>
                </c:pt>
                <c:pt idx="74">
                  <c:v>242.037012987013</c:v>
                </c:pt>
                <c:pt idx="75">
                  <c:v>244.064675324675</c:v>
                </c:pt>
                <c:pt idx="76">
                  <c:v>246.092337662338</c:v>
                </c:pt>
                <c:pt idx="77">
                  <c:v>248.12</c:v>
                </c:pt>
                <c:pt idx="78">
                  <c:v>250.147662337662</c:v>
                </c:pt>
                <c:pt idx="79">
                  <c:v>252.175324675325</c:v>
                </c:pt>
                <c:pt idx="80">
                  <c:v>254.202987012987</c:v>
                </c:pt>
                <c:pt idx="81">
                  <c:v>256.230649350649</c:v>
                </c:pt>
                <c:pt idx="82">
                  <c:v>258.258311688312</c:v>
                </c:pt>
                <c:pt idx="83">
                  <c:v>260.285974025974</c:v>
                </c:pt>
                <c:pt idx="84">
                  <c:v>262.313636363636</c:v>
                </c:pt>
                <c:pt idx="85">
                  <c:v>264.341298701299</c:v>
                </c:pt>
                <c:pt idx="86">
                  <c:v>266.368961038961</c:v>
                </c:pt>
                <c:pt idx="87">
                  <c:v>268.396623376623</c:v>
                </c:pt>
                <c:pt idx="88">
                  <c:v>270.424285714286</c:v>
                </c:pt>
                <c:pt idx="89">
                  <c:v>272.451948051948</c:v>
                </c:pt>
                <c:pt idx="90">
                  <c:v>274.47961038961</c:v>
                </c:pt>
                <c:pt idx="91">
                  <c:v>276.507272727273</c:v>
                </c:pt>
                <c:pt idx="92">
                  <c:v>278.534935064935</c:v>
                </c:pt>
                <c:pt idx="93">
                  <c:v>280.562597402597</c:v>
                </c:pt>
                <c:pt idx="94">
                  <c:v>282.59025974026</c:v>
                </c:pt>
                <c:pt idx="95">
                  <c:v>284.617922077922</c:v>
                </c:pt>
                <c:pt idx="96">
                  <c:v>286.645584415584</c:v>
                </c:pt>
                <c:pt idx="97">
                  <c:v>288.673246753247</c:v>
                </c:pt>
                <c:pt idx="98">
                  <c:v>290.700909090909</c:v>
                </c:pt>
                <c:pt idx="99">
                  <c:v>292.728571428571</c:v>
                </c:pt>
                <c:pt idx="100">
                  <c:v>294.756233766234</c:v>
                </c:pt>
                <c:pt idx="101">
                  <c:v>296.783896103896</c:v>
                </c:pt>
                <c:pt idx="102">
                  <c:v>298.811558441558</c:v>
                </c:pt>
                <c:pt idx="103">
                  <c:v>300.839220779221</c:v>
                </c:pt>
                <c:pt idx="104">
                  <c:v>302.866883116883</c:v>
                </c:pt>
                <c:pt idx="105">
                  <c:v>304.894545454546</c:v>
                </c:pt>
                <c:pt idx="106">
                  <c:v>306.922207792208</c:v>
                </c:pt>
                <c:pt idx="107">
                  <c:v>308.94987012987</c:v>
                </c:pt>
                <c:pt idx="108">
                  <c:v>310.977532467532</c:v>
                </c:pt>
                <c:pt idx="109">
                  <c:v>313.005194805195</c:v>
                </c:pt>
                <c:pt idx="110">
                  <c:v>315.032857142857</c:v>
                </c:pt>
                <c:pt idx="111">
                  <c:v>317.06051948052</c:v>
                </c:pt>
                <c:pt idx="112">
                  <c:v>319.088181818182</c:v>
                </c:pt>
                <c:pt idx="113">
                  <c:v>321.115844155844</c:v>
                </c:pt>
                <c:pt idx="114">
                  <c:v>323.143506493506</c:v>
                </c:pt>
                <c:pt idx="115">
                  <c:v>325.171168831169</c:v>
                </c:pt>
                <c:pt idx="116">
                  <c:v>327.198831168831</c:v>
                </c:pt>
                <c:pt idx="117">
                  <c:v>329.226493506494</c:v>
                </c:pt>
                <c:pt idx="118">
                  <c:v>331.254155844156</c:v>
                </c:pt>
                <c:pt idx="119">
                  <c:v>333.281818181818</c:v>
                </c:pt>
                <c:pt idx="120">
                  <c:v>335.309480519481</c:v>
                </c:pt>
                <c:pt idx="121">
                  <c:v>337.337142857143</c:v>
                </c:pt>
                <c:pt idx="122">
                  <c:v>339.364805194805</c:v>
                </c:pt>
                <c:pt idx="123">
                  <c:v>341.392467532468</c:v>
                </c:pt>
                <c:pt idx="124">
                  <c:v>343.42012987013</c:v>
                </c:pt>
                <c:pt idx="125">
                  <c:v>345.447792207792</c:v>
                </c:pt>
                <c:pt idx="126">
                  <c:v>347.475454545454</c:v>
                </c:pt>
                <c:pt idx="127">
                  <c:v>349.503116883117</c:v>
                </c:pt>
                <c:pt idx="128">
                  <c:v>351.530779220779</c:v>
                </c:pt>
                <c:pt idx="129">
                  <c:v>353.558441558442</c:v>
                </c:pt>
                <c:pt idx="130">
                  <c:v>355.586103896104</c:v>
                </c:pt>
                <c:pt idx="131">
                  <c:v>357.613766233766</c:v>
                </c:pt>
                <c:pt idx="132">
                  <c:v>359.641428571429</c:v>
                </c:pt>
                <c:pt idx="133">
                  <c:v>361.669090909091</c:v>
                </c:pt>
                <c:pt idx="134">
                  <c:v>363.696753246753</c:v>
                </c:pt>
                <c:pt idx="135">
                  <c:v>365.724415584416</c:v>
                </c:pt>
                <c:pt idx="136">
                  <c:v>367.752077922078</c:v>
                </c:pt>
                <c:pt idx="137">
                  <c:v>369.77974025974</c:v>
                </c:pt>
                <c:pt idx="138">
                  <c:v>371.807402597403</c:v>
                </c:pt>
                <c:pt idx="139">
                  <c:v>373.835064935065</c:v>
                </c:pt>
                <c:pt idx="140">
                  <c:v>375.862727272727</c:v>
                </c:pt>
                <c:pt idx="141">
                  <c:v>377.89038961039</c:v>
                </c:pt>
                <c:pt idx="142">
                  <c:v>379.918051948052</c:v>
                </c:pt>
                <c:pt idx="143">
                  <c:v>381.945714285714</c:v>
                </c:pt>
                <c:pt idx="144">
                  <c:v>383.973376623377</c:v>
                </c:pt>
                <c:pt idx="145">
                  <c:v>386.001038961039</c:v>
                </c:pt>
                <c:pt idx="146">
                  <c:v>388.028701298701</c:v>
                </c:pt>
                <c:pt idx="147">
                  <c:v>390.056363636364</c:v>
                </c:pt>
                <c:pt idx="148">
                  <c:v>392.084025974026</c:v>
                </c:pt>
                <c:pt idx="149">
                  <c:v>394.111688311688</c:v>
                </c:pt>
                <c:pt idx="150">
                  <c:v>396.139350649351</c:v>
                </c:pt>
                <c:pt idx="151">
                  <c:v>398.167012987013</c:v>
                </c:pt>
                <c:pt idx="152">
                  <c:v>400.194675324675</c:v>
                </c:pt>
                <c:pt idx="153">
                  <c:v>402.222337662338</c:v>
                </c:pt>
                <c:pt idx="154">
                  <c:v>404.25</c:v>
                </c:pt>
              </c:numCache>
            </c:numRef>
          </c:val>
          <c:smooth val="0"/>
        </c:ser>
        <c:hiLowLines>
          <c:spPr>
            <a:ln w="0">
              <a:noFill/>
            </a:ln>
          </c:spPr>
        </c:hiLowLines>
        <c:marker val="0"/>
        <c:axId val="50095596"/>
        <c:axId val="14514866"/>
      </c:lineChart>
      <c:dateAx>
        <c:axId val="2796596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1201559"/>
        <c:auto val="1"/>
        <c:lblOffset val="100"/>
        <c:baseTimeUnit val="days"/>
      </c:dateAx>
      <c:valAx>
        <c:axId val="1120155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7965965"/>
        <c:crosses val="autoZero"/>
        <c:crossBetween val="between"/>
      </c:valAx>
      <c:dateAx>
        <c:axId val="5009559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4514866"/>
        <c:auto val="1"/>
        <c:lblOffset val="100"/>
        <c:baseTimeUnit val="days"/>
      </c:dateAx>
      <c:valAx>
        <c:axId val="1451486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009559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a:t>
            </a:r>
          </a:p>
        </c:rich>
      </c:tx>
      <c:overlay val="0"/>
      <c:spPr>
        <a:noFill/>
        <a:ln w="0">
          <a:noFill/>
        </a:ln>
      </c:spPr>
    </c:title>
    <c:autoTitleDeleted val="0"/>
    <c:plotArea>
      <c:barChart>
        <c:barDir val="col"/>
        <c:grouping val="clustered"/>
        <c:varyColors val="0"/>
        <c:ser>
          <c:idx val="0"/>
          <c:order val="0"/>
          <c:tx>
            <c:strRef>
              <c:f>'Returns (Calc)'!$M$2</c:f>
              <c:strCache>
                <c:ptCount val="1"/>
                <c:pt idx="0">
                  <c:v>VRT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(Calc)'!$M$3:$M$157</c:f>
              <c:numCache>
                <c:formatCode>0.0%</c:formatCode>
                <c:ptCount val="155"/>
                <c:pt idx="0">
                  <c:v>0.0137272455983288</c:v>
                </c:pt>
                <c:pt idx="1">
                  <c:v>0.103915219311157</c:v>
                </c:pt>
                <c:pt idx="2">
                  <c:v>0.0631999999999999</c:v>
                </c:pt>
                <c:pt idx="3">
                  <c:v>-0.0168046149987458</c:v>
                </c:pt>
                <c:pt idx="4">
                  <c:v>-0.0262755102040817</c:v>
                </c:pt>
                <c:pt idx="5">
                  <c:v>-0.0450615666753995</c:v>
                </c:pt>
                <c:pt idx="6">
                  <c:v>0.0205761316872428</c:v>
                </c:pt>
                <c:pt idx="7">
                  <c:v>0.0690860215053764</c:v>
                </c:pt>
                <c:pt idx="8">
                  <c:v>-0.0168468694996229</c:v>
                </c:pt>
                <c:pt idx="9">
                  <c:v>-0.0603580562659847</c:v>
                </c:pt>
                <c:pt idx="10">
                  <c:v>-0.00870985302123029</c:v>
                </c:pt>
                <c:pt idx="11">
                  <c:v>0.110378912685338</c:v>
                </c:pt>
                <c:pt idx="12">
                  <c:v>0.0343719090009891</c:v>
                </c:pt>
                <c:pt idx="13">
                  <c:v>0.034903179536218</c:v>
                </c:pt>
                <c:pt idx="14">
                  <c:v>-0.0140910140910141</c:v>
                </c:pt>
                <c:pt idx="15">
                  <c:v>0.0576382380506093</c:v>
                </c:pt>
                <c:pt idx="16">
                  <c:v>0.0443066016836509</c:v>
                </c:pt>
                <c:pt idx="17">
                  <c:v>0.0125159100551548</c:v>
                </c:pt>
                <c:pt idx="18">
                  <c:v>0.0219987429289756</c:v>
                </c:pt>
                <c:pt idx="19">
                  <c:v>-0.0153751537515375</c:v>
                </c:pt>
                <c:pt idx="20">
                  <c:v>-0.0358109514886529</c:v>
                </c:pt>
                <c:pt idx="21">
                  <c:v>0.0693154826171454</c:v>
                </c:pt>
                <c:pt idx="22">
                  <c:v>0.0838045234248788</c:v>
                </c:pt>
                <c:pt idx="23">
                  <c:v>-0.00391280044717723</c:v>
                </c:pt>
                <c:pt idx="24">
                  <c:v>0.14983164983165</c:v>
                </c:pt>
                <c:pt idx="25">
                  <c:v>0.0333496014315928</c:v>
                </c:pt>
                <c:pt idx="26">
                  <c:v>-0.00865869017632248</c:v>
                </c:pt>
                <c:pt idx="27">
                  <c:v>-0.00428775607432108</c:v>
                </c:pt>
                <c:pt idx="28">
                  <c:v>0.125518341307815</c:v>
                </c:pt>
                <c:pt idx="29">
                  <c:v>-0.0170043928014736</c:v>
                </c:pt>
                <c:pt idx="30">
                  <c:v>0.06905002162318</c:v>
                </c:pt>
                <c:pt idx="31">
                  <c:v>0.112459546925566</c:v>
                </c:pt>
                <c:pt idx="32">
                  <c:v>-0.010060606060606</c:v>
                </c:pt>
                <c:pt idx="33">
                  <c:v>0.0449369413493328</c:v>
                </c:pt>
                <c:pt idx="34">
                  <c:v>-0.0169908600890556</c:v>
                </c:pt>
                <c:pt idx="35">
                  <c:v>-0.105852902610561</c:v>
                </c:pt>
                <c:pt idx="36">
                  <c:v>0.246367151046527</c:v>
                </c:pt>
                <c:pt idx="37">
                  <c:v>-0.00513423895603793</c:v>
                </c:pt>
                <c:pt idx="38">
                  <c:v>0.0256961617030427</c:v>
                </c:pt>
                <c:pt idx="39">
                  <c:v>0.0147798742138365</c:v>
                </c:pt>
                <c:pt idx="40">
                  <c:v>0.0966842268360706</c:v>
                </c:pt>
                <c:pt idx="41">
                  <c:v>-0.0762927380615994</c:v>
                </c:pt>
                <c:pt idx="42">
                  <c:v>-0.105944733353727</c:v>
                </c:pt>
                <c:pt idx="43">
                  <c:v>0.0433394160583942</c:v>
                </c:pt>
                <c:pt idx="44">
                  <c:v>-0.00940096195889817</c:v>
                </c:pt>
                <c:pt idx="45">
                  <c:v>-0.044692120944604</c:v>
                </c:pt>
                <c:pt idx="46">
                  <c:v>0.0601825112625622</c:v>
                </c:pt>
                <c:pt idx="47">
                  <c:v>-0.0229897581172369</c:v>
                </c:pt>
                <c:pt idx="48">
                  <c:v>-0.0486227277796364</c:v>
                </c:pt>
                <c:pt idx="49">
                  <c:v>-0.0960028132692533</c:v>
                </c:pt>
                <c:pt idx="50">
                  <c:v>-0.0993257261410789</c:v>
                </c:pt>
                <c:pt idx="51">
                  <c:v>0.0287935502447452</c:v>
                </c:pt>
                <c:pt idx="52">
                  <c:v>0.111390987965295</c:v>
                </c:pt>
                <c:pt idx="53">
                  <c:v>-0.0109544195416772</c:v>
                </c:pt>
                <c:pt idx="54">
                  <c:v>0.0570337364735838</c:v>
                </c:pt>
                <c:pt idx="55">
                  <c:v>-0.1356136336264</c:v>
                </c:pt>
                <c:pt idx="56">
                  <c:v>0.194928242998468</c:v>
                </c:pt>
                <c:pt idx="57">
                  <c:v>0.102378731343284</c:v>
                </c:pt>
                <c:pt idx="58">
                  <c:v>0.0409350539454199</c:v>
                </c:pt>
                <c:pt idx="59">
                  <c:v>0.0689970531450057</c:v>
                </c:pt>
                <c:pt idx="60">
                  <c:v>0.0631178707224334</c:v>
                </c:pt>
                <c:pt idx="61">
                  <c:v>0.00366595135908443</c:v>
                </c:pt>
                <c:pt idx="62">
                  <c:v>-0.000712694877505582</c:v>
                </c:pt>
                <c:pt idx="63">
                  <c:v>-0.0469822590710528</c:v>
                </c:pt>
                <c:pt idx="64">
                  <c:v>0.176333021515435</c:v>
                </c:pt>
                <c:pt idx="65">
                  <c:v>-0.038807157057654</c:v>
                </c:pt>
                <c:pt idx="66">
                  <c:v>0.159510217589145</c:v>
                </c:pt>
                <c:pt idx="67">
                  <c:v>-0.0895469140206922</c:v>
                </c:pt>
                <c:pt idx="68">
                  <c:v>0.0489811912225706</c:v>
                </c:pt>
                <c:pt idx="69">
                  <c:v>-0.0602913709376167</c:v>
                </c:pt>
                <c:pt idx="70">
                  <c:v>-0.0456352361265702</c:v>
                </c:pt>
                <c:pt idx="71">
                  <c:v>-0.0410696434521827</c:v>
                </c:pt>
                <c:pt idx="72">
                  <c:v>0.0917383372426375</c:v>
                </c:pt>
                <c:pt idx="73">
                  <c:v>0.0259409564733031</c:v>
                </c:pt>
                <c:pt idx="74">
                  <c:v>0.0539052198867602</c:v>
                </c:pt>
                <c:pt idx="75">
                  <c:v>0.0768324992640566</c:v>
                </c:pt>
                <c:pt idx="76">
                  <c:v>-0.200246036085292</c:v>
                </c:pt>
                <c:pt idx="77">
                  <c:v>0.0372585882755085</c:v>
                </c:pt>
                <c:pt idx="78">
                  <c:v>-0.109820398747734</c:v>
                </c:pt>
                <c:pt idx="79">
                  <c:v>-0.111614993058769</c:v>
                </c:pt>
                <c:pt idx="80">
                  <c:v>-0.00854255651630376</c:v>
                </c:pt>
                <c:pt idx="81">
                  <c:v>-0.106441105390354</c:v>
                </c:pt>
                <c:pt idx="82">
                  <c:v>0.0283396048918156</c:v>
                </c:pt>
                <c:pt idx="83">
                  <c:v>0.0134934248141794</c:v>
                </c:pt>
                <c:pt idx="84">
                  <c:v>-0.16224754597766</c:v>
                </c:pt>
                <c:pt idx="85">
                  <c:v>-0.19986531986532</c:v>
                </c:pt>
                <c:pt idx="86">
                  <c:v>0.171688267968356</c:v>
                </c:pt>
                <c:pt idx="87">
                  <c:v>0.0517167073696307</c:v>
                </c:pt>
                <c:pt idx="88">
                  <c:v>0.187679278787051</c:v>
                </c:pt>
                <c:pt idx="89">
                  <c:v>0.0925819436457733</c:v>
                </c:pt>
                <c:pt idx="90">
                  <c:v>-0.00989473684210529</c:v>
                </c:pt>
                <c:pt idx="91">
                  <c:v>0.127365511375718</c:v>
                </c:pt>
                <c:pt idx="92">
                  <c:v>-0.0179177668804226</c:v>
                </c:pt>
                <c:pt idx="93">
                  <c:v>0.0363933166890724</c:v>
                </c:pt>
                <c:pt idx="94">
                  <c:v>0.0688409154081349</c:v>
                </c:pt>
                <c:pt idx="95">
                  <c:v>-0.0380547850208044</c:v>
                </c:pt>
                <c:pt idx="96">
                  <c:v>0.0682166351266109</c:v>
                </c:pt>
                <c:pt idx="97">
                  <c:v>0.0727180698498395</c:v>
                </c:pt>
                <c:pt idx="98">
                  <c:v>0.00534759358288772</c:v>
                </c:pt>
                <c:pt idx="99">
                  <c:v>-0.0355131414267835</c:v>
                </c:pt>
                <c:pt idx="100">
                  <c:v>0.0467153284671533</c:v>
                </c:pt>
                <c:pt idx="101">
                  <c:v>0.0651634898496822</c:v>
                </c:pt>
                <c:pt idx="102">
                  <c:v>0.0299701753109769</c:v>
                </c:pt>
                <c:pt idx="103">
                  <c:v>-0.011723991807331</c:v>
                </c:pt>
                <c:pt idx="104">
                  <c:v>-0.0490245122561281</c:v>
                </c:pt>
                <c:pt idx="105">
                  <c:v>-0.0533553768693169</c:v>
                </c:pt>
                <c:pt idx="106">
                  <c:v>0.0125426688894181</c:v>
                </c:pt>
                <c:pt idx="107">
                  <c:v>-0.0278322226577813</c:v>
                </c:pt>
                <c:pt idx="108">
                  <c:v>0.0874193548387097</c:v>
                </c:pt>
                <c:pt idx="109">
                  <c:v>0.0649658854939186</c:v>
                </c:pt>
                <c:pt idx="110">
                  <c:v>-0.0346796657381615</c:v>
                </c:pt>
                <c:pt idx="111">
                  <c:v>0.155677391429808</c:v>
                </c:pt>
                <c:pt idx="112">
                  <c:v>0.0549937578027466</c:v>
                </c:pt>
                <c:pt idx="113">
                  <c:v>0.0295248801846044</c:v>
                </c:pt>
                <c:pt idx="114">
                  <c:v>0.0693103448275863</c:v>
                </c:pt>
                <c:pt idx="115">
                  <c:v>0.0365473503171021</c:v>
                </c:pt>
                <c:pt idx="116">
                  <c:v>-0.0677175152960697</c:v>
                </c:pt>
                <c:pt idx="117">
                  <c:v>-0.0491101223581758</c:v>
                </c:pt>
                <c:pt idx="118">
                  <c:v>-0.065157629993566</c:v>
                </c:pt>
                <c:pt idx="119">
                  <c:v>0.124507288994557</c:v>
                </c:pt>
                <c:pt idx="120">
                  <c:v>0.0516886440772271</c:v>
                </c:pt>
                <c:pt idx="121">
                  <c:v>-0.146809861390329</c:v>
                </c:pt>
                <c:pt idx="122">
                  <c:v>-0.00899113288274334</c:v>
                </c:pt>
                <c:pt idx="123">
                  <c:v>0.0485546239519461</c:v>
                </c:pt>
                <c:pt idx="124">
                  <c:v>0.0479174125790667</c:v>
                </c:pt>
                <c:pt idx="125">
                  <c:v>-0.0685040715221229</c:v>
                </c:pt>
                <c:pt idx="126">
                  <c:v>0.0816114439418021</c:v>
                </c:pt>
                <c:pt idx="127">
                  <c:v>0.031424857288193</c:v>
                </c:pt>
                <c:pt idx="128">
                  <c:v>0.0202202860430709</c:v>
                </c:pt>
                <c:pt idx="129">
                  <c:v>0.0504887743044367</c:v>
                </c:pt>
                <c:pt idx="130">
                  <c:v>0.199151242458329</c:v>
                </c:pt>
                <c:pt idx="131">
                  <c:v>0.0393126678889695</c:v>
                </c:pt>
                <c:pt idx="132">
                  <c:v>0.0457025641025641</c:v>
                </c:pt>
                <c:pt idx="133">
                  <c:v>-0.0514339519008199</c:v>
                </c:pt>
                <c:pt idx="134">
                  <c:v>0.0707254528910579</c:v>
                </c:pt>
                <c:pt idx="135">
                  <c:v>-0.0115883807169345</c:v>
                </c:pt>
                <c:pt idx="136">
                  <c:v>-0.0187978740034391</c:v>
                </c:pt>
                <c:pt idx="137">
                  <c:v>0.0407057792647469</c:v>
                </c:pt>
                <c:pt idx="138">
                  <c:v>0.129434727697195</c:v>
                </c:pt>
                <c:pt idx="139">
                  <c:v>0.041442174104571</c:v>
                </c:pt>
                <c:pt idx="140">
                  <c:v>0.0524500553133338</c:v>
                </c:pt>
                <c:pt idx="141">
                  <c:v>0.01499412601249</c:v>
                </c:pt>
                <c:pt idx="142">
                  <c:v>0.0355152142791875</c:v>
                </c:pt>
                <c:pt idx="143">
                  <c:v>0.0910962732005765</c:v>
                </c:pt>
                <c:pt idx="144">
                  <c:v>-0.117215722219227</c:v>
                </c:pt>
                <c:pt idx="145">
                  <c:v>-0.0358822451597142</c:v>
                </c:pt>
                <c:pt idx="146">
                  <c:v>-0.0481454499382344</c:v>
                </c:pt>
                <c:pt idx="147">
                  <c:v>0.00785331602941675</c:v>
                </c:pt>
                <c:pt idx="148">
                  <c:v>0.099646713111236</c:v>
                </c:pt>
                <c:pt idx="149">
                  <c:v>-0.0873742681279088</c:v>
                </c:pt>
                <c:pt idx="150">
                  <c:v>-0.0112518506333279</c:v>
                </c:pt>
                <c:pt idx="151">
                  <c:v>0.0609922470302466</c:v>
                </c:pt>
                <c:pt idx="152">
                  <c:v>-0.0918898576177634</c:v>
                </c:pt>
                <c:pt idx="153">
                  <c:v>0.0027628125431689</c:v>
                </c:pt>
                <c:pt idx="154">
                  <c:v>-0.168032786885246</c:v>
                </c:pt>
              </c:numCache>
            </c:numRef>
          </c:val>
        </c:ser>
        <c:gapWidth val="150"/>
        <c:overlap val="0"/>
        <c:axId val="35347753"/>
        <c:axId val="92895457"/>
      </c:barChart>
      <c:lineChart>
        <c:grouping val="standard"/>
        <c:varyColors val="0"/>
        <c:ser>
          <c:idx val="1"/>
          <c:order val="1"/>
          <c:tx>
            <c:strRef>
              <c:f>'Returns (Calc)'!$AH$2</c:f>
              <c:strCache>
                <c:ptCount val="1"/>
                <c:pt idx="0">
                  <c:v>VRT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(Calc)'!$AH$3:$AH$157</c:f>
              <c:numCache>
                <c:formatCode>#,##0.00</c:formatCode>
                <c:ptCount val="155"/>
                <c:pt idx="0">
                  <c:v>33.51</c:v>
                </c:pt>
                <c:pt idx="1">
                  <c:v>34.861038961039</c:v>
                </c:pt>
                <c:pt idx="2">
                  <c:v>36.2120779220779</c:v>
                </c:pt>
                <c:pt idx="3">
                  <c:v>37.5631168831169</c:v>
                </c:pt>
                <c:pt idx="4">
                  <c:v>38.9141558441559</c:v>
                </c:pt>
                <c:pt idx="5">
                  <c:v>40.2651948051948</c:v>
                </c:pt>
                <c:pt idx="6">
                  <c:v>41.6162337662338</c:v>
                </c:pt>
                <c:pt idx="7">
                  <c:v>42.9672727272727</c:v>
                </c:pt>
                <c:pt idx="8">
                  <c:v>44.3183116883117</c:v>
                </c:pt>
                <c:pt idx="9">
                  <c:v>45.6693506493506</c:v>
                </c:pt>
                <c:pt idx="10">
                  <c:v>47.0203896103896</c:v>
                </c:pt>
                <c:pt idx="11">
                  <c:v>48.3714285714286</c:v>
                </c:pt>
                <c:pt idx="12">
                  <c:v>49.7224675324675</c:v>
                </c:pt>
                <c:pt idx="13">
                  <c:v>51.0735064935065</c:v>
                </c:pt>
                <c:pt idx="14">
                  <c:v>52.4245454545455</c:v>
                </c:pt>
                <c:pt idx="15">
                  <c:v>53.7755844155844</c:v>
                </c:pt>
                <c:pt idx="16">
                  <c:v>55.1266233766234</c:v>
                </c:pt>
                <c:pt idx="17">
                  <c:v>56.4776623376623</c:v>
                </c:pt>
                <c:pt idx="18">
                  <c:v>57.8287012987013</c:v>
                </c:pt>
                <c:pt idx="19">
                  <c:v>59.1797402597402</c:v>
                </c:pt>
                <c:pt idx="20">
                  <c:v>60.5307792207792</c:v>
                </c:pt>
                <c:pt idx="21">
                  <c:v>61.8818181818181</c:v>
                </c:pt>
                <c:pt idx="22">
                  <c:v>63.2328571428572</c:v>
                </c:pt>
                <c:pt idx="23">
                  <c:v>64.583896103896</c:v>
                </c:pt>
                <c:pt idx="24">
                  <c:v>65.9349350649351</c:v>
                </c:pt>
                <c:pt idx="25">
                  <c:v>67.285974025974</c:v>
                </c:pt>
                <c:pt idx="26">
                  <c:v>68.637012987013</c:v>
                </c:pt>
                <c:pt idx="27">
                  <c:v>69.9880519480519</c:v>
                </c:pt>
                <c:pt idx="28">
                  <c:v>71.3390909090909</c:v>
                </c:pt>
                <c:pt idx="29">
                  <c:v>72.6901298701298</c:v>
                </c:pt>
                <c:pt idx="30">
                  <c:v>74.0411688311689</c:v>
                </c:pt>
                <c:pt idx="31">
                  <c:v>75.3922077922077</c:v>
                </c:pt>
                <c:pt idx="32">
                  <c:v>76.7432467532468</c:v>
                </c:pt>
                <c:pt idx="33">
                  <c:v>78.0942857142857</c:v>
                </c:pt>
                <c:pt idx="34">
                  <c:v>79.4453246753247</c:v>
                </c:pt>
                <c:pt idx="35">
                  <c:v>80.7963636363636</c:v>
                </c:pt>
                <c:pt idx="36">
                  <c:v>82.1474025974027</c:v>
                </c:pt>
                <c:pt idx="37">
                  <c:v>83.4984415584415</c:v>
                </c:pt>
                <c:pt idx="38">
                  <c:v>84.8494805194806</c:v>
                </c:pt>
                <c:pt idx="39">
                  <c:v>86.2005194805194</c:v>
                </c:pt>
                <c:pt idx="40">
                  <c:v>87.5515584415585</c:v>
                </c:pt>
                <c:pt idx="41">
                  <c:v>88.9025974025974</c:v>
                </c:pt>
                <c:pt idx="42">
                  <c:v>90.2536363636364</c:v>
                </c:pt>
                <c:pt idx="43">
                  <c:v>91.6046753246753</c:v>
                </c:pt>
                <c:pt idx="44">
                  <c:v>92.9557142857143</c:v>
                </c:pt>
                <c:pt idx="45">
                  <c:v>94.3067532467532</c:v>
                </c:pt>
                <c:pt idx="46">
                  <c:v>95.6577922077923</c:v>
                </c:pt>
                <c:pt idx="47">
                  <c:v>97.0088311688311</c:v>
                </c:pt>
                <c:pt idx="48">
                  <c:v>98.3598701298702</c:v>
                </c:pt>
                <c:pt idx="49">
                  <c:v>99.710909090909</c:v>
                </c:pt>
                <c:pt idx="50">
                  <c:v>101.061948051948</c:v>
                </c:pt>
                <c:pt idx="51">
                  <c:v>102.412987012987</c:v>
                </c:pt>
                <c:pt idx="52">
                  <c:v>103.764025974026</c:v>
                </c:pt>
                <c:pt idx="53">
                  <c:v>105.115064935065</c:v>
                </c:pt>
                <c:pt idx="54">
                  <c:v>106.466103896104</c:v>
                </c:pt>
                <c:pt idx="55">
                  <c:v>107.817142857143</c:v>
                </c:pt>
                <c:pt idx="56">
                  <c:v>109.168181818182</c:v>
                </c:pt>
                <c:pt idx="57">
                  <c:v>110.519220779221</c:v>
                </c:pt>
                <c:pt idx="58">
                  <c:v>111.87025974026</c:v>
                </c:pt>
                <c:pt idx="59">
                  <c:v>113.221298701299</c:v>
                </c:pt>
                <c:pt idx="60">
                  <c:v>114.572337662338</c:v>
                </c:pt>
                <c:pt idx="61">
                  <c:v>115.923376623377</c:v>
                </c:pt>
                <c:pt idx="62">
                  <c:v>117.274415584416</c:v>
                </c:pt>
                <c:pt idx="63">
                  <c:v>118.625454545455</c:v>
                </c:pt>
                <c:pt idx="64">
                  <c:v>119.976493506494</c:v>
                </c:pt>
                <c:pt idx="65">
                  <c:v>121.327532467532</c:v>
                </c:pt>
                <c:pt idx="66">
                  <c:v>122.678571428572</c:v>
                </c:pt>
                <c:pt idx="67">
                  <c:v>124.02961038961</c:v>
                </c:pt>
                <c:pt idx="68">
                  <c:v>125.380649350649</c:v>
                </c:pt>
                <c:pt idx="69">
                  <c:v>126.731688311688</c:v>
                </c:pt>
                <c:pt idx="70">
                  <c:v>128.082727272727</c:v>
                </c:pt>
                <c:pt idx="71">
                  <c:v>129.433766233766</c:v>
                </c:pt>
                <c:pt idx="72">
                  <c:v>130.784805194805</c:v>
                </c:pt>
                <c:pt idx="73">
                  <c:v>132.135844155844</c:v>
                </c:pt>
                <c:pt idx="74">
                  <c:v>133.486883116883</c:v>
                </c:pt>
                <c:pt idx="75">
                  <c:v>134.837922077922</c:v>
                </c:pt>
                <c:pt idx="76">
                  <c:v>136.188961038961</c:v>
                </c:pt>
                <c:pt idx="77">
                  <c:v>137.54</c:v>
                </c:pt>
                <c:pt idx="78">
                  <c:v>138.891038961039</c:v>
                </c:pt>
                <c:pt idx="79">
                  <c:v>140.242077922078</c:v>
                </c:pt>
                <c:pt idx="80">
                  <c:v>141.593116883117</c:v>
                </c:pt>
                <c:pt idx="81">
                  <c:v>142.944155844156</c:v>
                </c:pt>
                <c:pt idx="82">
                  <c:v>144.295194805195</c:v>
                </c:pt>
                <c:pt idx="83">
                  <c:v>145.646233766234</c:v>
                </c:pt>
                <c:pt idx="84">
                  <c:v>146.997272727273</c:v>
                </c:pt>
                <c:pt idx="85">
                  <c:v>148.348311688312</c:v>
                </c:pt>
                <c:pt idx="86">
                  <c:v>149.699350649351</c:v>
                </c:pt>
                <c:pt idx="87">
                  <c:v>151.05038961039</c:v>
                </c:pt>
                <c:pt idx="88">
                  <c:v>152.401428571428</c:v>
                </c:pt>
                <c:pt idx="89">
                  <c:v>153.752467532468</c:v>
                </c:pt>
                <c:pt idx="90">
                  <c:v>155.103506493506</c:v>
                </c:pt>
                <c:pt idx="91">
                  <c:v>156.454545454546</c:v>
                </c:pt>
                <c:pt idx="92">
                  <c:v>157.805584415584</c:v>
                </c:pt>
                <c:pt idx="93">
                  <c:v>159.156623376623</c:v>
                </c:pt>
                <c:pt idx="94">
                  <c:v>160.507662337662</c:v>
                </c:pt>
                <c:pt idx="95">
                  <c:v>161.858701298701</c:v>
                </c:pt>
                <c:pt idx="96">
                  <c:v>163.20974025974</c:v>
                </c:pt>
                <c:pt idx="97">
                  <c:v>164.560779220779</c:v>
                </c:pt>
                <c:pt idx="98">
                  <c:v>165.911818181818</c:v>
                </c:pt>
                <c:pt idx="99">
                  <c:v>167.262857142857</c:v>
                </c:pt>
                <c:pt idx="100">
                  <c:v>168.613896103896</c:v>
                </c:pt>
                <c:pt idx="101">
                  <c:v>169.964935064935</c:v>
                </c:pt>
                <c:pt idx="102">
                  <c:v>171.315974025974</c:v>
                </c:pt>
                <c:pt idx="103">
                  <c:v>172.667012987013</c:v>
                </c:pt>
                <c:pt idx="104">
                  <c:v>174.018051948052</c:v>
                </c:pt>
                <c:pt idx="105">
                  <c:v>175.369090909091</c:v>
                </c:pt>
                <c:pt idx="106">
                  <c:v>176.72012987013</c:v>
                </c:pt>
                <c:pt idx="107">
                  <c:v>178.071168831169</c:v>
                </c:pt>
                <c:pt idx="108">
                  <c:v>179.422207792208</c:v>
                </c:pt>
                <c:pt idx="109">
                  <c:v>180.773246753247</c:v>
                </c:pt>
                <c:pt idx="110">
                  <c:v>182.124285714286</c:v>
                </c:pt>
                <c:pt idx="111">
                  <c:v>183.475324675325</c:v>
                </c:pt>
                <c:pt idx="112">
                  <c:v>184.826363636364</c:v>
                </c:pt>
                <c:pt idx="113">
                  <c:v>186.177402597403</c:v>
                </c:pt>
                <c:pt idx="114">
                  <c:v>187.528441558442</c:v>
                </c:pt>
                <c:pt idx="115">
                  <c:v>188.879480519481</c:v>
                </c:pt>
                <c:pt idx="116">
                  <c:v>190.230519480519</c:v>
                </c:pt>
                <c:pt idx="117">
                  <c:v>191.581558441558</c:v>
                </c:pt>
                <c:pt idx="118">
                  <c:v>192.932597402597</c:v>
                </c:pt>
                <c:pt idx="119">
                  <c:v>194.283636363636</c:v>
                </c:pt>
                <c:pt idx="120">
                  <c:v>195.634675324675</c:v>
                </c:pt>
                <c:pt idx="121">
                  <c:v>196.985714285714</c:v>
                </c:pt>
                <c:pt idx="122">
                  <c:v>198.336753246753</c:v>
                </c:pt>
                <c:pt idx="123">
                  <c:v>199.687792207792</c:v>
                </c:pt>
                <c:pt idx="124">
                  <c:v>201.038831168831</c:v>
                </c:pt>
                <c:pt idx="125">
                  <c:v>202.38987012987</c:v>
                </c:pt>
                <c:pt idx="126">
                  <c:v>203.740909090909</c:v>
                </c:pt>
                <c:pt idx="127">
                  <c:v>205.091948051948</c:v>
                </c:pt>
                <c:pt idx="128">
                  <c:v>206.442987012987</c:v>
                </c:pt>
                <c:pt idx="129">
                  <c:v>207.794025974026</c:v>
                </c:pt>
                <c:pt idx="130">
                  <c:v>209.145064935065</c:v>
                </c:pt>
                <c:pt idx="131">
                  <c:v>210.496103896104</c:v>
                </c:pt>
                <c:pt idx="132">
                  <c:v>211.847142857143</c:v>
                </c:pt>
                <c:pt idx="133">
                  <c:v>213.198181818182</c:v>
                </c:pt>
                <c:pt idx="134">
                  <c:v>214.549220779221</c:v>
                </c:pt>
                <c:pt idx="135">
                  <c:v>215.90025974026</c:v>
                </c:pt>
                <c:pt idx="136">
                  <c:v>217.251298701299</c:v>
                </c:pt>
                <c:pt idx="137">
                  <c:v>218.602337662338</c:v>
                </c:pt>
                <c:pt idx="138">
                  <c:v>219.953376623377</c:v>
                </c:pt>
                <c:pt idx="139">
                  <c:v>221.304415584416</c:v>
                </c:pt>
                <c:pt idx="140">
                  <c:v>222.655454545455</c:v>
                </c:pt>
                <c:pt idx="141">
                  <c:v>224.006493506494</c:v>
                </c:pt>
                <c:pt idx="142">
                  <c:v>225.357532467532</c:v>
                </c:pt>
                <c:pt idx="143">
                  <c:v>226.708571428572</c:v>
                </c:pt>
                <c:pt idx="144">
                  <c:v>228.05961038961</c:v>
                </c:pt>
                <c:pt idx="145">
                  <c:v>229.410649350649</c:v>
                </c:pt>
                <c:pt idx="146">
                  <c:v>230.761688311688</c:v>
                </c:pt>
                <c:pt idx="147">
                  <c:v>232.112727272727</c:v>
                </c:pt>
                <c:pt idx="148">
                  <c:v>233.463766233766</c:v>
                </c:pt>
                <c:pt idx="149">
                  <c:v>234.814805194805</c:v>
                </c:pt>
                <c:pt idx="150">
                  <c:v>236.165844155844</c:v>
                </c:pt>
                <c:pt idx="151">
                  <c:v>237.516883116883</c:v>
                </c:pt>
                <c:pt idx="152">
                  <c:v>238.867922077922</c:v>
                </c:pt>
                <c:pt idx="153">
                  <c:v>240.218961038961</c:v>
                </c:pt>
                <c:pt idx="154">
                  <c:v>241.57</c:v>
                </c:pt>
              </c:numCache>
            </c:numRef>
          </c:val>
          <c:smooth val="0"/>
        </c:ser>
        <c:hiLowLines>
          <c:spPr>
            <a:ln w="0">
              <a:noFill/>
            </a:ln>
          </c:spPr>
        </c:hiLowLines>
        <c:marker val="0"/>
        <c:axId val="78939518"/>
        <c:axId val="75880130"/>
      </c:lineChart>
      <c:dateAx>
        <c:axId val="3534775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2895457"/>
        <c:auto val="1"/>
        <c:lblOffset val="100"/>
        <c:baseTimeUnit val="days"/>
      </c:dateAx>
      <c:valAx>
        <c:axId val="9289545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5347753"/>
        <c:crosses val="autoZero"/>
        <c:crossBetween val="between"/>
      </c:valAx>
      <c:dateAx>
        <c:axId val="7893951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5880130"/>
        <c:auto val="1"/>
        <c:lblOffset val="100"/>
        <c:baseTimeUnit val="days"/>
      </c:dateAx>
      <c:valAx>
        <c:axId val="7588013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893951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VRTX</a:t>
            </a:r>
          </a:p>
        </c:rich>
      </c:tx>
      <c:overlay val="0"/>
      <c:spPr>
        <a:noFill/>
        <a:ln w="0">
          <a:noFill/>
        </a:ln>
      </c:spPr>
    </c:title>
    <c:autoTitleDeleted val="0"/>
    <c:plotArea>
      <c:barChart>
        <c:barDir val="col"/>
        <c:grouping val="clustered"/>
        <c:varyColors val="0"/>
        <c:ser>
          <c:idx val="0"/>
          <c:order val="0"/>
          <c:tx>
            <c:strRef>
              <c:f>'Returns (Calc)'!$N$2</c:f>
              <c:strCache>
                <c:ptCount val="1"/>
                <c:pt idx="0">
                  <c:v>VRTX</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(Calc)'!$N$3:$N$157</c:f>
              <c:numCache>
                <c:formatCode>0.0%</c:formatCode>
                <c:ptCount val="155"/>
                <c:pt idx="0">
                  <c:v>-0.0144057623049221</c:v>
                </c:pt>
                <c:pt idx="1">
                  <c:v>0.0151963343193551</c:v>
                </c:pt>
                <c:pt idx="2">
                  <c:v>0.00297091927098214</c:v>
                </c:pt>
                <c:pt idx="3">
                  <c:v>-0.0229279407576189</c:v>
                </c:pt>
                <c:pt idx="4">
                  <c:v>0.0170529077393964</c:v>
                </c:pt>
                <c:pt idx="5">
                  <c:v>0.00180567497850381</c:v>
                </c:pt>
                <c:pt idx="6">
                  <c:v>-0.00512116270420271</c:v>
                </c:pt>
                <c:pt idx="7">
                  <c:v>0.0370391671938806</c:v>
                </c:pt>
                <c:pt idx="8">
                  <c:v>0.0287837612999833</c:v>
                </c:pt>
                <c:pt idx="9">
                  <c:v>-0.0246361185983827</c:v>
                </c:pt>
                <c:pt idx="10">
                  <c:v>-0.018183827999779</c:v>
                </c:pt>
                <c:pt idx="11">
                  <c:v>0.0588831344291827</c:v>
                </c:pt>
                <c:pt idx="12">
                  <c:v>-0.00677830940988844</c:v>
                </c:pt>
                <c:pt idx="13">
                  <c:v>-0.06195637628797</c:v>
                </c:pt>
                <c:pt idx="14">
                  <c:v>0.00724679029957209</c:v>
                </c:pt>
                <c:pt idx="15">
                  <c:v>-0.00532517561749379</c:v>
                </c:pt>
                <c:pt idx="16">
                  <c:v>-0.0028761817974714</c:v>
                </c:pt>
                <c:pt idx="17">
                  <c:v>0.172868770526917</c:v>
                </c:pt>
                <c:pt idx="18">
                  <c:v>-0.0132219733125548</c:v>
                </c:pt>
                <c:pt idx="19">
                  <c:v>0.00404688463911174</c:v>
                </c:pt>
                <c:pt idx="20">
                  <c:v>0.0236181769028485</c:v>
                </c:pt>
                <c:pt idx="21">
                  <c:v>0.0405762304921968</c:v>
                </c:pt>
                <c:pt idx="22">
                  <c:v>0.00373788647900319</c:v>
                </c:pt>
                <c:pt idx="23">
                  <c:v>-0.0111489126936691</c:v>
                </c:pt>
                <c:pt idx="24">
                  <c:v>-0.012762396261943</c:v>
                </c:pt>
                <c:pt idx="25">
                  <c:v>-0.00416784402373549</c:v>
                </c:pt>
                <c:pt idx="26">
                  <c:v>-0.00167884419852937</c:v>
                </c:pt>
                <c:pt idx="27">
                  <c:v>0.0187351965892941</c:v>
                </c:pt>
                <c:pt idx="28">
                  <c:v>0.00616121457301611</c:v>
                </c:pt>
                <c:pt idx="29">
                  <c:v>-0.0442970699694981</c:v>
                </c:pt>
                <c:pt idx="30">
                  <c:v>-0.014265335235378</c:v>
                </c:pt>
                <c:pt idx="31">
                  <c:v>0.0195491672594375</c:v>
                </c:pt>
                <c:pt idx="32">
                  <c:v>0.00565365924072547</c:v>
                </c:pt>
                <c:pt idx="33">
                  <c:v>-0.0271285375947943</c:v>
                </c:pt>
                <c:pt idx="34">
                  <c:v>-0.0248850419258858</c:v>
                </c:pt>
                <c:pt idx="35">
                  <c:v>-0.00572437271466408</c:v>
                </c:pt>
                <c:pt idx="36">
                  <c:v>0.00811605965303852</c:v>
                </c:pt>
                <c:pt idx="37">
                  <c:v>0.00905705947469038</c:v>
                </c:pt>
                <c:pt idx="38">
                  <c:v>0.0541039194175725</c:v>
                </c:pt>
                <c:pt idx="39">
                  <c:v>0.0530535976157813</c:v>
                </c:pt>
                <c:pt idx="40">
                  <c:v>0.0263695784012039</c:v>
                </c:pt>
                <c:pt idx="41">
                  <c:v>-0.00352336141809828</c:v>
                </c:pt>
                <c:pt idx="42">
                  <c:v>0.0608336627574999</c:v>
                </c:pt>
                <c:pt idx="43">
                  <c:v>-0.00478221265319645</c:v>
                </c:pt>
                <c:pt idx="44">
                  <c:v>-0.0250036402970483</c:v>
                </c:pt>
                <c:pt idx="45">
                  <c:v>2.13351539333218E-005</c:v>
                </c:pt>
                <c:pt idx="46">
                  <c:v>0.0124807987711213</c:v>
                </c:pt>
                <c:pt idx="47">
                  <c:v>0.0298586088459027</c:v>
                </c:pt>
                <c:pt idx="48">
                  <c:v>0.00579039980357643</c:v>
                </c:pt>
                <c:pt idx="49">
                  <c:v>0.0075065606119169</c:v>
                </c:pt>
                <c:pt idx="50">
                  <c:v>-0.00161531316884067</c:v>
                </c:pt>
                <c:pt idx="51">
                  <c:v>-0.0526028394612305</c:v>
                </c:pt>
                <c:pt idx="52">
                  <c:v>0.0190415199060732</c:v>
                </c:pt>
                <c:pt idx="53">
                  <c:v>0.00810691916123751</c:v>
                </c:pt>
                <c:pt idx="54">
                  <c:v>0.0304421910065664</c:v>
                </c:pt>
                <c:pt idx="55">
                  <c:v>-0.0562423118030208</c:v>
                </c:pt>
                <c:pt idx="56">
                  <c:v>0.0371153846153847</c:v>
                </c:pt>
                <c:pt idx="57">
                  <c:v>-0.0421328059006531</c:v>
                </c:pt>
                <c:pt idx="58">
                  <c:v>-0.00438785167340627</c:v>
                </c:pt>
                <c:pt idx="59">
                  <c:v>-0.0163541306602143</c:v>
                </c:pt>
                <c:pt idx="60">
                  <c:v>0.0579824734796073</c:v>
                </c:pt>
                <c:pt idx="61">
                  <c:v>0.0026779597683253</c:v>
                </c:pt>
                <c:pt idx="62">
                  <c:v>-0.0109730848861284</c:v>
                </c:pt>
                <c:pt idx="63">
                  <c:v>-0.0137743353569185</c:v>
                </c:pt>
                <c:pt idx="64">
                  <c:v>0.0968330786211582</c:v>
                </c:pt>
                <c:pt idx="65">
                  <c:v>-0.0987730773696637</c:v>
                </c:pt>
                <c:pt idx="66">
                  <c:v>-0.0316298045952329</c:v>
                </c:pt>
                <c:pt idx="67">
                  <c:v>0.0380513116171806</c:v>
                </c:pt>
                <c:pt idx="68">
                  <c:v>-0.0128810373186935</c:v>
                </c:pt>
                <c:pt idx="69">
                  <c:v>0.00352737502705036</c:v>
                </c:pt>
                <c:pt idx="70">
                  <c:v>-0.14331615379639</c:v>
                </c:pt>
                <c:pt idx="71">
                  <c:v>0.0289223953482518</c:v>
                </c:pt>
                <c:pt idx="72">
                  <c:v>-0.0040365984930032</c:v>
                </c:pt>
                <c:pt idx="73">
                  <c:v>0.00601802952518971</c:v>
                </c:pt>
                <c:pt idx="74">
                  <c:v>0.0303740599667937</c:v>
                </c:pt>
                <c:pt idx="75">
                  <c:v>0.0417535545023697</c:v>
                </c:pt>
                <c:pt idx="76">
                  <c:v>0.0501797006505618</c:v>
                </c:pt>
                <c:pt idx="77">
                  <c:v>0.0165482585340495</c:v>
                </c:pt>
                <c:pt idx="78">
                  <c:v>-0.0219892610585528</c:v>
                </c:pt>
                <c:pt idx="79">
                  <c:v>0.0549891067538126</c:v>
                </c:pt>
                <c:pt idx="80">
                  <c:v>-0.00918965802081606</c:v>
                </c:pt>
                <c:pt idx="81">
                  <c:v>0.0177160841201358</c:v>
                </c:pt>
                <c:pt idx="82">
                  <c:v>0.0337504351922013</c:v>
                </c:pt>
                <c:pt idx="83">
                  <c:v>-0.00311032747588014</c:v>
                </c:pt>
                <c:pt idx="84">
                  <c:v>-0.0208863275039746</c:v>
                </c:pt>
                <c:pt idx="85">
                  <c:v>-0.0366762061336743</c:v>
                </c:pt>
                <c:pt idx="86">
                  <c:v>0.0202267076819351</c:v>
                </c:pt>
                <c:pt idx="87">
                  <c:v>0.0100780636900581</c:v>
                </c:pt>
                <c:pt idx="88">
                  <c:v>0.00969126967900214</c:v>
                </c:pt>
                <c:pt idx="89">
                  <c:v>0.0148023651385063</c:v>
                </c:pt>
                <c:pt idx="90">
                  <c:v>-0.151970467923775</c:v>
                </c:pt>
                <c:pt idx="91">
                  <c:v>0.0321419327513588</c:v>
                </c:pt>
                <c:pt idx="92">
                  <c:v>-0.00604126296591812</c:v>
                </c:pt>
                <c:pt idx="93">
                  <c:v>0.013876146788991</c:v>
                </c:pt>
                <c:pt idx="94">
                  <c:v>0.0191154846736794</c:v>
                </c:pt>
                <c:pt idx="95">
                  <c:v>0.0109877913429524</c:v>
                </c:pt>
                <c:pt idx="96">
                  <c:v>-0.0320122955318916</c:v>
                </c:pt>
                <c:pt idx="97">
                  <c:v>0.000975344205774942</c:v>
                </c:pt>
                <c:pt idx="98">
                  <c:v>0.0415137094946747</c:v>
                </c:pt>
                <c:pt idx="99">
                  <c:v>0.0200818067098909</c:v>
                </c:pt>
                <c:pt idx="100">
                  <c:v>-0.0192812200063986</c:v>
                </c:pt>
                <c:pt idx="101">
                  <c:v>0.0214001435375482</c:v>
                </c:pt>
                <c:pt idx="102">
                  <c:v>-0.0160119237730224</c:v>
                </c:pt>
                <c:pt idx="103">
                  <c:v>-0.206846558327743</c:v>
                </c:pt>
                <c:pt idx="104">
                  <c:v>0.0716156490423965</c:v>
                </c:pt>
                <c:pt idx="105">
                  <c:v>0.00593192291046107</c:v>
                </c:pt>
                <c:pt idx="106">
                  <c:v>-0.0103765944523183</c:v>
                </c:pt>
                <c:pt idx="107">
                  <c:v>0.0130428111094063</c:v>
                </c:pt>
                <c:pt idx="108">
                  <c:v>-0.00401393517116033</c:v>
                </c:pt>
                <c:pt idx="109">
                  <c:v>-0.0289204876688718</c:v>
                </c:pt>
                <c:pt idx="110">
                  <c:v>0.00683858843182295</c:v>
                </c:pt>
                <c:pt idx="111">
                  <c:v>0.0455228910665215</c:v>
                </c:pt>
                <c:pt idx="112">
                  <c:v>0.0111331515001241</c:v>
                </c:pt>
                <c:pt idx="113">
                  <c:v>0.022119228034037</c:v>
                </c:pt>
                <c:pt idx="114">
                  <c:v>0.0109882200523019</c:v>
                </c:pt>
                <c:pt idx="115">
                  <c:v>0.00991955195899297</c:v>
                </c:pt>
                <c:pt idx="116">
                  <c:v>-0.0378316140705406</c:v>
                </c:pt>
                <c:pt idx="117">
                  <c:v>0.0675995799448066</c:v>
                </c:pt>
                <c:pt idx="118">
                  <c:v>-0.023767585496969</c:v>
                </c:pt>
                <c:pt idx="119">
                  <c:v>0.0160511763051834</c:v>
                </c:pt>
                <c:pt idx="120">
                  <c:v>0.0504370286663132</c:v>
                </c:pt>
                <c:pt idx="121">
                  <c:v>-0.00755247211732679</c:v>
                </c:pt>
                <c:pt idx="122">
                  <c:v>0.00920272542252887</c:v>
                </c:pt>
                <c:pt idx="123">
                  <c:v>0.0146865409907935</c:v>
                </c:pt>
                <c:pt idx="124">
                  <c:v>-0.0232663642255346</c:v>
                </c:pt>
                <c:pt idx="125">
                  <c:v>0.0259438657023423</c:v>
                </c:pt>
                <c:pt idx="126">
                  <c:v>-0.0485060147458285</c:v>
                </c:pt>
                <c:pt idx="127">
                  <c:v>0.0612878375928947</c:v>
                </c:pt>
                <c:pt idx="128">
                  <c:v>0.0031809739330928</c:v>
                </c:pt>
                <c:pt idx="129">
                  <c:v>0.0170674611619495</c:v>
                </c:pt>
                <c:pt idx="130">
                  <c:v>0.0283520254435889</c:v>
                </c:pt>
                <c:pt idx="131">
                  <c:v>-0.0296457566077279</c:v>
                </c:pt>
                <c:pt idx="132">
                  <c:v>0.0417907318096038</c:v>
                </c:pt>
                <c:pt idx="133">
                  <c:v>-0.0807922226918664</c:v>
                </c:pt>
                <c:pt idx="134">
                  <c:v>0.0276993146335589</c:v>
                </c:pt>
                <c:pt idx="135">
                  <c:v>-0.032684194826778</c:v>
                </c:pt>
                <c:pt idx="136">
                  <c:v>-0.0461013215859031</c:v>
                </c:pt>
                <c:pt idx="137">
                  <c:v>0.0130232987738703</c:v>
                </c:pt>
                <c:pt idx="138">
                  <c:v>-0.0055617606163525</c:v>
                </c:pt>
                <c:pt idx="139">
                  <c:v>0.0113003415316204</c:v>
                </c:pt>
                <c:pt idx="140">
                  <c:v>-0.0247280145058929</c:v>
                </c:pt>
                <c:pt idx="141">
                  <c:v>-0.0148039694159753</c:v>
                </c:pt>
                <c:pt idx="142">
                  <c:v>0.0139177203245895</c:v>
                </c:pt>
                <c:pt idx="143">
                  <c:v>0.0165883393048252</c:v>
                </c:pt>
                <c:pt idx="144">
                  <c:v>-0.00556127703398557</c:v>
                </c:pt>
                <c:pt idx="145">
                  <c:v>0.0299640983153826</c:v>
                </c:pt>
                <c:pt idx="146">
                  <c:v>-0.00158645037315108</c:v>
                </c:pt>
                <c:pt idx="147">
                  <c:v>-0.0042521764429424</c:v>
                </c:pt>
                <c:pt idx="148">
                  <c:v>0.0150585485357246</c:v>
                </c:pt>
                <c:pt idx="149">
                  <c:v>0.0879259570887674</c:v>
                </c:pt>
                <c:pt idx="150">
                  <c:v>0.074693694793829</c:v>
                </c:pt>
                <c:pt idx="151">
                  <c:v>-0.0807703961821074</c:v>
                </c:pt>
                <c:pt idx="152">
                  <c:v>0.000535651743958532</c:v>
                </c:pt>
                <c:pt idx="153">
                  <c:v>-0.0170699063111294</c:v>
                </c:pt>
                <c:pt idx="154">
                  <c:v>-0.000544662309368227</c:v>
                </c:pt>
              </c:numCache>
            </c:numRef>
          </c:val>
        </c:ser>
        <c:gapWidth val="150"/>
        <c:overlap val="0"/>
        <c:axId val="3460147"/>
        <c:axId val="79072004"/>
      </c:barChart>
      <c:lineChart>
        <c:grouping val="standard"/>
        <c:varyColors val="0"/>
        <c:ser>
          <c:idx val="1"/>
          <c:order val="1"/>
          <c:tx>
            <c:strRef>
              <c:f>'Returns (Calc)'!$AI$2</c:f>
              <c:strCache>
                <c:ptCount val="1"/>
                <c:pt idx="0">
                  <c:v>VRTX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(Calc)'!$AI$3:$AI$157</c:f>
              <c:numCache>
                <c:formatCode>#,##0.00</c:formatCode>
                <c:ptCount val="155"/>
                <c:pt idx="0">
                  <c:v>349.86</c:v>
                </c:pt>
                <c:pt idx="1">
                  <c:v>350.686233766234</c:v>
                </c:pt>
                <c:pt idx="2">
                  <c:v>351.512467532468</c:v>
                </c:pt>
                <c:pt idx="3">
                  <c:v>352.338701298701</c:v>
                </c:pt>
                <c:pt idx="4">
                  <c:v>353.164935064935</c:v>
                </c:pt>
                <c:pt idx="5">
                  <c:v>353.991168831169</c:v>
                </c:pt>
                <c:pt idx="6">
                  <c:v>354.817402597403</c:v>
                </c:pt>
                <c:pt idx="7">
                  <c:v>355.643636363636</c:v>
                </c:pt>
                <c:pt idx="8">
                  <c:v>356.46987012987</c:v>
                </c:pt>
                <c:pt idx="9">
                  <c:v>357.296103896104</c:v>
                </c:pt>
                <c:pt idx="10">
                  <c:v>358.122337662338</c:v>
                </c:pt>
                <c:pt idx="11">
                  <c:v>358.948571428571</c:v>
                </c:pt>
                <c:pt idx="12">
                  <c:v>359.774805194805</c:v>
                </c:pt>
                <c:pt idx="13">
                  <c:v>360.601038961039</c:v>
                </c:pt>
                <c:pt idx="14">
                  <c:v>361.427272727273</c:v>
                </c:pt>
                <c:pt idx="15">
                  <c:v>362.253506493507</c:v>
                </c:pt>
                <c:pt idx="16">
                  <c:v>363.07974025974</c:v>
                </c:pt>
                <c:pt idx="17">
                  <c:v>363.905974025974</c:v>
                </c:pt>
                <c:pt idx="18">
                  <c:v>364.732207792208</c:v>
                </c:pt>
                <c:pt idx="19">
                  <c:v>365.558441558442</c:v>
                </c:pt>
                <c:pt idx="20">
                  <c:v>366.384675324675</c:v>
                </c:pt>
                <c:pt idx="21">
                  <c:v>367.210909090909</c:v>
                </c:pt>
                <c:pt idx="22">
                  <c:v>368.037142857143</c:v>
                </c:pt>
                <c:pt idx="23">
                  <c:v>368.863376623377</c:v>
                </c:pt>
                <c:pt idx="24">
                  <c:v>369.68961038961</c:v>
                </c:pt>
                <c:pt idx="25">
                  <c:v>370.515844155844</c:v>
                </c:pt>
                <c:pt idx="26">
                  <c:v>371.342077922078</c:v>
                </c:pt>
                <c:pt idx="27">
                  <c:v>372.168311688312</c:v>
                </c:pt>
                <c:pt idx="28">
                  <c:v>372.994545454546</c:v>
                </c:pt>
                <c:pt idx="29">
                  <c:v>373.820779220779</c:v>
                </c:pt>
                <c:pt idx="30">
                  <c:v>374.647012987013</c:v>
                </c:pt>
                <c:pt idx="31">
                  <c:v>375.473246753247</c:v>
                </c:pt>
                <c:pt idx="32">
                  <c:v>376.299480519481</c:v>
                </c:pt>
                <c:pt idx="33">
                  <c:v>377.125714285714</c:v>
                </c:pt>
                <c:pt idx="34">
                  <c:v>377.951948051948</c:v>
                </c:pt>
                <c:pt idx="35">
                  <c:v>378.778181818182</c:v>
                </c:pt>
                <c:pt idx="36">
                  <c:v>379.604415584416</c:v>
                </c:pt>
                <c:pt idx="37">
                  <c:v>380.430649350649</c:v>
                </c:pt>
                <c:pt idx="38">
                  <c:v>381.256883116883</c:v>
                </c:pt>
                <c:pt idx="39">
                  <c:v>382.083116883117</c:v>
                </c:pt>
                <c:pt idx="40">
                  <c:v>382.909350649351</c:v>
                </c:pt>
                <c:pt idx="41">
                  <c:v>383.735584415584</c:v>
                </c:pt>
                <c:pt idx="42">
                  <c:v>384.561818181818</c:v>
                </c:pt>
                <c:pt idx="43">
                  <c:v>385.388051948052</c:v>
                </c:pt>
                <c:pt idx="44">
                  <c:v>386.214285714286</c:v>
                </c:pt>
                <c:pt idx="45">
                  <c:v>387.04051948052</c:v>
                </c:pt>
                <c:pt idx="46">
                  <c:v>387.866753246753</c:v>
                </c:pt>
                <c:pt idx="47">
                  <c:v>388.692987012987</c:v>
                </c:pt>
                <c:pt idx="48">
                  <c:v>389.519220779221</c:v>
                </c:pt>
                <c:pt idx="49">
                  <c:v>390.345454545455</c:v>
                </c:pt>
                <c:pt idx="50">
                  <c:v>391.171688311688</c:v>
                </c:pt>
                <c:pt idx="51">
                  <c:v>391.997922077922</c:v>
                </c:pt>
                <c:pt idx="52">
                  <c:v>392.824155844156</c:v>
                </c:pt>
                <c:pt idx="53">
                  <c:v>393.65038961039</c:v>
                </c:pt>
                <c:pt idx="54">
                  <c:v>394.476623376623</c:v>
                </c:pt>
                <c:pt idx="55">
                  <c:v>395.302857142857</c:v>
                </c:pt>
                <c:pt idx="56">
                  <c:v>396.129090909091</c:v>
                </c:pt>
                <c:pt idx="57">
                  <c:v>396.955324675325</c:v>
                </c:pt>
                <c:pt idx="58">
                  <c:v>397.781558441559</c:v>
                </c:pt>
                <c:pt idx="59">
                  <c:v>398.607792207792</c:v>
                </c:pt>
                <c:pt idx="60">
                  <c:v>399.434025974026</c:v>
                </c:pt>
                <c:pt idx="61">
                  <c:v>400.26025974026</c:v>
                </c:pt>
                <c:pt idx="62">
                  <c:v>401.086493506494</c:v>
                </c:pt>
                <c:pt idx="63">
                  <c:v>401.912727272727</c:v>
                </c:pt>
                <c:pt idx="64">
                  <c:v>402.738961038961</c:v>
                </c:pt>
                <c:pt idx="65">
                  <c:v>403.565194805195</c:v>
                </c:pt>
                <c:pt idx="66">
                  <c:v>404.391428571429</c:v>
                </c:pt>
                <c:pt idx="67">
                  <c:v>405.217662337662</c:v>
                </c:pt>
                <c:pt idx="68">
                  <c:v>406.043896103896</c:v>
                </c:pt>
                <c:pt idx="69">
                  <c:v>406.87012987013</c:v>
                </c:pt>
                <c:pt idx="70">
                  <c:v>407.696363636364</c:v>
                </c:pt>
                <c:pt idx="71">
                  <c:v>408.522597402597</c:v>
                </c:pt>
                <c:pt idx="72">
                  <c:v>409.348831168831</c:v>
                </c:pt>
                <c:pt idx="73">
                  <c:v>410.175064935065</c:v>
                </c:pt>
                <c:pt idx="74">
                  <c:v>411.001298701299</c:v>
                </c:pt>
                <c:pt idx="75">
                  <c:v>411.827532467533</c:v>
                </c:pt>
                <c:pt idx="76">
                  <c:v>412.653766233766</c:v>
                </c:pt>
                <c:pt idx="77">
                  <c:v>413.48</c:v>
                </c:pt>
                <c:pt idx="78">
                  <c:v>414.306233766234</c:v>
                </c:pt>
                <c:pt idx="79">
                  <c:v>415.132467532468</c:v>
                </c:pt>
                <c:pt idx="80">
                  <c:v>415.958701298701</c:v>
                </c:pt>
                <c:pt idx="81">
                  <c:v>416.784935064935</c:v>
                </c:pt>
                <c:pt idx="82">
                  <c:v>417.611168831169</c:v>
                </c:pt>
                <c:pt idx="83">
                  <c:v>418.437402597403</c:v>
                </c:pt>
                <c:pt idx="84">
                  <c:v>419.263636363636</c:v>
                </c:pt>
                <c:pt idx="85">
                  <c:v>420.08987012987</c:v>
                </c:pt>
                <c:pt idx="86">
                  <c:v>420.916103896104</c:v>
                </c:pt>
                <c:pt idx="87">
                  <c:v>421.742337662338</c:v>
                </c:pt>
                <c:pt idx="88">
                  <c:v>422.568571428571</c:v>
                </c:pt>
                <c:pt idx="89">
                  <c:v>423.394805194805</c:v>
                </c:pt>
                <c:pt idx="90">
                  <c:v>424.221038961039</c:v>
                </c:pt>
                <c:pt idx="91">
                  <c:v>425.047272727273</c:v>
                </c:pt>
                <c:pt idx="92">
                  <c:v>425.873506493506</c:v>
                </c:pt>
                <c:pt idx="93">
                  <c:v>426.69974025974</c:v>
                </c:pt>
                <c:pt idx="94">
                  <c:v>427.525974025974</c:v>
                </c:pt>
                <c:pt idx="95">
                  <c:v>428.352207792208</c:v>
                </c:pt>
                <c:pt idx="96">
                  <c:v>429.178441558442</c:v>
                </c:pt>
                <c:pt idx="97">
                  <c:v>430.004675324675</c:v>
                </c:pt>
                <c:pt idx="98">
                  <c:v>430.830909090909</c:v>
                </c:pt>
                <c:pt idx="99">
                  <c:v>431.657142857143</c:v>
                </c:pt>
                <c:pt idx="100">
                  <c:v>432.483376623377</c:v>
                </c:pt>
                <c:pt idx="101">
                  <c:v>433.30961038961</c:v>
                </c:pt>
                <c:pt idx="102">
                  <c:v>434.135844155844</c:v>
                </c:pt>
                <c:pt idx="103">
                  <c:v>434.962077922078</c:v>
                </c:pt>
                <c:pt idx="104">
                  <c:v>435.788311688312</c:v>
                </c:pt>
                <c:pt idx="105">
                  <c:v>436.614545454545</c:v>
                </c:pt>
                <c:pt idx="106">
                  <c:v>437.440779220779</c:v>
                </c:pt>
                <c:pt idx="107">
                  <c:v>438.267012987013</c:v>
                </c:pt>
                <c:pt idx="108">
                  <c:v>439.093246753247</c:v>
                </c:pt>
                <c:pt idx="109">
                  <c:v>439.919480519481</c:v>
                </c:pt>
                <c:pt idx="110">
                  <c:v>440.745714285714</c:v>
                </c:pt>
                <c:pt idx="111">
                  <c:v>441.571948051948</c:v>
                </c:pt>
                <c:pt idx="112">
                  <c:v>442.398181818182</c:v>
                </c:pt>
                <c:pt idx="113">
                  <c:v>443.224415584416</c:v>
                </c:pt>
                <c:pt idx="114">
                  <c:v>444.050649350649</c:v>
                </c:pt>
                <c:pt idx="115">
                  <c:v>444.876883116883</c:v>
                </c:pt>
                <c:pt idx="116">
                  <c:v>445.703116883117</c:v>
                </c:pt>
                <c:pt idx="117">
                  <c:v>446.529350649351</c:v>
                </c:pt>
                <c:pt idx="118">
                  <c:v>447.355584415584</c:v>
                </c:pt>
                <c:pt idx="119">
                  <c:v>448.181818181818</c:v>
                </c:pt>
                <c:pt idx="120">
                  <c:v>449.008051948052</c:v>
                </c:pt>
                <c:pt idx="121">
                  <c:v>449.834285714286</c:v>
                </c:pt>
                <c:pt idx="122">
                  <c:v>450.66051948052</c:v>
                </c:pt>
                <c:pt idx="123">
                  <c:v>451.486753246753</c:v>
                </c:pt>
                <c:pt idx="124">
                  <c:v>452.312987012987</c:v>
                </c:pt>
                <c:pt idx="125">
                  <c:v>453.139220779221</c:v>
                </c:pt>
                <c:pt idx="126">
                  <c:v>453.965454545455</c:v>
                </c:pt>
                <c:pt idx="127">
                  <c:v>454.791688311688</c:v>
                </c:pt>
                <c:pt idx="128">
                  <c:v>455.617922077922</c:v>
                </c:pt>
                <c:pt idx="129">
                  <c:v>456.444155844156</c:v>
                </c:pt>
                <c:pt idx="130">
                  <c:v>457.27038961039</c:v>
                </c:pt>
                <c:pt idx="131">
                  <c:v>458.096623376623</c:v>
                </c:pt>
                <c:pt idx="132">
                  <c:v>458.922857142857</c:v>
                </c:pt>
                <c:pt idx="133">
                  <c:v>459.749090909091</c:v>
                </c:pt>
                <c:pt idx="134">
                  <c:v>460.575324675325</c:v>
                </c:pt>
                <c:pt idx="135">
                  <c:v>461.401558441559</c:v>
                </c:pt>
                <c:pt idx="136">
                  <c:v>462.227792207792</c:v>
                </c:pt>
                <c:pt idx="137">
                  <c:v>463.054025974026</c:v>
                </c:pt>
                <c:pt idx="138">
                  <c:v>463.88025974026</c:v>
                </c:pt>
                <c:pt idx="139">
                  <c:v>464.706493506494</c:v>
                </c:pt>
                <c:pt idx="140">
                  <c:v>465.532727272727</c:v>
                </c:pt>
                <c:pt idx="141">
                  <c:v>466.358961038961</c:v>
                </c:pt>
                <c:pt idx="142">
                  <c:v>467.185194805195</c:v>
                </c:pt>
                <c:pt idx="143">
                  <c:v>468.011428571429</c:v>
                </c:pt>
                <c:pt idx="144">
                  <c:v>468.837662337662</c:v>
                </c:pt>
                <c:pt idx="145">
                  <c:v>469.663896103896</c:v>
                </c:pt>
                <c:pt idx="146">
                  <c:v>470.49012987013</c:v>
                </c:pt>
                <c:pt idx="147">
                  <c:v>471.316363636364</c:v>
                </c:pt>
                <c:pt idx="148">
                  <c:v>472.142597402597</c:v>
                </c:pt>
                <c:pt idx="149">
                  <c:v>472.968831168831</c:v>
                </c:pt>
                <c:pt idx="150">
                  <c:v>473.795064935065</c:v>
                </c:pt>
                <c:pt idx="151">
                  <c:v>474.621298701299</c:v>
                </c:pt>
                <c:pt idx="152">
                  <c:v>475.447532467533</c:v>
                </c:pt>
                <c:pt idx="153">
                  <c:v>476.273766233766</c:v>
                </c:pt>
                <c:pt idx="154">
                  <c:v>477.1</c:v>
                </c:pt>
              </c:numCache>
            </c:numRef>
          </c:val>
          <c:smooth val="0"/>
        </c:ser>
        <c:hiLowLines>
          <c:spPr>
            <a:ln w="0">
              <a:noFill/>
            </a:ln>
          </c:spPr>
        </c:hiLowLines>
        <c:marker val="0"/>
        <c:axId val="73995981"/>
        <c:axId val="81670165"/>
      </c:lineChart>
      <c:dateAx>
        <c:axId val="346014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9072004"/>
        <c:auto val="1"/>
        <c:lblOffset val="100"/>
        <c:baseTimeUnit val="days"/>
      </c:dateAx>
      <c:valAx>
        <c:axId val="7907200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460147"/>
        <c:crosses val="autoZero"/>
        <c:crossBetween val="between"/>
      </c:valAx>
      <c:dateAx>
        <c:axId val="7399598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1670165"/>
        <c:auto val="1"/>
        <c:lblOffset val="100"/>
        <c:baseTimeUnit val="days"/>
      </c:dateAx>
      <c:valAx>
        <c:axId val="8167016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399598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AVUV</a:t>
            </a:r>
          </a:p>
        </c:rich>
      </c:tx>
      <c:overlay val="0"/>
      <c:spPr>
        <a:noFill/>
        <a:ln w="0">
          <a:noFill/>
        </a:ln>
      </c:spPr>
    </c:title>
    <c:autoTitleDeleted val="0"/>
    <c:plotArea>
      <c:barChart>
        <c:barDir val="col"/>
        <c:grouping val="clustered"/>
        <c:varyColors val="0"/>
        <c:ser>
          <c:idx val="0"/>
          <c:order val="0"/>
          <c:tx>
            <c:strRef>
              <c:f>'Returns (Calc)'!$O$2</c:f>
              <c:strCache>
                <c:ptCount val="1"/>
                <c:pt idx="0">
                  <c:v>AVUV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(Calc)'!$O$3:$O$157</c:f>
              <c:numCache>
                <c:formatCode>0.0%</c:formatCode>
                <c:ptCount val="155"/>
                <c:pt idx="0">
                  <c:v>-0.0307785153892577</c:v>
                </c:pt>
                <c:pt idx="1">
                  <c:v>-0.0161892901618929</c:v>
                </c:pt>
                <c:pt idx="2">
                  <c:v>0.0467088607594937</c:v>
                </c:pt>
                <c:pt idx="3">
                  <c:v>-0.0384568871689441</c:v>
                </c:pt>
                <c:pt idx="4">
                  <c:v>-0.00188655515029568</c:v>
                </c:pt>
                <c:pt idx="5">
                  <c:v>-0.0336441532258065</c:v>
                </c:pt>
                <c:pt idx="6">
                  <c:v>0.0164297822401878</c:v>
                </c:pt>
                <c:pt idx="7">
                  <c:v>-0.030147530468249</c:v>
                </c:pt>
                <c:pt idx="8">
                  <c:v>0.00264550264550278</c:v>
                </c:pt>
                <c:pt idx="9">
                  <c:v>-0.016754617414248</c:v>
                </c:pt>
                <c:pt idx="10">
                  <c:v>-0.0154300281765732</c:v>
                </c:pt>
                <c:pt idx="11">
                  <c:v>0.0715453802125921</c:v>
                </c:pt>
                <c:pt idx="12">
                  <c:v>-0.0340836830726186</c:v>
                </c:pt>
                <c:pt idx="13">
                  <c:v>0.0554312047399603</c:v>
                </c:pt>
                <c:pt idx="14">
                  <c:v>0.000124750499002069</c:v>
                </c:pt>
                <c:pt idx="15">
                  <c:v>0.0335536983909193</c:v>
                </c:pt>
                <c:pt idx="16">
                  <c:v>0.00832729905865315</c:v>
                </c:pt>
                <c:pt idx="17">
                  <c:v>0.0548174745661281</c:v>
                </c:pt>
                <c:pt idx="18">
                  <c:v>0.0226937478724611</c:v>
                </c:pt>
                <c:pt idx="19">
                  <c:v>-0.0036613780095418</c:v>
                </c:pt>
                <c:pt idx="20">
                  <c:v>-0.025946547884187</c:v>
                </c:pt>
                <c:pt idx="21">
                  <c:v>-0.0113181662284211</c:v>
                </c:pt>
                <c:pt idx="22">
                  <c:v>0.00300647548566135</c:v>
                </c:pt>
                <c:pt idx="23">
                  <c:v>0.0235185612174316</c:v>
                </c:pt>
                <c:pt idx="24">
                  <c:v>-0.0186979049335435</c:v>
                </c:pt>
                <c:pt idx="25">
                  <c:v>0.00906795224977031</c:v>
                </c:pt>
                <c:pt idx="26">
                  <c:v>0.00705266750085309</c:v>
                </c:pt>
                <c:pt idx="27">
                  <c:v>-0.0032757257426862</c:v>
                </c:pt>
                <c:pt idx="28">
                  <c:v>0.0157524932003628</c:v>
                </c:pt>
                <c:pt idx="29">
                  <c:v>0.00111569786901722</c:v>
                </c:pt>
                <c:pt idx="30">
                  <c:v>-0.00846985400646394</c:v>
                </c:pt>
                <c:pt idx="31">
                  <c:v>0.0239406541530853</c:v>
                </c:pt>
                <c:pt idx="32">
                  <c:v>0.0286498353457738</c:v>
                </c:pt>
                <c:pt idx="33">
                  <c:v>-0.0215558638352363</c:v>
                </c:pt>
                <c:pt idx="34">
                  <c:v>-0.0308648707601701</c:v>
                </c:pt>
                <c:pt idx="35">
                  <c:v>-0.00900292595093399</c:v>
                </c:pt>
                <c:pt idx="36">
                  <c:v>0.0247558482852599</c:v>
                </c:pt>
                <c:pt idx="37">
                  <c:v>0.00687056737588665</c:v>
                </c:pt>
                <c:pt idx="38">
                  <c:v>0.017279330838653</c:v>
                </c:pt>
                <c:pt idx="39">
                  <c:v>0.0110353781239856</c:v>
                </c:pt>
                <c:pt idx="40">
                  <c:v>-0.0148742643124665</c:v>
                </c:pt>
                <c:pt idx="41">
                  <c:v>0.0107538561807516</c:v>
                </c:pt>
                <c:pt idx="42">
                  <c:v>-0.0340677055346588</c:v>
                </c:pt>
                <c:pt idx="43">
                  <c:v>-0.0239207832665775</c:v>
                </c:pt>
                <c:pt idx="44">
                  <c:v>0.010828678901174</c:v>
                </c:pt>
                <c:pt idx="45">
                  <c:v>0.0117275597654487</c:v>
                </c:pt>
                <c:pt idx="46">
                  <c:v>-0.0164957646009809</c:v>
                </c:pt>
                <c:pt idx="47">
                  <c:v>0.0557570262919311</c:v>
                </c:pt>
                <c:pt idx="48">
                  <c:v>0.0264061829111208</c:v>
                </c:pt>
                <c:pt idx="49">
                  <c:v>0.0362894791884543</c:v>
                </c:pt>
                <c:pt idx="50">
                  <c:v>-0.0714501967907962</c:v>
                </c:pt>
                <c:pt idx="51">
                  <c:v>-0.0176067818715357</c:v>
                </c:pt>
                <c:pt idx="52">
                  <c:v>0.0285429804181878</c:v>
                </c:pt>
                <c:pt idx="53">
                  <c:v>0.0310852963321502</c:v>
                </c:pt>
                <c:pt idx="54">
                  <c:v>0.000521593991237301</c:v>
                </c:pt>
                <c:pt idx="55">
                  <c:v>-0.0566155771035345</c:v>
                </c:pt>
                <c:pt idx="56">
                  <c:v>0.0288461538461537</c:v>
                </c:pt>
                <c:pt idx="57">
                  <c:v>0.03018584165861</c:v>
                </c:pt>
                <c:pt idx="58">
                  <c:v>-0.00354535974973935</c:v>
                </c:pt>
                <c:pt idx="59">
                  <c:v>0.00282544997907075</c:v>
                </c:pt>
                <c:pt idx="60">
                  <c:v>0.0118960659501199</c:v>
                </c:pt>
                <c:pt idx="61">
                  <c:v>0.0125812106837166</c:v>
                </c:pt>
                <c:pt idx="62">
                  <c:v>-0.0333027803238619</c:v>
                </c:pt>
                <c:pt idx="63">
                  <c:v>-0.00242309313105782</c:v>
                </c:pt>
                <c:pt idx="64">
                  <c:v>0.0886049213222093</c:v>
                </c:pt>
                <c:pt idx="65">
                  <c:v>-0.0194024058983314</c:v>
                </c:pt>
                <c:pt idx="66">
                  <c:v>0.0366046695686586</c:v>
                </c:pt>
                <c:pt idx="67">
                  <c:v>0.00677610230960091</c:v>
                </c:pt>
                <c:pt idx="68">
                  <c:v>-0.0208550573514076</c:v>
                </c:pt>
                <c:pt idx="69">
                  <c:v>-0.0123922935424533</c:v>
                </c:pt>
                <c:pt idx="70">
                  <c:v>-0.0578374669150084</c:v>
                </c:pt>
                <c:pt idx="71">
                  <c:v>0.00395380293413794</c:v>
                </c:pt>
                <c:pt idx="72">
                  <c:v>0.00777282619960618</c:v>
                </c:pt>
                <c:pt idx="73">
                  <c:v>-0.0262237762237761</c:v>
                </c:pt>
                <c:pt idx="74">
                  <c:v>0.0488963987749498</c:v>
                </c:pt>
                <c:pt idx="75">
                  <c:v>0.00503423278292381</c:v>
                </c:pt>
                <c:pt idx="76">
                  <c:v>-0.0151272290122219</c:v>
                </c:pt>
                <c:pt idx="77">
                  <c:v>-0.0115959719255416</c:v>
                </c:pt>
                <c:pt idx="78">
                  <c:v>0.00308737264587844</c:v>
                </c:pt>
                <c:pt idx="79">
                  <c:v>-0.0365240586847235</c:v>
                </c:pt>
                <c:pt idx="80">
                  <c:v>-0.0112874028324992</c:v>
                </c:pt>
                <c:pt idx="81">
                  <c:v>-0.0449111470113084</c:v>
                </c:pt>
                <c:pt idx="82">
                  <c:v>-0.0187189896256204</c:v>
                </c:pt>
                <c:pt idx="83">
                  <c:v>0.0096529533440588</c:v>
                </c:pt>
                <c:pt idx="84">
                  <c:v>-0.00842249032551778</c:v>
                </c:pt>
                <c:pt idx="85">
                  <c:v>-0.104683195592287</c:v>
                </c:pt>
                <c:pt idx="86">
                  <c:v>0.0125641025641026</c:v>
                </c:pt>
                <c:pt idx="87">
                  <c:v>0.0186123069131425</c:v>
                </c:pt>
                <c:pt idx="88">
                  <c:v>0.0280919825978867</c:v>
                </c:pt>
                <c:pt idx="89">
                  <c:v>0.0339741264659654</c:v>
                </c:pt>
                <c:pt idx="90">
                  <c:v>0.0115762394761461</c:v>
                </c:pt>
                <c:pt idx="91">
                  <c:v>0.0488960813778754</c:v>
                </c:pt>
                <c:pt idx="92">
                  <c:v>-0.0400044081992506</c:v>
                </c:pt>
                <c:pt idx="93">
                  <c:v>0.0117093330272069</c:v>
                </c:pt>
                <c:pt idx="94">
                  <c:v>0.0184954045160559</c:v>
                </c:pt>
                <c:pt idx="95">
                  <c:v>-0.00601604278074874</c:v>
                </c:pt>
                <c:pt idx="96">
                  <c:v>0.00168123739071957</c:v>
                </c:pt>
                <c:pt idx="97">
                  <c:v>0.0205885643952108</c:v>
                </c:pt>
                <c:pt idx="98">
                  <c:v>0.041662098454117</c:v>
                </c:pt>
                <c:pt idx="99">
                  <c:v>-0.00136827702347131</c:v>
                </c:pt>
                <c:pt idx="100">
                  <c:v>-0.0116989881956155</c:v>
                </c:pt>
                <c:pt idx="101">
                  <c:v>0.014716860403114</c:v>
                </c:pt>
                <c:pt idx="102">
                  <c:v>-0.0502364687335786</c:v>
                </c:pt>
                <c:pt idx="103">
                  <c:v>0.0232378001549185</c:v>
                </c:pt>
                <c:pt idx="104">
                  <c:v>0.029847518113983</c:v>
                </c:pt>
                <c:pt idx="105">
                  <c:v>0.0397983828625432</c:v>
                </c:pt>
                <c:pt idx="106">
                  <c:v>0.00838214502120782</c:v>
                </c:pt>
                <c:pt idx="107">
                  <c:v>0.0109163745618428</c:v>
                </c:pt>
                <c:pt idx="108">
                  <c:v>-0.00792550029720618</c:v>
                </c:pt>
                <c:pt idx="109">
                  <c:v>0.00569203115638106</c:v>
                </c:pt>
                <c:pt idx="110">
                  <c:v>-0.00158872008737954</c:v>
                </c:pt>
                <c:pt idx="111">
                  <c:v>0.00109398309298858</c:v>
                </c:pt>
                <c:pt idx="112">
                  <c:v>-0.05434134710908</c:v>
                </c:pt>
                <c:pt idx="113">
                  <c:v>0.0196449206849461</c:v>
                </c:pt>
                <c:pt idx="114">
                  <c:v>0.0293632804450854</c:v>
                </c:pt>
                <c:pt idx="115">
                  <c:v>-0.0211190071063958</c:v>
                </c:pt>
                <c:pt idx="116">
                  <c:v>-0.000613496932515334</c:v>
                </c:pt>
                <c:pt idx="117">
                  <c:v>-0.00153468385512578</c:v>
                </c:pt>
                <c:pt idx="118">
                  <c:v>-0.00778768316425871</c:v>
                </c:pt>
                <c:pt idx="119">
                  <c:v>0.0444077248786532</c:v>
                </c:pt>
                <c:pt idx="120">
                  <c:v>0.0175022248590924</c:v>
                </c:pt>
                <c:pt idx="121">
                  <c:v>0.0214771622934888</c:v>
                </c:pt>
                <c:pt idx="122">
                  <c:v>-0.0126534107125867</c:v>
                </c:pt>
                <c:pt idx="123">
                  <c:v>-0.000867219117363649</c:v>
                </c:pt>
                <c:pt idx="124">
                  <c:v>-0.00549715498119385</c:v>
                </c:pt>
                <c:pt idx="125">
                  <c:v>0.0408262218774242</c:v>
                </c:pt>
                <c:pt idx="126">
                  <c:v>0.0109941302524923</c:v>
                </c:pt>
                <c:pt idx="127">
                  <c:v>-0.000184314809695052</c:v>
                </c:pt>
                <c:pt idx="128">
                  <c:v>0.007189602728362</c:v>
                </c:pt>
                <c:pt idx="129">
                  <c:v>0.0541777249016198</c:v>
                </c:pt>
                <c:pt idx="130">
                  <c:v>-0.00251757965101129</c:v>
                </c:pt>
                <c:pt idx="131">
                  <c:v>0.00557006092254131</c:v>
                </c:pt>
                <c:pt idx="132">
                  <c:v>-0.0221568288038775</c:v>
                </c:pt>
                <c:pt idx="133">
                  <c:v>-0.0383253673216498</c:v>
                </c:pt>
                <c:pt idx="134">
                  <c:v>-0.0217211228716061</c:v>
                </c:pt>
                <c:pt idx="135">
                  <c:v>-0.0019757267852103</c:v>
                </c:pt>
                <c:pt idx="136">
                  <c:v>0.0296945701357467</c:v>
                </c:pt>
                <c:pt idx="137">
                  <c:v>0.0200494369678659</c:v>
                </c:pt>
                <c:pt idx="138">
                  <c:v>0.0297074133907738</c:v>
                </c:pt>
                <c:pt idx="139">
                  <c:v>0.0243179639152793</c:v>
                </c:pt>
                <c:pt idx="140">
                  <c:v>0.0122532334921714</c:v>
                </c:pt>
                <c:pt idx="141">
                  <c:v>0.00840618695359785</c:v>
                </c:pt>
                <c:pt idx="142">
                  <c:v>-0.00100033344448136</c:v>
                </c:pt>
                <c:pt idx="143">
                  <c:v>-0.0216121495327103</c:v>
                </c:pt>
                <c:pt idx="144">
                  <c:v>0.0237100213219617</c:v>
                </c:pt>
                <c:pt idx="145">
                  <c:v>0.000166625010413979</c:v>
                </c:pt>
                <c:pt idx="146">
                  <c:v>-0.00291545189504372</c:v>
                </c:pt>
                <c:pt idx="147">
                  <c:v>0.0390977443609022</c:v>
                </c:pt>
                <c:pt idx="148">
                  <c:v>-0.0191349091493809</c:v>
                </c:pt>
                <c:pt idx="149">
                  <c:v>0.0240983606557377</c:v>
                </c:pt>
                <c:pt idx="150">
                  <c:v>-0.0114454938370417</c:v>
                </c:pt>
                <c:pt idx="151">
                  <c:v>0.00356246457776699</c:v>
                </c:pt>
                <c:pt idx="152">
                  <c:v>0.0112948769665187</c:v>
                </c:pt>
                <c:pt idx="153">
                  <c:v>-0.000558436378141125</c:v>
                </c:pt>
                <c:pt idx="154">
                  <c:v>0</c:v>
                </c:pt>
              </c:numCache>
            </c:numRef>
          </c:val>
        </c:ser>
        <c:gapWidth val="150"/>
        <c:overlap val="0"/>
        <c:axId val="60486697"/>
        <c:axId val="86729248"/>
      </c:barChart>
      <c:lineChart>
        <c:grouping val="standard"/>
        <c:varyColors val="0"/>
        <c:ser>
          <c:idx val="1"/>
          <c:order val="1"/>
          <c:tx>
            <c:strRef>
              <c:f>'Returns (Calc)'!$AJ$2</c:f>
              <c:strCache>
                <c:ptCount val="1"/>
                <c:pt idx="0">
                  <c:v>AVUV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(Calc)'!$AJ$3:$AJ$157</c:f>
              <c:numCache>
                <c:formatCode>#,##0.00</c:formatCode>
                <c:ptCount val="155"/>
                <c:pt idx="0">
                  <c:v>82.85</c:v>
                </c:pt>
                <c:pt idx="1">
                  <c:v>83.1255194805195</c:v>
                </c:pt>
                <c:pt idx="2">
                  <c:v>83.401038961039</c:v>
                </c:pt>
                <c:pt idx="3">
                  <c:v>83.6765584415584</c:v>
                </c:pt>
                <c:pt idx="4">
                  <c:v>83.9520779220779</c:v>
                </c:pt>
                <c:pt idx="5">
                  <c:v>84.2275974025974</c:v>
                </c:pt>
                <c:pt idx="6">
                  <c:v>84.5031168831169</c:v>
                </c:pt>
                <c:pt idx="7">
                  <c:v>84.7786363636364</c:v>
                </c:pt>
                <c:pt idx="8">
                  <c:v>85.0541558441558</c:v>
                </c:pt>
                <c:pt idx="9">
                  <c:v>85.3296753246753</c:v>
                </c:pt>
                <c:pt idx="10">
                  <c:v>85.6051948051948</c:v>
                </c:pt>
                <c:pt idx="11">
                  <c:v>85.8807142857143</c:v>
                </c:pt>
                <c:pt idx="12">
                  <c:v>86.1562337662338</c:v>
                </c:pt>
                <c:pt idx="13">
                  <c:v>86.4317532467533</c:v>
                </c:pt>
                <c:pt idx="14">
                  <c:v>86.7072727272727</c:v>
                </c:pt>
                <c:pt idx="15">
                  <c:v>86.9827922077922</c:v>
                </c:pt>
                <c:pt idx="16">
                  <c:v>87.2583116883117</c:v>
                </c:pt>
                <c:pt idx="17">
                  <c:v>87.5338311688311</c:v>
                </c:pt>
                <c:pt idx="18">
                  <c:v>87.8093506493507</c:v>
                </c:pt>
                <c:pt idx="19">
                  <c:v>88.0848701298701</c:v>
                </c:pt>
                <c:pt idx="20">
                  <c:v>88.3603896103896</c:v>
                </c:pt>
                <c:pt idx="21">
                  <c:v>88.6359090909091</c:v>
                </c:pt>
                <c:pt idx="22">
                  <c:v>88.9114285714286</c:v>
                </c:pt>
                <c:pt idx="23">
                  <c:v>89.186948051948</c:v>
                </c:pt>
                <c:pt idx="24">
                  <c:v>89.4624675324675</c:v>
                </c:pt>
                <c:pt idx="25">
                  <c:v>89.737987012987</c:v>
                </c:pt>
                <c:pt idx="26">
                  <c:v>90.0135064935065</c:v>
                </c:pt>
                <c:pt idx="27">
                  <c:v>90.289025974026</c:v>
                </c:pt>
                <c:pt idx="28">
                  <c:v>90.5645454545455</c:v>
                </c:pt>
                <c:pt idx="29">
                  <c:v>90.8400649350649</c:v>
                </c:pt>
                <c:pt idx="30">
                  <c:v>91.1155844155844</c:v>
                </c:pt>
                <c:pt idx="31">
                  <c:v>91.3911038961039</c:v>
                </c:pt>
                <c:pt idx="32">
                  <c:v>91.6666233766234</c:v>
                </c:pt>
                <c:pt idx="33">
                  <c:v>91.9421428571428</c:v>
                </c:pt>
                <c:pt idx="34">
                  <c:v>92.2176623376624</c:v>
                </c:pt>
                <c:pt idx="35">
                  <c:v>92.4931818181818</c:v>
                </c:pt>
                <c:pt idx="36">
                  <c:v>92.7687012987013</c:v>
                </c:pt>
                <c:pt idx="37">
                  <c:v>93.0442207792208</c:v>
                </c:pt>
                <c:pt idx="38">
                  <c:v>93.3197402597403</c:v>
                </c:pt>
                <c:pt idx="39">
                  <c:v>93.5952597402597</c:v>
                </c:pt>
                <c:pt idx="40">
                  <c:v>93.8707792207792</c:v>
                </c:pt>
                <c:pt idx="41">
                  <c:v>94.1462987012987</c:v>
                </c:pt>
                <c:pt idx="42">
                  <c:v>94.4218181818182</c:v>
                </c:pt>
                <c:pt idx="43">
                  <c:v>94.6973376623377</c:v>
                </c:pt>
                <c:pt idx="44">
                  <c:v>94.9728571428572</c:v>
                </c:pt>
                <c:pt idx="45">
                  <c:v>95.2483766233766</c:v>
                </c:pt>
                <c:pt idx="46">
                  <c:v>95.5238961038961</c:v>
                </c:pt>
                <c:pt idx="47">
                  <c:v>95.7994155844156</c:v>
                </c:pt>
                <c:pt idx="48">
                  <c:v>96.0749350649351</c:v>
                </c:pt>
                <c:pt idx="49">
                  <c:v>96.3504545454545</c:v>
                </c:pt>
                <c:pt idx="50">
                  <c:v>96.625974025974</c:v>
                </c:pt>
                <c:pt idx="51">
                  <c:v>96.9014935064935</c:v>
                </c:pt>
                <c:pt idx="52">
                  <c:v>97.177012987013</c:v>
                </c:pt>
                <c:pt idx="53">
                  <c:v>97.4525324675325</c:v>
                </c:pt>
                <c:pt idx="54">
                  <c:v>97.728051948052</c:v>
                </c:pt>
                <c:pt idx="55">
                  <c:v>98.0035714285714</c:v>
                </c:pt>
                <c:pt idx="56">
                  <c:v>98.2790909090909</c:v>
                </c:pt>
                <c:pt idx="57">
                  <c:v>98.5546103896104</c:v>
                </c:pt>
                <c:pt idx="58">
                  <c:v>98.8301298701299</c:v>
                </c:pt>
                <c:pt idx="59">
                  <c:v>99.1056493506493</c:v>
                </c:pt>
                <c:pt idx="60">
                  <c:v>99.3811688311689</c:v>
                </c:pt>
                <c:pt idx="61">
                  <c:v>99.6566883116883</c:v>
                </c:pt>
                <c:pt idx="62">
                  <c:v>99.9322077922078</c:v>
                </c:pt>
                <c:pt idx="63">
                  <c:v>100.207727272727</c:v>
                </c:pt>
                <c:pt idx="64">
                  <c:v>100.483246753247</c:v>
                </c:pt>
                <c:pt idx="65">
                  <c:v>100.758766233766</c:v>
                </c:pt>
                <c:pt idx="66">
                  <c:v>101.034285714286</c:v>
                </c:pt>
                <c:pt idx="67">
                  <c:v>101.309805194805</c:v>
                </c:pt>
                <c:pt idx="68">
                  <c:v>101.585324675325</c:v>
                </c:pt>
                <c:pt idx="69">
                  <c:v>101.860844155844</c:v>
                </c:pt>
                <c:pt idx="70">
                  <c:v>102.136363636364</c:v>
                </c:pt>
                <c:pt idx="71">
                  <c:v>102.411883116883</c:v>
                </c:pt>
                <c:pt idx="72">
                  <c:v>102.687402597403</c:v>
                </c:pt>
                <c:pt idx="73">
                  <c:v>102.962922077922</c:v>
                </c:pt>
                <c:pt idx="74">
                  <c:v>103.238441558442</c:v>
                </c:pt>
                <c:pt idx="75">
                  <c:v>103.513961038961</c:v>
                </c:pt>
                <c:pt idx="76">
                  <c:v>103.789480519481</c:v>
                </c:pt>
                <c:pt idx="77">
                  <c:v>104.065</c:v>
                </c:pt>
                <c:pt idx="78">
                  <c:v>104.340519480519</c:v>
                </c:pt>
                <c:pt idx="79">
                  <c:v>104.616038961039</c:v>
                </c:pt>
                <c:pt idx="80">
                  <c:v>104.891558441558</c:v>
                </c:pt>
                <c:pt idx="81">
                  <c:v>105.167077922078</c:v>
                </c:pt>
                <c:pt idx="82">
                  <c:v>105.442597402597</c:v>
                </c:pt>
                <c:pt idx="83">
                  <c:v>105.718116883117</c:v>
                </c:pt>
                <c:pt idx="84">
                  <c:v>105.993636363636</c:v>
                </c:pt>
                <c:pt idx="85">
                  <c:v>106.269155844156</c:v>
                </c:pt>
                <c:pt idx="86">
                  <c:v>106.544675324675</c:v>
                </c:pt>
                <c:pt idx="87">
                  <c:v>106.820194805195</c:v>
                </c:pt>
                <c:pt idx="88">
                  <c:v>107.095714285714</c:v>
                </c:pt>
                <c:pt idx="89">
                  <c:v>107.371233766234</c:v>
                </c:pt>
                <c:pt idx="90">
                  <c:v>107.646753246753</c:v>
                </c:pt>
                <c:pt idx="91">
                  <c:v>107.922272727273</c:v>
                </c:pt>
                <c:pt idx="92">
                  <c:v>108.197792207792</c:v>
                </c:pt>
                <c:pt idx="93">
                  <c:v>108.473311688312</c:v>
                </c:pt>
                <c:pt idx="94">
                  <c:v>108.748831168831</c:v>
                </c:pt>
                <c:pt idx="95">
                  <c:v>109.024350649351</c:v>
                </c:pt>
                <c:pt idx="96">
                  <c:v>109.29987012987</c:v>
                </c:pt>
                <c:pt idx="97">
                  <c:v>109.57538961039</c:v>
                </c:pt>
                <c:pt idx="98">
                  <c:v>109.850909090909</c:v>
                </c:pt>
                <c:pt idx="99">
                  <c:v>110.126428571429</c:v>
                </c:pt>
                <c:pt idx="100">
                  <c:v>110.401948051948</c:v>
                </c:pt>
                <c:pt idx="101">
                  <c:v>110.677467532468</c:v>
                </c:pt>
                <c:pt idx="102">
                  <c:v>110.952987012987</c:v>
                </c:pt>
                <c:pt idx="103">
                  <c:v>111.228506493507</c:v>
                </c:pt>
                <c:pt idx="104">
                  <c:v>111.504025974026</c:v>
                </c:pt>
                <c:pt idx="105">
                  <c:v>111.779545454545</c:v>
                </c:pt>
                <c:pt idx="106">
                  <c:v>112.055064935065</c:v>
                </c:pt>
                <c:pt idx="107">
                  <c:v>112.330584415584</c:v>
                </c:pt>
                <c:pt idx="108">
                  <c:v>112.606103896104</c:v>
                </c:pt>
                <c:pt idx="109">
                  <c:v>112.881623376623</c:v>
                </c:pt>
                <c:pt idx="110">
                  <c:v>113.157142857143</c:v>
                </c:pt>
                <c:pt idx="111">
                  <c:v>113.432662337662</c:v>
                </c:pt>
                <c:pt idx="112">
                  <c:v>113.708181818182</c:v>
                </c:pt>
                <c:pt idx="113">
                  <c:v>113.983701298701</c:v>
                </c:pt>
                <c:pt idx="114">
                  <c:v>114.259220779221</c:v>
                </c:pt>
                <c:pt idx="115">
                  <c:v>114.53474025974</c:v>
                </c:pt>
                <c:pt idx="116">
                  <c:v>114.81025974026</c:v>
                </c:pt>
                <c:pt idx="117">
                  <c:v>115.085779220779</c:v>
                </c:pt>
                <c:pt idx="118">
                  <c:v>115.361298701299</c:v>
                </c:pt>
                <c:pt idx="119">
                  <c:v>115.636818181818</c:v>
                </c:pt>
                <c:pt idx="120">
                  <c:v>115.912337662338</c:v>
                </c:pt>
                <c:pt idx="121">
                  <c:v>116.187857142857</c:v>
                </c:pt>
                <c:pt idx="122">
                  <c:v>116.463376623377</c:v>
                </c:pt>
                <c:pt idx="123">
                  <c:v>116.738896103896</c:v>
                </c:pt>
                <c:pt idx="124">
                  <c:v>117.014415584416</c:v>
                </c:pt>
                <c:pt idx="125">
                  <c:v>117.289935064935</c:v>
                </c:pt>
                <c:pt idx="126">
                  <c:v>117.565454545455</c:v>
                </c:pt>
                <c:pt idx="127">
                  <c:v>117.840974025974</c:v>
                </c:pt>
                <c:pt idx="128">
                  <c:v>118.116493506494</c:v>
                </c:pt>
                <c:pt idx="129">
                  <c:v>118.392012987013</c:v>
                </c:pt>
                <c:pt idx="130">
                  <c:v>118.667532467532</c:v>
                </c:pt>
                <c:pt idx="131">
                  <c:v>118.943051948052</c:v>
                </c:pt>
                <c:pt idx="132">
                  <c:v>119.218571428571</c:v>
                </c:pt>
                <c:pt idx="133">
                  <c:v>119.494090909091</c:v>
                </c:pt>
                <c:pt idx="134">
                  <c:v>119.76961038961</c:v>
                </c:pt>
                <c:pt idx="135">
                  <c:v>120.04512987013</c:v>
                </c:pt>
                <c:pt idx="136">
                  <c:v>120.320649350649</c:v>
                </c:pt>
                <c:pt idx="137">
                  <c:v>120.596168831169</c:v>
                </c:pt>
                <c:pt idx="138">
                  <c:v>120.871688311688</c:v>
                </c:pt>
                <c:pt idx="139">
                  <c:v>121.147207792208</c:v>
                </c:pt>
                <c:pt idx="140">
                  <c:v>121.422727272727</c:v>
                </c:pt>
                <c:pt idx="141">
                  <c:v>121.698246753247</c:v>
                </c:pt>
                <c:pt idx="142">
                  <c:v>121.973766233766</c:v>
                </c:pt>
                <c:pt idx="143">
                  <c:v>122.249285714286</c:v>
                </c:pt>
                <c:pt idx="144">
                  <c:v>122.524805194805</c:v>
                </c:pt>
                <c:pt idx="145">
                  <c:v>122.800324675325</c:v>
                </c:pt>
                <c:pt idx="146">
                  <c:v>123.075844155844</c:v>
                </c:pt>
                <c:pt idx="147">
                  <c:v>123.351363636364</c:v>
                </c:pt>
                <c:pt idx="148">
                  <c:v>123.626883116883</c:v>
                </c:pt>
                <c:pt idx="149">
                  <c:v>123.902402597403</c:v>
                </c:pt>
                <c:pt idx="150">
                  <c:v>124.177922077922</c:v>
                </c:pt>
                <c:pt idx="151">
                  <c:v>124.453441558442</c:v>
                </c:pt>
                <c:pt idx="152">
                  <c:v>124.728961038961</c:v>
                </c:pt>
                <c:pt idx="153">
                  <c:v>125.004480519481</c:v>
                </c:pt>
                <c:pt idx="154">
                  <c:v>125.28</c:v>
                </c:pt>
              </c:numCache>
            </c:numRef>
          </c:val>
          <c:smooth val="0"/>
        </c:ser>
        <c:hiLowLines>
          <c:spPr>
            <a:ln w="0">
              <a:noFill/>
            </a:ln>
          </c:spPr>
        </c:hiLowLines>
        <c:marker val="0"/>
        <c:axId val="56823141"/>
        <c:axId val="10170946"/>
      </c:lineChart>
      <c:dateAx>
        <c:axId val="6048669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6729248"/>
        <c:auto val="1"/>
        <c:lblOffset val="100"/>
        <c:baseTimeUnit val="days"/>
      </c:dateAx>
      <c:valAx>
        <c:axId val="8672924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0486697"/>
        <c:crosses val="autoZero"/>
        <c:crossBetween val="between"/>
      </c:valAx>
      <c:dateAx>
        <c:axId val="5682314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0170946"/>
        <c:auto val="1"/>
        <c:lblOffset val="100"/>
        <c:baseTimeUnit val="days"/>
      </c:dateAx>
      <c:valAx>
        <c:axId val="1017094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682314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HELO</a:t>
            </a:r>
          </a:p>
        </c:rich>
      </c:tx>
      <c:overlay val="0"/>
      <c:spPr>
        <a:noFill/>
        <a:ln w="0">
          <a:noFill/>
        </a:ln>
      </c:spPr>
    </c:title>
    <c:autoTitleDeleted val="0"/>
    <c:plotArea>
      <c:barChart>
        <c:barDir val="col"/>
        <c:grouping val="clustered"/>
        <c:varyColors val="0"/>
        <c:ser>
          <c:idx val="0"/>
          <c:order val="0"/>
          <c:tx>
            <c:strRef>
              <c:f>'Returns (Calc)'!$Q$2</c:f>
              <c:strCache>
                <c:ptCount val="1"/>
                <c:pt idx="0">
                  <c:v>HELO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(Calc)'!$Q$3:$Q$157</c:f>
              <c:numCache>
                <c:formatCode>0.0%</c:formatCode>
                <c:ptCount val="155"/>
                <c:pt idx="0">
                  <c:v>0.0032102728731942</c:v>
                </c:pt>
                <c:pt idx="1">
                  <c:v>0.00340000000000007</c:v>
                </c:pt>
                <c:pt idx="2">
                  <c:v>-0.0111620490332869</c:v>
                </c:pt>
                <c:pt idx="3">
                  <c:v>-0.0173352146744608</c:v>
                </c:pt>
                <c:pt idx="4">
                  <c:v>0.0402051282051281</c:v>
                </c:pt>
                <c:pt idx="5">
                  <c:v>0.0100571879313744</c:v>
                </c:pt>
                <c:pt idx="6">
                  <c:v>0.0130808278016401</c:v>
                </c:pt>
                <c:pt idx="7">
                  <c:v>0.00443245326652519</c:v>
                </c:pt>
                <c:pt idx="8">
                  <c:v>0.000959324635456671</c:v>
                </c:pt>
                <c:pt idx="9">
                  <c:v>0.00364193981215255</c:v>
                </c:pt>
                <c:pt idx="10">
                  <c:v>0.0089763177998472</c:v>
                </c:pt>
                <c:pt idx="11">
                  <c:v>-0.000757145561234185</c:v>
                </c:pt>
                <c:pt idx="12">
                  <c:v>0.0017048683462777</c:v>
                </c:pt>
                <c:pt idx="13">
                  <c:v>-0.00434947049924361</c:v>
                </c:pt>
                <c:pt idx="14">
                  <c:v>0.00987654320987663</c:v>
                </c:pt>
                <c:pt idx="15">
                  <c:v>0.00583035546360722</c:v>
                </c:pt>
                <c:pt idx="16">
                  <c:v>0.0063575168287211</c:v>
                </c:pt>
                <c:pt idx="17">
                  <c:v>0.0141211445559271</c:v>
                </c:pt>
                <c:pt idx="18">
                  <c:v>0.00439721509710522</c:v>
                </c:pt>
                <c:pt idx="19">
                  <c:v>-0.00547245530828155</c:v>
                </c:pt>
                <c:pt idx="20">
                  <c:v>0.0075201760821717</c:v>
                </c:pt>
                <c:pt idx="21">
                  <c:v>0.00618969597669761</c:v>
                </c:pt>
                <c:pt idx="22">
                  <c:v>0.000723719920390886</c:v>
                </c:pt>
                <c:pt idx="23">
                  <c:v>0.000180799132164067</c:v>
                </c:pt>
                <c:pt idx="24">
                  <c:v>0.0110267534345625</c:v>
                </c:pt>
                <c:pt idx="25">
                  <c:v>0.000715179688896894</c:v>
                </c:pt>
                <c:pt idx="26">
                  <c:v>-0.00375201000536007</c:v>
                </c:pt>
                <c:pt idx="27">
                  <c:v>-0.00627690100430423</c:v>
                </c:pt>
                <c:pt idx="28">
                  <c:v>-0.0194910665944775</c:v>
                </c:pt>
                <c:pt idx="29">
                  <c:v>0.0206147616418186</c:v>
                </c:pt>
                <c:pt idx="30">
                  <c:v>0.00414788097385022</c:v>
                </c:pt>
                <c:pt idx="31">
                  <c:v>0.0154454022988506</c:v>
                </c:pt>
                <c:pt idx="32">
                  <c:v>0.0107888220728687</c:v>
                </c:pt>
                <c:pt idx="33">
                  <c:v>0.00104986876640423</c:v>
                </c:pt>
                <c:pt idx="34">
                  <c:v>-0.00262191924488719</c:v>
                </c:pt>
                <c:pt idx="35">
                  <c:v>0.0110410094637223</c:v>
                </c:pt>
                <c:pt idx="36">
                  <c:v>0.00901369388108853</c:v>
                </c:pt>
                <c:pt idx="37">
                  <c:v>0.00326404397869773</c:v>
                </c:pt>
                <c:pt idx="38">
                  <c:v>0.00273972602739736</c:v>
                </c:pt>
                <c:pt idx="39">
                  <c:v>0.00717213114754078</c:v>
                </c:pt>
                <c:pt idx="40">
                  <c:v>0.00339097999321814</c:v>
                </c:pt>
                <c:pt idx="41">
                  <c:v>-0.00659006421088204</c:v>
                </c:pt>
                <c:pt idx="42">
                  <c:v>-0.00425242388161251</c:v>
                </c:pt>
                <c:pt idx="43">
                  <c:v>-0.0107618722241203</c:v>
                </c:pt>
                <c:pt idx="44">
                  <c:v>0.000690726990157264</c:v>
                </c:pt>
                <c:pt idx="45">
                  <c:v>0.0262295081967212</c:v>
                </c:pt>
                <c:pt idx="46">
                  <c:v>0.00874390448965867</c:v>
                </c:pt>
                <c:pt idx="47">
                  <c:v>0.00366727787964649</c:v>
                </c:pt>
                <c:pt idx="48">
                  <c:v>-0.0270719149642917</c:v>
                </c:pt>
                <c:pt idx="49">
                  <c:v>0.0259474223284397</c:v>
                </c:pt>
                <c:pt idx="50">
                  <c:v>0.00831946755407653</c:v>
                </c:pt>
                <c:pt idx="51">
                  <c:v>0.00561056105610547</c:v>
                </c:pt>
                <c:pt idx="52">
                  <c:v>0.0013127666557271</c:v>
                </c:pt>
                <c:pt idx="53">
                  <c:v>0.00803015404785312</c:v>
                </c:pt>
                <c:pt idx="54">
                  <c:v>0.00829133474231836</c:v>
                </c:pt>
                <c:pt idx="55">
                  <c:v>-0.00274105127378266</c:v>
                </c:pt>
                <c:pt idx="56">
                  <c:v>-0.00889248181083269</c:v>
                </c:pt>
                <c:pt idx="57">
                  <c:v>0.0243066884176184</c:v>
                </c:pt>
                <c:pt idx="58">
                  <c:v>-0.00955566172957478</c:v>
                </c:pt>
                <c:pt idx="59">
                  <c:v>0.00755748512622612</c:v>
                </c:pt>
                <c:pt idx="60">
                  <c:v>0.00606447494414297</c:v>
                </c:pt>
                <c:pt idx="61">
                  <c:v>0.00380710659898487</c:v>
                </c:pt>
                <c:pt idx="62">
                  <c:v>-0.00173830594184576</c:v>
                </c:pt>
                <c:pt idx="63">
                  <c:v>-0.0123476333702707</c:v>
                </c:pt>
                <c:pt idx="64">
                  <c:v>0.00416733450873541</c:v>
                </c:pt>
                <c:pt idx="65">
                  <c:v>-0.00399042298483643</c:v>
                </c:pt>
                <c:pt idx="66">
                  <c:v>-0.0121794871794871</c:v>
                </c:pt>
                <c:pt idx="67">
                  <c:v>0.0171966255678131</c:v>
                </c:pt>
                <c:pt idx="68">
                  <c:v>0.0103668261562999</c:v>
                </c:pt>
                <c:pt idx="69">
                  <c:v>-0.00868192580899774</c:v>
                </c:pt>
                <c:pt idx="70">
                  <c:v>-0.000636942675159236</c:v>
                </c:pt>
                <c:pt idx="71">
                  <c:v>0.0105162523900575</c:v>
                </c:pt>
                <c:pt idx="72">
                  <c:v>-0.00898770104068114</c:v>
                </c:pt>
                <c:pt idx="73">
                  <c:v>-0.00636435958631665</c:v>
                </c:pt>
                <c:pt idx="74">
                  <c:v>-0.0174539631705365</c:v>
                </c:pt>
                <c:pt idx="75">
                  <c:v>-0.0141786179921772</c:v>
                </c:pt>
                <c:pt idx="76">
                  <c:v>-0.00214911555629038</c:v>
                </c:pt>
                <c:pt idx="77">
                  <c:v>-0.0129224652087475</c:v>
                </c:pt>
                <c:pt idx="78">
                  <c:v>-0.03877139979859</c:v>
                </c:pt>
                <c:pt idx="79">
                  <c:v>0.0188580408590886</c:v>
                </c:pt>
                <c:pt idx="80">
                  <c:v>-0.00599828620394172</c:v>
                </c:pt>
                <c:pt idx="81">
                  <c:v>0.0177586206896552</c:v>
                </c:pt>
                <c:pt idx="82">
                  <c:v>0.0162629171607658</c:v>
                </c:pt>
                <c:pt idx="83">
                  <c:v>-0.00250041673612267</c:v>
                </c:pt>
                <c:pt idx="84">
                  <c:v>0.0294117647058823</c:v>
                </c:pt>
                <c:pt idx="85">
                  <c:v>-0.0165584415584417</c:v>
                </c:pt>
                <c:pt idx="86">
                  <c:v>0.0108946847144273</c:v>
                </c:pt>
                <c:pt idx="87">
                  <c:v>0.00963422599608088</c:v>
                </c:pt>
                <c:pt idx="88">
                  <c:v>-0.00016173378618789</c:v>
                </c:pt>
                <c:pt idx="89">
                  <c:v>0.000808799741184085</c:v>
                </c:pt>
                <c:pt idx="90">
                  <c:v>0.0108291579117505</c:v>
                </c:pt>
                <c:pt idx="91">
                  <c:v>0.00655580428525759</c:v>
                </c:pt>
                <c:pt idx="92">
                  <c:v>0.0015885623510723</c:v>
                </c:pt>
                <c:pt idx="93">
                  <c:v>0.00348929421094368</c:v>
                </c:pt>
                <c:pt idx="94">
                  <c:v>0.00221273905484432</c:v>
                </c:pt>
                <c:pt idx="95">
                  <c:v>-0.010408452925406</c:v>
                </c:pt>
                <c:pt idx="96">
                  <c:v>0.0114741035856574</c:v>
                </c:pt>
                <c:pt idx="97">
                  <c:v>0.00740507326295892</c:v>
                </c:pt>
                <c:pt idx="98">
                  <c:v>0.00359712230215825</c:v>
                </c:pt>
                <c:pt idx="99">
                  <c:v>0.000155836060464543</c:v>
                </c:pt>
                <c:pt idx="100">
                  <c:v>0.00218136491118703</c:v>
                </c:pt>
                <c:pt idx="101">
                  <c:v>0.00855099502487589</c:v>
                </c:pt>
                <c:pt idx="102">
                  <c:v>0.00200400801603196</c:v>
                </c:pt>
                <c:pt idx="103">
                  <c:v>-0.00169230769230766</c:v>
                </c:pt>
                <c:pt idx="104">
                  <c:v>0.00323624595469241</c:v>
                </c:pt>
                <c:pt idx="105">
                  <c:v>-0.0125960061443932</c:v>
                </c:pt>
                <c:pt idx="106">
                  <c:v>0.00980087118855</c:v>
                </c:pt>
                <c:pt idx="107">
                  <c:v>0.0100138653520259</c:v>
                </c:pt>
                <c:pt idx="108">
                  <c:v>0.000610128126906639</c:v>
                </c:pt>
                <c:pt idx="109">
                  <c:v>-0.00503048780487803</c:v>
                </c:pt>
                <c:pt idx="110">
                  <c:v>0.00153209744139748</c:v>
                </c:pt>
                <c:pt idx="111">
                  <c:v>-0.00887257151598586</c:v>
                </c:pt>
                <c:pt idx="112">
                  <c:v>0.0217626176879147</c:v>
                </c:pt>
                <c:pt idx="113">
                  <c:v>0.00226586102719017</c:v>
                </c:pt>
                <c:pt idx="114">
                  <c:v>-0.00120572720422008</c:v>
                </c:pt>
                <c:pt idx="115">
                  <c:v>0.000301795684321871</c:v>
                </c:pt>
                <c:pt idx="116">
                  <c:v>0.0107105144063961</c:v>
                </c:pt>
                <c:pt idx="117">
                  <c:v>-0.00835820895522388</c:v>
                </c:pt>
                <c:pt idx="118">
                  <c:v>0.00918121613485856</c:v>
                </c:pt>
                <c:pt idx="119">
                  <c:v>-0.00462341536167044</c:v>
                </c:pt>
                <c:pt idx="120">
                  <c:v>-0.000299670362601034</c:v>
                </c:pt>
                <c:pt idx="121">
                  <c:v>0.00374700239808146</c:v>
                </c:pt>
                <c:pt idx="122">
                  <c:v>0.00283709123488118</c:v>
                </c:pt>
                <c:pt idx="123">
                  <c:v>-0.00878499106611086</c:v>
                </c:pt>
                <c:pt idx="124">
                  <c:v>0.00691001952831627</c:v>
                </c:pt>
                <c:pt idx="125">
                  <c:v>-0.00581829031776815</c:v>
                </c:pt>
                <c:pt idx="126">
                  <c:v>-0.0112545018007203</c:v>
                </c:pt>
                <c:pt idx="127">
                  <c:v>-0.013355592654424</c:v>
                </c:pt>
                <c:pt idx="128">
                  <c:v>-0.0112290416858946</c:v>
                </c:pt>
                <c:pt idx="129">
                  <c:v>-0.0138456751711263</c:v>
                </c:pt>
                <c:pt idx="130">
                  <c:v>0.0116737655781669</c:v>
                </c:pt>
                <c:pt idx="131">
                  <c:v>0.0204272571339468</c:v>
                </c:pt>
                <c:pt idx="132">
                  <c:v>0.025672371638142</c:v>
                </c:pt>
                <c:pt idx="133">
                  <c:v>0.00223480333730608</c:v>
                </c:pt>
                <c:pt idx="134">
                  <c:v>0.0040136762301175</c:v>
                </c:pt>
                <c:pt idx="135">
                  <c:v>0.00207284572105415</c:v>
                </c:pt>
                <c:pt idx="136">
                  <c:v>0.000295508274231526</c:v>
                </c:pt>
                <c:pt idx="137">
                  <c:v>0.000738552437222984</c:v>
                </c:pt>
                <c:pt idx="138">
                  <c:v>0.00428044280442808</c:v>
                </c:pt>
                <c:pt idx="139">
                  <c:v>-0.0105820105820108</c:v>
                </c:pt>
                <c:pt idx="140">
                  <c:v>0.000445632798574014</c:v>
                </c:pt>
                <c:pt idx="141">
                  <c:v>0.00846325167037865</c:v>
                </c:pt>
                <c:pt idx="142">
                  <c:v>-0.0123674911660778</c:v>
                </c:pt>
                <c:pt idx="143">
                  <c:v>0.00760286225402518</c:v>
                </c:pt>
                <c:pt idx="144">
                  <c:v>0.0109483651427724</c:v>
                </c:pt>
                <c:pt idx="145">
                  <c:v>-0.00921996194936336</c:v>
                </c:pt>
                <c:pt idx="146">
                  <c:v>-0.0017725258493354</c:v>
                </c:pt>
                <c:pt idx="147">
                  <c:v>0.0128736312518498</c:v>
                </c:pt>
              </c:numCache>
            </c:numRef>
          </c:val>
        </c:ser>
        <c:gapWidth val="150"/>
        <c:overlap val="0"/>
        <c:axId val="39454686"/>
        <c:axId val="33711735"/>
      </c:barChart>
      <c:lineChart>
        <c:grouping val="standard"/>
        <c:varyColors val="0"/>
        <c:ser>
          <c:idx val="1"/>
          <c:order val="1"/>
          <c:tx>
            <c:strRef>
              <c:f>'Returns (Calc)'!$AK$2</c:f>
              <c:strCache>
                <c:ptCount val="1"/>
                <c:pt idx="0">
                  <c:v>HELO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(Calc)'!$AK$3:$AK$157</c:f>
              <c:numCache>
                <c:formatCode>#,##0.00</c:formatCode>
                <c:ptCount val="155"/>
                <c:pt idx="0">
                  <c:v>49.84</c:v>
                </c:pt>
                <c:pt idx="1">
                  <c:v>49.9608441558442</c:v>
                </c:pt>
                <c:pt idx="2">
                  <c:v>50.0816883116883</c:v>
                </c:pt>
                <c:pt idx="3">
                  <c:v>50.2025324675325</c:v>
                </c:pt>
                <c:pt idx="4">
                  <c:v>50.3233766233766</c:v>
                </c:pt>
                <c:pt idx="5">
                  <c:v>50.4442207792208</c:v>
                </c:pt>
                <c:pt idx="6">
                  <c:v>50.5650649350649</c:v>
                </c:pt>
                <c:pt idx="7">
                  <c:v>50.6859090909091</c:v>
                </c:pt>
                <c:pt idx="8">
                  <c:v>50.8067532467533</c:v>
                </c:pt>
                <c:pt idx="9">
                  <c:v>50.9275974025974</c:v>
                </c:pt>
                <c:pt idx="10">
                  <c:v>51.0484415584416</c:v>
                </c:pt>
                <c:pt idx="11">
                  <c:v>51.1692857142857</c:v>
                </c:pt>
                <c:pt idx="12">
                  <c:v>51.2901298701299</c:v>
                </c:pt>
                <c:pt idx="13">
                  <c:v>51.410974025974</c:v>
                </c:pt>
                <c:pt idx="14">
                  <c:v>51.5318181818182</c:v>
                </c:pt>
                <c:pt idx="15">
                  <c:v>51.6526623376623</c:v>
                </c:pt>
                <c:pt idx="16">
                  <c:v>51.7735064935065</c:v>
                </c:pt>
                <c:pt idx="17">
                  <c:v>51.8943506493506</c:v>
                </c:pt>
                <c:pt idx="18">
                  <c:v>52.0151948051948</c:v>
                </c:pt>
                <c:pt idx="19">
                  <c:v>52.136038961039</c:v>
                </c:pt>
                <c:pt idx="20">
                  <c:v>52.2568831168831</c:v>
                </c:pt>
                <c:pt idx="21">
                  <c:v>52.3777272727273</c:v>
                </c:pt>
                <c:pt idx="22">
                  <c:v>52.4985714285714</c:v>
                </c:pt>
                <c:pt idx="23">
                  <c:v>52.6194155844156</c:v>
                </c:pt>
                <c:pt idx="24">
                  <c:v>52.7402597402597</c:v>
                </c:pt>
                <c:pt idx="25">
                  <c:v>52.8611038961039</c:v>
                </c:pt>
                <c:pt idx="26">
                  <c:v>52.9819480519481</c:v>
                </c:pt>
                <c:pt idx="27">
                  <c:v>53.1027922077922</c:v>
                </c:pt>
                <c:pt idx="28">
                  <c:v>53.2236363636364</c:v>
                </c:pt>
                <c:pt idx="29">
                  <c:v>53.3444805194805</c:v>
                </c:pt>
                <c:pt idx="30">
                  <c:v>53.4653246753247</c:v>
                </c:pt>
                <c:pt idx="31">
                  <c:v>53.5861688311688</c:v>
                </c:pt>
                <c:pt idx="32">
                  <c:v>53.707012987013</c:v>
                </c:pt>
                <c:pt idx="33">
                  <c:v>53.8278571428571</c:v>
                </c:pt>
                <c:pt idx="34">
                  <c:v>53.9487012987013</c:v>
                </c:pt>
                <c:pt idx="35">
                  <c:v>54.0695454545455</c:v>
                </c:pt>
                <c:pt idx="36">
                  <c:v>54.1903896103896</c:v>
                </c:pt>
                <c:pt idx="37">
                  <c:v>54.3112337662338</c:v>
                </c:pt>
                <c:pt idx="38">
                  <c:v>54.4320779220779</c:v>
                </c:pt>
                <c:pt idx="39">
                  <c:v>54.5529220779221</c:v>
                </c:pt>
                <c:pt idx="40">
                  <c:v>54.6737662337662</c:v>
                </c:pt>
                <c:pt idx="41">
                  <c:v>54.7946103896104</c:v>
                </c:pt>
                <c:pt idx="42">
                  <c:v>54.9154545454546</c:v>
                </c:pt>
                <c:pt idx="43">
                  <c:v>55.0362987012987</c:v>
                </c:pt>
                <c:pt idx="44">
                  <c:v>55.1571428571429</c:v>
                </c:pt>
                <c:pt idx="45">
                  <c:v>55.277987012987</c:v>
                </c:pt>
                <c:pt idx="46">
                  <c:v>55.3988311688312</c:v>
                </c:pt>
                <c:pt idx="47">
                  <c:v>55.5196753246753</c:v>
                </c:pt>
                <c:pt idx="48">
                  <c:v>55.6405194805195</c:v>
                </c:pt>
                <c:pt idx="49">
                  <c:v>55.7613636363636</c:v>
                </c:pt>
                <c:pt idx="50">
                  <c:v>55.8822077922078</c:v>
                </c:pt>
                <c:pt idx="51">
                  <c:v>56.003051948052</c:v>
                </c:pt>
                <c:pt idx="52">
                  <c:v>56.1238961038961</c:v>
                </c:pt>
                <c:pt idx="53">
                  <c:v>56.2447402597403</c:v>
                </c:pt>
                <c:pt idx="54">
                  <c:v>56.3655844155844</c:v>
                </c:pt>
                <c:pt idx="55">
                  <c:v>56.4864285714286</c:v>
                </c:pt>
                <c:pt idx="56">
                  <c:v>56.6072727272727</c:v>
                </c:pt>
                <c:pt idx="57">
                  <c:v>56.7281168831169</c:v>
                </c:pt>
                <c:pt idx="58">
                  <c:v>56.8489610389611</c:v>
                </c:pt>
                <c:pt idx="59">
                  <c:v>56.9698051948052</c:v>
                </c:pt>
                <c:pt idx="60">
                  <c:v>57.0906493506494</c:v>
                </c:pt>
                <c:pt idx="61">
                  <c:v>57.2114935064935</c:v>
                </c:pt>
                <c:pt idx="62">
                  <c:v>57.3323376623377</c:v>
                </c:pt>
                <c:pt idx="63">
                  <c:v>57.4531818181818</c:v>
                </c:pt>
                <c:pt idx="64">
                  <c:v>57.574025974026</c:v>
                </c:pt>
                <c:pt idx="65">
                  <c:v>57.6948701298701</c:v>
                </c:pt>
                <c:pt idx="66">
                  <c:v>57.8157142857143</c:v>
                </c:pt>
                <c:pt idx="67">
                  <c:v>57.9365584415585</c:v>
                </c:pt>
                <c:pt idx="68">
                  <c:v>58.0574025974026</c:v>
                </c:pt>
                <c:pt idx="69">
                  <c:v>58.1782467532468</c:v>
                </c:pt>
                <c:pt idx="70">
                  <c:v>58.2990909090909</c:v>
                </c:pt>
                <c:pt idx="71">
                  <c:v>58.4199350649351</c:v>
                </c:pt>
                <c:pt idx="72">
                  <c:v>58.5407792207792</c:v>
                </c:pt>
                <c:pt idx="73">
                  <c:v>58.6616233766234</c:v>
                </c:pt>
                <c:pt idx="74">
                  <c:v>58.7824675324675</c:v>
                </c:pt>
                <c:pt idx="75">
                  <c:v>58.9033116883117</c:v>
                </c:pt>
                <c:pt idx="76">
                  <c:v>59.0241558441559</c:v>
                </c:pt>
                <c:pt idx="77">
                  <c:v>59.145</c:v>
                </c:pt>
                <c:pt idx="78">
                  <c:v>59.2658441558442</c:v>
                </c:pt>
                <c:pt idx="79">
                  <c:v>59.3866883116883</c:v>
                </c:pt>
                <c:pt idx="80">
                  <c:v>59.5075324675325</c:v>
                </c:pt>
                <c:pt idx="81">
                  <c:v>59.6283766233766</c:v>
                </c:pt>
                <c:pt idx="82">
                  <c:v>59.7492207792208</c:v>
                </c:pt>
                <c:pt idx="83">
                  <c:v>59.8700649350649</c:v>
                </c:pt>
                <c:pt idx="84">
                  <c:v>59.9909090909091</c:v>
                </c:pt>
                <c:pt idx="85">
                  <c:v>60.1117532467533</c:v>
                </c:pt>
                <c:pt idx="86">
                  <c:v>60.2325974025974</c:v>
                </c:pt>
                <c:pt idx="87">
                  <c:v>60.3534415584416</c:v>
                </c:pt>
                <c:pt idx="88">
                  <c:v>60.4742857142857</c:v>
                </c:pt>
                <c:pt idx="89">
                  <c:v>60.5951298701299</c:v>
                </c:pt>
                <c:pt idx="90">
                  <c:v>60.715974025974</c:v>
                </c:pt>
                <c:pt idx="91">
                  <c:v>60.8368181818182</c:v>
                </c:pt>
                <c:pt idx="92">
                  <c:v>60.9576623376623</c:v>
                </c:pt>
                <c:pt idx="93">
                  <c:v>61.0785064935065</c:v>
                </c:pt>
                <c:pt idx="94">
                  <c:v>61.1993506493507</c:v>
                </c:pt>
                <c:pt idx="95">
                  <c:v>61.3201948051948</c:v>
                </c:pt>
                <c:pt idx="96">
                  <c:v>61.441038961039</c:v>
                </c:pt>
                <c:pt idx="97">
                  <c:v>61.5618831168831</c:v>
                </c:pt>
                <c:pt idx="98">
                  <c:v>61.6827272727273</c:v>
                </c:pt>
                <c:pt idx="99">
                  <c:v>61.8035714285714</c:v>
                </c:pt>
                <c:pt idx="100">
                  <c:v>61.9244155844156</c:v>
                </c:pt>
                <c:pt idx="101">
                  <c:v>62.0452597402597</c:v>
                </c:pt>
                <c:pt idx="102">
                  <c:v>62.1661038961039</c:v>
                </c:pt>
                <c:pt idx="103">
                  <c:v>62.2869480519481</c:v>
                </c:pt>
                <c:pt idx="104">
                  <c:v>62.4077922077922</c:v>
                </c:pt>
                <c:pt idx="105">
                  <c:v>62.5286363636364</c:v>
                </c:pt>
                <c:pt idx="106">
                  <c:v>62.6494805194805</c:v>
                </c:pt>
                <c:pt idx="107">
                  <c:v>62.7703246753247</c:v>
                </c:pt>
                <c:pt idx="108">
                  <c:v>62.8911688311688</c:v>
                </c:pt>
                <c:pt idx="109">
                  <c:v>63.012012987013</c:v>
                </c:pt>
                <c:pt idx="110">
                  <c:v>63.1328571428571</c:v>
                </c:pt>
                <c:pt idx="111">
                  <c:v>63.2537012987013</c:v>
                </c:pt>
                <c:pt idx="112">
                  <c:v>63.3745454545455</c:v>
                </c:pt>
                <c:pt idx="113">
                  <c:v>63.4953896103896</c:v>
                </c:pt>
                <c:pt idx="114">
                  <c:v>63.6162337662338</c:v>
                </c:pt>
                <c:pt idx="115">
                  <c:v>63.7370779220779</c:v>
                </c:pt>
                <c:pt idx="116">
                  <c:v>63.8579220779221</c:v>
                </c:pt>
                <c:pt idx="117">
                  <c:v>63.9787662337662</c:v>
                </c:pt>
                <c:pt idx="118">
                  <c:v>64.0996103896104</c:v>
                </c:pt>
                <c:pt idx="119">
                  <c:v>64.2204545454546</c:v>
                </c:pt>
                <c:pt idx="120">
                  <c:v>64.3412987012987</c:v>
                </c:pt>
                <c:pt idx="121">
                  <c:v>64.4621428571429</c:v>
                </c:pt>
                <c:pt idx="122">
                  <c:v>64.582987012987</c:v>
                </c:pt>
                <c:pt idx="123">
                  <c:v>64.7038311688312</c:v>
                </c:pt>
                <c:pt idx="124">
                  <c:v>64.8246753246753</c:v>
                </c:pt>
                <c:pt idx="125">
                  <c:v>64.9455194805195</c:v>
                </c:pt>
                <c:pt idx="126">
                  <c:v>65.0663636363636</c:v>
                </c:pt>
                <c:pt idx="127">
                  <c:v>65.1872077922078</c:v>
                </c:pt>
                <c:pt idx="128">
                  <c:v>65.3080519480519</c:v>
                </c:pt>
                <c:pt idx="129">
                  <c:v>65.4288961038961</c:v>
                </c:pt>
                <c:pt idx="130">
                  <c:v>65.5497402597403</c:v>
                </c:pt>
                <c:pt idx="131">
                  <c:v>65.6705844155844</c:v>
                </c:pt>
                <c:pt idx="132">
                  <c:v>65.7914285714286</c:v>
                </c:pt>
                <c:pt idx="133">
                  <c:v>65.9122727272727</c:v>
                </c:pt>
                <c:pt idx="134">
                  <c:v>66.0331168831169</c:v>
                </c:pt>
                <c:pt idx="135">
                  <c:v>66.153961038961</c:v>
                </c:pt>
                <c:pt idx="136">
                  <c:v>66.2748051948052</c:v>
                </c:pt>
                <c:pt idx="137">
                  <c:v>66.3956493506494</c:v>
                </c:pt>
                <c:pt idx="138">
                  <c:v>66.5164935064935</c:v>
                </c:pt>
                <c:pt idx="139">
                  <c:v>66.6373376623377</c:v>
                </c:pt>
                <c:pt idx="140">
                  <c:v>66.7581818181818</c:v>
                </c:pt>
                <c:pt idx="141">
                  <c:v>66.879025974026</c:v>
                </c:pt>
                <c:pt idx="142">
                  <c:v>66.9998701298701</c:v>
                </c:pt>
                <c:pt idx="143">
                  <c:v>67.1207142857143</c:v>
                </c:pt>
                <c:pt idx="144">
                  <c:v>67.2415584415584</c:v>
                </c:pt>
                <c:pt idx="145">
                  <c:v>67.3624025974026</c:v>
                </c:pt>
                <c:pt idx="146">
                  <c:v>67.4832467532468</c:v>
                </c:pt>
                <c:pt idx="147">
                  <c:v>67.6040909090909</c:v>
                </c:pt>
                <c:pt idx="148">
                  <c:v>67.7249350649351</c:v>
                </c:pt>
                <c:pt idx="149">
                  <c:v>67.8457792207792</c:v>
                </c:pt>
                <c:pt idx="150">
                  <c:v>67.9666233766234</c:v>
                </c:pt>
                <c:pt idx="151">
                  <c:v>68.0874675324675</c:v>
                </c:pt>
                <c:pt idx="152">
                  <c:v>68.2083116883117</c:v>
                </c:pt>
                <c:pt idx="153">
                  <c:v>68.3291558441559</c:v>
                </c:pt>
                <c:pt idx="154">
                  <c:v>68.45</c:v>
                </c:pt>
              </c:numCache>
            </c:numRef>
          </c:val>
          <c:smooth val="0"/>
        </c:ser>
        <c:hiLowLines>
          <c:spPr>
            <a:ln w="0">
              <a:noFill/>
            </a:ln>
          </c:spPr>
        </c:hiLowLines>
        <c:marker val="0"/>
        <c:axId val="10949897"/>
        <c:axId val="54543892"/>
      </c:lineChart>
      <c:dateAx>
        <c:axId val="3945468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3711735"/>
        <c:auto val="1"/>
        <c:lblOffset val="100"/>
        <c:baseTimeUnit val="days"/>
      </c:dateAx>
      <c:valAx>
        <c:axId val="3371173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9454686"/>
        <c:crosses val="autoZero"/>
        <c:crossBetween val="between"/>
      </c:valAx>
      <c:dateAx>
        <c:axId val="1094989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4543892"/>
        <c:auto val="1"/>
        <c:lblOffset val="100"/>
        <c:baseTimeUnit val="days"/>
      </c:dateAx>
      <c:valAx>
        <c:axId val="5454389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094989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JEPQ</a:t>
            </a:r>
          </a:p>
        </c:rich>
      </c:tx>
      <c:overlay val="0"/>
      <c:spPr>
        <a:noFill/>
        <a:ln w="0">
          <a:noFill/>
        </a:ln>
      </c:spPr>
    </c:title>
    <c:autoTitleDeleted val="0"/>
    <c:plotArea>
      <c:barChart>
        <c:barDir val="col"/>
        <c:grouping val="clustered"/>
        <c:varyColors val="0"/>
        <c:ser>
          <c:idx val="0"/>
          <c:order val="0"/>
          <c:tx>
            <c:strRef>
              <c:f>'Returns (Calc)'!$R$2</c:f>
              <c:strCache>
                <c:ptCount val="1"/>
                <c:pt idx="0">
                  <c:v>JEPQ</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(Calc)'!$R$3:$R$157</c:f>
              <c:numCache>
                <c:formatCode>0.0%</c:formatCode>
                <c:ptCount val="155"/>
                <c:pt idx="0">
                  <c:v>-0.0186114596403179</c:v>
                </c:pt>
                <c:pt idx="1">
                  <c:v>0.0159812486682294</c:v>
                </c:pt>
                <c:pt idx="2">
                  <c:v>0.018246644295302</c:v>
                </c:pt>
                <c:pt idx="3">
                  <c:v>-0.00659114315139031</c:v>
                </c:pt>
                <c:pt idx="4">
                  <c:v>-0.000414679659962558</c:v>
                </c:pt>
                <c:pt idx="5">
                  <c:v>-0.0269653598838416</c:v>
                </c:pt>
                <c:pt idx="6">
                  <c:v>0.000426348326582948</c:v>
                </c:pt>
                <c:pt idx="7">
                  <c:v>0.0042616663115278</c:v>
                </c:pt>
                <c:pt idx="8">
                  <c:v>0.00275832802885634</c:v>
                </c:pt>
                <c:pt idx="9">
                  <c:v>-0.0198899703766399</c:v>
                </c:pt>
                <c:pt idx="10">
                  <c:v>-0.0207253886010363</c:v>
                </c:pt>
                <c:pt idx="11">
                  <c:v>0.0476190476190477</c:v>
                </c:pt>
                <c:pt idx="12">
                  <c:v>0.0208333333333333</c:v>
                </c:pt>
                <c:pt idx="13">
                  <c:v>0.00948258091115228</c:v>
                </c:pt>
                <c:pt idx="14">
                  <c:v>0.00530937308556245</c:v>
                </c:pt>
                <c:pt idx="15">
                  <c:v>-0.00670322973796467</c:v>
                </c:pt>
                <c:pt idx="16">
                  <c:v>0.00736196319018401</c:v>
                </c:pt>
                <c:pt idx="17">
                  <c:v>0.0150223304912709</c:v>
                </c:pt>
                <c:pt idx="18">
                  <c:v>0.00319999999999987</c:v>
                </c:pt>
                <c:pt idx="19">
                  <c:v>-0.00458532695374792</c:v>
                </c:pt>
                <c:pt idx="20">
                  <c:v>-0.0156218706188664</c:v>
                </c:pt>
                <c:pt idx="21">
                  <c:v>0.0272634791454731</c:v>
                </c:pt>
                <c:pt idx="22">
                  <c:v>0.017825311942959</c:v>
                </c:pt>
                <c:pt idx="23">
                  <c:v>0.00778361548939488</c:v>
                </c:pt>
                <c:pt idx="24">
                  <c:v>0.00289631202934926</c:v>
                </c:pt>
                <c:pt idx="25">
                  <c:v>0.0105891413169041</c:v>
                </c:pt>
                <c:pt idx="26">
                  <c:v>-0.00323871213564497</c:v>
                </c:pt>
                <c:pt idx="27">
                  <c:v>0.0126146788990824</c:v>
                </c:pt>
                <c:pt idx="28">
                  <c:v>0.00528501321253305</c:v>
                </c:pt>
                <c:pt idx="29">
                  <c:v>-0.00131430717236203</c:v>
                </c:pt>
                <c:pt idx="30">
                  <c:v>-0.00526414739612713</c:v>
                </c:pt>
                <c:pt idx="31">
                  <c:v>0.0255150255150256</c:v>
                </c:pt>
                <c:pt idx="32">
                  <c:v>-0.000368595650571235</c:v>
                </c:pt>
                <c:pt idx="33">
                  <c:v>-0.0119837758112095</c:v>
                </c:pt>
                <c:pt idx="34">
                  <c:v>-0.0035454375816385</c:v>
                </c:pt>
                <c:pt idx="35">
                  <c:v>-0.047940074906367</c:v>
                </c:pt>
                <c:pt idx="36">
                  <c:v>0.0357985837922894</c:v>
                </c:pt>
                <c:pt idx="37">
                  <c:v>0.00170907709836698</c:v>
                </c:pt>
                <c:pt idx="38">
                  <c:v>0.0138388625592416</c:v>
                </c:pt>
                <c:pt idx="39">
                  <c:v>0.011967090501122</c:v>
                </c:pt>
                <c:pt idx="40">
                  <c:v>0.00480413895048049</c:v>
                </c:pt>
                <c:pt idx="41">
                  <c:v>-0.00349393159249733</c:v>
                </c:pt>
                <c:pt idx="42">
                  <c:v>0.00553607676693124</c:v>
                </c:pt>
                <c:pt idx="43">
                  <c:v>0.0126628739218204</c:v>
                </c:pt>
                <c:pt idx="44">
                  <c:v>0.00108735048930786</c:v>
                </c:pt>
                <c:pt idx="45">
                  <c:v>0.00470673425054313</c:v>
                </c:pt>
                <c:pt idx="46">
                  <c:v>0.006846846846847</c:v>
                </c:pt>
                <c:pt idx="47">
                  <c:v>-0.000715819613457347</c:v>
                </c:pt>
                <c:pt idx="48">
                  <c:v>-0.0295487106017193</c:v>
                </c:pt>
                <c:pt idx="49">
                  <c:v>-0.0226979147444177</c:v>
                </c:pt>
                <c:pt idx="50">
                  <c:v>-0.0343655589123867</c:v>
                </c:pt>
                <c:pt idx="51">
                  <c:v>0.00293312475557284</c:v>
                </c:pt>
                <c:pt idx="52">
                  <c:v>0.0421134724117762</c:v>
                </c:pt>
                <c:pt idx="53">
                  <c:v>0.00841908325537877</c:v>
                </c:pt>
                <c:pt idx="54">
                  <c:v>0.00333951762523199</c:v>
                </c:pt>
                <c:pt idx="55">
                  <c:v>-0.0502958579881657</c:v>
                </c:pt>
                <c:pt idx="56">
                  <c:v>0.0465342679127725</c:v>
                </c:pt>
                <c:pt idx="57">
                  <c:v>0.0122790697674418</c:v>
                </c:pt>
                <c:pt idx="58">
                  <c:v>0.00716780003675788</c:v>
                </c:pt>
                <c:pt idx="59">
                  <c:v>-0.00784671532846715</c:v>
                </c:pt>
                <c:pt idx="60">
                  <c:v>0.00901232297222743</c:v>
                </c:pt>
                <c:pt idx="61">
                  <c:v>0.00747356908494345</c:v>
                </c:pt>
                <c:pt idx="62">
                  <c:v>0.0023520897412701</c:v>
                </c:pt>
                <c:pt idx="63">
                  <c:v>-0.0173285198555957</c:v>
                </c:pt>
                <c:pt idx="64">
                  <c:v>0.038574577516532</c:v>
                </c:pt>
                <c:pt idx="65">
                  <c:v>-0.0164485320127343</c:v>
                </c:pt>
                <c:pt idx="66">
                  <c:v>0.0172630821794642</c:v>
                </c:pt>
                <c:pt idx="67">
                  <c:v>0.00919215131695261</c:v>
                </c:pt>
                <c:pt idx="68">
                  <c:v>0.00928358731826928</c:v>
                </c:pt>
                <c:pt idx="69">
                  <c:v>0.00399166955918084</c:v>
                </c:pt>
                <c:pt idx="70">
                  <c:v>-0.0112359550561798</c:v>
                </c:pt>
                <c:pt idx="71">
                  <c:v>0.00944055944055933</c:v>
                </c:pt>
                <c:pt idx="72">
                  <c:v>-0.0114305507447178</c:v>
                </c:pt>
                <c:pt idx="73">
                  <c:v>-0.0192711983181499</c:v>
                </c:pt>
                <c:pt idx="74">
                  <c:v>0.0230439442658092</c:v>
                </c:pt>
                <c:pt idx="75">
                  <c:v>0.0139689191548804</c:v>
                </c:pt>
                <c:pt idx="76">
                  <c:v>-0.0103323574995695</c:v>
                </c:pt>
                <c:pt idx="77">
                  <c:v>-0.00522011484252649</c:v>
                </c:pt>
                <c:pt idx="78">
                  <c:v>0.0192408605912191</c:v>
                </c:pt>
                <c:pt idx="79">
                  <c:v>-0.0120130427321092</c:v>
                </c:pt>
                <c:pt idx="80">
                  <c:v>-0.0276185513288172</c:v>
                </c:pt>
                <c:pt idx="81">
                  <c:v>-0.0396570203644159</c:v>
                </c:pt>
                <c:pt idx="82">
                  <c:v>-0.0213913690476191</c:v>
                </c:pt>
                <c:pt idx="83">
                  <c:v>0.00361148070708994</c:v>
                </c:pt>
                <c:pt idx="84">
                  <c:v>-0.0187499999999999</c:v>
                </c:pt>
                <c:pt idx="85">
                  <c:v>-0.100559737502413</c:v>
                </c:pt>
                <c:pt idx="86">
                  <c:v>0.0630901287553647</c:v>
                </c:pt>
                <c:pt idx="87">
                  <c:v>-0.0161485668146951</c:v>
                </c:pt>
                <c:pt idx="88">
                  <c:v>0.0482150184653263</c:v>
                </c:pt>
                <c:pt idx="89">
                  <c:v>0.00782932080641996</c:v>
                </c:pt>
                <c:pt idx="90">
                  <c:v>0.00271897455816661</c:v>
                </c:pt>
                <c:pt idx="91">
                  <c:v>0.0172380398992833</c:v>
                </c:pt>
                <c:pt idx="92">
                  <c:v>-0.00913937547600918</c:v>
                </c:pt>
                <c:pt idx="93">
                  <c:v>0.0113374327440432</c:v>
                </c:pt>
                <c:pt idx="94">
                  <c:v>0.00133003990119707</c:v>
                </c:pt>
                <c:pt idx="95">
                  <c:v>-0.00208728652751422</c:v>
                </c:pt>
                <c:pt idx="96">
                  <c:v>0.00304240349876395</c:v>
                </c:pt>
                <c:pt idx="97">
                  <c:v>0.0288151658767772</c:v>
                </c:pt>
                <c:pt idx="98">
                  <c:v>-0.00202690252441506</c:v>
                </c:pt>
                <c:pt idx="99">
                  <c:v>0.00369276218611536</c:v>
                </c:pt>
                <c:pt idx="100">
                  <c:v>0.00607064017660042</c:v>
                </c:pt>
                <c:pt idx="101">
                  <c:v>0.00713110257816796</c:v>
                </c:pt>
                <c:pt idx="102">
                  <c:v>-0.0230573710965867</c:v>
                </c:pt>
                <c:pt idx="103">
                  <c:v>0.0280616985690392</c:v>
                </c:pt>
                <c:pt idx="104">
                  <c:v>0.00867678958785234</c:v>
                </c:pt>
                <c:pt idx="105">
                  <c:v>-0.00232974910394257</c:v>
                </c:pt>
                <c:pt idx="106">
                  <c:v>0.000179629962277605</c:v>
                </c:pt>
                <c:pt idx="107">
                  <c:v>0.00179597701149437</c:v>
                </c:pt>
                <c:pt idx="108">
                  <c:v>0.0136249551810685</c:v>
                </c:pt>
                <c:pt idx="109">
                  <c:v>0.0109656880084896</c:v>
                </c:pt>
                <c:pt idx="110">
                  <c:v>0.00157452764170762</c:v>
                </c:pt>
                <c:pt idx="111">
                  <c:v>0.00052401746724895</c:v>
                </c:pt>
                <c:pt idx="112">
                  <c:v>-0.0165851955307264</c:v>
                </c:pt>
                <c:pt idx="113">
                  <c:v>0.0204154091958104</c:v>
                </c:pt>
                <c:pt idx="114">
                  <c:v>0.0186151704940849</c:v>
                </c:pt>
                <c:pt idx="115">
                  <c:v>0.00939368061485912</c:v>
                </c:pt>
                <c:pt idx="116">
                  <c:v>-0.0235194585448393</c:v>
                </c:pt>
                <c:pt idx="117">
                  <c:v>0.00190608213481203</c:v>
                </c:pt>
                <c:pt idx="118">
                  <c:v>-0.0273261847111725</c:v>
                </c:pt>
                <c:pt idx="119">
                  <c:v>0.045697012802276</c:v>
                </c:pt>
                <c:pt idx="120">
                  <c:v>0.000170039108994935</c:v>
                </c:pt>
                <c:pt idx="121">
                  <c:v>-0.0108806528391704</c:v>
                </c:pt>
                <c:pt idx="122">
                  <c:v>0.00756273633551041</c:v>
                </c:pt>
                <c:pt idx="123">
                  <c:v>0.0122824974411464</c:v>
                </c:pt>
                <c:pt idx="124">
                  <c:v>-0.0210650488709134</c:v>
                </c:pt>
                <c:pt idx="125">
                  <c:v>0.0184196935789291</c:v>
                </c:pt>
                <c:pt idx="126">
                  <c:v>-0.00405679513184576</c:v>
                </c:pt>
                <c:pt idx="127">
                  <c:v>0.00509164969450104</c:v>
                </c:pt>
                <c:pt idx="128">
                  <c:v>0.00354609929078009</c:v>
                </c:pt>
                <c:pt idx="129">
                  <c:v>-0.0232205956587582</c:v>
                </c:pt>
                <c:pt idx="130">
                  <c:v>-0.00930232558139532</c:v>
                </c:pt>
                <c:pt idx="131">
                  <c:v>0.0111284993914103</c:v>
                </c:pt>
                <c:pt idx="132">
                  <c:v>-0.00189165950128978</c:v>
                </c:pt>
                <c:pt idx="133">
                  <c:v>-0.0205031013094418</c:v>
                </c:pt>
                <c:pt idx="134">
                  <c:v>-0.00510114335971856</c:v>
                </c:pt>
                <c:pt idx="135">
                  <c:v>-0.0141442715700142</c:v>
                </c:pt>
                <c:pt idx="136">
                  <c:v>-0.0292324246771879</c:v>
                </c:pt>
                <c:pt idx="137">
                  <c:v>0.026972104193608</c:v>
                </c:pt>
                <c:pt idx="138">
                  <c:v>0.0365173592372727</c:v>
                </c:pt>
                <c:pt idx="139">
                  <c:v>0.0180492884415133</c:v>
                </c:pt>
                <c:pt idx="140">
                  <c:v>0.00562563927719073</c:v>
                </c:pt>
                <c:pt idx="141">
                  <c:v>-0.00220376334972039</c:v>
                </c:pt>
                <c:pt idx="142">
                  <c:v>0.0127420998980632</c:v>
                </c:pt>
                <c:pt idx="143">
                  <c:v>0.00268411340379138</c:v>
                </c:pt>
                <c:pt idx="144">
                  <c:v>0.00736155261837035</c:v>
                </c:pt>
                <c:pt idx="145">
                  <c:v>0.0156120245806344</c:v>
                </c:pt>
                <c:pt idx="146">
                  <c:v>-0.0367947669664759</c:v>
                </c:pt>
                <c:pt idx="147">
                  <c:v>0.0162988115449916</c:v>
                </c:pt>
                <c:pt idx="148">
                  <c:v>0.0247243568326094</c:v>
                </c:pt>
                <c:pt idx="149">
                  <c:v>-0.0313009455493969</c:v>
                </c:pt>
                <c:pt idx="150">
                  <c:v>-0.000504880511612238</c:v>
                </c:pt>
                <c:pt idx="151">
                  <c:v>0.0188583936689677</c:v>
                </c:pt>
                <c:pt idx="152">
                  <c:v>-0.0330523880350355</c:v>
                </c:pt>
                <c:pt idx="153">
                  <c:v>-0.0094001025465732</c:v>
                </c:pt>
                <c:pt idx="154">
                  <c:v>0.00500345065562446</c:v>
                </c:pt>
              </c:numCache>
            </c:numRef>
          </c:val>
        </c:ser>
        <c:gapWidth val="150"/>
        <c:overlap val="0"/>
        <c:axId val="19650672"/>
        <c:axId val="19115382"/>
      </c:barChart>
      <c:lineChart>
        <c:grouping val="standard"/>
        <c:varyColors val="0"/>
        <c:ser>
          <c:idx val="1"/>
          <c:order val="1"/>
          <c:tx>
            <c:strRef>
              <c:f>'Returns (Calc)'!$AL$2</c:f>
              <c:strCache>
                <c:ptCount val="1"/>
                <c:pt idx="0">
                  <c:v>JEPQ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(Calc)'!$AL$3:$AL$157</c:f>
              <c:numCache>
                <c:formatCode>#,##0.00</c:formatCode>
                <c:ptCount val="155"/>
                <c:pt idx="0">
                  <c:v>47.82</c:v>
                </c:pt>
                <c:pt idx="1">
                  <c:v>47.8877272727273</c:v>
                </c:pt>
                <c:pt idx="2">
                  <c:v>47.9554545454545</c:v>
                </c:pt>
                <c:pt idx="3">
                  <c:v>48.0231818181818</c:v>
                </c:pt>
                <c:pt idx="4">
                  <c:v>48.0909090909091</c:v>
                </c:pt>
                <c:pt idx="5">
                  <c:v>48.1586363636364</c:v>
                </c:pt>
                <c:pt idx="6">
                  <c:v>48.2263636363636</c:v>
                </c:pt>
                <c:pt idx="7">
                  <c:v>48.2940909090909</c:v>
                </c:pt>
                <c:pt idx="8">
                  <c:v>48.3618181818182</c:v>
                </c:pt>
                <c:pt idx="9">
                  <c:v>48.4295454545455</c:v>
                </c:pt>
                <c:pt idx="10">
                  <c:v>48.4972727272727</c:v>
                </c:pt>
                <c:pt idx="11">
                  <c:v>48.565</c:v>
                </c:pt>
                <c:pt idx="12">
                  <c:v>48.6327272727273</c:v>
                </c:pt>
                <c:pt idx="13">
                  <c:v>48.7004545454546</c:v>
                </c:pt>
                <c:pt idx="14">
                  <c:v>48.7681818181818</c:v>
                </c:pt>
                <c:pt idx="15">
                  <c:v>48.8359090909091</c:v>
                </c:pt>
                <c:pt idx="16">
                  <c:v>48.9036363636364</c:v>
                </c:pt>
                <c:pt idx="17">
                  <c:v>48.9713636363636</c:v>
                </c:pt>
                <c:pt idx="18">
                  <c:v>49.0390909090909</c:v>
                </c:pt>
                <c:pt idx="19">
                  <c:v>49.1068181818182</c:v>
                </c:pt>
                <c:pt idx="20">
                  <c:v>49.1745454545455</c:v>
                </c:pt>
                <c:pt idx="21">
                  <c:v>49.2422727272727</c:v>
                </c:pt>
                <c:pt idx="22">
                  <c:v>49.31</c:v>
                </c:pt>
                <c:pt idx="23">
                  <c:v>49.3777272727273</c:v>
                </c:pt>
                <c:pt idx="24">
                  <c:v>49.4454545454545</c:v>
                </c:pt>
                <c:pt idx="25">
                  <c:v>49.5131818181818</c:v>
                </c:pt>
                <c:pt idx="26">
                  <c:v>49.5809090909091</c:v>
                </c:pt>
                <c:pt idx="27">
                  <c:v>49.6486363636364</c:v>
                </c:pt>
                <c:pt idx="28">
                  <c:v>49.7163636363636</c:v>
                </c:pt>
                <c:pt idx="29">
                  <c:v>49.7840909090909</c:v>
                </c:pt>
                <c:pt idx="30">
                  <c:v>49.8518181818182</c:v>
                </c:pt>
                <c:pt idx="31">
                  <c:v>49.9195454545455</c:v>
                </c:pt>
                <c:pt idx="32">
                  <c:v>49.9872727272727</c:v>
                </c:pt>
                <c:pt idx="33">
                  <c:v>50.055</c:v>
                </c:pt>
                <c:pt idx="34">
                  <c:v>50.1227272727273</c:v>
                </c:pt>
                <c:pt idx="35">
                  <c:v>50.1904545454545</c:v>
                </c:pt>
                <c:pt idx="36">
                  <c:v>50.2581818181818</c:v>
                </c:pt>
                <c:pt idx="37">
                  <c:v>50.3259090909091</c:v>
                </c:pt>
                <c:pt idx="38">
                  <c:v>50.3936363636364</c:v>
                </c:pt>
                <c:pt idx="39">
                  <c:v>50.4613636363636</c:v>
                </c:pt>
                <c:pt idx="40">
                  <c:v>50.5290909090909</c:v>
                </c:pt>
                <c:pt idx="41">
                  <c:v>50.5968181818182</c:v>
                </c:pt>
                <c:pt idx="42">
                  <c:v>50.6645454545455</c:v>
                </c:pt>
                <c:pt idx="43">
                  <c:v>50.7322727272727</c:v>
                </c:pt>
                <c:pt idx="44">
                  <c:v>50.8</c:v>
                </c:pt>
                <c:pt idx="45">
                  <c:v>50.8677272727273</c:v>
                </c:pt>
                <c:pt idx="46">
                  <c:v>50.9354545454546</c:v>
                </c:pt>
                <c:pt idx="47">
                  <c:v>51.0031818181818</c:v>
                </c:pt>
                <c:pt idx="48">
                  <c:v>51.0709090909091</c:v>
                </c:pt>
                <c:pt idx="49">
                  <c:v>51.1386363636364</c:v>
                </c:pt>
                <c:pt idx="50">
                  <c:v>51.2063636363636</c:v>
                </c:pt>
                <c:pt idx="51">
                  <c:v>51.2740909090909</c:v>
                </c:pt>
                <c:pt idx="52">
                  <c:v>51.3418181818182</c:v>
                </c:pt>
                <c:pt idx="53">
                  <c:v>51.4095454545455</c:v>
                </c:pt>
                <c:pt idx="54">
                  <c:v>51.4772727272727</c:v>
                </c:pt>
                <c:pt idx="55">
                  <c:v>51.545</c:v>
                </c:pt>
                <c:pt idx="56">
                  <c:v>51.6127272727273</c:v>
                </c:pt>
                <c:pt idx="57">
                  <c:v>51.6804545454545</c:v>
                </c:pt>
                <c:pt idx="58">
                  <c:v>51.7481818181818</c:v>
                </c:pt>
                <c:pt idx="59">
                  <c:v>51.8159090909091</c:v>
                </c:pt>
                <c:pt idx="60">
                  <c:v>51.8836363636364</c:v>
                </c:pt>
                <c:pt idx="61">
                  <c:v>51.9513636363636</c:v>
                </c:pt>
                <c:pt idx="62">
                  <c:v>52.0190909090909</c:v>
                </c:pt>
                <c:pt idx="63">
                  <c:v>52.0868181818182</c:v>
                </c:pt>
                <c:pt idx="64">
                  <c:v>52.1545454545455</c:v>
                </c:pt>
                <c:pt idx="65">
                  <c:v>52.2222727272727</c:v>
                </c:pt>
                <c:pt idx="66">
                  <c:v>52.29</c:v>
                </c:pt>
                <c:pt idx="67">
                  <c:v>52.3577272727273</c:v>
                </c:pt>
                <c:pt idx="68">
                  <c:v>52.4254545454546</c:v>
                </c:pt>
                <c:pt idx="69">
                  <c:v>52.4931818181818</c:v>
                </c:pt>
                <c:pt idx="70">
                  <c:v>52.5609090909091</c:v>
                </c:pt>
                <c:pt idx="71">
                  <c:v>52.6286363636364</c:v>
                </c:pt>
                <c:pt idx="72">
                  <c:v>52.6963636363636</c:v>
                </c:pt>
                <c:pt idx="73">
                  <c:v>52.7640909090909</c:v>
                </c:pt>
                <c:pt idx="74">
                  <c:v>52.8318181818182</c:v>
                </c:pt>
                <c:pt idx="75">
                  <c:v>52.8995454545455</c:v>
                </c:pt>
                <c:pt idx="76">
                  <c:v>52.9672727272727</c:v>
                </c:pt>
                <c:pt idx="77">
                  <c:v>53.035</c:v>
                </c:pt>
                <c:pt idx="78">
                  <c:v>53.1027272727273</c:v>
                </c:pt>
                <c:pt idx="79">
                  <c:v>53.1704545454546</c:v>
                </c:pt>
                <c:pt idx="80">
                  <c:v>53.2381818181818</c:v>
                </c:pt>
                <c:pt idx="81">
                  <c:v>53.3059090909091</c:v>
                </c:pt>
                <c:pt idx="82">
                  <c:v>53.3736363636364</c:v>
                </c:pt>
                <c:pt idx="83">
                  <c:v>53.4413636363636</c:v>
                </c:pt>
                <c:pt idx="84">
                  <c:v>53.5090909090909</c:v>
                </c:pt>
                <c:pt idx="85">
                  <c:v>53.5768181818182</c:v>
                </c:pt>
                <c:pt idx="86">
                  <c:v>53.6445454545455</c:v>
                </c:pt>
                <c:pt idx="87">
                  <c:v>53.7122727272727</c:v>
                </c:pt>
                <c:pt idx="88">
                  <c:v>53.78</c:v>
                </c:pt>
                <c:pt idx="89">
                  <c:v>53.8477272727273</c:v>
                </c:pt>
                <c:pt idx="90">
                  <c:v>53.9154545454545</c:v>
                </c:pt>
                <c:pt idx="91">
                  <c:v>53.9831818181818</c:v>
                </c:pt>
                <c:pt idx="92">
                  <c:v>54.0509090909091</c:v>
                </c:pt>
                <c:pt idx="93">
                  <c:v>54.1186363636364</c:v>
                </c:pt>
                <c:pt idx="94">
                  <c:v>54.1863636363636</c:v>
                </c:pt>
                <c:pt idx="95">
                  <c:v>54.2540909090909</c:v>
                </c:pt>
                <c:pt idx="96">
                  <c:v>54.3218181818182</c:v>
                </c:pt>
                <c:pt idx="97">
                  <c:v>54.3895454545455</c:v>
                </c:pt>
                <c:pt idx="98">
                  <c:v>54.4572727272727</c:v>
                </c:pt>
                <c:pt idx="99">
                  <c:v>54.525</c:v>
                </c:pt>
                <c:pt idx="100">
                  <c:v>54.5927272727273</c:v>
                </c:pt>
                <c:pt idx="101">
                  <c:v>54.6604545454546</c:v>
                </c:pt>
                <c:pt idx="102">
                  <c:v>54.7281818181818</c:v>
                </c:pt>
                <c:pt idx="103">
                  <c:v>54.7959090909091</c:v>
                </c:pt>
                <c:pt idx="104">
                  <c:v>54.8636363636364</c:v>
                </c:pt>
                <c:pt idx="105">
                  <c:v>54.9313636363636</c:v>
                </c:pt>
                <c:pt idx="106">
                  <c:v>54.9990909090909</c:v>
                </c:pt>
                <c:pt idx="107">
                  <c:v>55.0668181818182</c:v>
                </c:pt>
                <c:pt idx="108">
                  <c:v>55.1345454545455</c:v>
                </c:pt>
                <c:pt idx="109">
                  <c:v>55.2022727272727</c:v>
                </c:pt>
                <c:pt idx="110">
                  <c:v>55.27</c:v>
                </c:pt>
                <c:pt idx="111">
                  <c:v>55.3377272727273</c:v>
                </c:pt>
                <c:pt idx="112">
                  <c:v>55.4054545454545</c:v>
                </c:pt>
                <c:pt idx="113">
                  <c:v>55.4731818181818</c:v>
                </c:pt>
                <c:pt idx="114">
                  <c:v>55.5409090909091</c:v>
                </c:pt>
                <c:pt idx="115">
                  <c:v>55.6086363636364</c:v>
                </c:pt>
                <c:pt idx="116">
                  <c:v>55.6763636363636</c:v>
                </c:pt>
                <c:pt idx="117">
                  <c:v>55.7440909090909</c:v>
                </c:pt>
                <c:pt idx="118">
                  <c:v>55.8118181818182</c:v>
                </c:pt>
                <c:pt idx="119">
                  <c:v>55.8795454545455</c:v>
                </c:pt>
                <c:pt idx="120">
                  <c:v>55.9472727272727</c:v>
                </c:pt>
                <c:pt idx="121">
                  <c:v>56.015</c:v>
                </c:pt>
                <c:pt idx="122">
                  <c:v>56.0827272727273</c:v>
                </c:pt>
                <c:pt idx="123">
                  <c:v>56.1504545454546</c:v>
                </c:pt>
                <c:pt idx="124">
                  <c:v>56.2181818181818</c:v>
                </c:pt>
                <c:pt idx="125">
                  <c:v>56.2859090909091</c:v>
                </c:pt>
                <c:pt idx="126">
                  <c:v>56.3536363636364</c:v>
                </c:pt>
                <c:pt idx="127">
                  <c:v>56.4213636363636</c:v>
                </c:pt>
                <c:pt idx="128">
                  <c:v>56.4890909090909</c:v>
                </c:pt>
                <c:pt idx="129">
                  <c:v>56.5568181818182</c:v>
                </c:pt>
                <c:pt idx="130">
                  <c:v>56.6245454545455</c:v>
                </c:pt>
                <c:pt idx="131">
                  <c:v>56.6922727272727</c:v>
                </c:pt>
                <c:pt idx="132">
                  <c:v>56.76</c:v>
                </c:pt>
                <c:pt idx="133">
                  <c:v>56.8277272727273</c:v>
                </c:pt>
                <c:pt idx="134">
                  <c:v>56.8954545454545</c:v>
                </c:pt>
                <c:pt idx="135">
                  <c:v>56.9631818181818</c:v>
                </c:pt>
                <c:pt idx="136">
                  <c:v>57.0309090909091</c:v>
                </c:pt>
                <c:pt idx="137">
                  <c:v>57.0986363636364</c:v>
                </c:pt>
                <c:pt idx="138">
                  <c:v>57.1663636363636</c:v>
                </c:pt>
                <c:pt idx="139">
                  <c:v>57.2340909090909</c:v>
                </c:pt>
                <c:pt idx="140">
                  <c:v>57.3018181818182</c:v>
                </c:pt>
                <c:pt idx="141">
                  <c:v>57.3695454545455</c:v>
                </c:pt>
                <c:pt idx="142">
                  <c:v>57.4372727272727</c:v>
                </c:pt>
                <c:pt idx="143">
                  <c:v>57.505</c:v>
                </c:pt>
                <c:pt idx="144">
                  <c:v>57.5727272727273</c:v>
                </c:pt>
                <c:pt idx="145">
                  <c:v>57.6404545454546</c:v>
                </c:pt>
                <c:pt idx="146">
                  <c:v>57.7081818181818</c:v>
                </c:pt>
                <c:pt idx="147">
                  <c:v>57.7759090909091</c:v>
                </c:pt>
                <c:pt idx="148">
                  <c:v>57.8436363636364</c:v>
                </c:pt>
                <c:pt idx="149">
                  <c:v>57.9113636363636</c:v>
                </c:pt>
                <c:pt idx="150">
                  <c:v>57.9790909090909</c:v>
                </c:pt>
                <c:pt idx="151">
                  <c:v>58.0468181818182</c:v>
                </c:pt>
                <c:pt idx="152">
                  <c:v>58.1145454545455</c:v>
                </c:pt>
                <c:pt idx="153">
                  <c:v>58.1822727272727</c:v>
                </c:pt>
                <c:pt idx="154">
                  <c:v>58.25</c:v>
                </c:pt>
              </c:numCache>
            </c:numRef>
          </c:val>
          <c:smooth val="0"/>
        </c:ser>
        <c:hiLowLines>
          <c:spPr>
            <a:ln w="0">
              <a:noFill/>
            </a:ln>
          </c:spPr>
        </c:hiLowLines>
        <c:marker val="0"/>
        <c:axId val="99947850"/>
        <c:axId val="66246978"/>
      </c:lineChart>
      <c:dateAx>
        <c:axId val="1965067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9115382"/>
        <c:auto val="1"/>
        <c:lblOffset val="100"/>
        <c:baseTimeUnit val="days"/>
      </c:dateAx>
      <c:valAx>
        <c:axId val="1911538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9650672"/>
        <c:crosses val="autoZero"/>
        <c:crossBetween val="between"/>
      </c:valAx>
      <c:dateAx>
        <c:axId val="9994785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6246978"/>
        <c:auto val="1"/>
        <c:lblOffset val="100"/>
        <c:baseTimeUnit val="days"/>
      </c:dateAx>
      <c:valAx>
        <c:axId val="6624697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994785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SPMO</a:t>
            </a:r>
          </a:p>
        </c:rich>
      </c:tx>
      <c:overlay val="0"/>
      <c:spPr>
        <a:noFill/>
        <a:ln w="0">
          <a:noFill/>
        </a:ln>
      </c:spPr>
    </c:title>
    <c:autoTitleDeleted val="0"/>
    <c:plotArea>
      <c:barChart>
        <c:barDir val="col"/>
        <c:grouping val="clustered"/>
        <c:varyColors val="0"/>
        <c:ser>
          <c:idx val="0"/>
          <c:order val="0"/>
          <c:tx>
            <c:strRef>
              <c:f>'Returns (Calc)'!$S$2</c:f>
              <c:strCache>
                <c:ptCount val="1"/>
                <c:pt idx="0">
                  <c:v>SPMO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(Calc)'!$S$3:$S$157</c:f>
              <c:numCache>
                <c:formatCode>0.0%</c:formatCode>
                <c:ptCount val="155"/>
                <c:pt idx="0">
                  <c:v>-0.00837034506320467</c:v>
                </c:pt>
                <c:pt idx="1">
                  <c:v>-0.00275624461670965</c:v>
                </c:pt>
                <c:pt idx="2">
                  <c:v>0.0160649507686992</c:v>
                </c:pt>
                <c:pt idx="3">
                  <c:v>0.00595035702142122</c:v>
                </c:pt>
                <c:pt idx="4">
                  <c:v>0</c:v>
                </c:pt>
                <c:pt idx="5">
                  <c:v>-0.0288997802940679</c:v>
                </c:pt>
                <c:pt idx="6">
                  <c:v>-0.00313261399234255</c:v>
                </c:pt>
                <c:pt idx="7">
                  <c:v>0.011173184357542</c:v>
                </c:pt>
                <c:pt idx="8">
                  <c:v>0.00569751381215466</c:v>
                </c:pt>
                <c:pt idx="9">
                  <c:v>-0.0290128755364807</c:v>
                </c:pt>
                <c:pt idx="10">
                  <c:v>-0.0201555869872702</c:v>
                </c:pt>
                <c:pt idx="11">
                  <c:v>0.0582822085889569</c:v>
                </c:pt>
                <c:pt idx="12">
                  <c:v>0.0294970161977834</c:v>
                </c:pt>
                <c:pt idx="13">
                  <c:v>0.0216959258032461</c:v>
                </c:pt>
                <c:pt idx="14">
                  <c:v>0.00551142810828331</c:v>
                </c:pt>
                <c:pt idx="15">
                  <c:v>-0.00225697243269385</c:v>
                </c:pt>
                <c:pt idx="16">
                  <c:v>0.0037162708030376</c:v>
                </c:pt>
                <c:pt idx="17">
                  <c:v>0.0341274951706374</c:v>
                </c:pt>
                <c:pt idx="18">
                  <c:v>0.0124533001245333</c:v>
                </c:pt>
                <c:pt idx="19">
                  <c:v>0.00707257072570711</c:v>
                </c:pt>
                <c:pt idx="20">
                  <c:v>-0.0103816793893131</c:v>
                </c:pt>
                <c:pt idx="21">
                  <c:v>0.0311632212280162</c:v>
                </c:pt>
                <c:pt idx="22">
                  <c:v>0.0210951526032315</c:v>
                </c:pt>
                <c:pt idx="23">
                  <c:v>0.0161172161172161</c:v>
                </c:pt>
                <c:pt idx="24">
                  <c:v>0.0457101658255228</c:v>
                </c:pt>
                <c:pt idx="25">
                  <c:v>0.0238554881412025</c:v>
                </c:pt>
                <c:pt idx="26">
                  <c:v>0.00835016835016833</c:v>
                </c:pt>
                <c:pt idx="27">
                  <c:v>0.0224388940830773</c:v>
                </c:pt>
                <c:pt idx="28">
                  <c:v>0.0280862181580668</c:v>
                </c:pt>
                <c:pt idx="29">
                  <c:v>0.00381194409148655</c:v>
                </c:pt>
                <c:pt idx="30">
                  <c:v>-0.00518987341772148</c:v>
                </c:pt>
                <c:pt idx="31">
                  <c:v>0.028502353989057</c:v>
                </c:pt>
                <c:pt idx="32">
                  <c:v>-0.00754670295682292</c:v>
                </c:pt>
                <c:pt idx="33">
                  <c:v>0.00286711543256057</c:v>
                </c:pt>
                <c:pt idx="34">
                  <c:v>-0.0140459912989436</c:v>
                </c:pt>
                <c:pt idx="35">
                  <c:v>-0.0568582955118506</c:v>
                </c:pt>
                <c:pt idx="36">
                  <c:v>0.0300761930223232</c:v>
                </c:pt>
                <c:pt idx="37">
                  <c:v>0.00986244484817012</c:v>
                </c:pt>
                <c:pt idx="38">
                  <c:v>0.0222307890002571</c:v>
                </c:pt>
                <c:pt idx="39">
                  <c:v>0.0150848522941547</c:v>
                </c:pt>
                <c:pt idx="40">
                  <c:v>0.0194427244582043</c:v>
                </c:pt>
                <c:pt idx="41">
                  <c:v>-0.0109329446064139</c:v>
                </c:pt>
                <c:pt idx="42">
                  <c:v>0.0303365266519282</c:v>
                </c:pt>
                <c:pt idx="43">
                  <c:v>0.0421981165812375</c:v>
                </c:pt>
                <c:pt idx="44">
                  <c:v>-0.000800640512410022</c:v>
                </c:pt>
                <c:pt idx="45">
                  <c:v>0.00114468864468864</c:v>
                </c:pt>
                <c:pt idx="46">
                  <c:v>0.0309855934141323</c:v>
                </c:pt>
                <c:pt idx="47">
                  <c:v>-0.00199622934457144</c:v>
                </c:pt>
                <c:pt idx="48">
                  <c:v>-0.0404489387709746</c:v>
                </c:pt>
                <c:pt idx="49">
                  <c:v>-0.0188766647365373</c:v>
                </c:pt>
                <c:pt idx="50">
                  <c:v>-0.0297450424929178</c:v>
                </c:pt>
                <c:pt idx="51">
                  <c:v>0.0172749391727494</c:v>
                </c:pt>
                <c:pt idx="52">
                  <c:v>0.0570437694331498</c:v>
                </c:pt>
                <c:pt idx="53">
                  <c:v>0.0138024663423464</c:v>
                </c:pt>
                <c:pt idx="54">
                  <c:v>-0.00401740877134249</c:v>
                </c:pt>
                <c:pt idx="55">
                  <c:v>-0.059719887955182</c:v>
                </c:pt>
                <c:pt idx="56">
                  <c:v>0.061487130600572</c:v>
                </c:pt>
                <c:pt idx="57">
                  <c:v>0.0162775033677594</c:v>
                </c:pt>
                <c:pt idx="58">
                  <c:v>-0.00209875179498509</c:v>
                </c:pt>
                <c:pt idx="59">
                  <c:v>0.0149435466017267</c:v>
                </c:pt>
                <c:pt idx="60">
                  <c:v>0.021594503217363</c:v>
                </c:pt>
                <c:pt idx="61">
                  <c:v>0.00427031066510075</c:v>
                </c:pt>
                <c:pt idx="62">
                  <c:v>-0.0146699266503667</c:v>
                </c:pt>
                <c:pt idx="63">
                  <c:v>-0.0137015859315999</c:v>
                </c:pt>
                <c:pt idx="64">
                  <c:v>0.0598337344126012</c:v>
                </c:pt>
                <c:pt idx="65">
                  <c:v>-0.030859737847043</c:v>
                </c:pt>
                <c:pt idx="66">
                  <c:v>0.0178913738019169</c:v>
                </c:pt>
                <c:pt idx="67">
                  <c:v>0.0130780498012137</c:v>
                </c:pt>
                <c:pt idx="68">
                  <c:v>0.0193121966332748</c:v>
                </c:pt>
                <c:pt idx="69">
                  <c:v>-0.00942249240121584</c:v>
                </c:pt>
                <c:pt idx="70">
                  <c:v>-0.0223995090518564</c:v>
                </c:pt>
                <c:pt idx="71">
                  <c:v>0.0105670642393807</c:v>
                </c:pt>
                <c:pt idx="72">
                  <c:v>0.00310591158505025</c:v>
                </c:pt>
                <c:pt idx="73">
                  <c:v>-0.0135204871503768</c:v>
                </c:pt>
                <c:pt idx="74">
                  <c:v>0.0321196903117809</c:v>
                </c:pt>
                <c:pt idx="75">
                  <c:v>0.0271667511403952</c:v>
                </c:pt>
                <c:pt idx="76">
                  <c:v>-0.0127306819303266</c:v>
                </c:pt>
                <c:pt idx="77">
                  <c:v>0.0198920431827268</c:v>
                </c:pt>
                <c:pt idx="78">
                  <c:v>0.0100950700774283</c:v>
                </c:pt>
                <c:pt idx="79">
                  <c:v>-0.0305647195808267</c:v>
                </c:pt>
                <c:pt idx="80">
                  <c:v>-0.0011009908918026</c:v>
                </c:pt>
                <c:pt idx="81">
                  <c:v>-0.0527054108216432</c:v>
                </c:pt>
                <c:pt idx="82">
                  <c:v>-0.00719272265707649</c:v>
                </c:pt>
                <c:pt idx="83">
                  <c:v>0.00383549968037511</c:v>
                </c:pt>
                <c:pt idx="84">
                  <c:v>-0.0215453194650818</c:v>
                </c:pt>
                <c:pt idx="85">
                  <c:v>-0.107061503416857</c:v>
                </c:pt>
                <c:pt idx="86">
                  <c:v>0.0911078717201166</c:v>
                </c:pt>
                <c:pt idx="87">
                  <c:v>-0.0173680694722778</c:v>
                </c:pt>
                <c:pt idx="88">
                  <c:v>0.0652617267165192</c:v>
                </c:pt>
                <c:pt idx="89">
                  <c:v>0.0402042118698149</c:v>
                </c:pt>
                <c:pt idx="90">
                  <c:v>0.00695296523517386</c:v>
                </c:pt>
                <c:pt idx="91">
                  <c:v>0.0682372055239642</c:v>
                </c:pt>
                <c:pt idx="92">
                  <c:v>-0.0223384030418252</c:v>
                </c:pt>
                <c:pt idx="93">
                  <c:v>0.0243072435585805</c:v>
                </c:pt>
                <c:pt idx="94">
                  <c:v>0.0149027052681538</c:v>
                </c:pt>
                <c:pt idx="95">
                  <c:v>-0.00710811821922941</c:v>
                </c:pt>
                <c:pt idx="96">
                  <c:v>0.00706480783722685</c:v>
                </c:pt>
                <c:pt idx="97">
                  <c:v>0.0461135534561781</c:v>
                </c:pt>
                <c:pt idx="98">
                  <c:v>0.00599070100143062</c:v>
                </c:pt>
                <c:pt idx="99">
                  <c:v>-0.00302195360412416</c:v>
                </c:pt>
                <c:pt idx="100">
                  <c:v>0.014798965855398</c:v>
                </c:pt>
                <c:pt idx="101">
                  <c:v>0.0105420363700255</c:v>
                </c:pt>
                <c:pt idx="102">
                  <c:v>-0.0156480918021386</c:v>
                </c:pt>
                <c:pt idx="103">
                  <c:v>0.0349730636757042</c:v>
                </c:pt>
                <c:pt idx="104">
                  <c:v>0.00102397815513267</c:v>
                </c:pt>
                <c:pt idx="105">
                  <c:v>-0.00681953797630208</c:v>
                </c:pt>
                <c:pt idx="106">
                  <c:v>-0.000257488627585678</c:v>
                </c:pt>
                <c:pt idx="107">
                  <c:v>0.0048935439560438</c:v>
                </c:pt>
                <c:pt idx="108">
                  <c:v>0.0293037163605296</c:v>
                </c:pt>
                <c:pt idx="109">
                  <c:v>0.0120351925630811</c:v>
                </c:pt>
                <c:pt idx="110">
                  <c:v>-0.0110719265152137</c:v>
                </c:pt>
                <c:pt idx="111">
                  <c:v>-0.00406369215458613</c:v>
                </c:pt>
                <c:pt idx="112">
                  <c:v>-0.0132400699475393</c:v>
                </c:pt>
                <c:pt idx="113">
                  <c:v>0.0162025316455696</c:v>
                </c:pt>
                <c:pt idx="114">
                  <c:v>0.0107125062282012</c:v>
                </c:pt>
                <c:pt idx="115">
                  <c:v>-8.21625174594054E-005</c:v>
                </c:pt>
                <c:pt idx="116">
                  <c:v>-0.0260476581758422</c:v>
                </c:pt>
                <c:pt idx="117">
                  <c:v>-0.00590567788745466</c:v>
                </c:pt>
                <c:pt idx="118">
                  <c:v>-0.0299584146651957</c:v>
                </c:pt>
                <c:pt idx="119">
                  <c:v>0.0509186351706037</c:v>
                </c:pt>
                <c:pt idx="120">
                  <c:v>0.00607725607725596</c:v>
                </c:pt>
                <c:pt idx="121">
                  <c:v>-0.014480761274307</c:v>
                </c:pt>
                <c:pt idx="122">
                  <c:v>0.00361041141897567</c:v>
                </c:pt>
                <c:pt idx="123">
                  <c:v>0.0154772860369781</c:v>
                </c:pt>
                <c:pt idx="124">
                  <c:v>-0.014087988136431</c:v>
                </c:pt>
                <c:pt idx="125">
                  <c:v>0.00300827275006266</c:v>
                </c:pt>
                <c:pt idx="126">
                  <c:v>-0.000249937515621079</c:v>
                </c:pt>
                <c:pt idx="127">
                  <c:v>-0.0173333333333333</c:v>
                </c:pt>
                <c:pt idx="128">
                  <c:v>0.0165366350067844</c:v>
                </c:pt>
                <c:pt idx="129">
                  <c:v>-0.000250271127054336</c:v>
                </c:pt>
                <c:pt idx="130">
                  <c:v>-0.0132676902536716</c:v>
                </c:pt>
                <c:pt idx="131">
                  <c:v>0.01446088794926</c:v>
                </c:pt>
                <c:pt idx="132">
                  <c:v>-0.00408469489829944</c:v>
                </c:pt>
                <c:pt idx="133">
                  <c:v>-0.0102954716665272</c:v>
                </c:pt>
                <c:pt idx="134">
                  <c:v>-0.0174221921515561</c:v>
                </c:pt>
                <c:pt idx="135">
                  <c:v>-0.0206576002754347</c:v>
                </c:pt>
                <c:pt idx="136">
                  <c:v>-0.0304974512216558</c:v>
                </c:pt>
                <c:pt idx="137">
                  <c:v>0.0401595503580816</c:v>
                </c:pt>
                <c:pt idx="138">
                  <c:v>0.0749520655394806</c:v>
                </c:pt>
                <c:pt idx="139">
                  <c:v>0.0402140424841901</c:v>
                </c:pt>
                <c:pt idx="140">
                  <c:v>0.0250974279033516</c:v>
                </c:pt>
                <c:pt idx="141">
                  <c:v>0.0220498783454985</c:v>
                </c:pt>
                <c:pt idx="142">
                  <c:v>0.0698556762386551</c:v>
                </c:pt>
                <c:pt idx="143">
                  <c:v>-0.00229469438842922</c:v>
                </c:pt>
                <c:pt idx="144">
                  <c:v>0.0101756342347366</c:v>
                </c:pt>
                <c:pt idx="145">
                  <c:v>0.0389816475783082</c:v>
                </c:pt>
                <c:pt idx="146">
                  <c:v>-0.0419018527126636</c:v>
                </c:pt>
                <c:pt idx="147">
                  <c:v>0.0568339340171886</c:v>
                </c:pt>
                <c:pt idx="148">
                  <c:v>0.0486621196222457</c:v>
                </c:pt>
                <c:pt idx="149">
                  <c:v>-0.0356472795497187</c:v>
                </c:pt>
                <c:pt idx="150">
                  <c:v>-0.0218547341115433</c:v>
                </c:pt>
                <c:pt idx="151">
                  <c:v>0.0193595438573226</c:v>
                </c:pt>
                <c:pt idx="152">
                  <c:v>-0.0641300813008131</c:v>
                </c:pt>
                <c:pt idx="153">
                  <c:v>0.0182083536034472</c:v>
                </c:pt>
                <c:pt idx="154">
                  <c:v>-0.0182922667394716</c:v>
                </c:pt>
              </c:numCache>
            </c:numRef>
          </c:val>
        </c:ser>
        <c:gapWidth val="150"/>
        <c:overlap val="0"/>
        <c:axId val="10791665"/>
        <c:axId val="21893339"/>
      </c:barChart>
      <c:lineChart>
        <c:grouping val="standard"/>
        <c:varyColors val="0"/>
        <c:ser>
          <c:idx val="1"/>
          <c:order val="1"/>
          <c:tx>
            <c:strRef>
              <c:f>'Returns (Calc)'!$AM$2</c:f>
              <c:strCache>
                <c:ptCount val="1"/>
                <c:pt idx="0">
                  <c:v>SPMO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(Calc)'!$AM$3:$AM$157</c:f>
              <c:numCache>
                <c:formatCode>#,##0.00</c:formatCode>
                <c:ptCount val="155"/>
                <c:pt idx="0">
                  <c:v>58.54</c:v>
                </c:pt>
                <c:pt idx="1">
                  <c:v>59.0938311688312</c:v>
                </c:pt>
                <c:pt idx="2">
                  <c:v>59.6476623376623</c:v>
                </c:pt>
                <c:pt idx="3">
                  <c:v>60.2014935064935</c:v>
                </c:pt>
                <c:pt idx="4">
                  <c:v>60.7553246753247</c:v>
                </c:pt>
                <c:pt idx="5">
                  <c:v>61.3091558441558</c:v>
                </c:pt>
                <c:pt idx="6">
                  <c:v>61.862987012987</c:v>
                </c:pt>
                <c:pt idx="7">
                  <c:v>62.4168181818182</c:v>
                </c:pt>
                <c:pt idx="8">
                  <c:v>62.9706493506494</c:v>
                </c:pt>
                <c:pt idx="9">
                  <c:v>63.5244805194805</c:v>
                </c:pt>
                <c:pt idx="10">
                  <c:v>64.0783116883117</c:v>
                </c:pt>
                <c:pt idx="11">
                  <c:v>64.6321428571429</c:v>
                </c:pt>
                <c:pt idx="12">
                  <c:v>65.185974025974</c:v>
                </c:pt>
                <c:pt idx="13">
                  <c:v>65.7398051948052</c:v>
                </c:pt>
                <c:pt idx="14">
                  <c:v>66.2936363636364</c:v>
                </c:pt>
                <c:pt idx="15">
                  <c:v>66.8474675324675</c:v>
                </c:pt>
                <c:pt idx="16">
                  <c:v>67.4012987012987</c:v>
                </c:pt>
                <c:pt idx="17">
                  <c:v>67.9551298701298</c:v>
                </c:pt>
                <c:pt idx="18">
                  <c:v>68.5089610389611</c:v>
                </c:pt>
                <c:pt idx="19">
                  <c:v>69.0627922077922</c:v>
                </c:pt>
                <c:pt idx="20">
                  <c:v>69.6166233766234</c:v>
                </c:pt>
                <c:pt idx="21">
                  <c:v>70.1704545454545</c:v>
                </c:pt>
                <c:pt idx="22">
                  <c:v>70.7242857142857</c:v>
                </c:pt>
                <c:pt idx="23">
                  <c:v>71.2781168831169</c:v>
                </c:pt>
                <c:pt idx="24">
                  <c:v>71.8319480519481</c:v>
                </c:pt>
                <c:pt idx="25">
                  <c:v>72.3857792207792</c:v>
                </c:pt>
                <c:pt idx="26">
                  <c:v>72.9396103896104</c:v>
                </c:pt>
                <c:pt idx="27">
                  <c:v>73.4934415584415</c:v>
                </c:pt>
                <c:pt idx="28">
                  <c:v>74.0472727272727</c:v>
                </c:pt>
                <c:pt idx="29">
                  <c:v>74.6011038961039</c:v>
                </c:pt>
                <c:pt idx="30">
                  <c:v>75.1549350649351</c:v>
                </c:pt>
                <c:pt idx="31">
                  <c:v>75.7087662337662</c:v>
                </c:pt>
                <c:pt idx="32">
                  <c:v>76.2625974025974</c:v>
                </c:pt>
                <c:pt idx="33">
                  <c:v>76.8164285714286</c:v>
                </c:pt>
                <c:pt idx="34">
                  <c:v>77.3702597402598</c:v>
                </c:pt>
                <c:pt idx="35">
                  <c:v>77.9240909090909</c:v>
                </c:pt>
                <c:pt idx="36">
                  <c:v>78.4779220779221</c:v>
                </c:pt>
                <c:pt idx="37">
                  <c:v>79.0317532467532</c:v>
                </c:pt>
                <c:pt idx="38">
                  <c:v>79.5855844155844</c:v>
                </c:pt>
                <c:pt idx="39">
                  <c:v>80.1394155844156</c:v>
                </c:pt>
                <c:pt idx="40">
                  <c:v>80.6932467532468</c:v>
                </c:pt>
                <c:pt idx="41">
                  <c:v>81.2470779220779</c:v>
                </c:pt>
                <c:pt idx="42">
                  <c:v>81.8009090909091</c:v>
                </c:pt>
                <c:pt idx="43">
                  <c:v>82.3547402597402</c:v>
                </c:pt>
                <c:pt idx="44">
                  <c:v>82.9085714285715</c:v>
                </c:pt>
                <c:pt idx="45">
                  <c:v>83.4624025974026</c:v>
                </c:pt>
                <c:pt idx="46">
                  <c:v>84.0162337662338</c:v>
                </c:pt>
                <c:pt idx="47">
                  <c:v>84.5700649350649</c:v>
                </c:pt>
                <c:pt idx="48">
                  <c:v>85.1238961038961</c:v>
                </c:pt>
                <c:pt idx="49">
                  <c:v>85.6777272727273</c:v>
                </c:pt>
                <c:pt idx="50">
                  <c:v>86.2315584415585</c:v>
                </c:pt>
                <c:pt idx="51">
                  <c:v>86.7853896103896</c:v>
                </c:pt>
                <c:pt idx="52">
                  <c:v>87.3392207792208</c:v>
                </c:pt>
                <c:pt idx="53">
                  <c:v>87.893051948052</c:v>
                </c:pt>
                <c:pt idx="54">
                  <c:v>88.4468831168832</c:v>
                </c:pt>
                <c:pt idx="55">
                  <c:v>89.0007142857143</c:v>
                </c:pt>
                <c:pt idx="56">
                  <c:v>89.5545454545455</c:v>
                </c:pt>
                <c:pt idx="57">
                  <c:v>90.1083766233766</c:v>
                </c:pt>
                <c:pt idx="58">
                  <c:v>90.6622077922078</c:v>
                </c:pt>
                <c:pt idx="59">
                  <c:v>91.216038961039</c:v>
                </c:pt>
                <c:pt idx="60">
                  <c:v>91.7698701298702</c:v>
                </c:pt>
                <c:pt idx="61">
                  <c:v>92.3237012987013</c:v>
                </c:pt>
                <c:pt idx="62">
                  <c:v>92.8775324675325</c:v>
                </c:pt>
                <c:pt idx="63">
                  <c:v>93.4313636363636</c:v>
                </c:pt>
                <c:pt idx="64">
                  <c:v>93.9851948051949</c:v>
                </c:pt>
                <c:pt idx="65">
                  <c:v>94.539025974026</c:v>
                </c:pt>
                <c:pt idx="66">
                  <c:v>95.0928571428572</c:v>
                </c:pt>
                <c:pt idx="67">
                  <c:v>95.6466883116883</c:v>
                </c:pt>
                <c:pt idx="68">
                  <c:v>96.2005194805195</c:v>
                </c:pt>
                <c:pt idx="69">
                  <c:v>96.7543506493506</c:v>
                </c:pt>
                <c:pt idx="70">
                  <c:v>97.3081818181819</c:v>
                </c:pt>
                <c:pt idx="71">
                  <c:v>97.862012987013</c:v>
                </c:pt>
                <c:pt idx="72">
                  <c:v>98.4158441558442</c:v>
                </c:pt>
                <c:pt idx="73">
                  <c:v>98.9696753246753</c:v>
                </c:pt>
                <c:pt idx="74">
                  <c:v>99.5235064935066</c:v>
                </c:pt>
                <c:pt idx="75">
                  <c:v>100.077337662338</c:v>
                </c:pt>
                <c:pt idx="76">
                  <c:v>100.631168831169</c:v>
                </c:pt>
                <c:pt idx="77">
                  <c:v>101.185</c:v>
                </c:pt>
                <c:pt idx="78">
                  <c:v>101.738831168831</c:v>
                </c:pt>
                <c:pt idx="79">
                  <c:v>102.292662337662</c:v>
                </c:pt>
                <c:pt idx="80">
                  <c:v>102.846493506493</c:v>
                </c:pt>
                <c:pt idx="81">
                  <c:v>103.400324675325</c:v>
                </c:pt>
                <c:pt idx="82">
                  <c:v>103.954155844156</c:v>
                </c:pt>
                <c:pt idx="83">
                  <c:v>104.507987012987</c:v>
                </c:pt>
                <c:pt idx="84">
                  <c:v>105.061818181818</c:v>
                </c:pt>
                <c:pt idx="85">
                  <c:v>105.615649350649</c:v>
                </c:pt>
                <c:pt idx="86">
                  <c:v>106.16948051948</c:v>
                </c:pt>
                <c:pt idx="87">
                  <c:v>106.723311688312</c:v>
                </c:pt>
                <c:pt idx="88">
                  <c:v>107.277142857143</c:v>
                </c:pt>
                <c:pt idx="89">
                  <c:v>107.830974025974</c:v>
                </c:pt>
                <c:pt idx="90">
                  <c:v>108.384805194805</c:v>
                </c:pt>
                <c:pt idx="91">
                  <c:v>108.938636363636</c:v>
                </c:pt>
                <c:pt idx="92">
                  <c:v>109.492467532468</c:v>
                </c:pt>
                <c:pt idx="93">
                  <c:v>110.046298701299</c:v>
                </c:pt>
                <c:pt idx="94">
                  <c:v>110.60012987013</c:v>
                </c:pt>
                <c:pt idx="95">
                  <c:v>111.153961038961</c:v>
                </c:pt>
                <c:pt idx="96">
                  <c:v>111.707792207792</c:v>
                </c:pt>
                <c:pt idx="97">
                  <c:v>112.261623376623</c:v>
                </c:pt>
                <c:pt idx="98">
                  <c:v>112.815454545455</c:v>
                </c:pt>
                <c:pt idx="99">
                  <c:v>113.369285714286</c:v>
                </c:pt>
                <c:pt idx="100">
                  <c:v>113.923116883117</c:v>
                </c:pt>
                <c:pt idx="101">
                  <c:v>114.476948051948</c:v>
                </c:pt>
                <c:pt idx="102">
                  <c:v>115.030779220779</c:v>
                </c:pt>
                <c:pt idx="103">
                  <c:v>115.58461038961</c:v>
                </c:pt>
                <c:pt idx="104">
                  <c:v>116.138441558442</c:v>
                </c:pt>
                <c:pt idx="105">
                  <c:v>116.692272727273</c:v>
                </c:pt>
                <c:pt idx="106">
                  <c:v>117.246103896104</c:v>
                </c:pt>
                <c:pt idx="107">
                  <c:v>117.799935064935</c:v>
                </c:pt>
                <c:pt idx="108">
                  <c:v>118.353766233766</c:v>
                </c:pt>
                <c:pt idx="109">
                  <c:v>118.907597402597</c:v>
                </c:pt>
                <c:pt idx="110">
                  <c:v>119.461428571429</c:v>
                </c:pt>
                <c:pt idx="111">
                  <c:v>120.01525974026</c:v>
                </c:pt>
                <c:pt idx="112">
                  <c:v>120.569090909091</c:v>
                </c:pt>
                <c:pt idx="113">
                  <c:v>121.122922077922</c:v>
                </c:pt>
                <c:pt idx="114">
                  <c:v>121.676753246753</c:v>
                </c:pt>
                <c:pt idx="115">
                  <c:v>122.230584415584</c:v>
                </c:pt>
                <c:pt idx="116">
                  <c:v>122.784415584416</c:v>
                </c:pt>
                <c:pt idx="117">
                  <c:v>123.338246753247</c:v>
                </c:pt>
                <c:pt idx="118">
                  <c:v>123.892077922078</c:v>
                </c:pt>
                <c:pt idx="119">
                  <c:v>124.445909090909</c:v>
                </c:pt>
                <c:pt idx="120">
                  <c:v>124.99974025974</c:v>
                </c:pt>
                <c:pt idx="121">
                  <c:v>125.553571428571</c:v>
                </c:pt>
                <c:pt idx="122">
                  <c:v>126.107402597403</c:v>
                </c:pt>
                <c:pt idx="123">
                  <c:v>126.661233766234</c:v>
                </c:pt>
                <c:pt idx="124">
                  <c:v>127.215064935065</c:v>
                </c:pt>
                <c:pt idx="125">
                  <c:v>127.768896103896</c:v>
                </c:pt>
                <c:pt idx="126">
                  <c:v>128.322727272727</c:v>
                </c:pt>
                <c:pt idx="127">
                  <c:v>128.876558441558</c:v>
                </c:pt>
                <c:pt idx="128">
                  <c:v>129.43038961039</c:v>
                </c:pt>
                <c:pt idx="129">
                  <c:v>129.984220779221</c:v>
                </c:pt>
                <c:pt idx="130">
                  <c:v>130.538051948052</c:v>
                </c:pt>
                <c:pt idx="131">
                  <c:v>131.091883116883</c:v>
                </c:pt>
                <c:pt idx="132">
                  <c:v>131.645714285714</c:v>
                </c:pt>
                <c:pt idx="133">
                  <c:v>132.199545454546</c:v>
                </c:pt>
                <c:pt idx="134">
                  <c:v>132.753376623377</c:v>
                </c:pt>
                <c:pt idx="135">
                  <c:v>133.307207792208</c:v>
                </c:pt>
                <c:pt idx="136">
                  <c:v>133.861038961039</c:v>
                </c:pt>
                <c:pt idx="137">
                  <c:v>134.41487012987</c:v>
                </c:pt>
                <c:pt idx="138">
                  <c:v>134.968701298701</c:v>
                </c:pt>
                <c:pt idx="139">
                  <c:v>135.522532467533</c:v>
                </c:pt>
                <c:pt idx="140">
                  <c:v>136.076363636364</c:v>
                </c:pt>
                <c:pt idx="141">
                  <c:v>136.630194805195</c:v>
                </c:pt>
                <c:pt idx="142">
                  <c:v>137.184025974026</c:v>
                </c:pt>
                <c:pt idx="143">
                  <c:v>137.737857142857</c:v>
                </c:pt>
                <c:pt idx="144">
                  <c:v>138.291688311688</c:v>
                </c:pt>
                <c:pt idx="145">
                  <c:v>138.84551948052</c:v>
                </c:pt>
                <c:pt idx="146">
                  <c:v>139.399350649351</c:v>
                </c:pt>
                <c:pt idx="147">
                  <c:v>139.953181818182</c:v>
                </c:pt>
                <c:pt idx="148">
                  <c:v>140.507012987013</c:v>
                </c:pt>
                <c:pt idx="149">
                  <c:v>141.060844155844</c:v>
                </c:pt>
                <c:pt idx="150">
                  <c:v>141.614675324675</c:v>
                </c:pt>
                <c:pt idx="151">
                  <c:v>142.168506493507</c:v>
                </c:pt>
                <c:pt idx="152">
                  <c:v>142.722337662338</c:v>
                </c:pt>
                <c:pt idx="153">
                  <c:v>143.276168831169</c:v>
                </c:pt>
                <c:pt idx="154">
                  <c:v>143.83</c:v>
                </c:pt>
              </c:numCache>
            </c:numRef>
          </c:val>
          <c:smooth val="0"/>
        </c:ser>
        <c:hiLowLines>
          <c:spPr>
            <a:ln w="0">
              <a:noFill/>
            </a:ln>
          </c:spPr>
        </c:hiLowLines>
        <c:marker val="0"/>
        <c:axId val="63191269"/>
        <c:axId val="43774900"/>
      </c:lineChart>
      <c:dateAx>
        <c:axId val="1079166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1893339"/>
        <c:auto val="1"/>
        <c:lblOffset val="100"/>
        <c:baseTimeUnit val="days"/>
      </c:dateAx>
      <c:valAx>
        <c:axId val="2189333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0791665"/>
        <c:crosses val="autoZero"/>
        <c:crossBetween val="between"/>
      </c:valAx>
      <c:dateAx>
        <c:axId val="6319126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3774900"/>
        <c:auto val="1"/>
        <c:lblOffset val="100"/>
        <c:baseTimeUnit val="days"/>
      </c:dateAx>
      <c:valAx>
        <c:axId val="4377490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319126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VFLO</a:t>
            </a:r>
          </a:p>
        </c:rich>
      </c:tx>
      <c:overlay val="0"/>
      <c:spPr>
        <a:noFill/>
        <a:ln w="0">
          <a:noFill/>
        </a:ln>
      </c:spPr>
    </c:title>
    <c:autoTitleDeleted val="0"/>
    <c:plotArea>
      <c:barChart>
        <c:barDir val="col"/>
        <c:grouping val="clustered"/>
        <c:varyColors val="0"/>
        <c:ser>
          <c:idx val="0"/>
          <c:order val="0"/>
          <c:tx>
            <c:strRef>
              <c:f>'Returns (Calc)'!$T$2</c:f>
              <c:strCache>
                <c:ptCount val="1"/>
                <c:pt idx="0">
                  <c:v>VFLO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(Calc)'!$T$3:$T$157</c:f>
              <c:numCache>
                <c:formatCode>0.0%</c:formatCode>
                <c:ptCount val="155"/>
                <c:pt idx="0">
                  <c:v>-0.0267558528428093</c:v>
                </c:pt>
                <c:pt idx="1">
                  <c:v>-0.00801832760595655</c:v>
                </c:pt>
                <c:pt idx="2">
                  <c:v>0.0261739799846035</c:v>
                </c:pt>
                <c:pt idx="3">
                  <c:v>-0.00712678169542391</c:v>
                </c:pt>
                <c:pt idx="4">
                  <c:v>-0.0064223649414431</c:v>
                </c:pt>
                <c:pt idx="5">
                  <c:v>-0.0148288973384031</c:v>
                </c:pt>
                <c:pt idx="6">
                  <c:v>0.00270165959089153</c:v>
                </c:pt>
                <c:pt idx="7">
                  <c:v>-0.0184757505773672</c:v>
                </c:pt>
                <c:pt idx="8">
                  <c:v>0.0129411764705882</c:v>
                </c:pt>
                <c:pt idx="9">
                  <c:v>-0.0127758420441346</c:v>
                </c:pt>
                <c:pt idx="10">
                  <c:v>-0.0329411764705883</c:v>
                </c:pt>
                <c:pt idx="11">
                  <c:v>0.0587996755879967</c:v>
                </c:pt>
                <c:pt idx="12">
                  <c:v>-0.00689391037916509</c:v>
                </c:pt>
                <c:pt idx="13">
                  <c:v>0.0254531430775165</c:v>
                </c:pt>
                <c:pt idx="14">
                  <c:v>0.00714554343738261</c:v>
                </c:pt>
                <c:pt idx="15">
                  <c:v>0.0134428678117999</c:v>
                </c:pt>
                <c:pt idx="16">
                  <c:v>0.00884303610906412</c:v>
                </c:pt>
                <c:pt idx="17">
                  <c:v>0.0277574872169468</c:v>
                </c:pt>
                <c:pt idx="18">
                  <c:v>0.00959488272921116</c:v>
                </c:pt>
                <c:pt idx="19">
                  <c:v>-0.0024639211545231</c:v>
                </c:pt>
                <c:pt idx="20">
                  <c:v>0.00105857445307</c:v>
                </c:pt>
                <c:pt idx="21">
                  <c:v>-0.00281988015509349</c:v>
                </c:pt>
                <c:pt idx="22">
                  <c:v>-0.00954400848356307</c:v>
                </c:pt>
                <c:pt idx="23">
                  <c:v>0.00820842255531762</c:v>
                </c:pt>
                <c:pt idx="24">
                  <c:v>0.00955752212389371</c:v>
                </c:pt>
                <c:pt idx="25">
                  <c:v>0.0038569424964936</c:v>
                </c:pt>
                <c:pt idx="26">
                  <c:v>0.00838281522878104</c:v>
                </c:pt>
                <c:pt idx="27">
                  <c:v>0.0218219605126428</c:v>
                </c:pt>
                <c:pt idx="28">
                  <c:v>0.0220338983050847</c:v>
                </c:pt>
                <c:pt idx="29">
                  <c:v>0.0195688225538972</c:v>
                </c:pt>
                <c:pt idx="30">
                  <c:v>0.0136629798308394</c:v>
                </c:pt>
                <c:pt idx="31">
                  <c:v>0.0240693196405648</c:v>
                </c:pt>
                <c:pt idx="32">
                  <c:v>0.0156690692572861</c:v>
                </c:pt>
                <c:pt idx="33">
                  <c:v>-0.00246837395865474</c:v>
                </c:pt>
                <c:pt idx="34">
                  <c:v>-0.0259820600061862</c:v>
                </c:pt>
                <c:pt idx="35">
                  <c:v>-0.017783423308987</c:v>
                </c:pt>
                <c:pt idx="36">
                  <c:v>0.0126091173617846</c:v>
                </c:pt>
                <c:pt idx="37">
                  <c:v>-0.0156449553001278</c:v>
                </c:pt>
                <c:pt idx="38">
                  <c:v>0.0220564385338957</c:v>
                </c:pt>
                <c:pt idx="39">
                  <c:v>0.00920342748333858</c:v>
                </c:pt>
                <c:pt idx="40">
                  <c:v>-0.0169811320754717</c:v>
                </c:pt>
                <c:pt idx="41">
                  <c:v>0.0115163147792705</c:v>
                </c:pt>
                <c:pt idx="42">
                  <c:v>-0.0211891208096142</c:v>
                </c:pt>
                <c:pt idx="43">
                  <c:v>-0.00420032310177698</c:v>
                </c:pt>
                <c:pt idx="44">
                  <c:v>0.00973393900064901</c:v>
                </c:pt>
                <c:pt idx="45">
                  <c:v>-0.00642673521850901</c:v>
                </c:pt>
                <c:pt idx="46">
                  <c:v>-0.0200517464424321</c:v>
                </c:pt>
                <c:pt idx="47">
                  <c:v>0.0382838283828384</c:v>
                </c:pt>
                <c:pt idx="48">
                  <c:v>0.0152574698029244</c:v>
                </c:pt>
                <c:pt idx="49">
                  <c:v>0.0178459611772073</c:v>
                </c:pt>
                <c:pt idx="50">
                  <c:v>-0.0286065825899723</c:v>
                </c:pt>
                <c:pt idx="51">
                  <c:v>-0.00158328055731471</c:v>
                </c:pt>
                <c:pt idx="52">
                  <c:v>0.0161750713606088</c:v>
                </c:pt>
                <c:pt idx="53">
                  <c:v>0.0327715355805245</c:v>
                </c:pt>
                <c:pt idx="54">
                  <c:v>0.00332426715019651</c:v>
                </c:pt>
                <c:pt idx="55">
                  <c:v>-0.041265060240964</c:v>
                </c:pt>
                <c:pt idx="56">
                  <c:v>0.0235626767200754</c:v>
                </c:pt>
                <c:pt idx="57">
                  <c:v>0.0171884591774096</c:v>
                </c:pt>
                <c:pt idx="58">
                  <c:v>0.00211225105612556</c:v>
                </c:pt>
                <c:pt idx="59">
                  <c:v>0.0186690755796446</c:v>
                </c:pt>
                <c:pt idx="60">
                  <c:v>0.00354714750221707</c:v>
                </c:pt>
                <c:pt idx="61">
                  <c:v>-0.00471281296023574</c:v>
                </c:pt>
                <c:pt idx="62">
                  <c:v>-0.0192364604912696</c:v>
                </c:pt>
                <c:pt idx="63">
                  <c:v>0.000603500301749937</c:v>
                </c:pt>
                <c:pt idx="64">
                  <c:v>0.0775030156815439</c:v>
                </c:pt>
                <c:pt idx="65">
                  <c:v>-0.0153932269801287</c:v>
                </c:pt>
                <c:pt idx="66">
                  <c:v>0.0386583285957931</c:v>
                </c:pt>
                <c:pt idx="67">
                  <c:v>0.00191570881226055</c:v>
                </c:pt>
                <c:pt idx="68">
                  <c:v>-0.00081944823818636</c:v>
                </c:pt>
                <c:pt idx="69">
                  <c:v>-0.0440131219245489</c:v>
                </c:pt>
                <c:pt idx="70">
                  <c:v>-0.0305976551329711</c:v>
                </c:pt>
                <c:pt idx="71">
                  <c:v>0.00914454277286136</c:v>
                </c:pt>
                <c:pt idx="72">
                  <c:v>0.00760011692487561</c:v>
                </c:pt>
                <c:pt idx="73">
                  <c:v>-0.000290107339715684</c:v>
                </c:pt>
                <c:pt idx="74">
                  <c:v>0.038595473012188</c:v>
                </c:pt>
                <c:pt idx="75">
                  <c:v>0.00251466890192797</c:v>
                </c:pt>
                <c:pt idx="76">
                  <c:v>-0.0103121516164996</c:v>
                </c:pt>
                <c:pt idx="77">
                  <c:v>-0.00872993522951271</c:v>
                </c:pt>
                <c:pt idx="78">
                  <c:v>0.0116477272727271</c:v>
                </c:pt>
                <c:pt idx="79">
                  <c:v>-0.00336983993260309</c:v>
                </c:pt>
                <c:pt idx="80">
                  <c:v>-0.00479008171315865</c:v>
                </c:pt>
                <c:pt idx="81">
                  <c:v>-0.0144394110985276</c:v>
                </c:pt>
                <c:pt idx="82">
                  <c:v>-0.020683711577133</c:v>
                </c:pt>
                <c:pt idx="83">
                  <c:v>0.0170137870343208</c:v>
                </c:pt>
                <c:pt idx="84">
                  <c:v>-0.0164407268531872</c:v>
                </c:pt>
                <c:pt idx="85">
                  <c:v>-0.092375366568915</c:v>
                </c:pt>
                <c:pt idx="86">
                  <c:v>0.0197092084006463</c:v>
                </c:pt>
                <c:pt idx="87">
                  <c:v>0.00697084917617241</c:v>
                </c:pt>
                <c:pt idx="88">
                  <c:v>0.0330396475770924</c:v>
                </c:pt>
                <c:pt idx="89">
                  <c:v>0.0191897654584223</c:v>
                </c:pt>
                <c:pt idx="90">
                  <c:v>-0.00179318589360433</c:v>
                </c:pt>
                <c:pt idx="91">
                  <c:v>0.0431137724550901</c:v>
                </c:pt>
                <c:pt idx="92">
                  <c:v>-0.0347301951779564</c:v>
                </c:pt>
                <c:pt idx="93">
                  <c:v>0.007731192387749</c:v>
                </c:pt>
                <c:pt idx="94">
                  <c:v>0.023605783416937</c:v>
                </c:pt>
                <c:pt idx="95">
                  <c:v>0.0109541654655521</c:v>
                </c:pt>
                <c:pt idx="96">
                  <c:v>-0.00114057599087536</c:v>
                </c:pt>
                <c:pt idx="97">
                  <c:v>0.00856408792463603</c:v>
                </c:pt>
                <c:pt idx="98">
                  <c:v>0.0124540050948203</c:v>
                </c:pt>
                <c:pt idx="99">
                  <c:v>0.00195694716242656</c:v>
                </c:pt>
                <c:pt idx="100">
                  <c:v>-0.0212053571428573</c:v>
                </c:pt>
                <c:pt idx="101">
                  <c:v>0.0219498289623719</c:v>
                </c:pt>
                <c:pt idx="102">
                  <c:v>-0.0418410041841004</c:v>
                </c:pt>
                <c:pt idx="103">
                  <c:v>0.00989810771470157</c:v>
                </c:pt>
                <c:pt idx="104">
                  <c:v>0.0394926491784378</c:v>
                </c:pt>
                <c:pt idx="105">
                  <c:v>0.0257903494176373</c:v>
                </c:pt>
                <c:pt idx="106">
                  <c:v>0.00919167342524996</c:v>
                </c:pt>
                <c:pt idx="107">
                  <c:v>0.00750066970265206</c:v>
                </c:pt>
                <c:pt idx="108">
                  <c:v>-0.00292475405477266</c:v>
                </c:pt>
                <c:pt idx="109">
                  <c:v>-0.0013333333333333</c:v>
                </c:pt>
                <c:pt idx="110">
                  <c:v>0.0077436582109478</c:v>
                </c:pt>
                <c:pt idx="111">
                  <c:v>0.00344462109167987</c:v>
                </c:pt>
                <c:pt idx="112">
                  <c:v>-0.0340639028254555</c:v>
                </c:pt>
                <c:pt idx="113">
                  <c:v>0.0139420448332424</c:v>
                </c:pt>
                <c:pt idx="114">
                  <c:v>0.0261526017794553</c:v>
                </c:pt>
                <c:pt idx="115">
                  <c:v>-0.0063058328954283</c:v>
                </c:pt>
                <c:pt idx="116">
                  <c:v>0.00158646218931779</c:v>
                </c:pt>
                <c:pt idx="117">
                  <c:v>0.0110876451953537</c:v>
                </c:pt>
                <c:pt idx="118">
                  <c:v>-0.0201044386422975</c:v>
                </c:pt>
                <c:pt idx="119">
                  <c:v>0.0343725019984014</c:v>
                </c:pt>
                <c:pt idx="120">
                  <c:v>0.0154559505409584</c:v>
                </c:pt>
                <c:pt idx="121">
                  <c:v>0.00710299340436338</c:v>
                </c:pt>
                <c:pt idx="122">
                  <c:v>-0.00428211586901772</c:v>
                </c:pt>
                <c:pt idx="123">
                  <c:v>0.00657728307614458</c:v>
                </c:pt>
                <c:pt idx="124">
                  <c:v>-0.0092988187986931</c:v>
                </c:pt>
                <c:pt idx="125">
                  <c:v>0.0256215119228818</c:v>
                </c:pt>
                <c:pt idx="126">
                  <c:v>-0.0202819688350235</c:v>
                </c:pt>
                <c:pt idx="127">
                  <c:v>0.0063115374905327</c:v>
                </c:pt>
                <c:pt idx="128">
                  <c:v>-0.00978424485699947</c:v>
                </c:pt>
                <c:pt idx="129">
                  <c:v>0.0243222700785406</c:v>
                </c:pt>
                <c:pt idx="130">
                  <c:v>-0.00420479841701715</c:v>
                </c:pt>
                <c:pt idx="131">
                  <c:v>0.00198708395429725</c:v>
                </c:pt>
                <c:pt idx="132">
                  <c:v>0.00347050074367861</c:v>
                </c:pt>
                <c:pt idx="133">
                  <c:v>-0.00914031620553357</c:v>
                </c:pt>
                <c:pt idx="134">
                  <c:v>-0.0226876090750435</c:v>
                </c:pt>
                <c:pt idx="135">
                  <c:v>0.00102040816326521</c:v>
                </c:pt>
                <c:pt idx="136">
                  <c:v>-0.012487257900102</c:v>
                </c:pt>
                <c:pt idx="137">
                  <c:v>0.0281290322580645</c:v>
                </c:pt>
                <c:pt idx="138">
                  <c:v>-0.0050200803212852</c:v>
                </c:pt>
                <c:pt idx="139">
                  <c:v>0.0534813319878908</c:v>
                </c:pt>
                <c:pt idx="140">
                  <c:v>-0.00574712643678144</c:v>
                </c:pt>
                <c:pt idx="141">
                  <c:v>0.0257707129094413</c:v>
                </c:pt>
                <c:pt idx="142">
                  <c:v>0.0241840807701337</c:v>
                </c:pt>
                <c:pt idx="143">
                  <c:v>-0.0256762952773957</c:v>
                </c:pt>
                <c:pt idx="144">
                  <c:v>0.0395294117647058</c:v>
                </c:pt>
                <c:pt idx="145">
                  <c:v>0.0540968764146672</c:v>
                </c:pt>
                <c:pt idx="146">
                  <c:v>-0.0111659866867082</c:v>
                </c:pt>
                <c:pt idx="147">
                  <c:v>0.00521172638436496</c:v>
                </c:pt>
                <c:pt idx="148">
                  <c:v>-0.0224670555195506</c:v>
                </c:pt>
                <c:pt idx="149">
                  <c:v>0.0207734806629833</c:v>
                </c:pt>
                <c:pt idx="150">
                  <c:v>0.0175362632604461</c:v>
                </c:pt>
                <c:pt idx="151">
                  <c:v>0.00829787234042545</c:v>
                </c:pt>
                <c:pt idx="152">
                  <c:v>0.0086516142646127</c:v>
                </c:pt>
                <c:pt idx="153">
                  <c:v>0.00711297071129713</c:v>
                </c:pt>
                <c:pt idx="154">
                  <c:v>0.0332363938512672</c:v>
                </c:pt>
              </c:numCache>
            </c:numRef>
          </c:val>
        </c:ser>
        <c:gapWidth val="150"/>
        <c:overlap val="0"/>
        <c:axId val="42659475"/>
        <c:axId val="40563563"/>
      </c:barChart>
      <c:lineChart>
        <c:grouping val="standard"/>
        <c:varyColors val="0"/>
        <c:ser>
          <c:idx val="1"/>
          <c:order val="1"/>
          <c:tx>
            <c:strRef>
              <c:f>'Returns (Calc)'!$AN$2</c:f>
              <c:strCache>
                <c:ptCount val="1"/>
                <c:pt idx="0">
                  <c:v>VFLO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(Calc)'!$AN$3:$AN$157</c:f>
              <c:numCache>
                <c:formatCode>#,##0.00</c:formatCode>
                <c:ptCount val="155"/>
                <c:pt idx="0">
                  <c:v>26.91</c:v>
                </c:pt>
                <c:pt idx="1">
                  <c:v>27.0582467532468</c:v>
                </c:pt>
                <c:pt idx="2">
                  <c:v>27.2064935064935</c:v>
                </c:pt>
                <c:pt idx="3">
                  <c:v>27.3547402597403</c:v>
                </c:pt>
                <c:pt idx="4">
                  <c:v>27.502987012987</c:v>
                </c:pt>
                <c:pt idx="5">
                  <c:v>27.6512337662338</c:v>
                </c:pt>
                <c:pt idx="6">
                  <c:v>27.7994805194805</c:v>
                </c:pt>
                <c:pt idx="7">
                  <c:v>27.9477272727273</c:v>
                </c:pt>
                <c:pt idx="8">
                  <c:v>28.095974025974</c:v>
                </c:pt>
                <c:pt idx="9">
                  <c:v>28.2442207792208</c:v>
                </c:pt>
                <c:pt idx="10">
                  <c:v>28.3924675324675</c:v>
                </c:pt>
                <c:pt idx="11">
                  <c:v>28.5407142857143</c:v>
                </c:pt>
                <c:pt idx="12">
                  <c:v>28.688961038961</c:v>
                </c:pt>
                <c:pt idx="13">
                  <c:v>28.8372077922078</c:v>
                </c:pt>
                <c:pt idx="14">
                  <c:v>28.9854545454545</c:v>
                </c:pt>
                <c:pt idx="15">
                  <c:v>29.1337012987013</c:v>
                </c:pt>
                <c:pt idx="16">
                  <c:v>29.2819480519481</c:v>
                </c:pt>
                <c:pt idx="17">
                  <c:v>29.4301948051948</c:v>
                </c:pt>
                <c:pt idx="18">
                  <c:v>29.5784415584416</c:v>
                </c:pt>
                <c:pt idx="19">
                  <c:v>29.7266883116883</c:v>
                </c:pt>
                <c:pt idx="20">
                  <c:v>29.8749350649351</c:v>
                </c:pt>
                <c:pt idx="21">
                  <c:v>30.0231818181818</c:v>
                </c:pt>
                <c:pt idx="22">
                  <c:v>30.1714285714286</c:v>
                </c:pt>
                <c:pt idx="23">
                  <c:v>30.3196753246753</c:v>
                </c:pt>
                <c:pt idx="24">
                  <c:v>30.4679220779221</c:v>
                </c:pt>
                <c:pt idx="25">
                  <c:v>30.6161688311688</c:v>
                </c:pt>
                <c:pt idx="26">
                  <c:v>30.7644155844156</c:v>
                </c:pt>
                <c:pt idx="27">
                  <c:v>30.9126623376623</c:v>
                </c:pt>
                <c:pt idx="28">
                  <c:v>31.0609090909091</c:v>
                </c:pt>
                <c:pt idx="29">
                  <c:v>31.2091558441558</c:v>
                </c:pt>
                <c:pt idx="30">
                  <c:v>31.3574025974026</c:v>
                </c:pt>
                <c:pt idx="31">
                  <c:v>31.5056493506493</c:v>
                </c:pt>
                <c:pt idx="32">
                  <c:v>31.6538961038961</c:v>
                </c:pt>
                <c:pt idx="33">
                  <c:v>31.8021428571429</c:v>
                </c:pt>
                <c:pt idx="34">
                  <c:v>31.9503896103896</c:v>
                </c:pt>
                <c:pt idx="35">
                  <c:v>32.0986363636364</c:v>
                </c:pt>
                <c:pt idx="36">
                  <c:v>32.2468831168831</c:v>
                </c:pt>
                <c:pt idx="37">
                  <c:v>32.3951298701299</c:v>
                </c:pt>
                <c:pt idx="38">
                  <c:v>32.5433766233766</c:v>
                </c:pt>
                <c:pt idx="39">
                  <c:v>32.6916233766234</c:v>
                </c:pt>
                <c:pt idx="40">
                  <c:v>32.8398701298701</c:v>
                </c:pt>
                <c:pt idx="41">
                  <c:v>32.9881168831169</c:v>
                </c:pt>
                <c:pt idx="42">
                  <c:v>33.1363636363636</c:v>
                </c:pt>
                <c:pt idx="43">
                  <c:v>33.2846103896104</c:v>
                </c:pt>
                <c:pt idx="44">
                  <c:v>33.4328571428572</c:v>
                </c:pt>
                <c:pt idx="45">
                  <c:v>33.5811038961039</c:v>
                </c:pt>
                <c:pt idx="46">
                  <c:v>33.7293506493507</c:v>
                </c:pt>
                <c:pt idx="47">
                  <c:v>33.8775974025974</c:v>
                </c:pt>
                <c:pt idx="48">
                  <c:v>34.0258441558442</c:v>
                </c:pt>
                <c:pt idx="49">
                  <c:v>34.1740909090909</c:v>
                </c:pt>
                <c:pt idx="50">
                  <c:v>34.3223376623377</c:v>
                </c:pt>
                <c:pt idx="51">
                  <c:v>34.4705844155844</c:v>
                </c:pt>
                <c:pt idx="52">
                  <c:v>34.6188311688312</c:v>
                </c:pt>
                <c:pt idx="53">
                  <c:v>34.7670779220779</c:v>
                </c:pt>
                <c:pt idx="54">
                  <c:v>34.9153246753247</c:v>
                </c:pt>
                <c:pt idx="55">
                  <c:v>35.0635714285714</c:v>
                </c:pt>
                <c:pt idx="56">
                  <c:v>35.2118181818182</c:v>
                </c:pt>
                <c:pt idx="57">
                  <c:v>35.3600649350649</c:v>
                </c:pt>
                <c:pt idx="58">
                  <c:v>35.5083116883117</c:v>
                </c:pt>
                <c:pt idx="59">
                  <c:v>35.6565584415584</c:v>
                </c:pt>
                <c:pt idx="60">
                  <c:v>35.8048051948052</c:v>
                </c:pt>
                <c:pt idx="61">
                  <c:v>35.953051948052</c:v>
                </c:pt>
                <c:pt idx="62">
                  <c:v>36.1012987012987</c:v>
                </c:pt>
                <c:pt idx="63">
                  <c:v>36.2495454545455</c:v>
                </c:pt>
                <c:pt idx="64">
                  <c:v>36.3977922077922</c:v>
                </c:pt>
                <c:pt idx="65">
                  <c:v>36.546038961039</c:v>
                </c:pt>
                <c:pt idx="66">
                  <c:v>36.6942857142857</c:v>
                </c:pt>
                <c:pt idx="67">
                  <c:v>36.8425324675325</c:v>
                </c:pt>
                <c:pt idx="68">
                  <c:v>36.9907792207792</c:v>
                </c:pt>
                <c:pt idx="69">
                  <c:v>37.139025974026</c:v>
                </c:pt>
                <c:pt idx="70">
                  <c:v>37.2872727272727</c:v>
                </c:pt>
                <c:pt idx="71">
                  <c:v>37.4355194805195</c:v>
                </c:pt>
                <c:pt idx="72">
                  <c:v>37.5837662337663</c:v>
                </c:pt>
                <c:pt idx="73">
                  <c:v>37.732012987013</c:v>
                </c:pt>
                <c:pt idx="74">
                  <c:v>37.8802597402598</c:v>
                </c:pt>
                <c:pt idx="75">
                  <c:v>38.0285064935065</c:v>
                </c:pt>
                <c:pt idx="76">
                  <c:v>38.1767532467533</c:v>
                </c:pt>
                <c:pt idx="77">
                  <c:v>38.325</c:v>
                </c:pt>
                <c:pt idx="78">
                  <c:v>38.4732467532467</c:v>
                </c:pt>
                <c:pt idx="79">
                  <c:v>38.6214935064935</c:v>
                </c:pt>
                <c:pt idx="80">
                  <c:v>38.7697402597402</c:v>
                </c:pt>
                <c:pt idx="81">
                  <c:v>38.917987012987</c:v>
                </c:pt>
                <c:pt idx="82">
                  <c:v>39.0662337662338</c:v>
                </c:pt>
                <c:pt idx="83">
                  <c:v>39.2144805194805</c:v>
                </c:pt>
                <c:pt idx="84">
                  <c:v>39.3627272727273</c:v>
                </c:pt>
                <c:pt idx="85">
                  <c:v>39.510974025974</c:v>
                </c:pt>
                <c:pt idx="86">
                  <c:v>39.6592207792208</c:v>
                </c:pt>
                <c:pt idx="87">
                  <c:v>39.8074675324675</c:v>
                </c:pt>
                <c:pt idx="88">
                  <c:v>39.9557142857143</c:v>
                </c:pt>
                <c:pt idx="89">
                  <c:v>40.103961038961</c:v>
                </c:pt>
                <c:pt idx="90">
                  <c:v>40.2522077922078</c:v>
                </c:pt>
                <c:pt idx="91">
                  <c:v>40.4004545454546</c:v>
                </c:pt>
                <c:pt idx="92">
                  <c:v>40.5487012987013</c:v>
                </c:pt>
                <c:pt idx="93">
                  <c:v>40.6969480519481</c:v>
                </c:pt>
                <c:pt idx="94">
                  <c:v>40.8451948051948</c:v>
                </c:pt>
                <c:pt idx="95">
                  <c:v>40.9934415584416</c:v>
                </c:pt>
                <c:pt idx="96">
                  <c:v>41.1416883116883</c:v>
                </c:pt>
                <c:pt idx="97">
                  <c:v>41.2899350649351</c:v>
                </c:pt>
                <c:pt idx="98">
                  <c:v>41.4381818181818</c:v>
                </c:pt>
                <c:pt idx="99">
                  <c:v>41.5864285714286</c:v>
                </c:pt>
                <c:pt idx="100">
                  <c:v>41.7346753246753</c:v>
                </c:pt>
                <c:pt idx="101">
                  <c:v>41.8829220779221</c:v>
                </c:pt>
                <c:pt idx="102">
                  <c:v>42.0311688311688</c:v>
                </c:pt>
                <c:pt idx="103">
                  <c:v>42.1794155844156</c:v>
                </c:pt>
                <c:pt idx="104">
                  <c:v>42.3276623376623</c:v>
                </c:pt>
                <c:pt idx="105">
                  <c:v>42.4759090909091</c:v>
                </c:pt>
                <c:pt idx="106">
                  <c:v>42.6241558441558</c:v>
                </c:pt>
                <c:pt idx="107">
                  <c:v>42.7724025974026</c:v>
                </c:pt>
                <c:pt idx="108">
                  <c:v>42.9206493506493</c:v>
                </c:pt>
                <c:pt idx="109">
                  <c:v>43.0688961038961</c:v>
                </c:pt>
                <c:pt idx="110">
                  <c:v>43.2171428571428</c:v>
                </c:pt>
                <c:pt idx="111">
                  <c:v>43.3653896103896</c:v>
                </c:pt>
                <c:pt idx="112">
                  <c:v>43.5136363636364</c:v>
                </c:pt>
                <c:pt idx="113">
                  <c:v>43.6618831168831</c:v>
                </c:pt>
                <c:pt idx="114">
                  <c:v>43.8101298701299</c:v>
                </c:pt>
                <c:pt idx="115">
                  <c:v>43.9583766233766</c:v>
                </c:pt>
                <c:pt idx="116">
                  <c:v>44.1066233766234</c:v>
                </c:pt>
                <c:pt idx="117">
                  <c:v>44.2548701298701</c:v>
                </c:pt>
                <c:pt idx="118">
                  <c:v>44.4031168831169</c:v>
                </c:pt>
                <c:pt idx="119">
                  <c:v>44.5513636363637</c:v>
                </c:pt>
                <c:pt idx="120">
                  <c:v>44.6996103896104</c:v>
                </c:pt>
                <c:pt idx="121">
                  <c:v>44.8478571428572</c:v>
                </c:pt>
                <c:pt idx="122">
                  <c:v>44.9961038961039</c:v>
                </c:pt>
                <c:pt idx="123">
                  <c:v>45.1443506493507</c:v>
                </c:pt>
                <c:pt idx="124">
                  <c:v>45.2925974025974</c:v>
                </c:pt>
                <c:pt idx="125">
                  <c:v>45.4408441558442</c:v>
                </c:pt>
                <c:pt idx="126">
                  <c:v>45.5890909090909</c:v>
                </c:pt>
                <c:pt idx="127">
                  <c:v>45.7373376623377</c:v>
                </c:pt>
                <c:pt idx="128">
                  <c:v>45.8855844155844</c:v>
                </c:pt>
                <c:pt idx="129">
                  <c:v>46.0338311688312</c:v>
                </c:pt>
                <c:pt idx="130">
                  <c:v>46.1820779220779</c:v>
                </c:pt>
                <c:pt idx="131">
                  <c:v>46.3303246753247</c:v>
                </c:pt>
                <c:pt idx="132">
                  <c:v>46.4785714285714</c:v>
                </c:pt>
                <c:pt idx="133">
                  <c:v>46.6268181818182</c:v>
                </c:pt>
                <c:pt idx="134">
                  <c:v>46.7750649350649</c:v>
                </c:pt>
                <c:pt idx="135">
                  <c:v>46.9233116883117</c:v>
                </c:pt>
                <c:pt idx="136">
                  <c:v>47.0715584415584</c:v>
                </c:pt>
                <c:pt idx="137">
                  <c:v>47.2198051948052</c:v>
                </c:pt>
                <c:pt idx="138">
                  <c:v>47.3680519480519</c:v>
                </c:pt>
                <c:pt idx="139">
                  <c:v>47.5162987012987</c:v>
                </c:pt>
                <c:pt idx="140">
                  <c:v>47.6645454545455</c:v>
                </c:pt>
                <c:pt idx="141">
                  <c:v>47.8127922077922</c:v>
                </c:pt>
                <c:pt idx="142">
                  <c:v>47.961038961039</c:v>
                </c:pt>
                <c:pt idx="143">
                  <c:v>48.1092857142857</c:v>
                </c:pt>
                <c:pt idx="144">
                  <c:v>48.2575324675325</c:v>
                </c:pt>
                <c:pt idx="145">
                  <c:v>48.4057792207792</c:v>
                </c:pt>
                <c:pt idx="146">
                  <c:v>48.554025974026</c:v>
                </c:pt>
                <c:pt idx="147">
                  <c:v>48.7022727272727</c:v>
                </c:pt>
                <c:pt idx="148">
                  <c:v>48.8505194805195</c:v>
                </c:pt>
                <c:pt idx="149">
                  <c:v>48.9987662337663</c:v>
                </c:pt>
                <c:pt idx="150">
                  <c:v>49.147012987013</c:v>
                </c:pt>
                <c:pt idx="151">
                  <c:v>49.2952597402598</c:v>
                </c:pt>
                <c:pt idx="152">
                  <c:v>49.4435064935065</c:v>
                </c:pt>
                <c:pt idx="153">
                  <c:v>49.5917532467533</c:v>
                </c:pt>
                <c:pt idx="154">
                  <c:v>49.74</c:v>
                </c:pt>
              </c:numCache>
            </c:numRef>
          </c:val>
          <c:smooth val="0"/>
        </c:ser>
        <c:hiLowLines>
          <c:spPr>
            <a:ln w="0">
              <a:noFill/>
            </a:ln>
          </c:spPr>
        </c:hiLowLines>
        <c:marker val="0"/>
        <c:axId val="41977098"/>
        <c:axId val="24910112"/>
      </c:lineChart>
      <c:dateAx>
        <c:axId val="4265947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0563563"/>
        <c:auto val="1"/>
        <c:lblOffset val="100"/>
        <c:baseTimeUnit val="days"/>
      </c:dateAx>
      <c:valAx>
        <c:axId val="4056356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2659475"/>
        <c:crosses val="autoZero"/>
        <c:crossBetween val="between"/>
      </c:valAx>
      <c:dateAx>
        <c:axId val="4197709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4910112"/>
        <c:auto val="1"/>
        <c:lblOffset val="100"/>
        <c:baseTimeUnit val="days"/>
      </c:dateAx>
      <c:valAx>
        <c:axId val="2491011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197709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colors7.xml><?xml version="1.0" encoding="utf-8"?>
<cs:colorStyle xmlns:cs="http://schemas.microsoft.com/office/drawing/2012/chartStyle" xmlns:a="http://schemas.openxmlformats.org/drawingml/2006/main" meth="cycle" id="10">
  <a:schemeClr val="accent1"/>
</cs:colorStyle>
</file>

<file path=xl/charts/colors8.xml><?xml version="1.0" encoding="utf-8"?>
<cs:colorStyle xmlns:cs="http://schemas.microsoft.com/office/drawing/2012/chartStyle" xmlns:a="http://schemas.openxmlformats.org/drawingml/2006/main" meth="cycle" id="10">
  <a:schemeClr val="accent1"/>
</cs:colorStyle>
</file>

<file path=xl/charts/colors9.xml><?xml version="1.0" encoding="utf-8"?>
<cs:colorStyle xmlns:cs="http://schemas.microsoft.com/office/drawing/2012/chartStyle" xmlns:a="http://schemas.openxmlformats.org/drawingml/2006/main" meth="cycle" id="10">
  <a:schemeClr val="accent1"/>
</cs:colorStyle>
</file>

<file path=xl/charts/colors10.xml><?xml version="1.0" encoding="utf-8"?>
<cs:colorStyle xmlns:cs="http://schemas.microsoft.com/office/drawing/2012/chartStyle" xmlns:a="http://schemas.openxmlformats.org/drawingml/2006/main" meth="cycle" id="10">
  <a:schemeClr val="accent1"/>
</cs:colorStyle>
</file>

<file path=xl/charts/colors11.xml><?xml version="1.0" encoding="utf-8"?>
<cs:colorStyle xmlns:cs="http://schemas.microsoft.com/office/drawing/2012/chartStyle" xmlns:a="http://schemas.openxmlformats.org/drawingml/2006/main" meth="cycle" id="10">
  <a:schemeClr val="accent1"/>
</cs:colorStyle>
</file>

<file path=xl/charts/colors12.xml><?xml version="1.0" encoding="utf-8"?>
<cs:colorStyle xmlns:cs="http://schemas.microsoft.com/office/drawing/2012/chartStyle" xmlns:a="http://schemas.openxmlformats.org/drawingml/2006/main" meth="cycle" id="10">
  <a:schemeClr val="accent1"/>
</cs:colorStyle>
</file>

<file path=xl/charts/colors13.xml><?xml version="1.0" encoding="utf-8"?>
<cs:colorStyle xmlns:cs="http://schemas.microsoft.com/office/drawing/2012/chartStyle" xmlns:a="http://schemas.openxmlformats.org/drawingml/2006/main" meth="cycle" id="10">
  <a:schemeClr val="accent1"/>
</cs:colorStyle>
</file>

<file path=xl/charts/colors14.xml><?xml version="1.0" encoding="utf-8"?>
<cs:colorStyle xmlns:cs="http://schemas.microsoft.com/office/drawing/2012/chartStyle" xmlns:a="http://schemas.openxmlformats.org/drawingml/2006/main" meth="cycle" id="10">
  <a:schemeClr val="accent1"/>
</cs:colorStyle>
</file>

<file path=xl/charts/colors15.xml><?xml version="1.0" encoding="utf-8"?>
<cs:colorStyle xmlns:cs="http://schemas.microsoft.com/office/drawing/2012/chartStyle" xmlns:a="http://schemas.openxmlformats.org/drawingml/2006/main" meth="cycle" id="10">
  <a:schemeClr val="accent1"/>
</cs:colorStyle>
</file>

<file path=xl/charts/colors16.xml><?xml version="1.0" encoding="utf-8"?>
<cs:colorStyle xmlns:cs="http://schemas.microsoft.com/office/drawing/2012/chartStyle" xmlns:a="http://schemas.openxmlformats.org/drawingml/2006/main" meth="cycle" id="10">
  <a:schemeClr val="accent1"/>
</cs:colorStyle>
</file>

<file path=xl/charts/colors17.xml><?xml version="1.0" encoding="utf-8"?>
<cs:colorStyle xmlns:cs="http://schemas.microsoft.com/office/drawing/2012/chartStyle" xmlns:a="http://schemas.openxmlformats.org/drawingml/2006/main" meth="cycle" id="10">
  <a:schemeClr val="accent1"/>
</cs:colorStyle>
</file>

<file path=xl/charts/colors18.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Relationship Id="rId13" Type="http://schemas.openxmlformats.org/officeDocument/2006/relationships/chart" Target="../charts/chart13.xml"/><Relationship Id="rId14" Type="http://schemas.openxmlformats.org/officeDocument/2006/relationships/chart" Target="../charts/chart14.xml"/><Relationship Id="rId15" Type="http://schemas.openxmlformats.org/officeDocument/2006/relationships/chart" Target="../charts/chart15.xml"/><Relationship Id="rId16" Type="http://schemas.openxmlformats.org/officeDocument/2006/relationships/chart" Target="../charts/chart16.xml"/><Relationship Id="rId17" Type="http://schemas.openxmlformats.org/officeDocument/2006/relationships/chart" Target="../charts/chart17.xml"/><Relationship Id="rId18" Type="http://schemas.openxmlformats.org/officeDocument/2006/relationships/chart" Target="../charts/chart18.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163</xdr:row>
      <xdr:rowOff>0</xdr:rowOff>
    </xdr:from>
    <xdr:to>
      <xdr:col>5</xdr:col>
      <xdr:colOff>390600</xdr:colOff>
      <xdr:row>175</xdr:row>
      <xdr:rowOff>33840</xdr:rowOff>
    </xdr:to>
    <xdr:graphicFrame>
      <xdr:nvGraphicFramePr>
        <xdr:cNvPr id="1" name="Chart 1"/>
        <xdr:cNvGraphicFramePr/>
      </xdr:nvGraphicFramePr>
      <xdr:xfrm>
        <a:off x="0" y="31204080"/>
        <a:ext cx="2748960" cy="2319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163</xdr:row>
      <xdr:rowOff>0</xdr:rowOff>
    </xdr:from>
    <xdr:to>
      <xdr:col>14</xdr:col>
      <xdr:colOff>14760</xdr:colOff>
      <xdr:row>175</xdr:row>
      <xdr:rowOff>33840</xdr:rowOff>
    </xdr:to>
    <xdr:graphicFrame>
      <xdr:nvGraphicFramePr>
        <xdr:cNvPr id="2" name="Chart 2"/>
        <xdr:cNvGraphicFramePr/>
      </xdr:nvGraphicFramePr>
      <xdr:xfrm>
        <a:off x="3554640" y="31204080"/>
        <a:ext cx="2407680" cy="23198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16</xdr:col>
      <xdr:colOff>0</xdr:colOff>
      <xdr:row>163</xdr:row>
      <xdr:rowOff>0</xdr:rowOff>
    </xdr:from>
    <xdr:to>
      <xdr:col>22</xdr:col>
      <xdr:colOff>178200</xdr:colOff>
      <xdr:row>175</xdr:row>
      <xdr:rowOff>33840</xdr:rowOff>
    </xdr:to>
    <xdr:graphicFrame>
      <xdr:nvGraphicFramePr>
        <xdr:cNvPr id="3" name="Chart 3"/>
        <xdr:cNvGraphicFramePr/>
      </xdr:nvGraphicFramePr>
      <xdr:xfrm>
        <a:off x="6744960" y="31204080"/>
        <a:ext cx="2465640" cy="23198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24</xdr:col>
      <xdr:colOff>0</xdr:colOff>
      <xdr:row>163</xdr:row>
      <xdr:rowOff>0</xdr:rowOff>
    </xdr:from>
    <xdr:to>
      <xdr:col>30</xdr:col>
      <xdr:colOff>430560</xdr:colOff>
      <xdr:row>175</xdr:row>
      <xdr:rowOff>33840</xdr:rowOff>
    </xdr:to>
    <xdr:graphicFrame>
      <xdr:nvGraphicFramePr>
        <xdr:cNvPr id="4" name="Chart 4"/>
        <xdr:cNvGraphicFramePr/>
      </xdr:nvGraphicFramePr>
      <xdr:xfrm>
        <a:off x="10464840" y="31204080"/>
        <a:ext cx="4728240" cy="23198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179</xdr:row>
      <xdr:rowOff>0</xdr:rowOff>
    </xdr:from>
    <xdr:to>
      <xdr:col>5</xdr:col>
      <xdr:colOff>390600</xdr:colOff>
      <xdr:row>191</xdr:row>
      <xdr:rowOff>33840</xdr:rowOff>
    </xdr:to>
    <xdr:graphicFrame>
      <xdr:nvGraphicFramePr>
        <xdr:cNvPr id="5" name="Chart 5"/>
        <xdr:cNvGraphicFramePr/>
      </xdr:nvGraphicFramePr>
      <xdr:xfrm>
        <a:off x="0" y="34251840"/>
        <a:ext cx="2748960" cy="23198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0</xdr:colOff>
      <xdr:row>179</xdr:row>
      <xdr:rowOff>0</xdr:rowOff>
    </xdr:from>
    <xdr:to>
      <xdr:col>14</xdr:col>
      <xdr:colOff>14760</xdr:colOff>
      <xdr:row>191</xdr:row>
      <xdr:rowOff>33840</xdr:rowOff>
    </xdr:to>
    <xdr:graphicFrame>
      <xdr:nvGraphicFramePr>
        <xdr:cNvPr id="6" name="Chart 6"/>
        <xdr:cNvGraphicFramePr/>
      </xdr:nvGraphicFramePr>
      <xdr:xfrm>
        <a:off x="3554640" y="34251840"/>
        <a:ext cx="2407680" cy="23198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16</xdr:col>
      <xdr:colOff>0</xdr:colOff>
      <xdr:row>179</xdr:row>
      <xdr:rowOff>0</xdr:rowOff>
    </xdr:from>
    <xdr:to>
      <xdr:col>22</xdr:col>
      <xdr:colOff>178200</xdr:colOff>
      <xdr:row>191</xdr:row>
      <xdr:rowOff>33840</xdr:rowOff>
    </xdr:to>
    <xdr:graphicFrame>
      <xdr:nvGraphicFramePr>
        <xdr:cNvPr id="7" name="Chart 7"/>
        <xdr:cNvGraphicFramePr/>
      </xdr:nvGraphicFramePr>
      <xdr:xfrm>
        <a:off x="6744960" y="34251840"/>
        <a:ext cx="2465640" cy="231984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24</xdr:col>
      <xdr:colOff>0</xdr:colOff>
      <xdr:row>179</xdr:row>
      <xdr:rowOff>0</xdr:rowOff>
    </xdr:from>
    <xdr:to>
      <xdr:col>30</xdr:col>
      <xdr:colOff>430560</xdr:colOff>
      <xdr:row>191</xdr:row>
      <xdr:rowOff>33840</xdr:rowOff>
    </xdr:to>
    <xdr:graphicFrame>
      <xdr:nvGraphicFramePr>
        <xdr:cNvPr id="8" name="Chart 8"/>
        <xdr:cNvGraphicFramePr/>
      </xdr:nvGraphicFramePr>
      <xdr:xfrm>
        <a:off x="10464840" y="34251840"/>
        <a:ext cx="4728240" cy="23198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195</xdr:row>
      <xdr:rowOff>0</xdr:rowOff>
    </xdr:from>
    <xdr:to>
      <xdr:col>5</xdr:col>
      <xdr:colOff>390600</xdr:colOff>
      <xdr:row>207</xdr:row>
      <xdr:rowOff>33840</xdr:rowOff>
    </xdr:to>
    <xdr:graphicFrame>
      <xdr:nvGraphicFramePr>
        <xdr:cNvPr id="9" name="Chart 9"/>
        <xdr:cNvGraphicFramePr/>
      </xdr:nvGraphicFramePr>
      <xdr:xfrm>
        <a:off x="0" y="37299960"/>
        <a:ext cx="2748960" cy="231984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0</xdr:colOff>
      <xdr:row>195</xdr:row>
      <xdr:rowOff>0</xdr:rowOff>
    </xdr:from>
    <xdr:to>
      <xdr:col>14</xdr:col>
      <xdr:colOff>14760</xdr:colOff>
      <xdr:row>207</xdr:row>
      <xdr:rowOff>33840</xdr:rowOff>
    </xdr:to>
    <xdr:graphicFrame>
      <xdr:nvGraphicFramePr>
        <xdr:cNvPr id="10" name="Chart 10"/>
        <xdr:cNvGraphicFramePr/>
      </xdr:nvGraphicFramePr>
      <xdr:xfrm>
        <a:off x="3554640" y="37299960"/>
        <a:ext cx="2407680" cy="231984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16</xdr:col>
      <xdr:colOff>0</xdr:colOff>
      <xdr:row>195</xdr:row>
      <xdr:rowOff>0</xdr:rowOff>
    </xdr:from>
    <xdr:to>
      <xdr:col>22</xdr:col>
      <xdr:colOff>178200</xdr:colOff>
      <xdr:row>207</xdr:row>
      <xdr:rowOff>33840</xdr:rowOff>
    </xdr:to>
    <xdr:graphicFrame>
      <xdr:nvGraphicFramePr>
        <xdr:cNvPr id="11" name="Chart 11"/>
        <xdr:cNvGraphicFramePr/>
      </xdr:nvGraphicFramePr>
      <xdr:xfrm>
        <a:off x="6744960" y="37299960"/>
        <a:ext cx="2465640" cy="231984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24</xdr:col>
      <xdr:colOff>0</xdr:colOff>
      <xdr:row>195</xdr:row>
      <xdr:rowOff>0</xdr:rowOff>
    </xdr:from>
    <xdr:to>
      <xdr:col>30</xdr:col>
      <xdr:colOff>430560</xdr:colOff>
      <xdr:row>207</xdr:row>
      <xdr:rowOff>33840</xdr:rowOff>
    </xdr:to>
    <xdr:graphicFrame>
      <xdr:nvGraphicFramePr>
        <xdr:cNvPr id="12" name="Chart 12"/>
        <xdr:cNvGraphicFramePr/>
      </xdr:nvGraphicFramePr>
      <xdr:xfrm>
        <a:off x="10464840" y="37299960"/>
        <a:ext cx="4728240" cy="231984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0</xdr:colOff>
      <xdr:row>211</xdr:row>
      <xdr:rowOff>0</xdr:rowOff>
    </xdr:from>
    <xdr:to>
      <xdr:col>5</xdr:col>
      <xdr:colOff>390600</xdr:colOff>
      <xdr:row>223</xdr:row>
      <xdr:rowOff>33840</xdr:rowOff>
    </xdr:to>
    <xdr:graphicFrame>
      <xdr:nvGraphicFramePr>
        <xdr:cNvPr id="13" name="Chart 13"/>
        <xdr:cNvGraphicFramePr/>
      </xdr:nvGraphicFramePr>
      <xdr:xfrm>
        <a:off x="0" y="40348080"/>
        <a:ext cx="2748960" cy="231984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8</xdr:col>
      <xdr:colOff>0</xdr:colOff>
      <xdr:row>211</xdr:row>
      <xdr:rowOff>0</xdr:rowOff>
    </xdr:from>
    <xdr:to>
      <xdr:col>14</xdr:col>
      <xdr:colOff>14760</xdr:colOff>
      <xdr:row>223</xdr:row>
      <xdr:rowOff>33840</xdr:rowOff>
    </xdr:to>
    <xdr:graphicFrame>
      <xdr:nvGraphicFramePr>
        <xdr:cNvPr id="14" name="Chart 14"/>
        <xdr:cNvGraphicFramePr/>
      </xdr:nvGraphicFramePr>
      <xdr:xfrm>
        <a:off x="3554640" y="40348080"/>
        <a:ext cx="2407680" cy="231984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16</xdr:col>
      <xdr:colOff>0</xdr:colOff>
      <xdr:row>211</xdr:row>
      <xdr:rowOff>0</xdr:rowOff>
    </xdr:from>
    <xdr:to>
      <xdr:col>22</xdr:col>
      <xdr:colOff>178200</xdr:colOff>
      <xdr:row>223</xdr:row>
      <xdr:rowOff>33840</xdr:rowOff>
    </xdr:to>
    <xdr:graphicFrame>
      <xdr:nvGraphicFramePr>
        <xdr:cNvPr id="15" name="Chart 15"/>
        <xdr:cNvGraphicFramePr/>
      </xdr:nvGraphicFramePr>
      <xdr:xfrm>
        <a:off x="6744960" y="40348080"/>
        <a:ext cx="2465640" cy="231984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24</xdr:col>
      <xdr:colOff>0</xdr:colOff>
      <xdr:row>211</xdr:row>
      <xdr:rowOff>0</xdr:rowOff>
    </xdr:from>
    <xdr:to>
      <xdr:col>30</xdr:col>
      <xdr:colOff>430560</xdr:colOff>
      <xdr:row>223</xdr:row>
      <xdr:rowOff>33840</xdr:rowOff>
    </xdr:to>
    <xdr:graphicFrame>
      <xdr:nvGraphicFramePr>
        <xdr:cNvPr id="16" name="Chart 16"/>
        <xdr:cNvGraphicFramePr/>
      </xdr:nvGraphicFramePr>
      <xdr:xfrm>
        <a:off x="10464840" y="40348080"/>
        <a:ext cx="4728240" cy="231984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0</xdr:colOff>
      <xdr:row>227</xdr:row>
      <xdr:rowOff>0</xdr:rowOff>
    </xdr:from>
    <xdr:to>
      <xdr:col>5</xdr:col>
      <xdr:colOff>390600</xdr:colOff>
      <xdr:row>239</xdr:row>
      <xdr:rowOff>33840</xdr:rowOff>
    </xdr:to>
    <xdr:graphicFrame>
      <xdr:nvGraphicFramePr>
        <xdr:cNvPr id="17" name="Chart 17"/>
        <xdr:cNvGraphicFramePr/>
      </xdr:nvGraphicFramePr>
      <xdr:xfrm>
        <a:off x="0" y="43395840"/>
        <a:ext cx="2748960" cy="231984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8</xdr:col>
      <xdr:colOff>0</xdr:colOff>
      <xdr:row>227</xdr:row>
      <xdr:rowOff>0</xdr:rowOff>
    </xdr:from>
    <xdr:to>
      <xdr:col>14</xdr:col>
      <xdr:colOff>14760</xdr:colOff>
      <xdr:row>239</xdr:row>
      <xdr:rowOff>33840</xdr:rowOff>
    </xdr:to>
    <xdr:graphicFrame>
      <xdr:nvGraphicFramePr>
        <xdr:cNvPr id="18" name="Chart 18"/>
        <xdr:cNvGraphicFramePr/>
      </xdr:nvGraphicFramePr>
      <xdr:xfrm>
        <a:off x="3554640" y="43395840"/>
        <a:ext cx="2407680" cy="231984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wsDr>
</file>

<file path=xl/tables/table1.xml><?xml version="1.0" encoding="utf-8"?>
<table xmlns="http://schemas.openxmlformats.org/spreadsheetml/2006/main" id="1" name="CurrentPositionsTable" displayName="CurrentPositionsTable" ref="A2:M49" headerRowCount="1" totalsRowCount="0" totalsRowShown="0">
  <tableColumns count="13">
    <tableColumn id="1" name="Account"/>
    <tableColumn id="2" name="Ticker"/>
    <tableColumn id="3" name="Description"/>
    <tableColumn id="4" name="Asset Class"/>
    <tableColumn id="5" name="Quantity"/>
    <tableColumn id="6" name="Price&#10;($)"/>
    <tableColumn id="7" name="Market Value&#10;($)"/>
    <tableColumn id="8" name="Cost Basis&#10;($)"/>
    <tableColumn id="9" name="Unrealized G/L ($)"/>
    <tableColumn id="10" name="Unrealized G/L (%)"/>
    <tableColumn id="11" name="% of Account"/>
    <tableColumn id="12" name="% of Combined Portfolio"/>
    <tableColumn id="13" name="Classification / Notes (fill at review)"/>
  </tableColumns>
</table>
</file>

<file path=xl/tables/table2.xml><?xml version="1.0" encoding="utf-8"?>
<table xmlns="http://schemas.openxmlformats.org/spreadsheetml/2006/main" id="2" name="DashboardTable" displayName="DashboardTable" ref="A1:J46" headerRowCount="1" totalsRowCount="0" totalsRowShown="0">
  <autoFilter ref="A1:J46"/>
  <tableColumns count="10">
    <tableColumn id="1" name="Ticker"/>
    <tableColumn id="2" name="Company"/>
    <tableColumn id="3" name="Date Scored"/>
    <tableColumn id="4" name="Tier 1 Wtd Avg"/>
    <tableColumn id="5" name="Composite Score"/>
    <tableColumn id="6" name="Decision"/>
    <tableColumn id="7" name="Rule 1"/>
    <tableColumn id="8" name="Rule 2"/>
    <tableColumn id="9" name="Rule 3"/>
    <tableColumn id="10" name="Rule 4"/>
  </tableColumns>
</table>
</file>

<file path=xl/tables/table3.xml><?xml version="1.0" encoding="utf-8"?>
<table xmlns="http://schemas.openxmlformats.org/spreadsheetml/2006/main" id="3" name="DrawdownLogTable" displayName="DrawdownLogTable" ref="A2:H42" headerRowCount="1" totalsRowCount="0" totalsRowShown="0">
  <autoFilter ref="A2:H42"/>
  <tableColumns count="8">
    <tableColumn id="1" name="Date"/>
    <tableColumn id="2" name="Portfolio Value ($)"/>
    <tableColumn id="3" name="Running Peak ($)"/>
    <tableColumn id="4" name="Drawdown %"/>
    <tableColumn id="5" name="Status"/>
    <tableColumn id="6" name="Required Cash Floor"/>
    <tableColumn id="7" name="New Position Initiation"/>
    <tableColumn id="8" name="Notes"/>
  </tableColumns>
</table>
</file>

<file path=xl/tables/table4.xml><?xml version="1.0" encoding="utf-8"?>
<table xmlns="http://schemas.openxmlformats.org/spreadsheetml/2006/main" id="4" name="EntryChecklistTable" displayName="EntryChecklistTable" ref="A2:R47" headerRowCount="1" totalsRowCount="0" totalsRowShown="0">
  <autoFilter ref="A2:R47"/>
  <tableColumns count="18">
    <tableColumn id="1" name="Ticker"/>
    <tableColumn id="2" name="Company"/>
    <tableColumn id="3" name="Rule 5&#10;Composite&#10;≥65?"/>
    <tableColumn id="4" name="Rule 6&#10;Tier1&#10;≥3.0?"/>
    <tableColumn id="5" name="Rule 7&#10;No Tier1&#10;=1?"/>
    <tableColumn id="6" name="Rule 8&#10;Above/reclaimed&#10;200-wk MA?&#10;(Y/N)"/>
    <tableColumn id="7" name="Rule 9&#10;Monthly MACD&#10;positive/turning?&#10;(Y/N)"/>
    <tableColumn id="8" name="Staging&#10;Result&#10;(Rules 8-9)"/>
    <tableColumn id="9" name="Rule 10&#10;Binary event&#10;risk present?&#10;(Y/N)"/>
    <tableColumn id="10" name="Risk included&#10;in thesis?&#10;(Y/N)"/>
    <tableColumn id="11" name="Rule 10&#10;Result"/>
    <tableColumn id="12" name="Rule 11&#10;Bear Case&#10;≥0%?"/>
    <tableColumn id="13" name="Rule 12&#10;Scenario tags&#10;OK?"/>
    <tableColumn id="14" name="P/FCF&#10;(current)"/>
    <tableColumn id="15" name="Consensus FCF&#10;growth, 2-yr&#10;annualized"/>
    <tableColumn id="16" name="Rule 13&#10;Valuation&#10;Ceiling"/>
    <tableColumn id="17" name="ENTRY&#10;AUTHORIZED?"/>
    <tableColumn id="18" name="Recommended Action"/>
  </tableColumns>
</table>
</file>

<file path=xl/tables/table5.xml><?xml version="1.0" encoding="utf-8"?>
<table xmlns="http://schemas.openxmlformats.org/spreadsheetml/2006/main" id="5" name="JournalTable" displayName="JournalTable" ref="A2:C302" headerRowCount="1" totalsRowCount="0" totalsRowShown="0">
  <autoFilter ref="A2:C302"/>
  <tableColumns count="3">
    <tableColumn id="1" name="Date"/>
    <tableColumn id="2" name="Ticker"/>
    <tableColumn id="3" name="Notes"/>
  </tableColumns>
</table>
</file>

<file path=xl/tables/table6.xml><?xml version="1.0" encoding="utf-8"?>
<table xmlns="http://schemas.openxmlformats.org/spreadsheetml/2006/main" id="6" name="MonitorTable" displayName="MonitorTable" ref="A2:Q47" headerRowCount="1" totalsRowCount="0" totalsRowShown="0">
  <autoFilter ref="A2:Q47"/>
  <tableColumns count="17">
    <tableColumn id="1" name="Ticker"/>
    <tableColumn id="2" name="Category"/>
    <tableColumn id="3" name="Last Score&#10;Date"/>
    <tableColumn id="4" name="Last&#10;Composite"/>
    <tableColumn id="5" name="Last Tier 1&#10;Wtd Avg"/>
    <tableColumn id="6" name="Last&#10;Decision"/>
    <tableColumn id="7" name="Price at&#10;Last Score"/>
    <tableColumn id="8" name="Current&#10;Price"/>
    <tableColumn id="9" name="% Price&#10;Change"/>
    <tableColumn id="10" name="Next/Last&#10;Earnings Date"/>
    <tableColumn id="11" name="Insider&#10;Activity? (Y/N)"/>
    <tableColumn id="12" name="Insider Note"/>
    <tableColumn id="13" name="Analyst&#10;Shift? (Y/N)"/>
    <tableColumn id="14" name="Analyst Shift&#10;Note"/>
    <tableColumn id="15" name="Days Since&#10;Last Score"/>
    <tableColumn id="16" name="Recheck Status"/>
    <tableColumn id="17" name="Notes"/>
  </tableColumns>
</table>
</file>

<file path=xl/tables/table7.xml><?xml version="1.0" encoding="utf-8"?>
<table xmlns="http://schemas.openxmlformats.org/spreadsheetml/2006/main" id="7" name="PerformanceTrackingTable" displayName="PerformanceTrackingTable" ref="A2:Q33" headerRowCount="1" totalsRowCount="0" totalsRowShown="0">
  <autoFilter ref="A2:Q33"/>
  <tableColumns count="17">
    <tableColumn id="1" name="Ticker"/>
    <tableColumn id="2" name="Company"/>
    <tableColumn id="3" name="Entry&#10;Date"/>
    <tableColumn id="4" name="Entry&#10;Price"/>
    <tableColumn id="5" name="Entry&#10;Score"/>
    <tableColumn id="6" name="Entry&#10;Confidence"/>
    <tableColumn id="7" name="Entry&#10;Decision Band"/>
    <tableColumn id="8" name="SPY Price&#10;at Entry"/>
    <tableColumn id="9" name="Status&#10;(Held/Exited)"/>
    <tableColumn id="10" name="Exit&#10;Date"/>
    <tableColumn id="11" name="Exit&#10;Price"/>
    <tableColumn id="12" name="Exit&#10;Reason"/>
    <tableColumn id="13" name="Current/&#10;Exit Price"/>
    <tableColumn id="14" name="SPY Price&#10;(current/exit)"/>
    <tableColumn id="15" name="Total Return&#10;Since Entry"/>
    <tableColumn id="16" name="SPY Return&#10;Same Period"/>
    <tableColumn id="17" name="Excess&#10;Return"/>
  </tableColumns>
</table>
</file>

<file path=xl/tables/table8.xml><?xml version="1.0" encoding="utf-8"?>
<table xmlns="http://schemas.openxmlformats.org/spreadsheetml/2006/main" id="8" name="WatchListTable" displayName="WatchListTable" ref="A2:L22" headerRowCount="1" totalsRowCount="0" totalsRowShown="0">
  <autoFilter ref="A2:L22"/>
  <tableColumns count="12">
    <tableColumn id="1" name="Ticker"/>
    <tableColumn id="2" name="Company"/>
    <tableColumn id="3" name="Status&#10;(Probationary/&#10;Exit Review)"/>
    <tableColumn id="4" name="Entry Date&#10;(band entered)"/>
    <tableColumn id="5" name="Entry&#10;Score"/>
    <tableColumn id="6" name="Current&#10;Score"/>
    <tableColumn id="7" name="Current Score&#10;Date"/>
    <tableColumn id="8" name="Credible&#10;Remediation Plan?&#10;(Y/N)"/>
    <tableColumn id="9" name="90-Day&#10;Deadline"/>
    <tableColumn id="10" name="Days&#10;Remaining"/>
    <tableColumn id="11" name="Action Status"/>
    <tableColumn id="12" name="Remediation Plan Notes"/>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table" Target="../tables/table6.xml"/>
</Relationships>
</file>

<file path=xl/worksheets/_rels/sheet6.xml.rels><?xml version="1.0" encoding="UTF-8"?>
<Relationships xmlns="http://schemas.openxmlformats.org/package/2006/relationships"><Relationship Id="rId1" Type="http://schemas.openxmlformats.org/officeDocument/2006/relationships/table" Target="../tables/table2.xml"/>
</Relationships>
</file>

<file path=xl/worksheets/_rels/sheet8.xml.rels><?xml version="1.0" encoding="UTF-8"?>
<Relationships xmlns="http://schemas.openxmlformats.org/package/2006/relationships"><Relationship Id="rId1" Type="http://schemas.openxmlformats.org/officeDocument/2006/relationships/table" Target="../tables/table4.xml"/>
</Relationships>
</file>

<file path=xl/worksheets/_rels/sheet10.xml.rels><?xml version="1.0" encoding="UTF-8"?>
<Relationships xmlns="http://schemas.openxmlformats.org/package/2006/relationships"><Relationship Id="rId1" Type="http://schemas.openxmlformats.org/officeDocument/2006/relationships/drawing" Target="../drawings/drawing1.xml"/>
</Relationships>
</file>

<file path=xl/worksheets/_rels/sheet12.xml.rels><?xml version="1.0" encoding="UTF-8"?>
<Relationships xmlns="http://schemas.openxmlformats.org/package/2006/relationships"><Relationship Id="rId1" Type="http://schemas.openxmlformats.org/officeDocument/2006/relationships/table" Target="../tables/table3.xml"/>
</Relationships>
</file>

<file path=xl/worksheets/_rels/sheet13.xml.rels><?xml version="1.0" encoding="UTF-8"?>
<Relationships xmlns="http://schemas.openxmlformats.org/package/2006/relationships"><Relationship Id="rId1" Type="http://schemas.openxmlformats.org/officeDocument/2006/relationships/table" Target="../tables/table8.xml"/>
</Relationships>
</file>

<file path=xl/worksheets/_rels/sheet16.xml.rels><?xml version="1.0" encoding="UTF-8"?>
<Relationships xmlns="http://schemas.openxmlformats.org/package/2006/relationships"><Relationship Id="rId1" Type="http://schemas.openxmlformats.org/officeDocument/2006/relationships/table" Target="../tables/table7.xml"/>
</Relationships>
</file>

<file path=xl/worksheets/_rels/sheet17.xml.rels><?xml version="1.0" encoding="UTF-8"?>
<Relationships xmlns="http://schemas.openxmlformats.org/package/2006/relationships"><Relationship Id="rId1" Type="http://schemas.openxmlformats.org/officeDocument/2006/relationships/table" Target="../tables/table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22" activeCellId="0" sqref="B22"/>
    </sheetView>
  </sheetViews>
  <sheetFormatPr defaultColWidth="8.66796875" defaultRowHeight="15" customHeight="false" zeroHeight="false" outlineLevelRow="0" outlineLevelCol="0"/>
  <cols>
    <col collapsed="false" customWidth="true" hidden="false" outlineLevel="0" max="1" min="1" style="1" width="100"/>
  </cols>
  <sheetData>
    <row r="1" customFormat="false" ht="21.75" hidden="false" customHeight="true" outlineLevel="0" collapsed="false">
      <c r="A1" s="2" t="s">
        <v>0</v>
      </c>
    </row>
    <row r="2" customFormat="false" ht="13.5" hidden="false" customHeight="true" outlineLevel="0" collapsed="false">
      <c r="A2" s="3"/>
    </row>
    <row r="3" customFormat="false" ht="13.5" hidden="false" customHeight="true" outlineLevel="0" collapsed="false">
      <c r="A3" s="4" t="s">
        <v>1</v>
      </c>
    </row>
    <row r="4" customFormat="false" ht="13.5" hidden="false" customHeight="true" outlineLevel="0" collapsed="false">
      <c r="A4" s="3" t="s">
        <v>2</v>
      </c>
    </row>
    <row r="5" customFormat="false" ht="13.5" hidden="false" customHeight="true" outlineLevel="0" collapsed="false">
      <c r="A5" s="3" t="s">
        <v>3</v>
      </c>
    </row>
    <row r="6" customFormat="false" ht="13.5" hidden="false" customHeight="true" outlineLevel="0" collapsed="false">
      <c r="A6" s="3"/>
    </row>
    <row r="7" customFormat="false" ht="13.5" hidden="false" customHeight="true" outlineLevel="0" collapsed="false">
      <c r="A7" s="5" t="s">
        <v>4</v>
      </c>
    </row>
    <row r="8" customFormat="false" ht="13.5" hidden="false" customHeight="true" outlineLevel="0" collapsed="false">
      <c r="A8" s="3" t="s">
        <v>5</v>
      </c>
    </row>
    <row r="9" customFormat="false" ht="13.5" hidden="false" customHeight="true" outlineLevel="0" collapsed="false">
      <c r="A9" s="3" t="s">
        <v>6</v>
      </c>
    </row>
    <row r="10" customFormat="false" ht="13.5" hidden="false" customHeight="true" outlineLevel="0" collapsed="false">
      <c r="A10" s="3" t="s">
        <v>7</v>
      </c>
    </row>
    <row r="11" customFormat="false" ht="13.5" hidden="false" customHeight="true" outlineLevel="0" collapsed="false">
      <c r="A11" s="3" t="s">
        <v>8</v>
      </c>
    </row>
    <row r="12" customFormat="false" ht="13.5" hidden="false" customHeight="true" outlineLevel="0" collapsed="false">
      <c r="A12" s="3" t="s">
        <v>9</v>
      </c>
    </row>
    <row r="13" customFormat="false" ht="13.5" hidden="false" customHeight="true" outlineLevel="0" collapsed="false">
      <c r="A13" s="3" t="s">
        <v>10</v>
      </c>
    </row>
    <row r="14" customFormat="false" ht="13.5" hidden="false" customHeight="true" outlineLevel="0" collapsed="false">
      <c r="A14" s="3" t="s">
        <v>11</v>
      </c>
    </row>
    <row r="15" customFormat="false" ht="13.5" hidden="false" customHeight="true" outlineLevel="0" collapsed="false">
      <c r="A15" s="3" t="s">
        <v>12</v>
      </c>
    </row>
    <row r="16" customFormat="false" ht="13.5" hidden="false" customHeight="true" outlineLevel="0" collapsed="false">
      <c r="A16" s="3" t="s">
        <v>13</v>
      </c>
    </row>
    <row r="17" customFormat="false" ht="13.5" hidden="false" customHeight="true" outlineLevel="0" collapsed="false">
      <c r="A17" s="3" t="s">
        <v>14</v>
      </c>
    </row>
    <row r="18" customFormat="false" ht="13.5" hidden="false" customHeight="true" outlineLevel="0" collapsed="false">
      <c r="A18" s="3"/>
    </row>
    <row r="19" customFormat="false" ht="13.5" hidden="false" customHeight="true" outlineLevel="0" collapsed="false">
      <c r="A19" s="5" t="s">
        <v>15</v>
      </c>
    </row>
    <row r="20" customFormat="false" ht="13.5" hidden="false" customHeight="true" outlineLevel="0" collapsed="false">
      <c r="A20" s="3" t="s">
        <v>16</v>
      </c>
    </row>
    <row r="21" customFormat="false" ht="13.5" hidden="false" customHeight="true" outlineLevel="0" collapsed="false">
      <c r="A21" s="3" t="s">
        <v>17</v>
      </c>
    </row>
    <row r="22" customFormat="false" ht="13.5" hidden="false" customHeight="true" outlineLevel="0" collapsed="false">
      <c r="A22" s="3" t="s">
        <v>18</v>
      </c>
    </row>
    <row r="23" customFormat="false" ht="13.5" hidden="false" customHeight="true" outlineLevel="0" collapsed="false">
      <c r="A23" s="3" t="s">
        <v>19</v>
      </c>
    </row>
    <row r="24" customFormat="false" ht="13.5" hidden="false" customHeight="true" outlineLevel="0" collapsed="false">
      <c r="A24" s="3" t="s">
        <v>20</v>
      </c>
    </row>
    <row r="25" customFormat="false" ht="13.5" hidden="false" customHeight="true" outlineLevel="0" collapsed="false">
      <c r="A25" s="3" t="s">
        <v>21</v>
      </c>
    </row>
    <row r="26" customFormat="false" ht="13.5" hidden="false" customHeight="true" outlineLevel="0" collapsed="false">
      <c r="A26" s="3" t="s">
        <v>22</v>
      </c>
    </row>
    <row r="27" customFormat="false" ht="13.5" hidden="false" customHeight="true" outlineLevel="0" collapsed="false">
      <c r="A27" s="3" t="s">
        <v>23</v>
      </c>
    </row>
    <row r="28" customFormat="false" ht="13.5" hidden="false" customHeight="true" outlineLevel="0" collapsed="false">
      <c r="A28" s="3" t="s">
        <v>24</v>
      </c>
    </row>
    <row r="29" customFormat="false" ht="13.5" hidden="false" customHeight="true" outlineLevel="0" collapsed="false">
      <c r="A29" s="3"/>
    </row>
    <row r="30" customFormat="false" ht="13.5" hidden="false" customHeight="true" outlineLevel="0" collapsed="false">
      <c r="A30" s="5" t="s">
        <v>25</v>
      </c>
    </row>
    <row r="31" customFormat="false" ht="13.5" hidden="false" customHeight="true" outlineLevel="0" collapsed="false">
      <c r="A31" s="3" t="s">
        <v>26</v>
      </c>
    </row>
    <row r="32" customFormat="false" ht="13.5" hidden="false" customHeight="true" outlineLevel="0" collapsed="false">
      <c r="A32" s="3" t="s">
        <v>27</v>
      </c>
    </row>
    <row r="34" customFormat="false" ht="15" hidden="false" customHeight="true" outlineLevel="0" collapsed="false">
      <c r="A34" s="6" t="s">
        <v>28</v>
      </c>
    </row>
    <row r="35" customFormat="false" ht="15" hidden="false" customHeight="true" outlineLevel="0" collapsed="false">
      <c r="A35" s="7" t="s">
        <v>29</v>
      </c>
    </row>
    <row r="36" customFormat="false" ht="15" hidden="false" customHeight="true" outlineLevel="0" collapsed="false">
      <c r="A36" s="3"/>
    </row>
    <row r="37" customFormat="false" ht="15" hidden="false" customHeight="true" outlineLevel="0" collapsed="false">
      <c r="A37" s="5" t="s">
        <v>30</v>
      </c>
    </row>
    <row r="38" customFormat="false" ht="15" hidden="false" customHeight="true" outlineLevel="0" collapsed="false">
      <c r="A38" s="3" t="s">
        <v>31</v>
      </c>
    </row>
    <row r="39" customFormat="false" ht="15" hidden="false" customHeight="true" outlineLevel="0" collapsed="false">
      <c r="A39" s="3" t="s">
        <v>32</v>
      </c>
    </row>
    <row r="40" customFormat="false" ht="15" hidden="false" customHeight="true" outlineLevel="0" collapsed="false">
      <c r="A40" s="3" t="s">
        <v>33</v>
      </c>
    </row>
    <row r="41" customFormat="false" ht="15" hidden="false" customHeight="true" outlineLevel="0" collapsed="false">
      <c r="A41" s="3" t="s">
        <v>34</v>
      </c>
    </row>
    <row r="42" customFormat="false" ht="15" hidden="false" customHeight="true" outlineLevel="0" collapsed="false">
      <c r="A42" s="3" t="s">
        <v>35</v>
      </c>
    </row>
    <row r="43" customFormat="false" ht="15" hidden="false" customHeight="true" outlineLevel="0" collapsed="false">
      <c r="A43" s="3" t="s">
        <v>36</v>
      </c>
    </row>
    <row r="44" customFormat="false" ht="15" hidden="false" customHeight="true" outlineLevel="0" collapsed="false">
      <c r="A44" s="3" t="s">
        <v>37</v>
      </c>
    </row>
    <row r="45" customFormat="false" ht="15" hidden="false" customHeight="true" outlineLevel="0" collapsed="false">
      <c r="A45" s="3" t="s">
        <v>38</v>
      </c>
    </row>
    <row r="46" customFormat="false" ht="15" hidden="false" customHeight="true" outlineLevel="0" collapsed="false">
      <c r="A46" s="3" t="s">
        <v>39</v>
      </c>
    </row>
    <row r="47" customFormat="false" ht="15" hidden="false" customHeight="true" outlineLevel="0" collapsed="false">
      <c r="A47" s="3" t="s">
        <v>40</v>
      </c>
    </row>
    <row r="48" customFormat="false" ht="15" hidden="false" customHeight="true" outlineLevel="0" collapsed="false">
      <c r="A48" s="3" t="s">
        <v>41</v>
      </c>
    </row>
    <row r="49" customFormat="false" ht="15" hidden="false" customHeight="true" outlineLevel="0" collapsed="false">
      <c r="A49" s="3" t="s">
        <v>42</v>
      </c>
    </row>
    <row r="50" customFormat="false" ht="15" hidden="false" customHeight="true" outlineLevel="0" collapsed="false">
      <c r="A50" s="3" t="s">
        <v>43</v>
      </c>
    </row>
    <row r="51" customFormat="false" ht="15" hidden="false" customHeight="true" outlineLevel="0" collapsed="false">
      <c r="A51" s="1" t="s">
        <v>44</v>
      </c>
    </row>
    <row r="52" customFormat="false" ht="15" hidden="false" customHeight="true" outlineLevel="0" collapsed="false">
      <c r="A52" s="1" t="s">
        <v>45</v>
      </c>
    </row>
    <row r="53" customFormat="false" ht="15" hidden="false" customHeight="true" outlineLevel="0" collapsed="false">
      <c r="A53" s="1" t="s">
        <v>46</v>
      </c>
    </row>
    <row r="54" customFormat="false" ht="15" hidden="false" customHeight="true" outlineLevel="0" collapsed="false">
      <c r="A54" s="1" t="s">
        <v>47</v>
      </c>
    </row>
    <row r="55" customFormat="false" ht="15" hidden="false" customHeight="true" outlineLevel="0" collapsed="false">
      <c r="A55" s="1" t="s">
        <v>48</v>
      </c>
    </row>
    <row r="56" customFormat="false" ht="15" hidden="false" customHeight="true" outlineLevel="0" collapsed="false">
      <c r="A56" s="1" t="s">
        <v>49</v>
      </c>
    </row>
    <row r="57" customFormat="false" ht="15" hidden="false" customHeight="true" outlineLevel="0" collapsed="false">
      <c r="A57" s="1" t="s">
        <v>50</v>
      </c>
    </row>
    <row r="58" customFormat="false" ht="15" hidden="false" customHeight="true" outlineLevel="0" collapsed="false">
      <c r="A58" s="1" t="s">
        <v>51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3"/>
  <sheetViews>
    <sheetView showFormulas="false" showGridLines="false" showRowColHeaders="true" showZeros="true" rightToLeft="false" tabSelected="false" showOutlineSymbols="true" defaultGridColor="true" view="normal" topLeftCell="A12" colorId="64" zoomScale="100" zoomScaleNormal="100" zoomScalePageLayoutView="100" workbookViewId="0">
      <selection pane="topLeft" activeCell="E33" activeCellId="0" sqref="E33"/>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4" min="2" style="1" width="12"/>
    <col collapsed="false" customWidth="true" hidden="false" outlineLevel="0" max="5" min="5" style="1" width="14"/>
    <col collapsed="false" customWidth="true" hidden="false" outlineLevel="0" max="6" min="6" style="1" width="8"/>
  </cols>
  <sheetData>
    <row r="1" customFormat="false" ht="19.5" hidden="false" customHeight="true" outlineLevel="0" collapsed="false">
      <c r="A1" s="8" t="s">
        <v>52</v>
      </c>
      <c r="B1" s="8"/>
      <c r="C1" s="8"/>
      <c r="D1" s="8"/>
      <c r="E1" s="8"/>
      <c r="F1" s="8"/>
    </row>
    <row r="2" customFormat="false" ht="15" hidden="false" customHeight="true" outlineLevel="0" collapsed="false">
      <c r="A2" s="9" t="s">
        <v>53</v>
      </c>
      <c r="B2" s="9"/>
      <c r="C2" s="9"/>
      <c r="D2" s="9"/>
      <c r="E2" s="9"/>
      <c r="F2" s="9"/>
    </row>
    <row r="4" customFormat="false" ht="15" hidden="false" customHeight="true" outlineLevel="0" collapsed="false">
      <c r="A4" s="10" t="s">
        <v>54</v>
      </c>
      <c r="B4" s="10"/>
      <c r="C4" s="10"/>
      <c r="D4" s="10"/>
      <c r="E4" s="10"/>
      <c r="F4" s="10"/>
    </row>
    <row r="5" customFormat="false" ht="15" hidden="false" customHeight="true" outlineLevel="0" collapsed="false">
      <c r="A5" s="11" t="s">
        <v>55</v>
      </c>
      <c r="B5" s="11"/>
      <c r="C5" s="11"/>
      <c r="D5" s="11"/>
      <c r="E5" s="12" t="n">
        <f aca="false">COUNTIF('Watch List Tracker'!K3:K22,"*SELL WITHIN 30 DAYS*")</f>
        <v>0</v>
      </c>
      <c r="F5" s="12"/>
    </row>
    <row r="6" customFormat="false" ht="15" hidden="false" customHeight="true" outlineLevel="0" collapsed="false">
      <c r="A6" s="11" t="s">
        <v>56</v>
      </c>
      <c r="B6" s="11"/>
      <c r="C6" s="11"/>
      <c r="D6" s="11"/>
      <c r="E6" s="12" t="n">
        <f aca="false">COUNTIF('Watch List Tracker'!K3:K22,"DEADLINE APPROACHING")</f>
        <v>0</v>
      </c>
      <c r="F6" s="12"/>
    </row>
    <row r="7" customFormat="false" ht="15" hidden="false" customHeight="true" outlineLevel="0" collapsed="false">
      <c r="A7" s="11" t="s">
        <v>57</v>
      </c>
      <c r="B7" s="11"/>
      <c r="C7" s="11"/>
      <c r="D7" s="11"/>
      <c r="E7" s="12" t="n">
        <f aca="false">COUNTIF('Watch List Tracker'!K3:K22,"*RECOVERED*")</f>
        <v>0</v>
      </c>
      <c r="F7" s="12"/>
    </row>
    <row r="8" customFormat="false" ht="15" hidden="false" customHeight="true" outlineLevel="0" collapsed="false">
      <c r="A8" s="13"/>
      <c r="B8" s="13"/>
      <c r="C8" s="13"/>
      <c r="D8" s="13"/>
    </row>
    <row r="9" customFormat="false" ht="15" hidden="false" customHeight="true" outlineLevel="0" collapsed="false">
      <c r="A9" s="10" t="s">
        <v>58</v>
      </c>
      <c r="B9" s="10"/>
      <c r="C9" s="10"/>
      <c r="D9" s="10"/>
      <c r="E9" s="10"/>
      <c r="F9" s="10"/>
    </row>
    <row r="10" customFormat="false" ht="15" hidden="false" customHeight="true" outlineLevel="0" collapsed="false">
      <c r="A10" s="11" t="s">
        <v>59</v>
      </c>
      <c r="B10" s="11"/>
      <c r="C10" s="11"/>
      <c r="D10" s="11"/>
      <c r="E10" s="12" t="n">
        <f aca="false">COUNTIF('Holding Monitor'!AB4:AB23,"*ACTION REQUIRED*")</f>
        <v>0</v>
      </c>
      <c r="F10" s="12"/>
    </row>
    <row r="11" customFormat="false" ht="15" hidden="false" customHeight="true" outlineLevel="0" collapsed="false">
      <c r="A11" s="11" t="s">
        <v>60</v>
      </c>
      <c r="B11" s="11"/>
      <c r="C11" s="11"/>
      <c r="D11" s="11"/>
      <c r="E11" s="12" t="n">
        <f aca="false">COUNTIF('Holding Monitor'!AB4:AB23,"*Hold Through*")</f>
        <v>0</v>
      </c>
      <c r="F11" s="12"/>
    </row>
    <row r="12" customFormat="false" ht="15" hidden="false" customHeight="true" outlineLevel="0" collapsed="false">
      <c r="A12" s="13"/>
      <c r="B12" s="13"/>
      <c r="C12" s="13"/>
      <c r="D12" s="13"/>
    </row>
    <row r="13" customFormat="false" ht="15" hidden="false" customHeight="true" outlineLevel="0" collapsed="false">
      <c r="A13" s="10" t="s">
        <v>61</v>
      </c>
      <c r="B13" s="10"/>
      <c r="C13" s="10"/>
      <c r="D13" s="10"/>
      <c r="E13" s="10"/>
      <c r="F13" s="10"/>
    </row>
    <row r="14" customFormat="false" ht="15" hidden="false" customHeight="true" outlineLevel="0" collapsed="false">
      <c r="A14" s="11" t="s">
        <v>62</v>
      </c>
      <c r="B14" s="11"/>
      <c r="C14" s="11"/>
      <c r="D14" s="11"/>
      <c r="E14" s="14" t="str">
        <f aca="false">'Correlation Matrix'!B17</f>
        <v/>
      </c>
      <c r="F14" s="14"/>
    </row>
    <row r="15" customFormat="false" ht="15" hidden="false" customHeight="true" outlineLevel="0" collapsed="false">
      <c r="A15" s="11" t="s">
        <v>63</v>
      </c>
      <c r="B15" s="11"/>
      <c r="C15" s="11"/>
      <c r="D15" s="11"/>
      <c r="E15" s="15" t="n">
        <f aca="false">'Correlation Matrix'!B16</f>
        <v>0.17</v>
      </c>
      <c r="F15" s="15"/>
    </row>
    <row r="16" customFormat="false" ht="15" hidden="false" customHeight="true" outlineLevel="0" collapsed="false">
      <c r="A16" s="13"/>
      <c r="B16" s="13"/>
      <c r="C16" s="13"/>
      <c r="D16" s="13"/>
    </row>
    <row r="17" customFormat="false" ht="15" hidden="false" customHeight="true" outlineLevel="0" collapsed="false">
      <c r="A17" s="10" t="s">
        <v>64</v>
      </c>
      <c r="B17" s="10"/>
      <c r="C17" s="10"/>
      <c r="D17" s="10"/>
      <c r="E17" s="10"/>
      <c r="F17" s="10"/>
    </row>
    <row r="18" customFormat="false" ht="15" hidden="false" customHeight="true" outlineLevel="0" collapsed="false">
      <c r="A18" s="11" t="s">
        <v>65</v>
      </c>
      <c r="B18" s="11"/>
      <c r="C18" s="11"/>
      <c r="D18" s="11"/>
      <c r="E18" s="12" t="str">
        <f aca="false">IFERROR(INDEX('Portfolio Drawdown Log'!E3:E42,COUNT('Portfolio Drawdown Log'!D3:D42)),"No entries yet")</f>
        <v>Normal</v>
      </c>
      <c r="F18" s="12"/>
    </row>
    <row r="19" customFormat="false" ht="15" hidden="false" customHeight="true" outlineLevel="0" collapsed="false">
      <c r="A19" s="11" t="s">
        <v>66</v>
      </c>
      <c r="B19" s="11"/>
      <c r="C19" s="11"/>
      <c r="D19" s="11"/>
      <c r="E19" s="16" t="n">
        <f aca="false">IFERROR(INDEX('Portfolio Drawdown Log'!D3:D42,COUNT('Portfolio Drawdown Log'!D3:D42)),"")</f>
        <v>0</v>
      </c>
      <c r="F19" s="16"/>
    </row>
    <row r="20" customFormat="false" ht="15" hidden="false" customHeight="true" outlineLevel="0" collapsed="false">
      <c r="A20" s="11" t="s">
        <v>67</v>
      </c>
      <c r="B20" s="11"/>
      <c r="C20" s="11"/>
      <c r="D20" s="11"/>
      <c r="E20" s="12" t="str">
        <f aca="false">IFERROR(INDEX('Portfolio Drawdown Log'!F3:F42,COUNT('Portfolio Drawdown Log'!D3:D42)),"")</f>
        <v>5-15%</v>
      </c>
      <c r="F20" s="12"/>
    </row>
    <row r="21" customFormat="false" ht="15" hidden="false" customHeight="true" outlineLevel="0" collapsed="false">
      <c r="A21" s="13"/>
      <c r="B21" s="13"/>
      <c r="C21" s="13"/>
      <c r="D21" s="13"/>
    </row>
    <row r="22" customFormat="false" ht="15" hidden="false" customHeight="true" outlineLevel="0" collapsed="false">
      <c r="A22" s="10" t="s">
        <v>68</v>
      </c>
      <c r="B22" s="10"/>
      <c r="C22" s="10"/>
      <c r="D22" s="10"/>
      <c r="E22" s="10"/>
      <c r="F22" s="10"/>
    </row>
    <row r="23" customFormat="false" ht="15" hidden="false" customHeight="true" outlineLevel="0" collapsed="false">
      <c r="A23" s="11" t="s">
        <v>69</v>
      </c>
      <c r="B23" s="11"/>
      <c r="C23" s="11"/>
      <c r="D23" s="11"/>
      <c r="E23" s="12" t="n">
        <f aca="false">COUNTIF(Scoring!AH3:AH27,"FAIL")</f>
        <v>9</v>
      </c>
      <c r="F23" s="12"/>
    </row>
    <row r="24" customFormat="false" ht="15" hidden="false" customHeight="true" outlineLevel="0" collapsed="false">
      <c r="A24" s="11" t="s">
        <v>70</v>
      </c>
      <c r="B24" s="11"/>
      <c r="C24" s="11"/>
      <c r="D24" s="11"/>
      <c r="E24" s="12" t="n">
        <f aca="false">COUNTIF(Scoring!AJ3:AJ27,"AVOID")</f>
        <v>9</v>
      </c>
      <c r="F24" s="12"/>
    </row>
    <row r="25" customFormat="false" ht="15" hidden="false" customHeight="true" outlineLevel="0" collapsed="false">
      <c r="A25" s="11" t="s">
        <v>71</v>
      </c>
      <c r="B25" s="11"/>
      <c r="C25" s="11"/>
      <c r="D25" s="11"/>
      <c r="E25" s="12" t="n">
        <f aca="false">COUNTIF(Scoring!AI3:AI27,"REVIEW")</f>
        <v>7</v>
      </c>
      <c r="F25" s="12"/>
    </row>
    <row r="26" customFormat="false" ht="15" hidden="false" customHeight="true" outlineLevel="0" collapsed="false">
      <c r="A26" s="11" t="s">
        <v>72</v>
      </c>
      <c r="B26" s="11"/>
      <c r="C26" s="11"/>
      <c r="D26" s="11"/>
      <c r="E26" s="12" t="n">
        <f aca="false">COUNTIF(Scoring!AK3:AK27,"CAP AT BUY")</f>
        <v>0</v>
      </c>
      <c r="F26" s="12"/>
    </row>
    <row r="27" customFormat="false" ht="15" hidden="false" customHeight="true" outlineLevel="0" collapsed="false">
      <c r="A27" s="10" t="s">
        <v>73</v>
      </c>
      <c r="B27" s="10"/>
      <c r="C27" s="10"/>
      <c r="D27" s="10"/>
      <c r="E27" s="10"/>
      <c r="F27" s="10"/>
    </row>
    <row r="28" customFormat="false" ht="15" hidden="false" customHeight="true" outlineLevel="0" collapsed="false">
      <c r="A28" s="11" t="s">
        <v>74</v>
      </c>
      <c r="B28" s="11"/>
      <c r="C28" s="11"/>
      <c r="D28" s="11"/>
      <c r="E28" s="12" t="n">
        <f aca="false">COUNTIF('Entry Checklist'!Q3:Q27,"NO*")</f>
        <v>1</v>
      </c>
      <c r="F28" s="12"/>
    </row>
    <row r="29" customFormat="false" ht="15" hidden="false" customHeight="true" outlineLevel="0" collapsed="false">
      <c r="A29" s="11" t="s">
        <v>75</v>
      </c>
      <c r="B29" s="11"/>
      <c r="C29" s="11"/>
      <c r="D29" s="11"/>
      <c r="E29" s="12" t="n">
        <f aca="false">COUNTIF('Entry Checklist'!H3:H27,"*50%*")</f>
        <v>0</v>
      </c>
      <c r="F29" s="12"/>
    </row>
    <row r="30" customFormat="false" ht="15" hidden="false" customHeight="true" outlineLevel="0" collapsed="false">
      <c r="A30" s="13"/>
      <c r="B30" s="13"/>
      <c r="C30" s="13"/>
      <c r="D30" s="13"/>
    </row>
    <row r="31" customFormat="false" ht="15" hidden="false" customHeight="true" outlineLevel="0" collapsed="false">
      <c r="A31" s="10" t="s">
        <v>76</v>
      </c>
      <c r="B31" s="10"/>
      <c r="C31" s="10"/>
      <c r="D31" s="10"/>
      <c r="E31" s="10"/>
      <c r="F31" s="10"/>
    </row>
    <row r="32" customFormat="false" ht="15" hidden="false" customHeight="true" outlineLevel="0" collapsed="false">
      <c r="A32" s="11" t="s">
        <v>77</v>
      </c>
      <c r="B32" s="11"/>
      <c r="C32" s="11"/>
      <c r="D32" s="11"/>
      <c r="E32" s="12" t="n">
        <f aca="false">COUNTIF(Scoring!AP3:AP60,"LOW CONF")</f>
        <v>0</v>
      </c>
      <c r="F32" s="12"/>
    </row>
    <row r="33" customFormat="false" ht="15" hidden="false" customHeight="true" outlineLevel="0" collapsed="false">
      <c r="A33" s="11" t="s">
        <v>78</v>
      </c>
      <c r="B33" s="11"/>
      <c r="C33" s="11"/>
      <c r="D33" s="11"/>
      <c r="E33" s="12" t="n">
        <f aca="false">COUNTIF(Scoring!AS3:AS60,"Increased")</f>
        <v>0</v>
      </c>
      <c r="F33" s="12"/>
    </row>
    <row r="34" customFormat="false" ht="15" hidden="false" customHeight="true" outlineLevel="0" collapsed="false">
      <c r="A34" s="13"/>
      <c r="B34" s="13"/>
      <c r="C34" s="13"/>
      <c r="D34" s="13"/>
    </row>
    <row r="35" customFormat="false" ht="15" hidden="false" customHeight="true" outlineLevel="0" collapsed="false">
      <c r="A35" s="13"/>
      <c r="B35" s="13"/>
      <c r="C35" s="13"/>
      <c r="D35" s="13"/>
    </row>
    <row r="36" customFormat="false" ht="15" hidden="false" customHeight="true" outlineLevel="0" collapsed="false">
      <c r="A36" s="13"/>
      <c r="B36" s="13"/>
      <c r="C36" s="13"/>
      <c r="D36" s="13"/>
    </row>
    <row r="37" customFormat="false" ht="15" hidden="false" customHeight="true" outlineLevel="0" collapsed="false">
      <c r="A37" s="13"/>
      <c r="B37" s="13"/>
      <c r="C37" s="13"/>
      <c r="D37" s="13"/>
    </row>
    <row r="38" customFormat="false" ht="15" hidden="false" customHeight="true" outlineLevel="0" collapsed="false">
      <c r="A38" s="13"/>
      <c r="B38" s="13"/>
      <c r="C38" s="13"/>
      <c r="D38" s="13"/>
    </row>
    <row r="39" customFormat="false" ht="15" hidden="false" customHeight="true" outlineLevel="0" collapsed="false">
      <c r="A39" s="13"/>
      <c r="B39" s="13"/>
      <c r="C39" s="13"/>
      <c r="D39" s="13"/>
    </row>
    <row r="40" customFormat="false" ht="15" hidden="false" customHeight="true" outlineLevel="0" collapsed="false">
      <c r="A40" s="13"/>
      <c r="B40" s="13"/>
      <c r="C40" s="13"/>
      <c r="D40" s="13"/>
    </row>
    <row r="41" customFormat="false" ht="15" hidden="false" customHeight="true" outlineLevel="0" collapsed="false">
      <c r="A41" s="13"/>
      <c r="B41" s="13"/>
      <c r="C41" s="13"/>
      <c r="D41" s="13"/>
    </row>
    <row r="42" customFormat="false" ht="15" hidden="false" customHeight="true" outlineLevel="0" collapsed="false">
      <c r="A42" s="13"/>
      <c r="B42" s="13"/>
      <c r="C42" s="13"/>
      <c r="D42" s="13"/>
    </row>
    <row r="43" customFormat="false" ht="15" hidden="false" customHeight="true" outlineLevel="0" collapsed="false">
      <c r="A43" s="13"/>
      <c r="B43" s="13"/>
      <c r="C43" s="13"/>
      <c r="D43" s="13"/>
    </row>
  </sheetData>
  <mergeCells count="45">
    <mergeCell ref="A1:F1"/>
    <mergeCell ref="A2:F2"/>
    <mergeCell ref="A4:F4"/>
    <mergeCell ref="A5:D5"/>
    <mergeCell ref="E5:F5"/>
    <mergeCell ref="A6:D6"/>
    <mergeCell ref="E6:F6"/>
    <mergeCell ref="A7:D7"/>
    <mergeCell ref="E7:F7"/>
    <mergeCell ref="A9:F9"/>
    <mergeCell ref="A10:D10"/>
    <mergeCell ref="E10:F10"/>
    <mergeCell ref="A11:D11"/>
    <mergeCell ref="E11:F11"/>
    <mergeCell ref="A13:F13"/>
    <mergeCell ref="A14:D14"/>
    <mergeCell ref="E14:F14"/>
    <mergeCell ref="A15:D15"/>
    <mergeCell ref="E15:F15"/>
    <mergeCell ref="A17:F17"/>
    <mergeCell ref="A18:D18"/>
    <mergeCell ref="E18:F18"/>
    <mergeCell ref="A19:D19"/>
    <mergeCell ref="E19:F19"/>
    <mergeCell ref="A20:D20"/>
    <mergeCell ref="E20:F20"/>
    <mergeCell ref="A22:F22"/>
    <mergeCell ref="A23:D23"/>
    <mergeCell ref="E23:F23"/>
    <mergeCell ref="A24:D24"/>
    <mergeCell ref="E24:F24"/>
    <mergeCell ref="A25:D25"/>
    <mergeCell ref="E25:F25"/>
    <mergeCell ref="A26:D26"/>
    <mergeCell ref="E26:F26"/>
    <mergeCell ref="A27:F27"/>
    <mergeCell ref="A28:D28"/>
    <mergeCell ref="E28:F28"/>
    <mergeCell ref="A29:D29"/>
    <mergeCell ref="E29:F29"/>
    <mergeCell ref="A31:F31"/>
    <mergeCell ref="A32:D32"/>
    <mergeCell ref="E32:F32"/>
    <mergeCell ref="A33:D33"/>
    <mergeCell ref="E33:F33"/>
  </mergeCells>
  <conditionalFormatting sqref="E5">
    <cfRule type="cellIs" priority="2" operator="greaterThan" aboveAverage="0" equalAverage="0" bottom="0" percent="0" rank="0" text="" dxfId="0">
      <formula>0</formula>
    </cfRule>
  </conditionalFormatting>
  <conditionalFormatting sqref="E10">
    <cfRule type="cellIs" priority="3" operator="greaterThan" aboveAverage="0" equalAverage="0" bottom="0" percent="0" rank="0" text="" dxfId="0">
      <formula>0</formula>
    </cfRule>
  </conditionalFormatting>
  <conditionalFormatting sqref="E23:E24">
    <cfRule type="cellIs" priority="4" operator="greaterThan" aboveAverage="0" equalAverage="0" bottom="0" percent="0" rank="0" text="" dxfId="0">
      <formula>0</formula>
    </cfRule>
  </conditionalFormatting>
  <conditionalFormatting sqref="E28">
    <cfRule type="cellIs" priority="5"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11"/>
    <col collapsed="false" customWidth="true" hidden="false" outlineLevel="0" max="2" min="2" style="1" width="9"/>
    <col collapsed="false" customWidth="true" hidden="false" outlineLevel="0" max="3" min="3" style="1" width="30"/>
    <col collapsed="false" customWidth="true" hidden="false" outlineLevel="0" max="4" min="4" style="1" width="13.83"/>
    <col collapsed="false" customWidth="true" hidden="false" outlineLevel="0" max="5" min="5" style="1" width="11.83"/>
    <col collapsed="false" customWidth="true" hidden="false" outlineLevel="0" max="6" min="6" style="1" width="10"/>
    <col collapsed="false" customWidth="true" hidden="false" outlineLevel="0" max="7" min="7" style="1" width="13.83"/>
    <col collapsed="false" customWidth="true" hidden="false" outlineLevel="0" max="8" min="8" style="1" width="13"/>
    <col collapsed="false" customWidth="true" hidden="false" outlineLevel="0" max="10" min="10" style="1" width="11"/>
    <col collapsed="false" customWidth="true" hidden="false" outlineLevel="0" max="12" min="12" style="1" width="13"/>
    <col collapsed="false" customWidth="true" hidden="false" outlineLevel="0" max="13" min="13" style="1" width="34"/>
    <col collapsed="false" customWidth="true" hidden="false" outlineLevel="0" max="15" min="15" style="1" width="26"/>
    <col collapsed="false" customWidth="true" hidden="false" outlineLevel="0" max="16" min="16" style="1" width="13"/>
  </cols>
  <sheetData>
    <row r="1" customFormat="false" ht="52.5" hidden="false" customHeight="true" outlineLevel="0" collapsed="false">
      <c r="A1" s="17" t="s">
        <v>79</v>
      </c>
      <c r="B1" s="17"/>
      <c r="C1" s="17"/>
      <c r="D1" s="17"/>
      <c r="E1" s="17"/>
      <c r="F1" s="17"/>
      <c r="G1" s="17"/>
      <c r="H1" s="17"/>
      <c r="I1" s="17"/>
      <c r="J1" s="17"/>
      <c r="K1" s="17"/>
      <c r="L1" s="17"/>
      <c r="M1" s="17"/>
      <c r="O1" s="18" t="s">
        <v>80</v>
      </c>
      <c r="P1" s="18"/>
    </row>
    <row r="2" customFormat="false" ht="26.25" hidden="false" customHeight="true" outlineLevel="0" collapsed="false">
      <c r="A2" s="19" t="s">
        <v>81</v>
      </c>
      <c r="B2" s="19" t="s">
        <v>82</v>
      </c>
      <c r="C2" s="19" t="s">
        <v>83</v>
      </c>
      <c r="D2" s="19" t="s">
        <v>84</v>
      </c>
      <c r="E2" s="19" t="s">
        <v>85</v>
      </c>
      <c r="F2" s="19" t="s">
        <v>86</v>
      </c>
      <c r="G2" s="19" t="s">
        <v>87</v>
      </c>
      <c r="H2" s="19" t="s">
        <v>88</v>
      </c>
      <c r="I2" s="19" t="s">
        <v>89</v>
      </c>
      <c r="J2" s="19" t="s">
        <v>90</v>
      </c>
      <c r="K2" s="19" t="s">
        <v>91</v>
      </c>
      <c r="L2" s="19" t="s">
        <v>92</v>
      </c>
      <c r="M2" s="19" t="s">
        <v>93</v>
      </c>
      <c r="O2" s="1" t="s">
        <v>94</v>
      </c>
    </row>
    <row r="3" customFormat="false" ht="15" hidden="false" customHeight="true" outlineLevel="0" collapsed="false">
      <c r="A3" s="20" t="s">
        <v>95</v>
      </c>
      <c r="B3" s="21" t="s">
        <v>96</v>
      </c>
      <c r="C3" s="22" t="s">
        <v>97</v>
      </c>
      <c r="D3" s="22" t="s">
        <v>98</v>
      </c>
      <c r="E3" s="22" t="n">
        <v>65</v>
      </c>
      <c r="F3" s="22" t="n">
        <v>266.51</v>
      </c>
      <c r="G3" s="23" t="n">
        <f aca="false">E3*F3</f>
        <v>17323.15</v>
      </c>
      <c r="H3" s="24" t="n">
        <v>19163.84</v>
      </c>
      <c r="I3" s="25" t="n">
        <f aca="false">G3-H3</f>
        <v>-1840.69</v>
      </c>
      <c r="J3" s="26" t="n">
        <f aca="false">IF(H3=0,"",G3/H3-1)</f>
        <v>-0.0960501653113365</v>
      </c>
      <c r="K3" s="26" t="n">
        <f aca="false">IFERROR(G3/SUM(G3:G21),"")</f>
        <v>0.037012962240533</v>
      </c>
      <c r="L3" s="26" t="n">
        <f aca="false">IFERROR(G3/(SUM(G3:G21,G25:G44)),"")</f>
        <v>0.0223045982701437</v>
      </c>
      <c r="M3" s="20" t="s">
        <v>99</v>
      </c>
      <c r="O3" s="1" t="s">
        <v>100</v>
      </c>
    </row>
    <row r="4" customFormat="false" ht="15" hidden="false" customHeight="true" outlineLevel="0" collapsed="false">
      <c r="A4" s="20" t="s">
        <v>95</v>
      </c>
      <c r="B4" s="21" t="s">
        <v>101</v>
      </c>
      <c r="C4" s="22" t="s">
        <v>102</v>
      </c>
      <c r="D4" s="22" t="s">
        <v>98</v>
      </c>
      <c r="E4" s="22" t="n">
        <v>70</v>
      </c>
      <c r="F4" s="22" t="n">
        <v>193.78</v>
      </c>
      <c r="G4" s="23" t="n">
        <f aca="false">E4*F4</f>
        <v>13564.6</v>
      </c>
      <c r="H4" s="24" t="n">
        <v>10182.2</v>
      </c>
      <c r="I4" s="25" t="n">
        <f aca="false">G4-H4</f>
        <v>3382.4</v>
      </c>
      <c r="J4" s="26" t="n">
        <f aca="false">IF(H4=0,"",G4/H4-1)</f>
        <v>0.332187542967139</v>
      </c>
      <c r="K4" s="26" t="n">
        <f aca="false">IFERROR(G4/SUM(G3:G21),"")</f>
        <v>0.0289823748918606</v>
      </c>
      <c r="L4" s="26" t="n">
        <f aca="false">IFERROR(G4/(SUM(G3:G21,G25:G44)),"")</f>
        <v>0.0174652389256683</v>
      </c>
      <c r="M4" s="20"/>
    </row>
    <row r="5" customFormat="false" ht="15" hidden="false" customHeight="true" outlineLevel="0" collapsed="false">
      <c r="A5" s="20" t="s">
        <v>95</v>
      </c>
      <c r="B5" s="21" t="s">
        <v>103</v>
      </c>
      <c r="C5" s="22" t="s">
        <v>104</v>
      </c>
      <c r="D5" s="22" t="s">
        <v>98</v>
      </c>
      <c r="E5" s="22" t="n">
        <v>7</v>
      </c>
      <c r="F5" s="22" t="n">
        <v>1714.88</v>
      </c>
      <c r="G5" s="23" t="n">
        <f aca="false">E5*F5</f>
        <v>12004.16</v>
      </c>
      <c r="H5" s="24" t="n">
        <v>9989.88</v>
      </c>
      <c r="I5" s="25" t="n">
        <f aca="false">G5-H5</f>
        <v>2014.28</v>
      </c>
      <c r="J5" s="26" t="n">
        <f aca="false">IF(H5=0,"",G5/H5-1)</f>
        <v>0.201632051636256</v>
      </c>
      <c r="K5" s="26" t="n">
        <f aca="false">IFERROR(G5/SUM(G3:G21),"")</f>
        <v>0.0256483099672587</v>
      </c>
      <c r="L5" s="26" t="n">
        <f aca="false">IFERROR(G5/(SUM(G3:G21,G25:G44)),"")</f>
        <v>0.0154560785059604</v>
      </c>
      <c r="M5" s="20"/>
    </row>
    <row r="6" customFormat="false" ht="15" hidden="false" customHeight="true" outlineLevel="0" collapsed="false">
      <c r="A6" s="20" t="s">
        <v>95</v>
      </c>
      <c r="B6" s="21" t="s">
        <v>105</v>
      </c>
      <c r="C6" s="22" t="s">
        <v>106</v>
      </c>
      <c r="D6" s="22" t="s">
        <v>98</v>
      </c>
      <c r="E6" s="22" t="n">
        <v>40</v>
      </c>
      <c r="F6" s="22" t="n">
        <v>213.1</v>
      </c>
      <c r="G6" s="23" t="n">
        <f aca="false">E6*F6</f>
        <v>8524</v>
      </c>
      <c r="H6" s="24" t="n">
        <v>4991.35</v>
      </c>
      <c r="I6" s="25" t="n">
        <f aca="false">G6-H6</f>
        <v>3532.65</v>
      </c>
      <c r="J6" s="26" t="n">
        <f aca="false">IF(H6=0,"",G6/H6-1)</f>
        <v>0.707754415138189</v>
      </c>
      <c r="K6" s="26" t="n">
        <f aca="false">IFERROR(G6/SUM(G3:G21),"")</f>
        <v>0.0182125358343202</v>
      </c>
      <c r="L6" s="26" t="n">
        <f aca="false">IFERROR(G6/(SUM(G3:G21,G25:G44)),"")</f>
        <v>0.0109751630422126</v>
      </c>
      <c r="M6" s="20"/>
    </row>
    <row r="7" customFormat="false" ht="15" hidden="false" customHeight="true" outlineLevel="0" collapsed="false">
      <c r="A7" s="20" t="s">
        <v>95</v>
      </c>
      <c r="B7" s="21" t="s">
        <v>107</v>
      </c>
      <c r="C7" s="22" t="s">
        <v>108</v>
      </c>
      <c r="D7" s="22" t="s">
        <v>98</v>
      </c>
      <c r="E7" s="22" t="n">
        <v>100</v>
      </c>
      <c r="F7" s="22" t="n">
        <v>185.6</v>
      </c>
      <c r="G7" s="23" t="n">
        <f aca="false">E7*F7</f>
        <v>18560</v>
      </c>
      <c r="H7" s="24" t="n">
        <v>15412.54</v>
      </c>
      <c r="I7" s="25" t="n">
        <f aca="false">G7-H7</f>
        <v>3147.46</v>
      </c>
      <c r="J7" s="26" t="n">
        <f aca="false">IF(H7=0,"",G7/H7-1)</f>
        <v>0.204214230749766</v>
      </c>
      <c r="K7" s="26" t="n">
        <f aca="false">IFERROR(G7/SUM(G3:G21),"")</f>
        <v>0.0396556387945779</v>
      </c>
      <c r="L7" s="26" t="n">
        <f aca="false">IFERROR(G7/(SUM(G3:G21,G25:G44)),"")</f>
        <v>0.023897117088628</v>
      </c>
      <c r="M7" s="20"/>
    </row>
    <row r="8" customFormat="false" ht="15" hidden="false" customHeight="true" outlineLevel="0" collapsed="false">
      <c r="A8" s="20" t="s">
        <v>95</v>
      </c>
      <c r="B8" s="21" t="s">
        <v>109</v>
      </c>
      <c r="C8" s="22" t="s">
        <v>110</v>
      </c>
      <c r="D8" s="22" t="s">
        <v>98</v>
      </c>
      <c r="E8" s="22" t="n">
        <v>7</v>
      </c>
      <c r="F8" s="22" t="n">
        <v>1016.59</v>
      </c>
      <c r="G8" s="23" t="n">
        <f aca="false">E8*F8</f>
        <v>7116.13</v>
      </c>
      <c r="H8" s="24" t="n">
        <v>5836.11</v>
      </c>
      <c r="I8" s="25" t="n">
        <f aca="false">G8-H8</f>
        <v>1280.02</v>
      </c>
      <c r="J8" s="26" t="n">
        <f aca="false">IF(H8=0,"",G8/H8-1)</f>
        <v>0.219327600062371</v>
      </c>
      <c r="K8" s="26" t="n">
        <f aca="false">IFERROR(G8/SUM(G3:G21),"")</f>
        <v>0.0152044547896153</v>
      </c>
      <c r="L8" s="26" t="n">
        <f aca="false">IFERROR(G8/(SUM(G3:G21,G25:G44)),"")</f>
        <v>0.00916244568038246</v>
      </c>
      <c r="M8" s="20"/>
    </row>
    <row r="9" customFormat="false" ht="15" hidden="false" customHeight="true" outlineLevel="0" collapsed="false">
      <c r="A9" s="20" t="s">
        <v>95</v>
      </c>
      <c r="B9" s="21" t="s">
        <v>111</v>
      </c>
      <c r="C9" s="22" t="s">
        <v>112</v>
      </c>
      <c r="D9" s="22" t="s">
        <v>98</v>
      </c>
      <c r="E9" s="22" t="n">
        <v>155</v>
      </c>
      <c r="F9" s="22" t="n">
        <v>230.36</v>
      </c>
      <c r="G9" s="23" t="n">
        <f aca="false">E9*F9</f>
        <v>35705.8</v>
      </c>
      <c r="H9" s="24" t="n">
        <v>26639.79</v>
      </c>
      <c r="I9" s="25" t="n">
        <f aca="false">G9-H9</f>
        <v>9066.01</v>
      </c>
      <c r="J9" s="26" t="n">
        <f aca="false">IF(H9=0,"",G9/H9-1)</f>
        <v>0.340318373380571</v>
      </c>
      <c r="K9" s="26" t="n">
        <f aca="false">IFERROR(G9/SUM(G3:G21),"")</f>
        <v>0.0762896717495388</v>
      </c>
      <c r="L9" s="26" t="n">
        <f aca="false">IFERROR(G9/(SUM(G3:G21,G25:G44)),"")</f>
        <v>0.0459733665594361</v>
      </c>
      <c r="M9" s="20"/>
    </row>
    <row r="10" customFormat="false" ht="15" hidden="false" customHeight="true" outlineLevel="0" collapsed="false">
      <c r="A10" s="20" t="s">
        <v>95</v>
      </c>
      <c r="B10" s="21" t="s">
        <v>113</v>
      </c>
      <c r="C10" s="22" t="s">
        <v>114</v>
      </c>
      <c r="D10" s="22" t="s">
        <v>98</v>
      </c>
      <c r="E10" s="22" t="n">
        <v>70</v>
      </c>
      <c r="F10" s="22" t="n">
        <v>174.33</v>
      </c>
      <c r="G10" s="23" t="n">
        <f aca="false">E10*F10</f>
        <v>12203.1</v>
      </c>
      <c r="H10" s="24" t="n">
        <v>11612.3</v>
      </c>
      <c r="I10" s="25" t="n">
        <f aca="false">G10-H10</f>
        <v>590.800000000001</v>
      </c>
      <c r="J10" s="26" t="n">
        <f aca="false">IF(H10=0,"",G10/H10-1)</f>
        <v>0.0508770872264754</v>
      </c>
      <c r="K10" s="26" t="n">
        <f aca="false">IFERROR(G10/SUM(G3:G21),"")</f>
        <v>0.026073368845588</v>
      </c>
      <c r="L10" s="26" t="n">
        <f aca="false">IFERROR(G10/(SUM(G3:G21,G25:G44)),"")</f>
        <v>0.0157122257297541</v>
      </c>
      <c r="M10" s="20"/>
    </row>
    <row r="11" customFormat="false" ht="15" hidden="false" customHeight="true" outlineLevel="0" collapsed="false">
      <c r="A11" s="20" t="s">
        <v>95</v>
      </c>
      <c r="B11" s="21" t="s">
        <v>115</v>
      </c>
      <c r="C11" s="22" t="s">
        <v>116</v>
      </c>
      <c r="D11" s="22" t="s">
        <v>98</v>
      </c>
      <c r="E11" s="22" t="n">
        <v>25</v>
      </c>
      <c r="F11" s="22" t="n">
        <v>428.91</v>
      </c>
      <c r="G11" s="23" t="n">
        <f aca="false">E11*F11</f>
        <v>10722.75</v>
      </c>
      <c r="H11" s="24" t="n">
        <v>6069.64</v>
      </c>
      <c r="I11" s="25" t="n">
        <f aca="false">G11-H11</f>
        <v>4653.11</v>
      </c>
      <c r="J11" s="26" t="n">
        <f aca="false">IF(H11=0,"",G11/H11-1)</f>
        <v>0.76662042559361</v>
      </c>
      <c r="K11" s="26" t="n">
        <f aca="false">IFERROR(G11/SUM(G3:G21),"")</f>
        <v>0.0229104256942112</v>
      </c>
      <c r="L11" s="26" t="n">
        <f aca="false">IFERROR(G11/(SUM(G3:G21,G25:G44)),"")</f>
        <v>0.0138061860055003</v>
      </c>
      <c r="M11" s="20"/>
    </row>
    <row r="12" customFormat="false" ht="15" hidden="false" customHeight="true" outlineLevel="0" collapsed="false">
      <c r="A12" s="20" t="s">
        <v>95</v>
      </c>
      <c r="B12" s="21" t="s">
        <v>117</v>
      </c>
      <c r="C12" s="22" t="s">
        <v>118</v>
      </c>
      <c r="D12" s="22" t="s">
        <v>98</v>
      </c>
      <c r="E12" s="22" t="n">
        <v>30</v>
      </c>
      <c r="F12" s="22" t="n">
        <v>280.53</v>
      </c>
      <c r="G12" s="23" t="n">
        <f aca="false">E12*F12</f>
        <v>8415.9</v>
      </c>
      <c r="H12" s="24" t="n">
        <v>7876.8</v>
      </c>
      <c r="I12" s="25" t="n">
        <f aca="false">G12-H12</f>
        <v>539.1</v>
      </c>
      <c r="J12" s="26" t="n">
        <f aca="false">IF(H12=0,"",G12/H12-1)</f>
        <v>0.0684414990859232</v>
      </c>
      <c r="K12" s="26" t="n">
        <f aca="false">IFERROR(G12/SUM(G3:G21),"")</f>
        <v>0.0179815673777634</v>
      </c>
      <c r="L12" s="26" t="n">
        <f aca="false">IFERROR(G12/(SUM(G3:G21,G25:G44)),"")</f>
        <v>0.0108359777858936</v>
      </c>
      <c r="M12" s="20"/>
    </row>
    <row r="13" customFormat="false" ht="15" hidden="false" customHeight="true" outlineLevel="0" collapsed="false">
      <c r="A13" s="20" t="s">
        <v>95</v>
      </c>
      <c r="B13" s="21" t="s">
        <v>119</v>
      </c>
      <c r="C13" s="22" t="s">
        <v>120</v>
      </c>
      <c r="D13" s="22" t="s">
        <v>98</v>
      </c>
      <c r="E13" s="22" t="n">
        <v>50</v>
      </c>
      <c r="F13" s="22" t="n">
        <v>367.68</v>
      </c>
      <c r="G13" s="23" t="n">
        <f aca="false">E13*F13</f>
        <v>18384</v>
      </c>
      <c r="H13" s="24" t="n">
        <v>18448.63</v>
      </c>
      <c r="I13" s="25" t="n">
        <f aca="false">G13-H13</f>
        <v>-64.630000000001</v>
      </c>
      <c r="J13" s="26" t="n">
        <f aca="false">IF(H13=0,"",G13/H13-1)</f>
        <v>-0.00350324116208089</v>
      </c>
      <c r="K13" s="26" t="n">
        <f aca="false">IFERROR(G13/SUM(G3:G21),"")</f>
        <v>0.0392795939439397</v>
      </c>
      <c r="L13" s="26" t="n">
        <f aca="false">IFERROR(G13/(SUM(G3:G21,G25:G44)),"")</f>
        <v>0.0236705064955462</v>
      </c>
      <c r="M13" s="20" t="s">
        <v>121</v>
      </c>
    </row>
    <row r="14" customFormat="false" ht="15" hidden="false" customHeight="true" outlineLevel="0" collapsed="false">
      <c r="A14" s="20" t="s">
        <v>95</v>
      </c>
      <c r="B14" s="21" t="s">
        <v>122</v>
      </c>
      <c r="C14" s="22" t="s">
        <v>123</v>
      </c>
      <c r="D14" s="22" t="s">
        <v>124</v>
      </c>
      <c r="E14" s="22" t="n">
        <v>137296.09</v>
      </c>
      <c r="F14" s="22" t="n">
        <v>1</v>
      </c>
      <c r="G14" s="23" t="n">
        <f aca="false">E14*F14</f>
        <v>137296.09</v>
      </c>
      <c r="H14" s="24" t="n">
        <v>137296.09</v>
      </c>
      <c r="I14" s="25" t="n">
        <f aca="false">G14-H14</f>
        <v>0</v>
      </c>
      <c r="J14" s="26" t="n">
        <f aca="false">IF(H14=0,"",G14/H14-1)</f>
        <v>0</v>
      </c>
      <c r="K14" s="26" t="n">
        <f aca="false">IFERROR(G14/SUM(G3:G21),"")</f>
        <v>0.293349361689001</v>
      </c>
      <c r="L14" s="26" t="n">
        <f aca="false">IFERROR(G14/(SUM(G3:G21,G25:G44)),"")</f>
        <v>0.176776979447242</v>
      </c>
      <c r="M14" s="20"/>
    </row>
    <row r="15" customFormat="false" ht="15" hidden="false" customHeight="true" outlineLevel="0" collapsed="false">
      <c r="A15" s="20" t="s">
        <v>95</v>
      </c>
      <c r="B15" s="21" t="s">
        <v>125</v>
      </c>
      <c r="C15" s="22" t="s">
        <v>126</v>
      </c>
      <c r="D15" s="22" t="s">
        <v>124</v>
      </c>
      <c r="E15" s="22" t="n">
        <v>23</v>
      </c>
      <c r="F15" s="22" t="n">
        <v>1</v>
      </c>
      <c r="G15" s="23" t="n">
        <f aca="false">E15*F15</f>
        <v>23</v>
      </c>
      <c r="H15" s="24" t="n">
        <v>23</v>
      </c>
      <c r="I15" s="25" t="n">
        <f aca="false">G15-H15</f>
        <v>0</v>
      </c>
      <c r="J15" s="26" t="n">
        <f aca="false">IF(H15=0,"",G15/H15-1)</f>
        <v>0</v>
      </c>
      <c r="K15" s="26" t="n">
        <f aca="false">IFERROR(G15/SUM(G3:G21),"")</f>
        <v>4.91422247993153E-005</v>
      </c>
      <c r="L15" s="26" t="n">
        <f aca="false">IFERROR(G15/(SUM(G3:G21,G25:G44)),"")</f>
        <v>2.9613884323192E-005</v>
      </c>
      <c r="M15" s="20"/>
    </row>
    <row r="16" customFormat="false" ht="15" hidden="false" customHeight="true" outlineLevel="0" collapsed="false">
      <c r="A16" s="20" t="s">
        <v>95</v>
      </c>
      <c r="B16" s="21" t="s">
        <v>127</v>
      </c>
      <c r="C16" s="22" t="s">
        <v>128</v>
      </c>
      <c r="D16" s="22" t="s">
        <v>98</v>
      </c>
      <c r="E16" s="22" t="n">
        <v>150</v>
      </c>
      <c r="F16" s="22" t="n">
        <v>164.25</v>
      </c>
      <c r="G16" s="23" t="n">
        <f aca="false">E16*F16</f>
        <v>24637.5</v>
      </c>
      <c r="H16" s="24" t="n">
        <v>24518.25</v>
      </c>
      <c r="I16" s="25" t="n">
        <f aca="false">G16-H16</f>
        <v>119.25</v>
      </c>
      <c r="J16" s="26" t="n">
        <f aca="false">IF(H16=0,"",G16/H16-1)</f>
        <v>0.00486372396072321</v>
      </c>
      <c r="K16" s="26" t="n">
        <f aca="false">IFERROR(G16/SUM(G3:G21),"")</f>
        <v>0.0526409375431796</v>
      </c>
      <c r="L16" s="26" t="n">
        <f aca="false">IFERROR(G16/(SUM(G3:G21,G25:G44)),"")</f>
        <v>0.0317222641309845</v>
      </c>
      <c r="M16" s="20" t="s">
        <v>129</v>
      </c>
    </row>
    <row r="17" customFormat="false" ht="15" hidden="false" customHeight="true" outlineLevel="0" collapsed="false">
      <c r="A17" s="20" t="s">
        <v>95</v>
      </c>
      <c r="B17" s="21" t="s">
        <v>130</v>
      </c>
      <c r="C17" s="22" t="s">
        <v>131</v>
      </c>
      <c r="D17" s="22" t="s">
        <v>98</v>
      </c>
      <c r="E17" s="22" t="n">
        <v>451.304</v>
      </c>
      <c r="F17" s="22" t="n">
        <v>55.29</v>
      </c>
      <c r="G17" s="23" t="n">
        <f aca="false">E17*F17</f>
        <v>24952.59816</v>
      </c>
      <c r="H17" s="24" t="n">
        <v>24999.99</v>
      </c>
      <c r="I17" s="25" t="n">
        <f aca="false">G17-H17</f>
        <v>-47.3918400000039</v>
      </c>
      <c r="J17" s="26" t="n">
        <f aca="false">IF(H17=0,"",G17/H17-1)</f>
        <v>-0.00189567435826987</v>
      </c>
      <c r="K17" s="26" t="n">
        <f aca="false">IFERROR(G17/SUM(G3:G21),"")</f>
        <v>0.0533141820915523</v>
      </c>
      <c r="L17" s="26" t="n">
        <f aca="false">IFERROR(G17/(SUM(G3:G21,G25:G44)),"")</f>
        <v>0.0321279719771015</v>
      </c>
      <c r="M17" s="20" t="s">
        <v>132</v>
      </c>
    </row>
    <row r="18" customFormat="false" ht="15" hidden="false" customHeight="true" outlineLevel="0" collapsed="false">
      <c r="A18" s="20" t="s">
        <v>95</v>
      </c>
      <c r="B18" s="21" t="s">
        <v>133</v>
      </c>
      <c r="C18" s="22" t="s">
        <v>134</v>
      </c>
      <c r="D18" s="22" t="s">
        <v>98</v>
      </c>
      <c r="E18" s="22" t="n">
        <v>700</v>
      </c>
      <c r="F18" s="22" t="n">
        <v>34.8</v>
      </c>
      <c r="G18" s="23" t="n">
        <f aca="false">E18*F18</f>
        <v>24360</v>
      </c>
      <c r="H18" s="24" t="n">
        <v>24377.5</v>
      </c>
      <c r="I18" s="25" t="n">
        <f aca="false">G18-H18</f>
        <v>-17.5000000000036</v>
      </c>
      <c r="J18" s="26" t="n">
        <f aca="false">IF(H18=0,"",G18/H18-1)</f>
        <v>-0.000717875089734532</v>
      </c>
      <c r="K18" s="26" t="n">
        <f aca="false">IFERROR(G18/SUM(G3:G21),"")</f>
        <v>0.0520480259178835</v>
      </c>
      <c r="L18" s="26" t="n">
        <f aca="false">IFERROR(G18/(SUM(G3:G21,G25:G44)),"")</f>
        <v>0.0313649661788243</v>
      </c>
      <c r="M18" s="20" t="s">
        <v>129</v>
      </c>
    </row>
    <row r="19" customFormat="false" ht="15" hidden="false" customHeight="true" outlineLevel="0" collapsed="false">
      <c r="A19" s="20" t="s">
        <v>95</v>
      </c>
      <c r="B19" s="21" t="s">
        <v>135</v>
      </c>
      <c r="C19" s="22" t="s">
        <v>136</v>
      </c>
      <c r="D19" s="22" t="s">
        <v>98</v>
      </c>
      <c r="E19" s="22" t="n">
        <v>150</v>
      </c>
      <c r="F19" s="22" t="n">
        <v>164.23</v>
      </c>
      <c r="G19" s="23" t="n">
        <f aca="false">E19*F19</f>
        <v>24634.5</v>
      </c>
      <c r="H19" s="24" t="n">
        <v>24598.5</v>
      </c>
      <c r="I19" s="25" t="n">
        <f aca="false">G19-H19</f>
        <v>36</v>
      </c>
      <c r="J19" s="26" t="n">
        <f aca="false">IF(H19=0,"",G19/H19-1)</f>
        <v>0.0014635038721873</v>
      </c>
      <c r="K19" s="26" t="n">
        <f aca="false">IFERROR(G19/SUM(G3:G21),"")</f>
        <v>0.052634527687771</v>
      </c>
      <c r="L19" s="26" t="n">
        <f aca="false">IFERROR(G19/(SUM(G3:G21,G25:G44)),"")</f>
        <v>0.0317184014504206</v>
      </c>
      <c r="M19" s="20" t="s">
        <v>129</v>
      </c>
    </row>
    <row r="20" customFormat="false" ht="15" hidden="false" customHeight="true" outlineLevel="0" collapsed="false">
      <c r="A20" s="20" t="s">
        <v>95</v>
      </c>
      <c r="B20" s="21" t="s">
        <v>137</v>
      </c>
      <c r="C20" s="22" t="s">
        <v>138</v>
      </c>
      <c r="D20" s="22" t="s">
        <v>98</v>
      </c>
      <c r="E20" s="22" t="n">
        <v>1000</v>
      </c>
      <c r="F20" s="22" t="n">
        <v>54.63</v>
      </c>
      <c r="G20" s="23" t="n">
        <f aca="false">E20*F20</f>
        <v>54630</v>
      </c>
      <c r="H20" s="24" t="n">
        <v>53709</v>
      </c>
      <c r="I20" s="25" t="n">
        <f aca="false">G20-H20</f>
        <v>921</v>
      </c>
      <c r="J20" s="26" t="n">
        <f aca="false">IF(H20=0,"",G20/H20-1)</f>
        <v>0.0171479640283752</v>
      </c>
      <c r="K20" s="26" t="n">
        <f aca="false">IFERROR(G20/SUM(G3:G21),"")</f>
        <v>0.116723466990722</v>
      </c>
      <c r="L20" s="26" t="n">
        <f aca="false">IFERROR(G20/(SUM(G3:G21,G25:G44)),"")</f>
        <v>0.0703394130685209</v>
      </c>
      <c r="M20" s="20" t="s">
        <v>129</v>
      </c>
    </row>
    <row r="21" customFormat="false" ht="15" hidden="false" customHeight="true" outlineLevel="0" collapsed="false">
      <c r="A21" s="20" t="s">
        <v>95</v>
      </c>
      <c r="B21" s="21" t="s">
        <v>139</v>
      </c>
      <c r="C21" s="22" t="s">
        <v>140</v>
      </c>
      <c r="D21" s="22" t="s">
        <v>98</v>
      </c>
      <c r="E21" s="22" t="n">
        <v>100</v>
      </c>
      <c r="F21" s="22" t="n">
        <v>149.72</v>
      </c>
      <c r="G21" s="23" t="n">
        <f aca="false">E21*F21</f>
        <v>14972</v>
      </c>
      <c r="H21" s="24" t="n">
        <v>14696.99</v>
      </c>
      <c r="I21" s="25" t="n">
        <f aca="false">G21-H21</f>
        <v>275.01</v>
      </c>
      <c r="J21" s="26" t="n">
        <f aca="false">IF(H21=0,"",G21/H21-1)</f>
        <v>0.0187119947689969</v>
      </c>
      <c r="K21" s="26" t="n">
        <f aca="false">IFERROR(G21/SUM(G3:G21),"")</f>
        <v>0.0319894517258847</v>
      </c>
      <c r="L21" s="26" t="n">
        <f aca="false">IFERROR(G21/(SUM(G3:G21,G25:G44)),"")</f>
        <v>0.01927735113421</v>
      </c>
      <c r="M21" s="20" t="s">
        <v>132</v>
      </c>
    </row>
    <row r="22" customFormat="false" ht="15" hidden="false" customHeight="true" outlineLevel="0" collapsed="false">
      <c r="A22" s="20" t="s">
        <v>141</v>
      </c>
      <c r="B22" s="21" t="n">
        <f aca="false">SUBTOTAL(103,B3:B21)</f>
        <v>19</v>
      </c>
      <c r="C22" s="22" t="s">
        <v>142</v>
      </c>
      <c r="D22" s="22"/>
      <c r="E22" s="22"/>
      <c r="F22" s="22"/>
      <c r="G22" s="23" t="n">
        <f aca="false">SUM(G3:G21)</f>
        <v>468029.27816</v>
      </c>
      <c r="H22" s="24" t="n">
        <f aca="false">SUM(H3:H21)</f>
        <v>440442.4</v>
      </c>
      <c r="I22" s="25" t="n">
        <f aca="false">SUM(I3:I21)</f>
        <v>27586.87816</v>
      </c>
      <c r="J22" s="26" t="n">
        <f aca="false">CurrentPositionsTable[[#This Row],[Unrealized G/L ($)]]/CurrentPositionsTable[[#This Row],[Cost Basis
($)]]</f>
        <v>0.0626344742468027</v>
      </c>
      <c r="K22" s="26" t="n">
        <f aca="false">SUM(K3:K21)</f>
        <v>1</v>
      </c>
      <c r="L22" s="26" t="n">
        <f aca="false">SUM(L3:L21)</f>
        <v>0.602615865360752</v>
      </c>
      <c r="M22" s="20"/>
    </row>
    <row r="23" customFormat="false" ht="13.5" hidden="false" customHeight="true" outlineLevel="0" collapsed="false">
      <c r="I23" s="27" t="s">
        <v>143</v>
      </c>
      <c r="J23" s="28" t="n">
        <f aca="false">I22/(H22-H14-H13)</f>
        <v>0.0968988513007903</v>
      </c>
    </row>
    <row r="24" customFormat="false" ht="15" hidden="false" customHeight="true" outlineLevel="0" collapsed="false"/>
    <row r="25" customFormat="false" ht="15" hidden="false" customHeight="true" outlineLevel="0" collapsed="false">
      <c r="A25" s="20" t="s">
        <v>144</v>
      </c>
      <c r="B25" s="21" t="s">
        <v>145</v>
      </c>
      <c r="C25" s="22" t="s">
        <v>146</v>
      </c>
      <c r="D25" s="22" t="s">
        <v>124</v>
      </c>
      <c r="E25" s="22" t="n">
        <v>36854.47</v>
      </c>
      <c r="F25" s="22" t="n">
        <v>1</v>
      </c>
      <c r="G25" s="23" t="n">
        <f aca="false">E25*F25</f>
        <v>36854.47</v>
      </c>
      <c r="H25" s="24" t="n">
        <v>36854.47</v>
      </c>
      <c r="I25" s="25" t="n">
        <f aca="false">G25-H25</f>
        <v>0</v>
      </c>
      <c r="J25" s="26" t="n">
        <f aca="false">IF(H25=0,"",G25/H25-1)</f>
        <v>0</v>
      </c>
      <c r="K25" s="26" t="n">
        <f aca="false">IFERROR(G25/SUM(G25:G44),"")</f>
        <v>0.119411783672803</v>
      </c>
      <c r="L25" s="26" t="n">
        <f aca="false">IFERROR(G25/(SUM(G3:G21,G25:G44)),"")</f>
        <v>0.0474523483205457</v>
      </c>
      <c r="M25" s="20"/>
    </row>
    <row r="26" customFormat="false" ht="15" hidden="false" customHeight="true" outlineLevel="0" collapsed="false">
      <c r="A26" s="20" t="s">
        <v>144</v>
      </c>
      <c r="B26" s="21" t="s">
        <v>147</v>
      </c>
      <c r="C26" s="22" t="s">
        <v>148</v>
      </c>
      <c r="D26" s="22" t="s">
        <v>149</v>
      </c>
      <c r="E26" s="22" t="n">
        <v>850.35693</v>
      </c>
      <c r="F26" s="22" t="n">
        <v>59.87</v>
      </c>
      <c r="G26" s="23" t="n">
        <f aca="false">E26*F26</f>
        <v>50910.8693991</v>
      </c>
      <c r="H26" s="24" t="n">
        <v>43005.36</v>
      </c>
      <c r="I26" s="25" t="n">
        <f aca="false">G26-H26</f>
        <v>7905.5093991</v>
      </c>
      <c r="J26" s="26" t="n">
        <f aca="false">IF(H26=0,"",G26/H26-1)</f>
        <v>0.183826141650715</v>
      </c>
      <c r="K26" s="26" t="n">
        <f aca="false">IFERROR(G26/SUM(G25:G44),"")</f>
        <v>0.164955776688137</v>
      </c>
      <c r="L26" s="26" t="n">
        <f aca="false">IFERROR(G26/(SUM(G3:G21,G25:G44)),"")</f>
        <v>0.0655508085729602</v>
      </c>
      <c r="M26" s="20" t="s">
        <v>150</v>
      </c>
    </row>
    <row r="27" customFormat="false" ht="15" hidden="false" customHeight="true" outlineLevel="0" collapsed="false">
      <c r="A27" s="20" t="s">
        <v>144</v>
      </c>
      <c r="B27" s="21" t="s">
        <v>151</v>
      </c>
      <c r="C27" s="22" t="s">
        <v>152</v>
      </c>
      <c r="D27" s="22" t="s">
        <v>98</v>
      </c>
      <c r="E27" s="22" t="n">
        <v>400.00001</v>
      </c>
      <c r="F27" s="22" t="n">
        <v>126.93</v>
      </c>
      <c r="G27" s="23" t="n">
        <f aca="false">E27*F27</f>
        <v>50772.0012693</v>
      </c>
      <c r="H27" s="24" t="n">
        <v>45116.29</v>
      </c>
      <c r="I27" s="25" t="n">
        <f aca="false">G27-H27</f>
        <v>5655.7112693</v>
      </c>
      <c r="J27" s="26" t="n">
        <f aca="false">IF(H27=0,"",G27/H27-1)</f>
        <v>0.125358518382163</v>
      </c>
      <c r="K27" s="26" t="n">
        <f aca="false">IFERROR(G27/SUM(G25:G44),"")</f>
        <v>0.164505831509852</v>
      </c>
      <c r="L27" s="26" t="n">
        <f aca="false">IFERROR(G27/(SUM(G3:G21,G25:G44)),"")</f>
        <v>0.0653720074976526</v>
      </c>
      <c r="M27" s="20" t="s">
        <v>153</v>
      </c>
    </row>
    <row r="28" customFormat="false" ht="15" hidden="false" customHeight="true" outlineLevel="0" collapsed="false">
      <c r="A28" s="20" t="s">
        <v>144</v>
      </c>
      <c r="B28" s="21" t="s">
        <v>154</v>
      </c>
      <c r="C28" s="22" t="s">
        <v>155</v>
      </c>
      <c r="D28" s="22" t="s">
        <v>98</v>
      </c>
      <c r="E28" s="22" t="n">
        <v>0</v>
      </c>
      <c r="F28" s="22" t="n">
        <v>56.12</v>
      </c>
      <c r="G28" s="23" t="n">
        <f aca="false">E28*F28</f>
        <v>0</v>
      </c>
      <c r="H28" s="24" t="n">
        <v>0</v>
      </c>
      <c r="I28" s="25" t="n">
        <f aca="false">G28-H28</f>
        <v>0</v>
      </c>
      <c r="J28" s="26" t="str">
        <f aca="false">IF(H28=0,"",G28/H28-1)</f>
        <v/>
      </c>
      <c r="K28" s="26" t="n">
        <f aca="false">IFERROR(G28/SUM(G25:G44),"")</f>
        <v>0</v>
      </c>
      <c r="L28" s="26" t="n">
        <f aca="false">IFERROR(G28/(SUM(G3:G21,G25:G44)),"")</f>
        <v>0</v>
      </c>
      <c r="M28" s="20" t="s">
        <v>156</v>
      </c>
    </row>
    <row r="29" customFormat="false" ht="15" hidden="false" customHeight="true" outlineLevel="0" collapsed="false">
      <c r="A29" s="20" t="s">
        <v>144</v>
      </c>
      <c r="B29" s="21" t="s">
        <v>157</v>
      </c>
      <c r="C29" s="22" t="s">
        <v>158</v>
      </c>
      <c r="D29" s="22" t="s">
        <v>149</v>
      </c>
      <c r="E29" s="22" t="n">
        <v>500</v>
      </c>
      <c r="F29" s="22" t="n">
        <v>69.72</v>
      </c>
      <c r="G29" s="23" t="n">
        <f aca="false">E29*F29</f>
        <v>34860</v>
      </c>
      <c r="H29" s="24" t="n">
        <v>30666</v>
      </c>
      <c r="I29" s="25" t="n">
        <f aca="false">G29-H29</f>
        <v>4194</v>
      </c>
      <c r="J29" s="26" t="n">
        <f aca="false">IF(H29=0,"",G29/H29-1)</f>
        <v>0.136763842692232</v>
      </c>
      <c r="K29" s="26" t="n">
        <f aca="false">IFERROR(G29/SUM(G25:G44),"")</f>
        <v>0.112949522237978</v>
      </c>
      <c r="L29" s="26" t="n">
        <f aca="false">IFERROR(G29/(SUM(G3:G21,G25:G44)),"")</f>
        <v>0.0448843481524554</v>
      </c>
      <c r="M29" s="20" t="s">
        <v>159</v>
      </c>
    </row>
    <row r="30" customFormat="false" ht="15" hidden="false" customHeight="true" outlineLevel="0" collapsed="false">
      <c r="A30" s="20" t="s">
        <v>144</v>
      </c>
      <c r="B30" s="21" t="s">
        <v>160</v>
      </c>
      <c r="C30" s="22" t="s">
        <v>161</v>
      </c>
      <c r="D30" s="22" t="s">
        <v>98</v>
      </c>
      <c r="E30" s="22" t="n">
        <v>35.07587</v>
      </c>
      <c r="F30" s="22" t="n">
        <v>357.895</v>
      </c>
      <c r="G30" s="23" t="n">
        <f aca="false">E30*F30</f>
        <v>12553.47849365</v>
      </c>
      <c r="H30" s="24" t="n">
        <v>12653.43</v>
      </c>
      <c r="I30" s="25" t="n">
        <f aca="false">G30-H30</f>
        <v>-99.9515063500003</v>
      </c>
      <c r="J30" s="26" t="n">
        <f aca="false">IF(H30=0,"",G30/H30-1)</f>
        <v>-0.00789916302141003</v>
      </c>
      <c r="K30" s="26" t="n">
        <f aca="false">IFERROR(G30/SUM(G25:G44),"")</f>
        <v>0.0406743946724757</v>
      </c>
      <c r="L30" s="26" t="n">
        <f aca="false">IFERROR(G30/(SUM(G3:G21,G25:G44)),"")</f>
        <v>0.016163359128897</v>
      </c>
      <c r="M30" s="20"/>
    </row>
    <row r="31" customFormat="false" ht="15" hidden="false" customHeight="true" outlineLevel="0" collapsed="false">
      <c r="A31" s="20" t="s">
        <v>144</v>
      </c>
      <c r="B31" s="21" t="s">
        <v>111</v>
      </c>
      <c r="C31" s="22" t="s">
        <v>112</v>
      </c>
      <c r="D31" s="22" t="s">
        <v>98</v>
      </c>
      <c r="E31" s="22" t="n">
        <v>59.02188</v>
      </c>
      <c r="F31" s="22" t="n">
        <v>230.36</v>
      </c>
      <c r="G31" s="23" t="n">
        <f aca="false">E31*F31</f>
        <v>13596.2802768</v>
      </c>
      <c r="H31" s="24" t="n">
        <v>11377.73</v>
      </c>
      <c r="I31" s="25" t="n">
        <f aca="false">G31-H31</f>
        <v>2218.5502768</v>
      </c>
      <c r="J31" s="26" t="n">
        <f aca="false">IF(H31=0,"",G31/H31-1)</f>
        <v>0.194990589230014</v>
      </c>
      <c r="K31" s="26" t="n">
        <f aca="false">IFERROR(G31/SUM(G25:G44),"")</f>
        <v>0.0440531658484855</v>
      </c>
      <c r="L31" s="26" t="n">
        <f aca="false">IFERROR(G31/(SUM(G3:G21,G25:G44)),"")</f>
        <v>0.0175060291888197</v>
      </c>
      <c r="M31" s="20"/>
    </row>
    <row r="32" customFormat="false" ht="15" hidden="false" customHeight="true" outlineLevel="0" collapsed="false">
      <c r="A32" s="20" t="s">
        <v>144</v>
      </c>
      <c r="B32" s="21" t="s">
        <v>162</v>
      </c>
      <c r="C32" s="22" t="s">
        <v>163</v>
      </c>
      <c r="D32" s="22" t="s">
        <v>98</v>
      </c>
      <c r="E32" s="22" t="n">
        <v>65</v>
      </c>
      <c r="F32" s="22" t="n">
        <v>528.64</v>
      </c>
      <c r="G32" s="23" t="n">
        <f aca="false">E32*F32</f>
        <v>34361.6</v>
      </c>
      <c r="H32" s="24" t="n">
        <v>31479.64</v>
      </c>
      <c r="I32" s="25" t="n">
        <f aca="false">G32-H32</f>
        <v>2881.96</v>
      </c>
      <c r="J32" s="26" t="n">
        <f aca="false">IF(H32=0,"",G32/H32-1)</f>
        <v>0.0915499668992403</v>
      </c>
      <c r="K32" s="26" t="n">
        <f aca="false">IFERROR(G32/SUM(G25:G44),"")</f>
        <v>0.111334661598752</v>
      </c>
      <c r="L32" s="26" t="n">
        <f aca="false">IFERROR(G32/(SUM(G3:G21,G25:G44)),"")</f>
        <v>0.0442426281547737</v>
      </c>
      <c r="M32" s="20" t="s">
        <v>164</v>
      </c>
    </row>
    <row r="33" customFormat="false" ht="15" hidden="false" customHeight="true" outlineLevel="0" collapsed="false">
      <c r="A33" s="20" t="s">
        <v>144</v>
      </c>
      <c r="B33" s="21" t="s">
        <v>139</v>
      </c>
      <c r="C33" s="22" t="s">
        <v>140</v>
      </c>
      <c r="D33" s="22" t="s">
        <v>98</v>
      </c>
      <c r="E33" s="22" t="n">
        <v>76.93745</v>
      </c>
      <c r="F33" s="22" t="n">
        <v>149.72</v>
      </c>
      <c r="G33" s="23" t="n">
        <f aca="false">E33*F33</f>
        <v>11519.075014</v>
      </c>
      <c r="H33" s="24" t="n">
        <v>9318.79</v>
      </c>
      <c r="I33" s="25" t="n">
        <f aca="false">G33-H33</f>
        <v>2200.285014</v>
      </c>
      <c r="J33" s="26" t="n">
        <f aca="false">IF(H33=0,"",G33/H33-1)</f>
        <v>0.236112737168667</v>
      </c>
      <c r="K33" s="26" t="n">
        <f aca="false">IFERROR(G33/SUM(G25:G44),"")</f>
        <v>0.0373228347520003</v>
      </c>
      <c r="L33" s="26" t="n">
        <f aca="false">IFERROR(G33/(SUM(G3:G21,G25:G44)),"")</f>
        <v>0.0148315023902073</v>
      </c>
      <c r="M33" s="20"/>
    </row>
    <row r="34" customFormat="false" ht="15" hidden="false" customHeight="true" outlineLevel="0" collapsed="false">
      <c r="A34" s="20" t="s">
        <v>144</v>
      </c>
      <c r="B34" s="21" t="s">
        <v>130</v>
      </c>
      <c r="C34" s="22" t="s">
        <v>131</v>
      </c>
      <c r="D34" s="22" t="s">
        <v>98</v>
      </c>
      <c r="E34" s="22" t="n">
        <v>200</v>
      </c>
      <c r="F34" s="22" t="n">
        <v>55.29</v>
      </c>
      <c r="G34" s="23" t="n">
        <f aca="false">E34*F34</f>
        <v>11058</v>
      </c>
      <c r="H34" s="24" t="n">
        <v>9257</v>
      </c>
      <c r="I34" s="25" t="n">
        <f aca="false">G34-H34</f>
        <v>1801</v>
      </c>
      <c r="J34" s="26" t="n">
        <f aca="false">IF(H34=0,"",G34/H34-1)</f>
        <v>0.194555471535055</v>
      </c>
      <c r="K34" s="26" t="n">
        <f aca="false">IFERROR(G34/SUM(G25:G44),"")</f>
        <v>0.0358289104104292</v>
      </c>
      <c r="L34" s="26" t="n">
        <f aca="false">IFERROR(G34/(SUM(G3:G21,G25:G44)),"")</f>
        <v>0.0142378405585155</v>
      </c>
      <c r="M34" s="20"/>
    </row>
    <row r="35" customFormat="false" ht="15" hidden="false" customHeight="true" outlineLevel="0" collapsed="false">
      <c r="A35" s="20" t="s">
        <v>144</v>
      </c>
      <c r="B35" s="21" t="s">
        <v>101</v>
      </c>
      <c r="C35" s="22" t="s">
        <v>102</v>
      </c>
      <c r="D35" s="22" t="s">
        <v>98</v>
      </c>
      <c r="E35" s="22" t="n">
        <v>50</v>
      </c>
      <c r="F35" s="22" t="n">
        <v>193.78</v>
      </c>
      <c r="G35" s="23" t="n">
        <f aca="false">E35*F35</f>
        <v>9689</v>
      </c>
      <c r="H35" s="24" t="n">
        <v>7394.5</v>
      </c>
      <c r="I35" s="25" t="n">
        <f aca="false">G35-H35</f>
        <v>2294.5</v>
      </c>
      <c r="J35" s="26" t="n">
        <f aca="false">IF(H35=0,"",G35/H35-1)</f>
        <v>0.310298194604098</v>
      </c>
      <c r="K35" s="26" t="n">
        <f aca="false">IFERROR(G35/SUM(G25:G44),"")</f>
        <v>0.0313932277958626</v>
      </c>
      <c r="L35" s="26" t="n">
        <f aca="false">IFERROR(G35/(SUM(G3:G21,G25:G44)),"")</f>
        <v>0.0124751706611916</v>
      </c>
      <c r="M35" s="20"/>
    </row>
    <row r="36" customFormat="false" ht="15" hidden="false" customHeight="true" outlineLevel="0" collapsed="false">
      <c r="A36" s="20" t="s">
        <v>144</v>
      </c>
      <c r="B36" s="21" t="s">
        <v>105</v>
      </c>
      <c r="C36" s="22" t="s">
        <v>106</v>
      </c>
      <c r="D36" s="22" t="s">
        <v>98</v>
      </c>
      <c r="E36" s="22" t="n">
        <v>45</v>
      </c>
      <c r="F36" s="22" t="n">
        <v>213.1</v>
      </c>
      <c r="G36" s="23" t="n">
        <f aca="false">E36*F36</f>
        <v>9589.5</v>
      </c>
      <c r="H36" s="24" t="n">
        <v>7099.31</v>
      </c>
      <c r="I36" s="25" t="n">
        <f aca="false">G36-H36</f>
        <v>2490.19</v>
      </c>
      <c r="J36" s="26" t="n">
        <f aca="false">IF(H36=0,"",G36/H36-1)</f>
        <v>0.350765074352296</v>
      </c>
      <c r="K36" s="26" t="n">
        <f aca="false">IFERROR(G36/SUM(G25:G44),"")</f>
        <v>0.0310708388841392</v>
      </c>
      <c r="L36" s="26" t="n">
        <f aca="false">IFERROR(G36/(SUM(G3:G21,G25:G44)),"")</f>
        <v>0.0123470584224891</v>
      </c>
      <c r="M36" s="20"/>
    </row>
    <row r="37" customFormat="false" ht="15" hidden="false" customHeight="true" outlineLevel="0" collapsed="false">
      <c r="A37" s="20" t="s">
        <v>144</v>
      </c>
      <c r="B37" s="21" t="s">
        <v>165</v>
      </c>
      <c r="C37" s="22" t="s">
        <v>166</v>
      </c>
      <c r="D37" s="22" t="s">
        <v>98</v>
      </c>
      <c r="E37" s="22" t="n">
        <v>125.44837</v>
      </c>
      <c r="F37" s="22" t="n">
        <v>137.34</v>
      </c>
      <c r="G37" s="23" t="n">
        <f aca="false">E37*F37</f>
        <v>17229.0791358</v>
      </c>
      <c r="H37" s="24" t="n">
        <v>16585.43</v>
      </c>
      <c r="I37" s="25" t="n">
        <f aca="false">G37-H37</f>
        <v>643.649135799999</v>
      </c>
      <c r="J37" s="26" t="n">
        <f aca="false">IF(H37=0,"",G37/H37-1)</f>
        <v>0.0388081066212935</v>
      </c>
      <c r="K37" s="26" t="n">
        <f aca="false">IFERROR(G37/SUM(G25:G44),"")</f>
        <v>0.0558237595234919</v>
      </c>
      <c r="L37" s="26" t="n">
        <f aca="false">IFERROR(G37/(SUM(G3:G21,G25:G44)),"")</f>
        <v>0.0221834763705523</v>
      </c>
      <c r="M37" s="20" t="s">
        <v>167</v>
      </c>
    </row>
    <row r="38" customFormat="false" ht="15" hidden="false" customHeight="true" outlineLevel="0" collapsed="false">
      <c r="A38" s="20" t="s">
        <v>144</v>
      </c>
      <c r="B38" s="21" t="s">
        <v>168</v>
      </c>
      <c r="C38" s="22" t="s">
        <v>169</v>
      </c>
      <c r="D38" s="22" t="s">
        <v>98</v>
      </c>
      <c r="E38" s="22" t="n">
        <v>0</v>
      </c>
      <c r="F38" s="22" t="n">
        <v>86.07</v>
      </c>
      <c r="G38" s="23" t="n">
        <f aca="false">E38*F38</f>
        <v>0</v>
      </c>
      <c r="H38" s="24" t="n">
        <v>0</v>
      </c>
      <c r="I38" s="25" t="n">
        <f aca="false">G38-H38</f>
        <v>0</v>
      </c>
      <c r="J38" s="26" t="str">
        <f aca="false">IF(H38=0,"",G38/H38-1)</f>
        <v/>
      </c>
      <c r="K38" s="26" t="n">
        <f aca="false">IFERROR(G38/SUM(G25:G44),"")</f>
        <v>0</v>
      </c>
      <c r="L38" s="26" t="n">
        <f aca="false">IFERROR(G38/(SUM(G3:G21,G25:G44)),"")</f>
        <v>0</v>
      </c>
      <c r="M38" s="20" t="s">
        <v>170</v>
      </c>
    </row>
    <row r="39" customFormat="false" ht="15" hidden="false" customHeight="true" outlineLevel="0" collapsed="false">
      <c r="A39" s="20" t="s">
        <v>144</v>
      </c>
      <c r="B39" s="21" t="s">
        <v>171</v>
      </c>
      <c r="C39" s="22" t="s">
        <v>172</v>
      </c>
      <c r="D39" s="22" t="s">
        <v>98</v>
      </c>
      <c r="E39" s="22" t="n">
        <v>0</v>
      </c>
      <c r="F39" s="22" t="n">
        <v>327.35</v>
      </c>
      <c r="G39" s="23" t="n">
        <f aca="false">E39*F39</f>
        <v>0</v>
      </c>
      <c r="H39" s="24" t="n">
        <v>0</v>
      </c>
      <c r="I39" s="25" t="n">
        <f aca="false">G39-H39</f>
        <v>0</v>
      </c>
      <c r="J39" s="26" t="str">
        <f aca="false">IF(H39=0,"",G39/H39-1)</f>
        <v/>
      </c>
      <c r="K39" s="26" t="n">
        <f aca="false">IFERROR(G39/SUM(G25:G44),"")</f>
        <v>0</v>
      </c>
      <c r="L39" s="26" t="n">
        <f aca="false">IFERROR(G39/(SUM(G3:G21,G25:G44)),"")</f>
        <v>0</v>
      </c>
      <c r="M39" s="20" t="s">
        <v>173</v>
      </c>
    </row>
    <row r="40" customFormat="false" ht="15" hidden="false" customHeight="true" outlineLevel="0" collapsed="false">
      <c r="A40" s="20" t="s">
        <v>144</v>
      </c>
      <c r="B40" s="21" t="s">
        <v>174</v>
      </c>
      <c r="C40" s="22" t="s">
        <v>175</v>
      </c>
      <c r="D40" s="22" t="s">
        <v>98</v>
      </c>
      <c r="E40" s="22" t="n">
        <v>0</v>
      </c>
      <c r="F40" s="22" t="n">
        <v>120.16</v>
      </c>
      <c r="G40" s="23" t="n">
        <f aca="false">E40*F40</f>
        <v>0</v>
      </c>
      <c r="H40" s="24" t="n">
        <v>0</v>
      </c>
      <c r="I40" s="25" t="n">
        <f aca="false">G40-H40</f>
        <v>0</v>
      </c>
      <c r="J40" s="26" t="str">
        <f aca="false">IF(H40=0,"",G40/H40-1)</f>
        <v/>
      </c>
      <c r="K40" s="26" t="n">
        <f aca="false">IFERROR(G40/SUM(G25:G44),"")</f>
        <v>0</v>
      </c>
      <c r="L40" s="26" t="n">
        <f aca="false">IFERROR(G40/(SUM(G3:G21,G25:G44)),"")</f>
        <v>0</v>
      </c>
      <c r="M40" s="20" t="s">
        <v>176</v>
      </c>
    </row>
    <row r="41" customFormat="false" ht="15" hidden="false" customHeight="true" outlineLevel="0" collapsed="false">
      <c r="A41" s="20" t="s">
        <v>144</v>
      </c>
      <c r="B41" s="21" t="s">
        <v>177</v>
      </c>
      <c r="C41" s="22" t="s">
        <v>178</v>
      </c>
      <c r="D41" s="22" t="s">
        <v>124</v>
      </c>
      <c r="E41" s="22" t="n">
        <v>1853.89</v>
      </c>
      <c r="F41" s="22" t="n">
        <v>1</v>
      </c>
      <c r="G41" s="23" t="n">
        <f aca="false">E41*F41</f>
        <v>1853.89</v>
      </c>
      <c r="H41" s="24" t="n">
        <v>1853.89</v>
      </c>
      <c r="I41" s="25" t="n">
        <f aca="false">G41-H41</f>
        <v>0</v>
      </c>
      <c r="J41" s="26" t="n">
        <f aca="false">IF(H41=0,"",G41/H41-1)</f>
        <v>0</v>
      </c>
      <c r="K41" s="26" t="n">
        <f aca="false">IFERROR(G41/SUM(G25:G44),"")</f>
        <v>0.00600676964376837</v>
      </c>
      <c r="L41" s="26" t="n">
        <f aca="false">IFERROR(G41/(SUM(G3:G21,G25:G44)),"")</f>
        <v>0.00238699495686619</v>
      </c>
      <c r="M41" s="20"/>
    </row>
    <row r="42" customFormat="false" ht="15" hidden="false" customHeight="true" outlineLevel="0" collapsed="false">
      <c r="A42" s="20" t="s">
        <v>144</v>
      </c>
      <c r="B42" s="21" t="s">
        <v>179</v>
      </c>
      <c r="C42" s="22" t="s">
        <v>180</v>
      </c>
      <c r="D42" s="22" t="s">
        <v>98</v>
      </c>
      <c r="E42" s="22" t="n">
        <v>0</v>
      </c>
      <c r="F42" s="22" t="n">
        <v>37.61</v>
      </c>
      <c r="G42" s="23" t="n">
        <f aca="false">E42*F42</f>
        <v>0</v>
      </c>
      <c r="H42" s="24" t="n">
        <v>0</v>
      </c>
      <c r="I42" s="25" t="n">
        <f aca="false">G42-H42</f>
        <v>0</v>
      </c>
      <c r="J42" s="26" t="str">
        <f aca="false">IF(H42=0,"",G42/H42-1)</f>
        <v/>
      </c>
      <c r="K42" s="26" t="n">
        <f aca="false">IFERROR(G42/SUM(G25:G44),"")</f>
        <v>0</v>
      </c>
      <c r="L42" s="26" t="n">
        <f aca="false">IFERROR(G42/(SUM(G3:G21,G25:G44)),"")</f>
        <v>0</v>
      </c>
      <c r="M42" s="20" t="s">
        <v>181</v>
      </c>
    </row>
    <row r="43" customFormat="false" ht="15" hidden="false" customHeight="true" outlineLevel="0" collapsed="false">
      <c r="A43" s="20" t="s">
        <v>144</v>
      </c>
      <c r="B43" s="21" t="s">
        <v>113</v>
      </c>
      <c r="C43" s="22" t="s">
        <v>114</v>
      </c>
      <c r="D43" s="22" t="s">
        <v>98</v>
      </c>
      <c r="E43" s="22" t="n">
        <v>20</v>
      </c>
      <c r="F43" s="22" t="n">
        <v>174.33</v>
      </c>
      <c r="G43" s="23" t="n">
        <f aca="false">E43*F43</f>
        <v>3486.6</v>
      </c>
      <c r="H43" s="24" t="n">
        <v>3178</v>
      </c>
      <c r="I43" s="25" t="n">
        <f aca="false">G43-H43</f>
        <v>308.6</v>
      </c>
      <c r="J43" s="26" t="n">
        <f aca="false">IF(H43=0,"",G43/H43-1)</f>
        <v>0.0971050975456262</v>
      </c>
      <c r="K43" s="26" t="n">
        <f aca="false">IFERROR(G43/SUM(G25:G44),"")</f>
        <v>0.0112968962775369</v>
      </c>
      <c r="L43" s="26" t="n">
        <f aca="false">IFERROR(G43/(SUM(G3:G21,G25:G44)),"")</f>
        <v>0.00448920735135832</v>
      </c>
      <c r="M43" s="20"/>
    </row>
    <row r="44" customFormat="false" ht="15" hidden="false" customHeight="true" outlineLevel="0" collapsed="false">
      <c r="A44" s="20" t="s">
        <v>144</v>
      </c>
      <c r="B44" s="21" t="s">
        <v>182</v>
      </c>
      <c r="C44" s="22" t="s">
        <v>183</v>
      </c>
      <c r="D44" s="22" t="s">
        <v>149</v>
      </c>
      <c r="E44" s="22" t="n">
        <v>180</v>
      </c>
      <c r="F44" s="22" t="n">
        <v>57.22</v>
      </c>
      <c r="G44" s="23" t="n">
        <f aca="false">E44*F44</f>
        <v>10299.6</v>
      </c>
      <c r="H44" s="24" t="n">
        <v>10500.57</v>
      </c>
      <c r="I44" s="25" t="n">
        <f aca="false">G44-H44</f>
        <v>-200.969999999999</v>
      </c>
      <c r="J44" s="26" t="n">
        <f aca="false">IF(H44=0,"",G44/H44-1)</f>
        <v>-0.0191389610278299</v>
      </c>
      <c r="K44" s="26" t="n">
        <f aca="false">IFERROR(G44/SUM(G25:G44),"")</f>
        <v>0.033371626484288</v>
      </c>
      <c r="L44" s="26" t="n">
        <f aca="false">IFERROR(G44/(SUM(G3:G21,G25:G44)),"")</f>
        <v>0.013261354911963</v>
      </c>
      <c r="M44" s="20" t="s">
        <v>129</v>
      </c>
    </row>
    <row r="45" customFormat="false" ht="15" hidden="false" customHeight="true" outlineLevel="0" collapsed="false">
      <c r="A45" s="20" t="s">
        <v>141</v>
      </c>
      <c r="B45" s="21" t="n">
        <f aca="false">SUBTOTAL(103,B25:B44)</f>
        <v>20</v>
      </c>
      <c r="C45" s="22" t="s">
        <v>184</v>
      </c>
      <c r="D45" s="22"/>
      <c r="E45" s="22"/>
      <c r="F45" s="22"/>
      <c r="G45" s="23" t="n">
        <f aca="false">SUM(G25:G44)</f>
        <v>308633.44358865</v>
      </c>
      <c r="H45" s="24" t="n">
        <f aca="false">SUM(H25:H44)</f>
        <v>276340.41</v>
      </c>
      <c r="I45" s="25" t="n">
        <f aca="false">SUM(I25:I44)</f>
        <v>32293.03358865</v>
      </c>
      <c r="J45" s="26" t="n">
        <f aca="false">CurrentPositionsTable[[#This Row],[Unrealized G/L ($)]]/CurrentPositionsTable[[#This Row],[Cost Basis
($)]]</f>
        <v>0.116859613795355</v>
      </c>
      <c r="K45" s="26" t="n">
        <f aca="false">SUM(K25:K44)</f>
        <v>1</v>
      </c>
      <c r="L45" s="26" t="n">
        <f aca="false">SUM(L25:L44)</f>
        <v>0.397384134639248</v>
      </c>
      <c r="M45" s="20"/>
    </row>
    <row r="46" customFormat="false" ht="13.5" hidden="false" customHeight="true" outlineLevel="0" collapsed="false">
      <c r="I46" s="27" t="s">
        <v>143</v>
      </c>
      <c r="J46" s="28" t="n">
        <f aca="false">I45/(H45-H41-H25)</f>
        <v>0.135895110060491</v>
      </c>
    </row>
    <row r="47" customFormat="false" ht="15" hidden="false" customHeight="true" outlineLevel="0" collapsed="false"/>
    <row r="48" customFormat="false" ht="15" hidden="false" customHeight="true" outlineLevel="0" collapsed="false">
      <c r="A48" s="20"/>
      <c r="B48" s="21"/>
      <c r="C48" s="22" t="s">
        <v>185</v>
      </c>
      <c r="D48" s="22"/>
      <c r="E48" s="22"/>
      <c r="F48" s="22"/>
      <c r="G48" s="23" t="n">
        <f aca="false">SUM(G3:G21)+SUM(G25:G44)</f>
        <v>776662.72174865</v>
      </c>
      <c r="H48" s="24" t="n">
        <f aca="false">SUM(H3:H21)+SUM(H25:H44)</f>
        <v>716782.81</v>
      </c>
      <c r="I48" s="25" t="n">
        <f aca="false">SUM(I3:I21)+SUM(I25:I44)</f>
        <v>59879.91174865</v>
      </c>
    </row>
    <row r="49" customFormat="false" ht="15" hidden="false" customHeight="true" outlineLevel="0" collapsed="false">
      <c r="A49" s="20"/>
      <c r="B49" s="21"/>
      <c r="C49" s="22" t="s">
        <v>186</v>
      </c>
      <c r="D49" s="22"/>
      <c r="E49" s="22"/>
      <c r="F49" s="22"/>
      <c r="G49" s="23" t="n">
        <f aca="false">SUM(G14:G21)+G25+G26+G27+G29+G33+G34+G41+G44</f>
        <v>513633.5938424</v>
      </c>
      <c r="H49" s="24" t="n">
        <f aca="false">SUM(H14:H21)+H25+H26+H27+H29+H33+H34+H41+H44</f>
        <v>490791.69</v>
      </c>
      <c r="I49" s="25" t="n">
        <f aca="false">G49-H49</f>
        <v>22841.9038424</v>
      </c>
      <c r="L49" s="26" t="n">
        <f aca="false">IFERROR(G49/G48,"")</f>
        <v>0.661334166632793</v>
      </c>
      <c r="M49" s="20" t="s">
        <v>187</v>
      </c>
    </row>
    <row r="50" customFormat="false" ht="90" hidden="false" customHeight="true" outlineLevel="0" collapsed="false">
      <c r="A50" s="29" t="s">
        <v>188</v>
      </c>
      <c r="B50" s="29"/>
      <c r="C50" s="29"/>
      <c r="D50" s="29"/>
      <c r="E50" s="29"/>
      <c r="F50" s="29"/>
      <c r="G50" s="29"/>
      <c r="H50" s="29"/>
      <c r="I50" s="29"/>
      <c r="J50" s="29"/>
      <c r="K50" s="29"/>
      <c r="L50" s="29"/>
      <c r="M50" s="29"/>
    </row>
  </sheetData>
  <mergeCells count="3">
    <mergeCell ref="A1:M1"/>
    <mergeCell ref="O1:P1"/>
    <mergeCell ref="A50:M50"/>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7"/>
  <sheetViews>
    <sheetView showFormulas="false" showGridLines="false" showRowColHeaders="true" showZeros="true" rightToLeft="false" tabSelected="true" showOutlineSymbols="true" defaultGridColor="true" view="normal" topLeftCell="A1" colorId="64" zoomScale="80" zoomScaleNormal="80" zoomScalePageLayoutView="100" workbookViewId="0">
      <pane xSplit="0" ySplit="2" topLeftCell="A7" activePane="bottomLeft" state="frozen"/>
      <selection pane="topLeft" activeCell="A1" activeCellId="0" sqref="A1"/>
      <selection pane="bottomLeft" activeCell="F51" activeCellId="0" sqref="F51"/>
    </sheetView>
  </sheetViews>
  <sheetFormatPr defaultColWidth="8.66796875" defaultRowHeight="15" customHeight="false" zeroHeight="false" outlineLevelRow="1" outlineLevelCol="0"/>
  <cols>
    <col collapsed="false" customWidth="true" hidden="false" outlineLevel="0" max="1" min="1" style="30" width="8"/>
    <col collapsed="false" customWidth="true" hidden="false" outlineLevel="0" max="2" min="2" style="1" width="12.5"/>
    <col collapsed="false" customWidth="true" hidden="false" outlineLevel="0" max="3" min="3" style="1" width="11"/>
    <col collapsed="false" customWidth="true" hidden="false" outlineLevel="0" max="5" min="4" style="1" width="10"/>
    <col collapsed="false" customWidth="true" hidden="false" outlineLevel="0" max="6" min="6" style="1" width="14"/>
    <col collapsed="false" customWidth="true" hidden="false" outlineLevel="0" max="9" min="7" style="1" width="10"/>
    <col collapsed="false" customWidth="true" hidden="false" outlineLevel="0" max="10" min="10" style="1" width="12"/>
    <col collapsed="false" customWidth="true" hidden="false" outlineLevel="0" max="11" min="11" style="1" width="10"/>
    <col collapsed="false" customWidth="true" hidden="false" outlineLevel="0" max="12" min="12" style="1" width="22"/>
    <col collapsed="false" customWidth="true" hidden="false" outlineLevel="0" max="13" min="13" style="1" width="8.83"/>
    <col collapsed="false" customWidth="true" hidden="false" outlineLevel="0" max="14" min="14" style="1" width="22"/>
    <col collapsed="false" customWidth="true" hidden="false" outlineLevel="0" max="15" min="15" style="1" width="10"/>
    <col collapsed="false" customWidth="true" hidden="false" outlineLevel="0" max="16" min="16" style="1" width="24"/>
    <col collapsed="false" customWidth="true" hidden="false" outlineLevel="0" max="17" min="17" style="1" width="28"/>
  </cols>
  <sheetData>
    <row r="1" customFormat="false" ht="25.5" hidden="false" customHeight="true" outlineLevel="0" collapsed="false">
      <c r="A1" s="31" t="s">
        <v>189</v>
      </c>
      <c r="B1" s="31"/>
      <c r="C1" s="31"/>
      <c r="D1" s="31"/>
      <c r="E1" s="31"/>
      <c r="F1" s="31"/>
      <c r="G1" s="31"/>
      <c r="H1" s="31"/>
      <c r="I1" s="31"/>
      <c r="J1" s="31"/>
      <c r="K1" s="31"/>
      <c r="L1" s="31"/>
      <c r="M1" s="31"/>
      <c r="N1" s="31"/>
      <c r="O1" s="31"/>
      <c r="P1" s="31"/>
      <c r="Q1" s="31"/>
    </row>
    <row r="2" s="33" customFormat="true" ht="42" hidden="false" customHeight="true" outlineLevel="0" collapsed="false">
      <c r="A2" s="32" t="s">
        <v>82</v>
      </c>
      <c r="B2" s="32" t="s">
        <v>190</v>
      </c>
      <c r="C2" s="32" t="s">
        <v>191</v>
      </c>
      <c r="D2" s="32" t="s">
        <v>192</v>
      </c>
      <c r="E2" s="32" t="s">
        <v>193</v>
      </c>
      <c r="F2" s="32" t="s">
        <v>194</v>
      </c>
      <c r="G2" s="32" t="s">
        <v>195</v>
      </c>
      <c r="H2" s="32" t="s">
        <v>196</v>
      </c>
      <c r="I2" s="32" t="s">
        <v>197</v>
      </c>
      <c r="J2" s="32" t="s">
        <v>198</v>
      </c>
      <c r="K2" s="32" t="s">
        <v>199</v>
      </c>
      <c r="L2" s="32" t="s">
        <v>200</v>
      </c>
      <c r="M2" s="32" t="s">
        <v>201</v>
      </c>
      <c r="N2" s="32" t="s">
        <v>202</v>
      </c>
      <c r="O2" s="32" t="s">
        <v>203</v>
      </c>
      <c r="P2" s="32" t="s">
        <v>204</v>
      </c>
      <c r="Q2" s="32" t="s">
        <v>205</v>
      </c>
    </row>
    <row r="3" customFormat="false" ht="15" hidden="false" customHeight="true" outlineLevel="0" collapsed="false">
      <c r="A3" s="34" t="s">
        <v>96</v>
      </c>
      <c r="B3" s="35" t="s">
        <v>206</v>
      </c>
      <c r="C3" s="36" t="n">
        <v>46240</v>
      </c>
      <c r="D3" s="35" t="n">
        <v>85.8</v>
      </c>
      <c r="E3" s="35" t="n">
        <v>4.57</v>
      </c>
      <c r="F3" s="37" t="s">
        <v>207</v>
      </c>
      <c r="G3" s="35" t="n">
        <v>259.32</v>
      </c>
      <c r="H3" s="38" t="str">
        <f aca="false" t="array" ref="H3:H3">IFERROR(INDEX(_xlfn.stockhistory(A3,TODAY()-5,TODAY(),0,0,1),ROWS(_xlfn.stockhistory(A3,TODAY()-5,TODAY(),0,0,1)),1),"")</f>
        <v/>
      </c>
      <c r="I3" s="39" t="str">
        <f aca="false">IF(OR(G3="",H3=""),"",H3/G3-1)</f>
        <v/>
      </c>
      <c r="J3" s="40" t="n">
        <v>46275</v>
      </c>
      <c r="K3" s="35" t="s">
        <v>208</v>
      </c>
      <c r="L3" s="41"/>
      <c r="M3" s="35" t="s">
        <v>208</v>
      </c>
      <c r="N3" s="41"/>
      <c r="O3" s="42" t="n">
        <f aca="true">IF(C3="","",TODAY()-C3)</f>
        <v>33</v>
      </c>
      <c r="P3" s="43" t="str">
        <f aca="true">IF(A3="","",IF(O3&gt;180,"DUE — STALE (&gt;180 days)",IF(J3&lt;&gt;"",IF(ABS(J3-TODAY())&lt;=7,"DUE — EARNINGS WINDOW",IF(I3&lt;&gt;"",IF(ABS(I3)&gt;=0.2,"DUE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f>
        <v>DUE — EARNINGS WINDOW</v>
      </c>
      <c r="Q3" s="41"/>
    </row>
    <row r="4" customFormat="false" ht="15" hidden="false" customHeight="true" outlineLevel="0" collapsed="false">
      <c r="A4" s="34" t="s">
        <v>101</v>
      </c>
      <c r="B4" s="35" t="s">
        <v>206</v>
      </c>
      <c r="C4" s="36" t="n">
        <v>46240</v>
      </c>
      <c r="D4" s="35" t="n">
        <v>85</v>
      </c>
      <c r="E4" s="35" t="n">
        <v>4.57</v>
      </c>
      <c r="F4" s="37" t="s">
        <v>207</v>
      </c>
      <c r="G4" s="35" t="n">
        <v>190.51</v>
      </c>
      <c r="H4" s="38" t="str">
        <f aca="false" t="array" ref="H4:H4">IFERROR(INDEX(_xlfn.stockhistory(A4,TODAY()-5,TODAY(),0,0,1),ROWS(_xlfn.stockhistory(A4,TODAY()-5,TODAY(),0,0,1)),1),"")</f>
        <v/>
      </c>
      <c r="I4" s="39" t="str">
        <f aca="false">IF(OR(G4="",H4=""),"",H4/G4-1)</f>
        <v/>
      </c>
      <c r="J4" s="40" t="n">
        <v>46329</v>
      </c>
      <c r="K4" s="35" t="s">
        <v>209</v>
      </c>
      <c r="L4" s="41" t="s">
        <v>210</v>
      </c>
      <c r="M4" s="35" t="s">
        <v>208</v>
      </c>
      <c r="N4" s="41"/>
      <c r="O4" s="42" t="n">
        <f aca="true">IF(C4="","",TODAY()-C4)</f>
        <v>33</v>
      </c>
      <c r="P4" s="43" t="str">
        <f aca="true">IF(A4="","",IF(O4&gt;180,"DUE — STALE (&gt;180 days)",IF(J4&lt;&gt;"",IF(ABS(J4-TODAY())&lt;=7,"DUE — EARNINGS WINDOW",IF(I4&lt;&gt;"",IF(ABS(I4)&gt;=0.2,"DUE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f>
        <v>DUE — INSIDER ACTIVITY</v>
      </c>
      <c r="Q4" s="41"/>
    </row>
    <row r="5" customFormat="false" ht="15" hidden="false" customHeight="true" outlineLevel="0" collapsed="false">
      <c r="A5" s="34" t="s">
        <v>103</v>
      </c>
      <c r="B5" s="35" t="s">
        <v>206</v>
      </c>
      <c r="C5" s="36" t="n">
        <v>46240</v>
      </c>
      <c r="D5" s="35" t="n">
        <v>73.2</v>
      </c>
      <c r="E5" s="35" t="n">
        <v>3.57</v>
      </c>
      <c r="F5" s="37" t="s">
        <v>211</v>
      </c>
      <c r="G5" s="35" t="n">
        <v>1678.22</v>
      </c>
      <c r="H5" s="38" t="str">
        <f aca="false" t="array" ref="H5:H5">IFERROR(INDEX(_xlfn.stockhistory(A5,TODAY()-5,TODAY(),0,0,1),ROWS(_xlfn.stockhistory(A5,TODAY()-5,TODAY(),0,0,1)),1),"")</f>
        <v/>
      </c>
      <c r="I5" s="39" t="str">
        <f aca="false">IF(OR(G5="",H5=""),"",H5/G5-1)</f>
        <v/>
      </c>
      <c r="J5" s="40" t="n">
        <v>46309</v>
      </c>
      <c r="K5" s="35" t="s">
        <v>208</v>
      </c>
      <c r="L5" s="41"/>
      <c r="M5" s="35" t="s">
        <v>208</v>
      </c>
      <c r="N5" s="41"/>
      <c r="O5" s="42" t="n">
        <f aca="true">IF(C5="","",TODAY()-C5)</f>
        <v>33</v>
      </c>
      <c r="P5" s="43" t="str">
        <f aca="true">IF(A5="","",IF(O5&gt;180,"DUE — STALE (&gt;180 days)",IF(J5&lt;&gt;"",IF(ABS(J5-TODAY())&lt;=7,"DUE — EARNINGS WINDOW",IF(I5&lt;&gt;"",IF(ABS(I5)&gt;=0.2,"DUE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f>
        <v>Monitor Only</v>
      </c>
      <c r="Q5" s="41"/>
    </row>
    <row r="6" customFormat="false" ht="15" hidden="false" customHeight="true" outlineLevel="0" collapsed="false">
      <c r="A6" s="34" t="s">
        <v>105</v>
      </c>
      <c r="B6" s="35" t="s">
        <v>206</v>
      </c>
      <c r="C6" s="36" t="n">
        <v>46240</v>
      </c>
      <c r="D6" s="35" t="n">
        <v>70.4</v>
      </c>
      <c r="E6" s="35" t="n">
        <v>4</v>
      </c>
      <c r="F6" s="37" t="s">
        <v>211</v>
      </c>
      <c r="G6" s="35" t="n">
        <v>211.22</v>
      </c>
      <c r="H6" s="38" t="str">
        <f aca="false" t="array" ref="H6:H6">IFERROR(INDEX(_xlfn.stockhistory(A6,TODAY()-5,TODAY(),0,0,1),ROWS(_xlfn.stockhistory(A6,TODAY()-5,TODAY(),0,0,1)),1),"")</f>
        <v/>
      </c>
      <c r="I6" s="39" t="str">
        <f aca="false">IF(OR(G6="",H6=""),"",H6/G6-1)</f>
        <v/>
      </c>
      <c r="J6" s="40" t="n">
        <v>46357</v>
      </c>
      <c r="K6" s="35" t="s">
        <v>209</v>
      </c>
      <c r="L6" s="41" t="s">
        <v>212</v>
      </c>
      <c r="M6" s="35" t="s">
        <v>208</v>
      </c>
      <c r="N6" s="41"/>
      <c r="O6" s="42" t="n">
        <f aca="true">IF(C6="","",TODAY()-C6)</f>
        <v>33</v>
      </c>
      <c r="P6" s="43" t="str">
        <f aca="true">IF(A6="","",IF(O6&gt;180,"DUE — STALE (&gt;180 days)",IF(J6&lt;&gt;"",IF(ABS(J6-TODAY())&lt;=7,"DUE — EARNINGS WINDOW",IF(I6&lt;&gt;"",IF(ABS(I6)&gt;=0.2,"DUE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f>
        <v>DUE — INSIDER ACTIVITY</v>
      </c>
      <c r="Q6" s="41"/>
    </row>
    <row r="7" customFormat="false" ht="15" hidden="false" customHeight="true" outlineLevel="0" collapsed="false">
      <c r="A7" s="34" t="s">
        <v>107</v>
      </c>
      <c r="B7" s="35" t="s">
        <v>206</v>
      </c>
      <c r="C7" s="36" t="n">
        <v>46240</v>
      </c>
      <c r="D7" s="35" t="n">
        <v>68.6</v>
      </c>
      <c r="E7" s="35" t="n">
        <v>3.43</v>
      </c>
      <c r="F7" s="37" t="s">
        <v>211</v>
      </c>
      <c r="G7" s="35" t="n">
        <v>192.8</v>
      </c>
      <c r="H7" s="38" t="str">
        <f aca="false" t="array" ref="H7:H7">IFERROR(INDEX(_xlfn.stockhistory(A7,TODAY()-5,TODAY(),0,0,1),ROWS(_xlfn.stockhistory(A7,TODAY()-5,TODAY(),0,0,1)),1),"")</f>
        <v/>
      </c>
      <c r="I7" s="39" t="str">
        <f aca="false">IF(OR(G7="",H7=""),"",H7/G7-1)</f>
        <v/>
      </c>
      <c r="J7" s="40" t="n">
        <v>46323</v>
      </c>
      <c r="K7" s="35" t="s">
        <v>209</v>
      </c>
      <c r="L7" s="41" t="s">
        <v>213</v>
      </c>
      <c r="M7" s="35" t="s">
        <v>208</v>
      </c>
      <c r="N7" s="41"/>
      <c r="O7" s="42" t="n">
        <f aca="true">IF(C7="","",TODAY()-C7)</f>
        <v>33</v>
      </c>
      <c r="P7" s="43" t="str">
        <f aca="true">IF(A7="","",IF(O7&gt;180,"DUE — STALE (&gt;180 days)",IF(J7&lt;&gt;"",IF(ABS(J7-TODAY())&lt;=7,"DUE — EARNINGS WINDOW",IF(I7&lt;&gt;"",IF(ABS(I7)&gt;=0.2,"DUE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f>
        <v>DUE — INSIDER ACTIVITY</v>
      </c>
      <c r="Q7" s="41"/>
    </row>
    <row r="8" customFormat="false" ht="15" hidden="false" customHeight="true" outlineLevel="0" collapsed="false">
      <c r="A8" s="34" t="s">
        <v>109</v>
      </c>
      <c r="B8" s="35" t="s">
        <v>206</v>
      </c>
      <c r="C8" s="36" t="n">
        <v>46240</v>
      </c>
      <c r="D8" s="35" t="n">
        <v>71.8</v>
      </c>
      <c r="E8" s="35" t="n">
        <v>3.64</v>
      </c>
      <c r="F8" s="37" t="s">
        <v>211</v>
      </c>
      <c r="G8" s="35" t="n">
        <v>893.19</v>
      </c>
      <c r="H8" s="38" t="str">
        <f aca="false" t="array" ref="H8:H8">IFERROR(INDEX(_xlfn.stockhistory(A8,TODAY()-5,TODAY(),0,0,1),ROWS(_xlfn.stockhistory(A8,TODAY()-5,TODAY(),0,0,1)),1),"")</f>
        <v/>
      </c>
      <c r="I8" s="39" t="str">
        <f aca="false">IF(OR(G8="",H8=""),"",H8/G8-1)</f>
        <v/>
      </c>
      <c r="J8" s="40" t="n">
        <v>46295</v>
      </c>
      <c r="K8" s="35" t="s">
        <v>209</v>
      </c>
      <c r="L8" s="41" t="s">
        <v>214</v>
      </c>
      <c r="M8" s="35" t="s">
        <v>208</v>
      </c>
      <c r="N8" s="41"/>
      <c r="O8" s="42" t="n">
        <f aca="true">IF(C8="","",TODAY()-C8)</f>
        <v>33</v>
      </c>
      <c r="P8" s="43" t="str">
        <f aca="true">IF(A8="","",IF(O8&gt;180,"DUE — STALE (&gt;180 days)",IF(J8&lt;&gt;"",IF(ABS(J8-TODAY())&lt;=7,"DUE — EARNINGS WINDOW",IF(I8&lt;&gt;"",IF(ABS(I8)&gt;=0.2,"DUE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f>
        <v>DUE — INSIDER ACTIVITY</v>
      </c>
      <c r="Q8" s="41"/>
    </row>
    <row r="9" customFormat="false" ht="15" hidden="false" customHeight="true" outlineLevel="0" collapsed="false">
      <c r="A9" s="34" t="s">
        <v>111</v>
      </c>
      <c r="B9" s="35" t="s">
        <v>206</v>
      </c>
      <c r="C9" s="36" t="n">
        <v>46240</v>
      </c>
      <c r="D9" s="35" t="n">
        <v>93.2</v>
      </c>
      <c r="E9" s="35" t="n">
        <v>4.57</v>
      </c>
      <c r="F9" s="37" t="s">
        <v>207</v>
      </c>
      <c r="G9" s="35" t="n">
        <v>211.87</v>
      </c>
      <c r="H9" s="38" t="str">
        <f aca="false" t="array" ref="H9:H9">IFERROR(INDEX(_xlfn.stockhistory(A9,TODAY()-5,TODAY(),0,0,1),ROWS(_xlfn.stockhistory(A9,TODAY()-5,TODAY(),0,0,1)),1),"")</f>
        <v/>
      </c>
      <c r="I9" s="39" t="str">
        <f aca="false">IF(OR(G9="",H9=""),"",H9/G9-1)</f>
        <v/>
      </c>
      <c r="J9" s="40" t="n">
        <v>46343</v>
      </c>
      <c r="K9" s="35" t="s">
        <v>209</v>
      </c>
      <c r="L9" s="41" t="s">
        <v>215</v>
      </c>
      <c r="M9" s="35" t="s">
        <v>208</v>
      </c>
      <c r="N9" s="41"/>
      <c r="O9" s="42" t="n">
        <f aca="true">IF(C9="","",TODAY()-C9)</f>
        <v>33</v>
      </c>
      <c r="P9" s="43" t="str">
        <f aca="true">IF(A9="","",IF(O9&gt;180,"DUE — STALE (&gt;180 days)",IF(J9&lt;&gt;"",IF(ABS(J9-TODAY())&lt;=7,"DUE — EARNINGS WINDOW",IF(I9&lt;&gt;"",IF(ABS(I9)&gt;=0.2,"DUE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f>
        <v>DUE — INSIDER ACTIVITY</v>
      </c>
      <c r="Q9" s="41"/>
    </row>
    <row r="10" customFormat="false" ht="15" hidden="false" customHeight="true" outlineLevel="0" collapsed="false">
      <c r="A10" s="34" t="s">
        <v>113</v>
      </c>
      <c r="B10" s="35" t="s">
        <v>206</v>
      </c>
      <c r="C10" s="36" t="n">
        <v>46240</v>
      </c>
      <c r="D10" s="35" t="n">
        <v>75.2</v>
      </c>
      <c r="E10" s="35" t="n">
        <v>4</v>
      </c>
      <c r="F10" s="37" t="s">
        <v>211</v>
      </c>
      <c r="G10" s="35" t="n">
        <v>162.66</v>
      </c>
      <c r="H10" s="38" t="str">
        <f aca="false" t="array" ref="H10:H10">IFERROR(INDEX(_xlfn.stockhistory(A10,TODAY()-5,TODAY(),0,0,1),ROWS(_xlfn.stockhistory(A10,TODAY()-5,TODAY(),0,0,1)),1),"")</f>
        <v/>
      </c>
      <c r="I10" s="39" t="str">
        <f aca="false">IF(OR(G10="",H10=""),"",H10/G10-1)</f>
        <v/>
      </c>
      <c r="J10" s="40" t="n">
        <v>46328</v>
      </c>
      <c r="K10" s="35" t="s">
        <v>209</v>
      </c>
      <c r="L10" s="41" t="s">
        <v>216</v>
      </c>
      <c r="M10" s="35" t="s">
        <v>208</v>
      </c>
      <c r="N10" s="41"/>
      <c r="O10" s="42" t="n">
        <f aca="true">IF(C10="","",TODAY()-C10)</f>
        <v>33</v>
      </c>
      <c r="P10" s="43" t="str">
        <f aca="true">IF(A10="","",IF(O10&gt;180,"DUE — STALE (&gt;180 days)",IF(J10&lt;&gt;"",IF(ABS(J10-TODAY())&lt;=7,"DUE — EARNINGS WINDOW",IF(I10&lt;&gt;"",IF(ABS(I10)&gt;=0.2,"DUE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f>
        <v>DUE — INSIDER ACTIVITY</v>
      </c>
      <c r="Q10" s="41"/>
    </row>
    <row r="11" customFormat="false" ht="15" hidden="false" customHeight="true" outlineLevel="0" collapsed="false">
      <c r="A11" s="34" t="s">
        <v>115</v>
      </c>
      <c r="B11" s="35" t="s">
        <v>206</v>
      </c>
      <c r="C11" s="36" t="n">
        <v>46240</v>
      </c>
      <c r="D11" s="35" t="n">
        <v>81</v>
      </c>
      <c r="E11" s="35" t="n">
        <v>4</v>
      </c>
      <c r="F11" s="37" t="s">
        <v>207</v>
      </c>
      <c r="G11" s="35" t="n">
        <v>414</v>
      </c>
      <c r="H11" s="38" t="str">
        <f aca="false" t="array" ref="H11:H11">IFERROR(INDEX(_xlfn.stockhistory(A11,TODAY()-5,TODAY(),0,0,1),ROWS(_xlfn.stockhistory(A11,TODAY()-5,TODAY(),0,0,1)),1),"")</f>
        <v/>
      </c>
      <c r="I11" s="39" t="str">
        <f aca="false">IF(OR(G11="",H11=""),"",H11/G11-1)</f>
        <v/>
      </c>
      <c r="J11" s="40" t="n">
        <v>46310</v>
      </c>
      <c r="K11" s="35" t="s">
        <v>209</v>
      </c>
      <c r="L11" s="41" t="s">
        <v>217</v>
      </c>
      <c r="M11" s="35" t="s">
        <v>208</v>
      </c>
      <c r="N11" s="41"/>
      <c r="O11" s="42" t="n">
        <f aca="true">IF(C11="","",TODAY()-C11)</f>
        <v>33</v>
      </c>
      <c r="P11" s="43" t="str">
        <f aca="true">IF(A11="","",IF(O11&gt;180,"DUE — STALE (&gt;180 days)",IF(J11&lt;&gt;"",IF(ABS(J11-TODAY())&lt;=7,"DUE — EARNINGS WINDOW",IF(I11&lt;&gt;"",IF(ABS(I11)&gt;=0.2,"DUE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f>
        <v>DUE — INSIDER ACTIVITY</v>
      </c>
      <c r="Q11" s="41"/>
    </row>
    <row r="12" customFormat="false" ht="15" hidden="false" customHeight="true" outlineLevel="0" collapsed="false">
      <c r="A12" s="34" t="s">
        <v>117</v>
      </c>
      <c r="B12" s="35" t="s">
        <v>206</v>
      </c>
      <c r="C12" s="36" t="n">
        <v>46240</v>
      </c>
      <c r="D12" s="35" t="n">
        <v>82.8</v>
      </c>
      <c r="E12" s="35" t="n">
        <v>4.36</v>
      </c>
      <c r="F12" s="37" t="s">
        <v>207</v>
      </c>
      <c r="G12" s="35" t="n">
        <v>277.94</v>
      </c>
      <c r="H12" s="38" t="str">
        <f aca="false" t="array" ref="H12:H12">IFERROR(INDEX(_xlfn.stockhistory(A12,TODAY()-5,TODAY(),0,0,1),ROWS(_xlfn.stockhistory(A12,TODAY()-5,TODAY(),0,0,1)),1),"")</f>
        <v/>
      </c>
      <c r="I12" s="39" t="str">
        <f aca="false">IF(OR(G12="",H12=""),"",H12/G12-1)</f>
        <v/>
      </c>
      <c r="J12" s="40" t="n">
        <v>46316</v>
      </c>
      <c r="K12" s="35" t="s">
        <v>209</v>
      </c>
      <c r="L12" s="41" t="s">
        <v>218</v>
      </c>
      <c r="M12" s="35" t="s">
        <v>208</v>
      </c>
      <c r="N12" s="41"/>
      <c r="O12" s="42" t="n">
        <f aca="true">IF(C12="","",TODAY()-C12)</f>
        <v>33</v>
      </c>
      <c r="P12" s="43" t="str">
        <f aca="true">IF(A12="","",IF(O12&gt;180,"DUE — STALE (&gt;180 days)",IF(J12&lt;&gt;"",IF(ABS(J12-TODAY())&lt;=7,"DUE — EARNINGS WINDOW",IF(I12&lt;&gt;"",IF(ABS(I12)&gt;=0.2,"DUE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f>
        <v>DUE — INSIDER ACTIVITY</v>
      </c>
      <c r="Q12" s="41"/>
    </row>
    <row r="13" customFormat="false" ht="15" hidden="false" customHeight="true" outlineLevel="0" collapsed="false">
      <c r="A13" s="34" t="s">
        <v>160</v>
      </c>
      <c r="B13" s="35" t="s">
        <v>206</v>
      </c>
      <c r="C13" s="36" t="n">
        <v>46240</v>
      </c>
      <c r="D13" s="35" t="n">
        <v>80.8</v>
      </c>
      <c r="E13" s="35" t="n">
        <v>4.07</v>
      </c>
      <c r="F13" s="37" t="s">
        <v>207</v>
      </c>
      <c r="G13" s="35" t="n">
        <v>418.16</v>
      </c>
      <c r="H13" s="38" t="str">
        <f aca="false" t="array" ref="H13:H13">IFERROR(INDEX(_xlfn.stockhistory(A13,TODAY()-5,TODAY(),0,0,1),ROWS(_xlfn.stockhistory(A13,TODAY()-5,TODAY(),0,0,1)),1),"")</f>
        <v/>
      </c>
      <c r="I13" s="39" t="str">
        <f aca="false">IF(OR(G13="",H13=""),"",H13/G13-1)</f>
        <v/>
      </c>
      <c r="J13" s="40" t="n">
        <v>46267</v>
      </c>
      <c r="K13" s="35" t="s">
        <v>208</v>
      </c>
      <c r="L13" s="41"/>
      <c r="M13" s="35" t="s">
        <v>208</v>
      </c>
      <c r="N13" s="41"/>
      <c r="O13" s="42" t="n">
        <f aca="true">IF(C13="","",TODAY()-C13)</f>
        <v>33</v>
      </c>
      <c r="P13" s="43" t="str">
        <f aca="true">IF(A13="","",IF(O13&gt;180,"DUE — STALE (&gt;180 days)",IF(J13&lt;&gt;"",IF(ABS(J13-TODAY())&lt;=7,"DUE — EARNINGS WINDOW",IF(I13&lt;&gt;"",IF(ABS(I13)&gt;=0.2,"DUE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f>
        <v>DUE — EARNINGS WINDOW</v>
      </c>
      <c r="Q13" s="41"/>
    </row>
    <row r="14" customFormat="false" ht="15" hidden="false" customHeight="true" outlineLevel="0" collapsed="false">
      <c r="A14" s="34" t="s">
        <v>165</v>
      </c>
      <c r="B14" s="35" t="s">
        <v>206</v>
      </c>
      <c r="C14" s="36" t="n">
        <v>46240</v>
      </c>
      <c r="D14" s="35" t="n">
        <v>82</v>
      </c>
      <c r="E14" s="35" t="n">
        <v>4.36</v>
      </c>
      <c r="F14" s="37" t="s">
        <v>207</v>
      </c>
      <c r="G14" s="35" t="n">
        <v>139.06</v>
      </c>
      <c r="H14" s="38" t="str">
        <f aca="false" t="array" ref="H14:H14">IFERROR(INDEX(_xlfn.stockhistory(A14,TODAY()-5,TODAY(),0,0,1),ROWS(_xlfn.stockhistory(A14,TODAY()-5,TODAY(),0,0,1)),1),"")</f>
        <v/>
      </c>
      <c r="I14" s="39" t="str">
        <f aca="false">IF(OR(G14="",H14=""),"",H14/G14-1)</f>
        <v/>
      </c>
      <c r="J14" s="40" t="n">
        <v>46310</v>
      </c>
      <c r="K14" s="35" t="s">
        <v>208</v>
      </c>
      <c r="L14" s="41"/>
      <c r="M14" s="35" t="s">
        <v>208</v>
      </c>
      <c r="N14" s="41"/>
      <c r="O14" s="42" t="n">
        <f aca="true">IF(C14="","",TODAY()-C14)</f>
        <v>33</v>
      </c>
      <c r="P14" s="43" t="str">
        <f aca="true">IF(A14="","",IF(O14&gt;180,"DUE — STALE (&gt;180 days)",IF(J14&lt;&gt;"",IF(ABS(J14-TODAY())&lt;=7,"DUE — EARNINGS WINDOW",IF(I14&lt;&gt;"",IF(ABS(I14)&gt;=0.2,"DUE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f>
        <v>Monitor Only</v>
      </c>
      <c r="Q14" s="41"/>
    </row>
    <row r="15" customFormat="false" ht="15" hidden="false" customHeight="true" outlineLevel="0" collapsed="false">
      <c r="A15" s="34" t="s">
        <v>162</v>
      </c>
      <c r="B15" s="35" t="s">
        <v>206</v>
      </c>
      <c r="C15" s="36" t="n">
        <v>46241</v>
      </c>
      <c r="D15" s="35" t="n">
        <v>75.6</v>
      </c>
      <c r="E15" s="35" t="n">
        <v>3.79</v>
      </c>
      <c r="F15" s="37" t="s">
        <v>211</v>
      </c>
      <c r="G15" s="35" t="n">
        <v>478.7</v>
      </c>
      <c r="H15" s="38" t="str">
        <f aca="false" t="array" ref="H15:H15">IFERROR(INDEX(_xlfn.stockhistory(A15,TODAY()-5,TODAY(),0,0,1),ROWS(_xlfn.stockhistory(A15,TODAY()-5,TODAY(),0,0,1)),1),"")</f>
        <v/>
      </c>
      <c r="I15" s="39" t="str">
        <f aca="false">IF(OR(G15="",H15=""),"",H15/G15-1)</f>
        <v/>
      </c>
      <c r="J15" s="40" t="n">
        <v>46328</v>
      </c>
      <c r="K15" s="35" t="s">
        <v>208</v>
      </c>
      <c r="L15" s="41"/>
      <c r="M15" s="35" t="s">
        <v>208</v>
      </c>
      <c r="N15" s="41"/>
      <c r="O15" s="42" t="n">
        <f aca="true">IF(C15="","",TODAY()-C15)</f>
        <v>32</v>
      </c>
      <c r="P15" s="43" t="str">
        <f aca="true">IF(A15="","",IF(O15&gt;180,"DUE — STALE (&gt;180 days)",IF(J15&lt;&gt;"",IF(ABS(J15-TODAY())&lt;=7,"DUE — EARNINGS WINDOW",IF(I15&lt;&gt;"",IF(ABS(I15)&gt;=0.2,"DUE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f>
        <v>Monitor Only</v>
      </c>
      <c r="Q15" s="41" t="s">
        <v>219</v>
      </c>
    </row>
    <row r="16" customFormat="false" ht="15" hidden="true" customHeight="true" outlineLevel="1" collapsed="false">
      <c r="A16" s="34" t="s">
        <v>220</v>
      </c>
      <c r="B16" s="41" t="s">
        <v>221</v>
      </c>
      <c r="C16" s="36" t="n">
        <v>46246</v>
      </c>
      <c r="D16" s="35"/>
      <c r="E16" s="35" t="n">
        <v>1.36</v>
      </c>
      <c r="F16" s="37"/>
      <c r="G16" s="35" t="n">
        <v>53.52</v>
      </c>
      <c r="H16" s="38" t="str">
        <f aca="false" t="array" ref="H16:H16">IFERROR(INDEX(_xlfn.stockhistory(A16,TODAY()-5,TODAY(),0,0,1),ROWS(_xlfn.stockhistory(A16,TODAY()-5,TODAY(),0,0,1)),1),"")</f>
        <v/>
      </c>
      <c r="I16" s="39" t="str">
        <f aca="false">IF(OR(G16="",H16=""),"",H16/G16-1)</f>
        <v/>
      </c>
      <c r="J16" s="40" t="n">
        <v>46331</v>
      </c>
      <c r="K16" s="35" t="s">
        <v>208</v>
      </c>
      <c r="L16" s="41"/>
      <c r="M16" s="35" t="s">
        <v>208</v>
      </c>
      <c r="N16" s="41"/>
      <c r="O16" s="42" t="n">
        <f aca="true">IF(C16="","",TODAY()-C16)</f>
        <v>27</v>
      </c>
      <c r="P16" s="43" t="str">
        <f aca="true">IF(A16="","",IF(O16&gt;180,"DUE — STALE (&gt;180 days)",IF(J16&lt;&gt;"",IF(ABS(J16-TODAY())&lt;=7,"DUE — EARNINGS WINDOW",IF(I16&lt;&gt;"",IF(ABS(I16)&gt;=0.2,"DUE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f>
        <v>Monitor Only</v>
      </c>
      <c r="Q16" s="41"/>
    </row>
    <row r="17" customFormat="false" ht="15" hidden="true" customHeight="true" outlineLevel="1" collapsed="false">
      <c r="A17" s="34" t="s">
        <v>222</v>
      </c>
      <c r="B17" s="41" t="s">
        <v>221</v>
      </c>
      <c r="C17" s="36" t="n">
        <v>46246</v>
      </c>
      <c r="D17" s="35"/>
      <c r="E17" s="35" t="n">
        <v>2.79</v>
      </c>
      <c r="F17" s="37"/>
      <c r="G17" s="35" t="n">
        <v>125.22</v>
      </c>
      <c r="H17" s="38" t="str">
        <f aca="false" t="array" ref="H17:H17">IFERROR(INDEX(_xlfn.stockhistory(A17,TODAY()-5,TODAY(),0,0,1),ROWS(_xlfn.stockhistory(A17,TODAY()-5,TODAY(),0,0,1)),1),"")</f>
        <v/>
      </c>
      <c r="I17" s="39" t="str">
        <f aca="false">IF(OR(G17="",H17=""),"",H17/G17-1)</f>
        <v/>
      </c>
      <c r="J17" s="40" t="n">
        <v>46350</v>
      </c>
      <c r="K17" s="35" t="s">
        <v>209</v>
      </c>
      <c r="L17" s="41" t="s">
        <v>223</v>
      </c>
      <c r="M17" s="35" t="s">
        <v>208</v>
      </c>
      <c r="N17" s="41"/>
      <c r="O17" s="42" t="n">
        <f aca="true">IF(C17="","",TODAY()-C17)</f>
        <v>27</v>
      </c>
      <c r="P17" s="43" t="str">
        <f aca="true">IF(A17="","",IF(O17&gt;180,"DUE — STALE (&gt;180 days)",IF(J17&lt;&gt;"",IF(ABS(J17-TODAY())&lt;=7,"DUE — EARNINGS WINDOW",IF(I17&lt;&gt;"",IF(ABS(I17)&gt;=0.2,"DUE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f>
        <v>DUE — INSIDER ACTIVITY</v>
      </c>
      <c r="Q17" s="41"/>
    </row>
    <row r="18" customFormat="false" ht="15" hidden="true" customHeight="true" outlineLevel="1" collapsed="false">
      <c r="A18" s="34" t="s">
        <v>224</v>
      </c>
      <c r="B18" s="41" t="s">
        <v>221</v>
      </c>
      <c r="C18" s="36" t="n">
        <v>46245</v>
      </c>
      <c r="D18" s="35"/>
      <c r="E18" s="35" t="n">
        <v>1.79</v>
      </c>
      <c r="F18" s="37"/>
      <c r="G18" s="35" t="n">
        <v>44.84</v>
      </c>
      <c r="H18" s="38" t="str">
        <f aca="false" t="array" ref="H18:H18">IFERROR(INDEX(_xlfn.stockhistory(A18,TODAY()-5,TODAY(),0,0,1),ROWS(_xlfn.stockhistory(A18,TODAY()-5,TODAY(),0,0,1)),1),"")</f>
        <v/>
      </c>
      <c r="I18" s="39" t="str">
        <f aca="false">IF(OR(G18="",H18=""),"",H18/G18-1)</f>
        <v/>
      </c>
      <c r="J18" s="40" t="n">
        <v>46331</v>
      </c>
      <c r="K18" s="35" t="s">
        <v>208</v>
      </c>
      <c r="L18" s="41"/>
      <c r="M18" s="35" t="s">
        <v>208</v>
      </c>
      <c r="N18" s="41"/>
      <c r="O18" s="42" t="n">
        <f aca="true">IF(C18="","",TODAY()-C18)</f>
        <v>28</v>
      </c>
      <c r="P18" s="43" t="str">
        <f aca="true">IF(A18="","",IF(O18&gt;180,"DUE — STALE (&gt;180 days)",IF(J18&lt;&gt;"",IF(ABS(J18-TODAY())&lt;=7,"DUE — EARNINGS WINDOW",IF(I18&lt;&gt;"",IF(ABS(I18)&gt;=0.2,"DUE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f>
        <v>Monitor Only</v>
      </c>
      <c r="Q18" s="41"/>
    </row>
    <row r="19" customFormat="false" ht="15" hidden="true" customHeight="true" outlineLevel="1" collapsed="false">
      <c r="A19" s="34" t="s">
        <v>225</v>
      </c>
      <c r="B19" s="41" t="s">
        <v>221</v>
      </c>
      <c r="C19" s="36" t="n">
        <v>46245</v>
      </c>
      <c r="D19" s="35"/>
      <c r="E19" s="35" t="n">
        <v>1.86</v>
      </c>
      <c r="F19" s="37"/>
      <c r="G19" s="35" t="n">
        <v>12.41</v>
      </c>
      <c r="H19" s="38" t="str">
        <f aca="false" t="array" ref="H19:H19">IFERROR(INDEX(_xlfn.stockhistory(A19,TODAY()-5,TODAY(),0,0,1),ROWS(_xlfn.stockhistory(A19,TODAY()-5,TODAY(),0,0,1)),1),"")</f>
        <v/>
      </c>
      <c r="I19" s="39" t="str">
        <f aca="false">IF(OR(G19="",H19=""),"",H19/G19-1)</f>
        <v/>
      </c>
      <c r="J19" s="40" t="n">
        <v>46314</v>
      </c>
      <c r="K19" s="35" t="s">
        <v>208</v>
      </c>
      <c r="L19" s="41"/>
      <c r="M19" s="35" t="s">
        <v>208</v>
      </c>
      <c r="N19" s="41"/>
      <c r="O19" s="42" t="n">
        <f aca="true">IF(C19="","",TODAY()-C19)</f>
        <v>28</v>
      </c>
      <c r="P19" s="43" t="str">
        <f aca="true">IF(A19="","",IF(O19&gt;180,"DUE — STALE (&gt;180 days)",IF(J19&lt;&gt;"",IF(ABS(J19-TODAY())&lt;=7,"DUE — EARNINGS WINDOW",IF(I19&lt;&gt;"",IF(ABS(I19)&gt;=0.2,"DUE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f>
        <v>Monitor Only</v>
      </c>
      <c r="Q19" s="41"/>
    </row>
    <row r="20" customFormat="false" ht="15" hidden="false" customHeight="true" outlineLevel="0" collapsed="false">
      <c r="A20" s="34" t="s">
        <v>226</v>
      </c>
      <c r="B20" s="35" t="s">
        <v>227</v>
      </c>
      <c r="C20" s="36" t="n">
        <v>46245</v>
      </c>
      <c r="D20" s="35"/>
      <c r="E20" s="35" t="n">
        <v>3.71</v>
      </c>
      <c r="F20" s="37"/>
      <c r="G20" s="35" t="n">
        <v>32</v>
      </c>
      <c r="H20" s="38" t="str">
        <f aca="false" t="array" ref="H20:H20">IFERROR(INDEX(_xlfn.stockhistory(A20,TODAY()-5,TODAY(),0,0,1),ROWS(_xlfn.stockhistory(A20,TODAY()-5,TODAY(),0,0,1)),1),"")</f>
        <v/>
      </c>
      <c r="I20" s="39" t="str">
        <f aca="false">IF(OR(G20="",H20=""),"",H20/G20-1)</f>
        <v/>
      </c>
      <c r="J20" s="40" t="n">
        <v>46330</v>
      </c>
      <c r="K20" s="35" t="s">
        <v>208</v>
      </c>
      <c r="L20" s="41"/>
      <c r="M20" s="35" t="s">
        <v>208</v>
      </c>
      <c r="N20" s="41"/>
      <c r="O20" s="42" t="n">
        <f aca="true">IF(C20="","",TODAY()-C20)</f>
        <v>28</v>
      </c>
      <c r="P20" s="43" t="str">
        <f aca="true">IF(A20="","",IF(O20&gt;180,"DUE — STALE (&gt;180 days)",IF(J20&lt;&gt;"",IF(ABS(J20-TODAY())&lt;=7,"DUE — EARNINGS WINDOW",IF(I20&lt;&gt;"",IF(ABS(I20)&gt;=0.2,"DUE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f>
        <v>Monitor Only</v>
      </c>
      <c r="Q20" s="41"/>
    </row>
    <row r="21" customFormat="false" ht="15" hidden="false" customHeight="true" outlineLevel="0" collapsed="false">
      <c r="A21" s="34" t="s">
        <v>228</v>
      </c>
      <c r="B21" s="35" t="s">
        <v>227</v>
      </c>
      <c r="C21" s="36" t="n">
        <v>46245</v>
      </c>
      <c r="D21" s="35" t="n">
        <v>77.4</v>
      </c>
      <c r="E21" s="35" t="n">
        <v>4.14</v>
      </c>
      <c r="F21" s="37" t="s">
        <v>211</v>
      </c>
      <c r="G21" s="35" t="n">
        <v>944.32</v>
      </c>
      <c r="H21" s="38" t="str">
        <f aca="false" t="array" ref="H21:H21">IFERROR(INDEX(_xlfn.stockhistory(A21,TODAY()-5,TODAY(),0,0,1),ROWS(_xlfn.stockhistory(A21,TODAY()-5,TODAY(),0,0,1)),1),"")</f>
        <v/>
      </c>
      <c r="I21" s="39" t="str">
        <f aca="false">IF(OR(G21="",H21=""),"",H21/G21-1)</f>
        <v/>
      </c>
      <c r="J21" s="40" t="n">
        <v>46289</v>
      </c>
      <c r="K21" s="35" t="s">
        <v>208</v>
      </c>
      <c r="L21" s="41"/>
      <c r="M21" s="35" t="s">
        <v>208</v>
      </c>
      <c r="N21" s="41"/>
      <c r="O21" s="42" t="n">
        <f aca="true">IF(C21="","",TODAY()-C21)</f>
        <v>28</v>
      </c>
      <c r="P21" s="43" t="str">
        <f aca="true">IF(A21="","",IF(O21&gt;180,"DUE — STALE (&gt;180 days)",IF(J21&lt;&gt;"",IF(ABS(J21-TODAY())&lt;=7,"DUE — EARNINGS WINDOW",IF(I21&lt;&gt;"",IF(ABS(I21)&gt;=0.2,"DUE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f>
        <v>Monitor Only</v>
      </c>
      <c r="Q21" s="41"/>
    </row>
    <row r="22" customFormat="false" ht="15" hidden="true" customHeight="true" outlineLevel="1" collapsed="false">
      <c r="A22" s="34" t="s">
        <v>229</v>
      </c>
      <c r="B22" s="41" t="s">
        <v>221</v>
      </c>
      <c r="C22" s="36" t="n">
        <v>46245</v>
      </c>
      <c r="D22" s="35"/>
      <c r="E22" s="35" t="n">
        <v>1.21</v>
      </c>
      <c r="F22" s="37"/>
      <c r="G22" s="35" t="n">
        <v>14.39</v>
      </c>
      <c r="H22" s="38" t="str">
        <f aca="false" t="array" ref="H22:H22">IFERROR(INDEX(_xlfn.stockhistory(A22,TODAY()-5,TODAY(),0,0,1),ROWS(_xlfn.stockhistory(A22,TODAY()-5,TODAY(),0,0,1)),1),"")</f>
        <v/>
      </c>
      <c r="I22" s="39" t="str">
        <f aca="false">IF(OR(G22="",H22=""),"",H22/G22-1)</f>
        <v/>
      </c>
      <c r="J22" s="40" t="n">
        <v>46328</v>
      </c>
      <c r="K22" s="35" t="s">
        <v>208</v>
      </c>
      <c r="L22" s="41"/>
      <c r="M22" s="35" t="s">
        <v>208</v>
      </c>
      <c r="N22" s="41"/>
      <c r="O22" s="42" t="n">
        <f aca="true">IF(C22="","",TODAY()-C22)</f>
        <v>28</v>
      </c>
      <c r="P22" s="43" t="str">
        <f aca="true">IF(A22="","",IF(O22&gt;180,"DUE — STALE (&gt;180 days)",IF(J22&lt;&gt;"",IF(ABS(J22-TODAY())&lt;=7,"DUE — EARNINGS WINDOW",IF(I22&lt;&gt;"",IF(ABS(I22)&gt;=0.2,"DUE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f>
        <v>Monitor Only</v>
      </c>
      <c r="Q22" s="41"/>
    </row>
    <row r="23" customFormat="false" ht="15" hidden="true" customHeight="true" outlineLevel="1" collapsed="false">
      <c r="A23" s="34" t="s">
        <v>230</v>
      </c>
      <c r="B23" s="41" t="s">
        <v>221</v>
      </c>
      <c r="C23" s="36" t="n">
        <v>46245</v>
      </c>
      <c r="D23" s="35"/>
      <c r="E23" s="35" t="n">
        <v>2.36</v>
      </c>
      <c r="F23" s="37"/>
      <c r="G23" s="35" t="n">
        <v>94.94</v>
      </c>
      <c r="H23" s="38" t="str">
        <f aca="false" t="array" ref="H23:H23">IFERROR(INDEX(_xlfn.stockhistory(A23,TODAY()-5,TODAY(),0,0,1),ROWS(_xlfn.stockhistory(A23,TODAY()-5,TODAY(),0,0,1)),1),"")</f>
        <v/>
      </c>
      <c r="I23" s="39" t="str">
        <f aca="false">IF(OR(G23="",H23=""),"",H23/G23-1)</f>
        <v/>
      </c>
      <c r="J23" s="40" t="n">
        <v>46240</v>
      </c>
      <c r="K23" s="35" t="s">
        <v>208</v>
      </c>
      <c r="L23" s="41"/>
      <c r="M23" s="35" t="s">
        <v>208</v>
      </c>
      <c r="N23" s="41"/>
      <c r="O23" s="42" t="n">
        <f aca="true">IF(C23="","",TODAY()-C23)</f>
        <v>28</v>
      </c>
      <c r="P23" s="43" t="str">
        <f aca="true">IF(A23="","",IF(O23&gt;180,"DUE — STALE (&gt;180 days)",IF(J23&lt;&gt;"",IF(ABS(J23-TODAY())&lt;=7,"DUE — EARNINGS WINDOW",IF(I23&lt;&gt;"",IF(ABS(I23)&gt;=0.2,"DUE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f>
        <v>Monitor Only</v>
      </c>
      <c r="Q23" s="41"/>
    </row>
    <row r="24" customFormat="false" ht="15" hidden="true" customHeight="true" outlineLevel="1" collapsed="false">
      <c r="A24" s="34" t="s">
        <v>231</v>
      </c>
      <c r="B24" s="41" t="s">
        <v>221</v>
      </c>
      <c r="C24" s="36" t="n">
        <v>46258</v>
      </c>
      <c r="D24" s="35"/>
      <c r="E24" s="35" t="n">
        <v>2.93</v>
      </c>
      <c r="F24" s="37"/>
      <c r="G24" s="35" t="n">
        <v>110.61</v>
      </c>
      <c r="H24" s="38" t="str">
        <f aca="false" t="array" ref="H24:H24">IFERROR(INDEX(_xlfn.stockhistory(A24,TODAY()-5,TODAY(),0,0,1),ROWS(_xlfn.stockhistory(A24,TODAY()-5,TODAY(),0,0,1)),1),"")</f>
        <v/>
      </c>
      <c r="I24" s="39" t="str">
        <f aca="false">IF(OR(G24="",H24=""),"",H24/G24-1)</f>
        <v/>
      </c>
      <c r="J24" s="40" t="n">
        <v>46338</v>
      </c>
      <c r="K24" s="35" t="s">
        <v>209</v>
      </c>
      <c r="L24" s="41" t="s">
        <v>232</v>
      </c>
      <c r="M24" s="35" t="s">
        <v>208</v>
      </c>
      <c r="N24" s="41"/>
      <c r="O24" s="42" t="n">
        <f aca="true">IF(C24="","",TODAY()-C24)</f>
        <v>15</v>
      </c>
      <c r="P24" s="43" t="str">
        <f aca="true">IF(A24="","",IF(O24&gt;180,"DUE — STALE (&gt;180 days)",IF(J24&lt;&gt;"",IF(ABS(J24-TODAY())&lt;=7,"DUE — EARNINGS WINDOW",IF(I24&lt;&gt;"",IF(ABS(I24)&gt;=0.2,"DUE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f>
        <v>DUE — INSIDER ACTIVITY</v>
      </c>
      <c r="Q24" s="41"/>
    </row>
    <row r="25" customFormat="false" ht="15" hidden="false" customHeight="true" outlineLevel="0" collapsed="false">
      <c r="A25" s="34" t="s">
        <v>233</v>
      </c>
      <c r="B25" s="35" t="s">
        <v>227</v>
      </c>
      <c r="C25" s="36" t="n">
        <v>46245</v>
      </c>
      <c r="D25" s="35"/>
      <c r="E25" s="35" t="n">
        <v>4.86</v>
      </c>
      <c r="F25" s="37"/>
      <c r="G25" s="35" t="n">
        <v>357.34</v>
      </c>
      <c r="H25" s="38" t="str">
        <f aca="false" t="array" ref="H25:H25">IFERROR(INDEX(_xlfn.stockhistory(A25,TODAY()-5,TODAY(),0,0,1),ROWS(_xlfn.stockhistory(A25,TODAY()-5,TODAY(),0,0,1)),1),"")</f>
        <v/>
      </c>
      <c r="I25" s="39" t="str">
        <f aca="false">IF(OR(G25="",H25=""),"",H25/G25-1)</f>
        <v/>
      </c>
      <c r="J25" s="40" t="n">
        <v>46308</v>
      </c>
      <c r="K25" s="35" t="s">
        <v>208</v>
      </c>
      <c r="L25" s="41"/>
      <c r="M25" s="35" t="s">
        <v>208</v>
      </c>
      <c r="N25" s="41"/>
      <c r="O25" s="42" t="n">
        <f aca="true">IF(C25="","",TODAY()-C25)</f>
        <v>28</v>
      </c>
      <c r="P25" s="43" t="str">
        <f aca="true">IF(A25="","",IF(O25&gt;180,"DUE — STALE (&gt;180 days)",IF(J25&lt;&gt;"",IF(ABS(J25-TODAY())&lt;=7,"DUE — EARNINGS WINDOW",IF(I25&lt;&gt;"",IF(ABS(I25)&gt;=0.2,"DUE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f>
        <v>Monitor Only</v>
      </c>
      <c r="Q25" s="41"/>
    </row>
    <row r="26" customFormat="false" ht="15" hidden="true" customHeight="true" outlineLevel="1" collapsed="false">
      <c r="A26" s="34" t="s">
        <v>234</v>
      </c>
      <c r="B26" s="41" t="s">
        <v>221</v>
      </c>
      <c r="C26" s="36" t="n">
        <v>46245</v>
      </c>
      <c r="D26" s="35"/>
      <c r="E26" s="35" t="n">
        <v>2.14</v>
      </c>
      <c r="F26" s="37"/>
      <c r="G26" s="35" t="n">
        <v>87.78</v>
      </c>
      <c r="H26" s="38" t="str">
        <f aca="false" t="array" ref="H26:H26">IFERROR(INDEX(_xlfn.stockhistory(A26,TODAY()-5,TODAY(),0,0,1),ROWS(_xlfn.stockhistory(A26,TODAY()-5,TODAY(),0,0,1)),1),"")</f>
        <v/>
      </c>
      <c r="I26" s="39" t="str">
        <f aca="false">IF(OR(G26="",H26=""),"",H26/G26-1)</f>
        <v/>
      </c>
      <c r="J26" s="40" t="n">
        <v>46328</v>
      </c>
      <c r="K26" s="35" t="s">
        <v>209</v>
      </c>
      <c r="L26" s="41" t="s">
        <v>235</v>
      </c>
      <c r="M26" s="35" t="s">
        <v>208</v>
      </c>
      <c r="N26" s="41"/>
      <c r="O26" s="42" t="n">
        <f aca="true">IF(C26="","",TODAY()-C26)</f>
        <v>28</v>
      </c>
      <c r="P26" s="43" t="str">
        <f aca="true">IF(A26="","",IF(O26&gt;180,"DUE — STALE (&gt;180 days)",IF(J26&lt;&gt;"",IF(ABS(J26-TODAY())&lt;=7,"DUE — EARNINGS WINDOW",IF(I26&lt;&gt;"",IF(ABS(I26)&gt;=0.2,"DUE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f>
        <v>DUE — INSIDER ACTIVITY</v>
      </c>
      <c r="Q26" s="41"/>
    </row>
    <row r="27" customFormat="false" ht="15" hidden="false" customHeight="true" outlineLevel="0" collapsed="false">
      <c r="A27" s="34" t="s">
        <v>236</v>
      </c>
      <c r="B27" s="35" t="s">
        <v>227</v>
      </c>
      <c r="C27" s="36" t="n">
        <v>46245</v>
      </c>
      <c r="D27" s="35"/>
      <c r="E27" s="35" t="n">
        <v>4</v>
      </c>
      <c r="F27" s="37"/>
      <c r="G27" s="35" t="n">
        <v>20.78</v>
      </c>
      <c r="H27" s="38" t="str">
        <f aca="false" t="array" ref="H27:H27">IFERROR(INDEX(_xlfn.stockhistory(A27,TODAY()-5,TODAY(),0,0,1),ROWS(_xlfn.stockhistory(A27,TODAY()-5,TODAY(),0,0,1)),1),"")</f>
        <v/>
      </c>
      <c r="I27" s="39" t="str">
        <f aca="false">IF(OR(G27="",H27=""),"",H27/G27-1)</f>
        <v/>
      </c>
      <c r="J27" s="40" t="n">
        <v>46330</v>
      </c>
      <c r="K27" s="35" t="s">
        <v>209</v>
      </c>
      <c r="L27" s="41" t="s">
        <v>237</v>
      </c>
      <c r="M27" s="35" t="s">
        <v>208</v>
      </c>
      <c r="N27" s="41"/>
      <c r="O27" s="42" t="n">
        <f aca="true">IF(C27="","",TODAY()-C27)</f>
        <v>28</v>
      </c>
      <c r="P27" s="43" t="str">
        <f aca="true">IF(A27="","",IF(O27&gt;180,"DUE — STALE (&gt;180 days)",IF(J27&lt;&gt;"",IF(ABS(J27-TODAY())&lt;=7,"DUE — EARNINGS WINDOW",IF(I27&lt;&gt;"",IF(ABS(I27)&gt;=0.2,"DUE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f>
        <v>DUE — INSIDER ACTIVITY</v>
      </c>
      <c r="Q27" s="41"/>
    </row>
    <row r="28" customFormat="false" ht="15" hidden="false" customHeight="true" outlineLevel="0" collapsed="false">
      <c r="A28" s="34" t="s">
        <v>238</v>
      </c>
      <c r="B28" s="35" t="s">
        <v>227</v>
      </c>
      <c r="C28" s="36" t="n">
        <v>46247</v>
      </c>
      <c r="D28" s="35"/>
      <c r="E28" s="35" t="n">
        <v>3.5</v>
      </c>
      <c r="F28" s="37"/>
      <c r="G28" s="35" t="n">
        <v>453.33</v>
      </c>
      <c r="H28" s="38" t="str">
        <f aca="false" t="array" ref="H28:H28">IFERROR(INDEX(_xlfn.stockhistory(A28,TODAY()-5,TODAY(),0,0,1),ROWS(_xlfn.stockhistory(A28,TODAY()-5,TODAY(),0,0,1)),1),"")</f>
        <v/>
      </c>
      <c r="I28" s="39" t="str">
        <f aca="false">IF(OR(G28="",H28=""),"",H28/G28-1)</f>
        <v/>
      </c>
      <c r="J28" s="40" t="n">
        <v>46329</v>
      </c>
      <c r="K28" s="35" t="s">
        <v>209</v>
      </c>
      <c r="L28" s="41" t="s">
        <v>239</v>
      </c>
      <c r="M28" s="35" t="s">
        <v>208</v>
      </c>
      <c r="N28" s="41"/>
      <c r="O28" s="42" t="n">
        <f aca="true">IF(C28="","",TODAY()-C28)</f>
        <v>26</v>
      </c>
      <c r="P28" s="43" t="str">
        <f aca="true">IF(A28="","",IF(O28&gt;180,"DUE — STALE (&gt;180 days)",IF(J28&lt;&gt;"",IF(ABS(J28-TODAY())&lt;=7,"DUE — EARNINGS WINDOW",IF(I28&lt;&gt;"",IF(ABS(I28)&gt;=0.2,"DUE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f>
        <v>DUE — INSIDER ACTIVITY</v>
      </c>
      <c r="Q28" s="41"/>
    </row>
    <row r="29" customFormat="false" ht="15" hidden="false" customHeight="true" outlineLevel="0" collapsed="false">
      <c r="A29" s="34" t="s">
        <v>240</v>
      </c>
      <c r="B29" s="35" t="s">
        <v>227</v>
      </c>
      <c r="C29" s="36" t="n">
        <v>46246</v>
      </c>
      <c r="D29" s="35"/>
      <c r="E29" s="35" t="n">
        <v>3.43</v>
      </c>
      <c r="F29" s="37"/>
      <c r="G29" s="35" t="n">
        <v>79.63</v>
      </c>
      <c r="H29" s="38" t="str">
        <f aca="false" t="array" ref="H29:H29">IFERROR(INDEX(_xlfn.stockhistory(A29,TODAY()-5,TODAY(),0,0,1),ROWS(_xlfn.stockhistory(A29,TODAY()-5,TODAY(),0,0,1)),1),"")</f>
        <v/>
      </c>
      <c r="I29" s="39" t="str">
        <f aca="false">IF(OR(G29="",H29=""),"",H29/G29-1)</f>
        <v/>
      </c>
      <c r="J29" s="40" t="n">
        <v>46330</v>
      </c>
      <c r="K29" s="35" t="s">
        <v>209</v>
      </c>
      <c r="L29" s="41" t="s">
        <v>241</v>
      </c>
      <c r="M29" s="35" t="s">
        <v>208</v>
      </c>
      <c r="N29" s="41"/>
      <c r="O29" s="42" t="n">
        <f aca="true">IF(C29="","",TODAY()-C29)</f>
        <v>27</v>
      </c>
      <c r="P29" s="43" t="str">
        <f aca="true">IF(A29="","",IF(O29&gt;180,"DUE — STALE (&gt;180 days)",IF(J29&lt;&gt;"",IF(ABS(J29-TODAY())&lt;=7,"DUE — EARNINGS WINDOW",IF(I29&lt;&gt;"",IF(ABS(I29)&gt;=0.2,"DUE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f>
        <v>DUE — INSIDER ACTIVITY</v>
      </c>
      <c r="Q29" s="41"/>
    </row>
    <row r="30" customFormat="false" ht="15" hidden="false" customHeight="true" outlineLevel="0" collapsed="false">
      <c r="A30" s="34" t="s">
        <v>242</v>
      </c>
      <c r="B30" s="35" t="s">
        <v>227</v>
      </c>
      <c r="C30" s="36" t="n">
        <v>46247</v>
      </c>
      <c r="D30" s="35"/>
      <c r="E30" s="35" t="n">
        <v>3.86</v>
      </c>
      <c r="F30" s="37"/>
      <c r="G30" s="35" t="n">
        <v>360.64</v>
      </c>
      <c r="H30" s="38" t="str">
        <f aca="false" t="array" ref="H30:H30">IFERROR(INDEX(_xlfn.stockhistory(A30,TODAY()-5,TODAY(),0,0,1),ROWS(_xlfn.stockhistory(A30,TODAY()-5,TODAY(),0,0,1)),1),"")</f>
        <v/>
      </c>
      <c r="I30" s="39" t="str">
        <f aca="false">IF(OR(G30="",H30=""),"",H30/G30-1)</f>
        <v/>
      </c>
      <c r="J30" s="40" t="n">
        <v>46315</v>
      </c>
      <c r="K30" s="35" t="s">
        <v>209</v>
      </c>
      <c r="L30" s="41" t="s">
        <v>243</v>
      </c>
      <c r="M30" s="35" t="s">
        <v>208</v>
      </c>
      <c r="N30" s="41"/>
      <c r="O30" s="42" t="n">
        <f aca="true">IF(C30="","",TODAY()-C30)</f>
        <v>26</v>
      </c>
      <c r="P30" s="43" t="str">
        <f aca="true">IF(A30="","",IF(O30&gt;180,"DUE — STALE (&gt;180 days)",IF(J30&lt;&gt;"",IF(ABS(J30-TODAY())&lt;=7,"DUE — EARNINGS WINDOW",IF(I30&lt;&gt;"",IF(ABS(I30)&gt;=0.2,"DUE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f>
        <v>DUE — INSIDER ACTIVITY</v>
      </c>
      <c r="Q30" s="41"/>
    </row>
    <row r="31" customFormat="false" ht="15" hidden="true" customHeight="true" outlineLevel="1" collapsed="false">
      <c r="A31" s="34" t="s">
        <v>244</v>
      </c>
      <c r="B31" s="41" t="s">
        <v>221</v>
      </c>
      <c r="C31" s="36" t="n">
        <v>46246</v>
      </c>
      <c r="D31" s="35"/>
      <c r="E31" s="35" t="n">
        <v>2.5</v>
      </c>
      <c r="F31" s="37"/>
      <c r="G31" s="35" t="n">
        <v>8.64</v>
      </c>
      <c r="H31" s="38" t="str">
        <f aca="false" t="array" ref="H31:H31">IFERROR(INDEX(_xlfn.stockhistory(A31,TODAY()-5,TODAY(),0,0,1),ROWS(_xlfn.stockhistory(A31,TODAY()-5,TODAY(),0,0,1)),1),"")</f>
        <v/>
      </c>
      <c r="I31" s="39" t="str">
        <f aca="false">IF(OR(G31="",H31=""),"",H31/G31-1)</f>
        <v/>
      </c>
      <c r="J31" s="40" t="n">
        <v>46331</v>
      </c>
      <c r="K31" s="35" t="s">
        <v>208</v>
      </c>
      <c r="L31" s="41"/>
      <c r="M31" s="35"/>
      <c r="N31" s="41"/>
      <c r="O31" s="42" t="n">
        <f aca="true">IF(C31="","",TODAY()-C31)</f>
        <v>27</v>
      </c>
      <c r="P31" s="43" t="str">
        <f aca="true">IF(A31="","",IF(O31&gt;180,"DUE — STALE (&gt;180 days)",IF(J31&lt;&gt;"",IF(ABS(J31-TODAY())&lt;=7,"DUE — EARNINGS WINDOW",IF(I31&lt;&gt;"",IF(ABS(I31)&gt;=0.2,"DUE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f>
        <v>Monitor Only</v>
      </c>
      <c r="Q31" s="41"/>
    </row>
    <row r="32" customFormat="false" ht="15" hidden="true" customHeight="true" outlineLevel="1" collapsed="false">
      <c r="A32" s="34" t="s">
        <v>245</v>
      </c>
      <c r="B32" s="41" t="s">
        <v>221</v>
      </c>
      <c r="C32" s="36" t="n">
        <v>46245</v>
      </c>
      <c r="D32" s="35"/>
      <c r="E32" s="35" t="n">
        <v>1.93</v>
      </c>
      <c r="F32" s="37"/>
      <c r="G32" s="35" t="n">
        <v>24.3</v>
      </c>
      <c r="H32" s="38" t="str">
        <f aca="false" t="array" ref="H32:H32">IFERROR(INDEX(_xlfn.stockhistory(A32,TODAY()-5,TODAY(),0,0,1),ROWS(_xlfn.stockhistory(A32,TODAY()-5,TODAY(),0,0,1)),1),"")</f>
        <v/>
      </c>
      <c r="I32" s="39" t="str">
        <f aca="false">IF(OR(G32="",H32=""),"",H32/G32-1)</f>
        <v/>
      </c>
      <c r="J32" s="40" t="n">
        <v>46261</v>
      </c>
      <c r="K32" s="35" t="s">
        <v>208</v>
      </c>
      <c r="L32" s="41"/>
      <c r="M32" s="35" t="s">
        <v>208</v>
      </c>
      <c r="N32" s="41"/>
      <c r="O32" s="42" t="n">
        <f aca="true">IF(C32="","",TODAY()-C32)</f>
        <v>28</v>
      </c>
      <c r="P32" s="43" t="str">
        <f aca="true">IF(A32="","",IF(O32&gt;180,"DUE — STALE (&gt;180 days)",IF(J32&lt;&gt;"",IF(ABS(J32-TODAY())&lt;=7,"DUE — EARNINGS WINDOW",IF(I32&lt;&gt;"",IF(ABS(I32)&gt;=0.2,"DUE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f>
        <v>Monitor Only</v>
      </c>
      <c r="Q32" s="41"/>
    </row>
    <row r="33" customFormat="false" ht="15" hidden="true" customHeight="true" outlineLevel="1" collapsed="false">
      <c r="A33" s="34" t="s">
        <v>246</v>
      </c>
      <c r="B33" s="41" t="s">
        <v>221</v>
      </c>
      <c r="C33" s="36" t="n">
        <v>46245</v>
      </c>
      <c r="D33" s="35"/>
      <c r="E33" s="35" t="n">
        <v>2.07</v>
      </c>
      <c r="F33" s="37"/>
      <c r="G33" s="35" t="n">
        <v>21.48</v>
      </c>
      <c r="H33" s="38" t="str">
        <f aca="false" t="array" ref="H33:H33">IFERROR(INDEX(_xlfn.stockhistory(A33,TODAY()-5,TODAY(),0,0,1),ROWS(_xlfn.stockhistory(A33,TODAY()-5,TODAY(),0,0,1)),1),"")</f>
        <v/>
      </c>
      <c r="I33" s="39" t="str">
        <f aca="false">IF(OR(G33="",H33=""),"",H33/G33-1)</f>
        <v/>
      </c>
      <c r="J33" s="40" t="n">
        <v>46309</v>
      </c>
      <c r="K33" s="35" t="s">
        <v>209</v>
      </c>
      <c r="L33" s="41" t="s">
        <v>247</v>
      </c>
      <c r="M33" s="35" t="s">
        <v>208</v>
      </c>
      <c r="N33" s="41"/>
      <c r="O33" s="42" t="n">
        <f aca="true">IF(C33="","",TODAY()-C33)</f>
        <v>28</v>
      </c>
      <c r="P33" s="43" t="str">
        <f aca="true">IF(A33="","",IF(O33&gt;180,"DUE — STALE (&gt;180 days)",IF(J33&lt;&gt;"",IF(ABS(J33-TODAY())&lt;=7,"DUE — EARNINGS WINDOW",IF(I33&lt;&gt;"",IF(ABS(I33)&gt;=0.2,"DUE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f>
        <v>DUE — INSIDER ACTIVITY</v>
      </c>
      <c r="Q33" s="41"/>
    </row>
    <row r="34" customFormat="false" ht="15" hidden="false" customHeight="true" outlineLevel="0" collapsed="false">
      <c r="A34" s="34" t="s">
        <v>248</v>
      </c>
      <c r="B34" s="35" t="s">
        <v>227</v>
      </c>
      <c r="C34" s="36" t="n">
        <v>46245</v>
      </c>
      <c r="D34" s="35"/>
      <c r="E34" s="35" t="n">
        <v>4.5</v>
      </c>
      <c r="F34" s="37"/>
      <c r="G34" s="35" t="n">
        <v>490.53</v>
      </c>
      <c r="H34" s="38" t="str">
        <f aca="false" t="array" ref="H34:H34">IFERROR(INDEX(_xlfn.stockhistory(A34,TODAY()-5,TODAY(),0,0,1),ROWS(_xlfn.stockhistory(A34,TODAY()-5,TODAY(),0,0,1)),1),"")</f>
        <v/>
      </c>
      <c r="I34" s="39" t="str">
        <f aca="false">IF(OR(G34="",H34=""),"",H34/G34-1)</f>
        <v/>
      </c>
      <c r="J34" s="40" t="n">
        <v>46325</v>
      </c>
      <c r="K34" s="35" t="s">
        <v>209</v>
      </c>
      <c r="L34" s="41" t="s">
        <v>249</v>
      </c>
      <c r="M34" s="35" t="s">
        <v>208</v>
      </c>
      <c r="N34" s="41"/>
      <c r="O34" s="42" t="n">
        <f aca="true">IF(C34="","",TODAY()-C34)</f>
        <v>28</v>
      </c>
      <c r="P34" s="43" t="str">
        <f aca="true">IF(A34="","",IF(O34&gt;180,"DUE — STALE (&gt;180 days)",IF(J34&lt;&gt;"",IF(ABS(J34-TODAY())&lt;=7,"DUE — EARNINGS WINDOW",IF(I34&lt;&gt;"",IF(ABS(I34)&gt;=0.2,"DUE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f>
        <v>DUE — INSIDER ACTIVITY</v>
      </c>
      <c r="Q34" s="41"/>
    </row>
    <row r="35" customFormat="false" ht="15" hidden="true" customHeight="true" outlineLevel="1" collapsed="false">
      <c r="A35" s="34" t="s">
        <v>250</v>
      </c>
      <c r="B35" s="41" t="s">
        <v>221</v>
      </c>
      <c r="C35" s="36" t="n">
        <v>46245</v>
      </c>
      <c r="D35" s="35"/>
      <c r="E35" s="35" t="n">
        <v>2.5</v>
      </c>
      <c r="F35" s="37"/>
      <c r="G35" s="35" t="n">
        <v>85.74</v>
      </c>
      <c r="H35" s="38" t="str">
        <f aca="false" t="array" ref="H35:H35">IFERROR(INDEX(_xlfn.stockhistory(A35,TODAY()-5,TODAY(),0,0,1),ROWS(_xlfn.stockhistory(A35,TODAY()-5,TODAY(),0,0,1)),1),"")</f>
        <v/>
      </c>
      <c r="I35" s="39" t="str">
        <f aca="false">IF(OR(G35="",H35=""),"",H35/G35-1)</f>
        <v/>
      </c>
      <c r="J35" s="40" t="n">
        <v>46322</v>
      </c>
      <c r="K35" s="35" t="s">
        <v>208</v>
      </c>
      <c r="L35" s="41"/>
      <c r="M35" s="35" t="s">
        <v>208</v>
      </c>
      <c r="N35" s="41"/>
      <c r="O35" s="42" t="n">
        <f aca="true">IF(C35="","",TODAY()-C35)</f>
        <v>28</v>
      </c>
      <c r="P35" s="43" t="str">
        <f aca="true">IF(A35="","",IF(O35&gt;180,"DUE — STALE (&gt;180 days)",IF(J35&lt;&gt;"",IF(ABS(J35-TODAY())&lt;=7,"DUE — EARNINGS WINDOW",IF(I35&lt;&gt;"",IF(ABS(I35)&gt;=0.2,"DUE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f>
        <v>Monitor Only</v>
      </c>
      <c r="Q35" s="41"/>
    </row>
    <row r="36" customFormat="false" ht="15" hidden="false" customHeight="true" outlineLevel="0" collapsed="false">
      <c r="A36" s="34" t="s">
        <v>251</v>
      </c>
      <c r="B36" s="35" t="s">
        <v>227</v>
      </c>
      <c r="C36" s="36" t="n">
        <v>46258</v>
      </c>
      <c r="D36" s="35"/>
      <c r="E36" s="35" t="n">
        <v>4.21</v>
      </c>
      <c r="F36" s="37"/>
      <c r="G36" s="35" t="n">
        <v>80.01</v>
      </c>
      <c r="H36" s="38" t="str">
        <f aca="false" t="array" ref="H36:H36">IFERROR(INDEX(_xlfn.stockhistory(A36,TODAY()-5,TODAY(),0,0,1),ROWS(_xlfn.stockhistory(A36,TODAY()-5,TODAY(),0,0,1)),1),"")</f>
        <v/>
      </c>
      <c r="I36" s="39" t="str">
        <f aca="false">IF(OR(G36="",H36=""),"",H36/G36-1)</f>
        <v/>
      </c>
      <c r="J36" s="40" t="n">
        <v>46315</v>
      </c>
      <c r="K36" s="35" t="s">
        <v>209</v>
      </c>
      <c r="L36" s="41" t="s">
        <v>252</v>
      </c>
      <c r="M36" s="35" t="s">
        <v>208</v>
      </c>
      <c r="N36" s="41"/>
      <c r="O36" s="42" t="n">
        <f aca="true">IF(C36="","",TODAY()-C36)</f>
        <v>15</v>
      </c>
      <c r="P36" s="43" t="str">
        <f aca="true">IF(A36="","",IF(O36&gt;180,"DUE — STALE (&gt;180 days)",IF(J36&lt;&gt;"",IF(ABS(J36-TODAY())&lt;=7,"DUE — EARNINGS WINDOW",IF(I36&lt;&gt;"",IF(ABS(I36)&gt;=0.2,"DUE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f>
        <v>DUE — INSIDER ACTIVITY</v>
      </c>
      <c r="Q36" s="41"/>
    </row>
    <row r="37" customFormat="false" ht="15" hidden="true" customHeight="true" outlineLevel="1" collapsed="false">
      <c r="A37" s="34" t="s">
        <v>253</v>
      </c>
      <c r="B37" s="41" t="s">
        <v>221</v>
      </c>
      <c r="C37" s="36" t="n">
        <v>46246</v>
      </c>
      <c r="D37" s="35"/>
      <c r="E37" s="35" t="n">
        <v>1.57</v>
      </c>
      <c r="F37" s="37"/>
      <c r="G37" s="35" t="n">
        <v>40.51</v>
      </c>
      <c r="H37" s="38" t="str">
        <f aca="false" t="array" ref="H37:H37">IFERROR(INDEX(_xlfn.stockhistory(A37,TODAY()-5,TODAY(),0,0,1),ROWS(_xlfn.stockhistory(A37,TODAY()-5,TODAY(),0,0,1)),1),"")</f>
        <v/>
      </c>
      <c r="I37" s="39" t="str">
        <f aca="false">IF(OR(G37="",H37=""),"",H37/G37-1)</f>
        <v/>
      </c>
      <c r="J37" s="40" t="n">
        <v>46294</v>
      </c>
      <c r="K37" s="35" t="s">
        <v>209</v>
      </c>
      <c r="L37" s="41" t="s">
        <v>254</v>
      </c>
      <c r="M37" s="35" t="s">
        <v>209</v>
      </c>
      <c r="N37" s="41" t="s">
        <v>255</v>
      </c>
      <c r="O37" s="42" t="n">
        <f aca="true">IF(C37="","",TODAY()-C37)</f>
        <v>27</v>
      </c>
      <c r="P37" s="43" t="str">
        <f aca="true">IF(A37="","",IF(O37&gt;180,"DUE — STALE (&gt;180 days)",IF(J37&lt;&gt;"",IF(ABS(J37-TODAY())&lt;=7,"DUE — EARNINGS WINDOW",IF(I37&lt;&gt;"",IF(ABS(I37)&gt;=0.2,"DUE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f>
        <v>DUE — INSIDER ACTIVITY</v>
      </c>
      <c r="Q37" s="41"/>
    </row>
    <row r="38" customFormat="false" ht="15" hidden="true" customHeight="true" outlineLevel="1" collapsed="false">
      <c r="A38" s="34" t="s">
        <v>256</v>
      </c>
      <c r="B38" s="41" t="s">
        <v>221</v>
      </c>
      <c r="C38" s="36" t="n">
        <v>46245</v>
      </c>
      <c r="D38" s="35"/>
      <c r="E38" s="35" t="n">
        <v>2.64</v>
      </c>
      <c r="F38" s="37"/>
      <c r="G38" s="35" t="n">
        <v>21.02</v>
      </c>
      <c r="H38" s="38" t="str">
        <f aca="false" t="array" ref="H38:H38">IFERROR(INDEX(_xlfn.stockhistory(A38,TODAY()-5,TODAY(),0,0,1),ROWS(_xlfn.stockhistory(A38,TODAY()-5,TODAY(),0,0,1)),1),"")</f>
        <v/>
      </c>
      <c r="I38" s="39" t="str">
        <f aca="false">IF(OR(G38="",H38=""),"",H38/G38-1)</f>
        <v/>
      </c>
      <c r="J38" s="40" t="n">
        <v>46321</v>
      </c>
      <c r="K38" s="35" t="s">
        <v>209</v>
      </c>
      <c r="L38" s="41" t="s">
        <v>257</v>
      </c>
      <c r="M38" s="35" t="s">
        <v>209</v>
      </c>
      <c r="N38" s="41" t="s">
        <v>258</v>
      </c>
      <c r="O38" s="42" t="n">
        <f aca="true">IF(C38="","",TODAY()-C38)</f>
        <v>28</v>
      </c>
      <c r="P38" s="43" t="str">
        <f aca="true">IF(A38="","",IF(O38&gt;180,"DUE — STALE (&gt;180 days)",IF(J38&lt;&gt;"",IF(ABS(J38-TODAY())&lt;=7,"DUE — EARNINGS WINDOW",IF(I38&lt;&gt;"",IF(ABS(I38)&gt;=0.2,"DUE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f>
        <v>DUE — INSIDER ACTIVITY</v>
      </c>
      <c r="Q38" s="41"/>
    </row>
    <row r="39" customFormat="false" ht="15" hidden="true" customHeight="true" outlineLevel="1" collapsed="false">
      <c r="A39" s="34" t="s">
        <v>179</v>
      </c>
      <c r="B39" s="41" t="s">
        <v>221</v>
      </c>
      <c r="C39" s="36" t="n">
        <v>46240</v>
      </c>
      <c r="D39" s="35"/>
      <c r="E39" s="35" t="n">
        <v>2.64</v>
      </c>
      <c r="F39" s="37"/>
      <c r="G39" s="35" t="n">
        <v>37.34</v>
      </c>
      <c r="H39" s="38" t="str">
        <f aca="false" t="array" ref="H39:H39">IFERROR(INDEX(_xlfn.stockhistory(A39,TODAY()-5,TODAY(),0,0,1),ROWS(_xlfn.stockhistory(A39,TODAY()-5,TODAY(),0,0,1)),1),"")</f>
        <v/>
      </c>
      <c r="I39" s="39" t="str">
        <f aca="false">IF(OR(G39="",H39=""),"",H39/G39-1)</f>
        <v/>
      </c>
      <c r="J39" s="40" t="n">
        <v>46337</v>
      </c>
      <c r="K39" s="35" t="s">
        <v>209</v>
      </c>
      <c r="L39" s="41" t="s">
        <v>259</v>
      </c>
      <c r="M39" s="35" t="s">
        <v>208</v>
      </c>
      <c r="N39" s="41"/>
      <c r="O39" s="42" t="n">
        <f aca="true">IF(C39="","",TODAY()-C39)</f>
        <v>33</v>
      </c>
      <c r="P39" s="43" t="str">
        <f aca="true">IF(A39="","",IF(O39&gt;180,"DUE — STALE (&gt;180 days)",IF(J39&lt;&gt;"",IF(ABS(J39-TODAY())&lt;=7,"DUE — EARNINGS WINDOW",IF(I39&lt;&gt;"",IF(ABS(I39)&gt;=0.2,"DUE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f>
        <v>DUE — INSIDER ACTIVITY</v>
      </c>
      <c r="Q39" s="41"/>
    </row>
    <row r="40" customFormat="false" ht="15" hidden="false" customHeight="true" outlineLevel="0" collapsed="false">
      <c r="A40" s="34" t="s">
        <v>260</v>
      </c>
      <c r="B40" s="35" t="s">
        <v>227</v>
      </c>
      <c r="C40" s="36" t="n">
        <v>46245</v>
      </c>
      <c r="D40" s="35"/>
      <c r="E40" s="35" t="n">
        <v>4.21</v>
      </c>
      <c r="F40" s="37"/>
      <c r="G40" s="35" t="n">
        <v>145.21</v>
      </c>
      <c r="H40" s="38" t="str">
        <f aca="false" t="array" ref="H40:H40">IFERROR(INDEX(_xlfn.stockhistory(A40,TODAY()-5,TODAY(),0,0,1),ROWS(_xlfn.stockhistory(A40,TODAY()-5,TODAY(),0,0,1)),1),"")</f>
        <v/>
      </c>
      <c r="I40" s="39" t="str">
        <f aca="false">IF(OR(G40="",H40=""),"",H40/G40-1)</f>
        <v/>
      </c>
      <c r="J40" s="40" t="n">
        <v>46317</v>
      </c>
      <c r="K40" s="35" t="s">
        <v>209</v>
      </c>
      <c r="L40" s="41" t="s">
        <v>261</v>
      </c>
      <c r="M40" s="35" t="s">
        <v>208</v>
      </c>
      <c r="N40" s="41"/>
      <c r="O40" s="42" t="n">
        <f aca="true">IF(C40="","",TODAY()-C40)</f>
        <v>28</v>
      </c>
      <c r="P40" s="43" t="str">
        <f aca="true">IF(A40="","",IF(O40&gt;180,"DUE — STALE (&gt;180 days)",IF(J40&lt;&gt;"",IF(ABS(J40-TODAY())&lt;=7,"DUE — EARNINGS WINDOW",IF(I40&lt;&gt;"",IF(ABS(I40)&gt;=0.2,"DUE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f>
        <v>DUE — INSIDER ACTIVITY</v>
      </c>
      <c r="Q40" s="41"/>
    </row>
    <row r="41" customFormat="false" ht="15" hidden="false" customHeight="true" outlineLevel="0" collapsed="false">
      <c r="A41" s="34" t="s">
        <v>262</v>
      </c>
      <c r="B41" s="35" t="s">
        <v>227</v>
      </c>
      <c r="C41" s="36" t="n">
        <v>46247</v>
      </c>
      <c r="D41" s="35"/>
      <c r="E41" s="35" t="n">
        <v>3.29</v>
      </c>
      <c r="F41" s="37"/>
      <c r="G41" s="35" t="n">
        <v>1058.87</v>
      </c>
      <c r="H41" s="38" t="str">
        <f aca="false" t="array" ref="H41:H41">IFERROR(INDEX(_xlfn.stockhistory(A41,TODAY()-5,TODAY(),0,0,1),ROWS(_xlfn.stockhistory(A41,TODAY()-5,TODAY(),0,0,1)),1),"")</f>
        <v/>
      </c>
      <c r="I41" s="39" t="str">
        <f aca="false">IF(OR(G41="",H41=""),"",H41/G41-1)</f>
        <v/>
      </c>
      <c r="J41" s="40" t="n">
        <v>46331</v>
      </c>
      <c r="K41" s="35" t="s">
        <v>209</v>
      </c>
      <c r="L41" s="41" t="s">
        <v>263</v>
      </c>
      <c r="M41" s="35" t="s">
        <v>208</v>
      </c>
      <c r="N41" s="41"/>
      <c r="O41" s="42" t="n">
        <f aca="true">IF(C41="","",TODAY()-C41)</f>
        <v>26</v>
      </c>
      <c r="P41" s="43" t="str">
        <f aca="true">IF(A41="","",IF(O41&gt;180,"DUE — STALE (&gt;180 days)",IF(J41&lt;&gt;"",IF(ABS(J41-TODAY())&lt;=7,"DUE — EARNINGS WINDOW",IF(I41&lt;&gt;"",IF(ABS(I41)&gt;=0.2,"DUE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f>
        <v>DUE — INSIDER ACTIVITY</v>
      </c>
      <c r="Q41" s="41"/>
    </row>
    <row r="42" customFormat="false" ht="15" hidden="true" customHeight="true" outlineLevel="1" collapsed="false">
      <c r="A42" s="34" t="s">
        <v>264</v>
      </c>
      <c r="B42" s="41" t="s">
        <v>221</v>
      </c>
      <c r="C42" s="36" t="n">
        <v>46245</v>
      </c>
      <c r="D42" s="35"/>
      <c r="E42" s="35" t="n">
        <v>1.36</v>
      </c>
      <c r="F42" s="37"/>
      <c r="G42" s="35" t="n">
        <v>24.32</v>
      </c>
      <c r="H42" s="38" t="str">
        <f aca="false" t="array" ref="H42:H42">IFERROR(INDEX(_xlfn.stockhistory(A42,TODAY()-5,TODAY(),0,0,1),ROWS(_xlfn.stockhistory(A42,TODAY()-5,TODAY(),0,0,1)),1),"")</f>
        <v/>
      </c>
      <c r="I42" s="39" t="str">
        <f aca="false">IF(OR(G42="",H42=""),"",H42/G42-1)</f>
        <v/>
      </c>
      <c r="J42" s="40" t="n">
        <v>46331</v>
      </c>
      <c r="K42" s="35" t="s">
        <v>208</v>
      </c>
      <c r="L42" s="41"/>
      <c r="M42" s="35" t="s">
        <v>209</v>
      </c>
      <c r="N42" s="41" t="s">
        <v>265</v>
      </c>
      <c r="O42" s="42" t="n">
        <f aca="true">IF(C42="","",TODAY()-C42)</f>
        <v>28</v>
      </c>
      <c r="P42" s="43" t="str">
        <f aca="true">IF(A42="","",IF(O42&gt;180,"DUE — STALE (&gt;180 days)",IF(J42&lt;&gt;"",IF(ABS(J42-TODAY())&lt;=7,"DUE — EARNINGS WINDOW",IF(I42&lt;&gt;"",IF(ABS(I42)&gt;=0.2,"DUE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f>
        <v>WATCH — ANALYST SHIFT</v>
      </c>
      <c r="Q42" s="41"/>
    </row>
    <row r="43" customFormat="false" ht="15" hidden="true" customHeight="true" outlineLevel="1" collapsed="false">
      <c r="A43" s="44" t="s">
        <v>168</v>
      </c>
      <c r="B43" s="45" t="s">
        <v>221</v>
      </c>
      <c r="C43" s="46" t="n">
        <v>46240</v>
      </c>
      <c r="D43" s="47"/>
      <c r="E43" s="47" t="n">
        <v>1.86</v>
      </c>
      <c r="F43" s="37"/>
      <c r="G43" s="47" t="n">
        <v>87.2</v>
      </c>
      <c r="H43" s="48" t="str">
        <f aca="false" t="array" ref="H43:H43">IFERROR(INDEX(_xlfn.stockhistory(A43,TODAY()-5,TODAY(),0,0,1),ROWS(_xlfn.stockhistory(A43,TODAY()-5,TODAY(),0,0,1)),1),"")</f>
        <v/>
      </c>
      <c r="I43" s="16" t="str">
        <f aca="false">IF(OR(G43="",H43=""),"",H43/G43-1)</f>
        <v/>
      </c>
      <c r="J43" s="49" t="n">
        <v>46323</v>
      </c>
      <c r="K43" s="47" t="s">
        <v>209</v>
      </c>
      <c r="L43" s="45" t="s">
        <v>266</v>
      </c>
      <c r="M43" s="47" t="s">
        <v>208</v>
      </c>
      <c r="N43" s="45"/>
      <c r="O43" s="50" t="n">
        <f aca="true">IF(C43="","",TODAY()-C43)</f>
        <v>33</v>
      </c>
      <c r="P43" s="12" t="str">
        <f aca="true">IF(A43="","",IF(O43&gt;180,"DUE — STALE (&gt;180 days)",IF(J43&lt;&gt;"",IF(ABS(J43-TODAY())&lt;=7,"DUE — EARNINGS WINDOW",IF(I43&lt;&gt;"",IF(ABS(I43)&gt;=0.2,"DUE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f>
        <v>DUE — INSIDER ACTIVITY</v>
      </c>
      <c r="Q43" s="45"/>
    </row>
    <row r="44" customFormat="false" ht="15" hidden="true" customHeight="true" outlineLevel="1" collapsed="false">
      <c r="A44" s="44" t="s">
        <v>171</v>
      </c>
      <c r="B44" s="45" t="s">
        <v>221</v>
      </c>
      <c r="C44" s="46" t="n">
        <v>46240</v>
      </c>
      <c r="D44" s="47"/>
      <c r="E44" s="47" t="n">
        <v>1.93</v>
      </c>
      <c r="F44" s="37"/>
      <c r="G44" s="47" t="n">
        <v>319.53</v>
      </c>
      <c r="H44" s="48" t="str">
        <f aca="false" t="array" ref="H44:H44">IFERROR(INDEX(_xlfn.stockhistory(A44,TODAY()-5,TODAY(),0,0,1),ROWS(_xlfn.stockhistory(A44,TODAY()-5,TODAY(),0,0,1)),1),"")</f>
        <v/>
      </c>
      <c r="I44" s="16" t="str">
        <f aca="false">IF(OR(G44="",H44=""),"",H44/G44-1)</f>
        <v/>
      </c>
      <c r="J44" s="49" t="n">
        <v>46316</v>
      </c>
      <c r="K44" s="47" t="s">
        <v>208</v>
      </c>
      <c r="L44" s="45"/>
      <c r="M44" s="47" t="s">
        <v>208</v>
      </c>
      <c r="N44" s="45"/>
      <c r="O44" s="50" t="n">
        <f aca="true">IF(C44="","",TODAY()-C44)</f>
        <v>33</v>
      </c>
      <c r="P44" s="12" t="str">
        <f aca="true">IF(A44="","",IF(O44&gt;180,"DUE — STALE (&gt;180 days)",IF(J44&lt;&gt;"",IF(ABS(J44-TODAY())&lt;=7,"DUE — EARNINGS WINDOW",IF(I44&lt;&gt;"",IF(ABS(I44)&gt;=0.2,"DUE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f>
        <v>Monitor Only</v>
      </c>
      <c r="Q44" s="45"/>
    </row>
    <row r="45" customFormat="false" ht="15" hidden="false" customHeight="true" outlineLevel="0" collapsed="false">
      <c r="A45" s="44" t="s">
        <v>119</v>
      </c>
      <c r="B45" s="47" t="s">
        <v>227</v>
      </c>
      <c r="C45" s="46" t="n">
        <v>46245</v>
      </c>
      <c r="D45" s="47" t="n">
        <v>86.4</v>
      </c>
      <c r="E45" s="47" t="n">
        <v>4.57</v>
      </c>
      <c r="F45" s="37" t="s">
        <v>207</v>
      </c>
      <c r="G45" s="47" t="n">
        <v>362.82</v>
      </c>
      <c r="H45" s="48" t="str">
        <f aca="false" t="array" ref="H45:H45">IFERROR(INDEX(_xlfn.stockhistory(A45,TODAY()-5,TODAY(),0,0,1),ROWS(_xlfn.stockhistory(A45,TODAY()-5,TODAY(),0,0,1)),1),"")</f>
        <v/>
      </c>
      <c r="I45" s="16" t="str">
        <f aca="false">IF(OR(G45="",H45=""),"",H45/G45-1)</f>
        <v/>
      </c>
      <c r="J45" s="49" t="n">
        <v>46322</v>
      </c>
      <c r="K45" s="47" t="s">
        <v>209</v>
      </c>
      <c r="L45" s="45" t="s">
        <v>267</v>
      </c>
      <c r="M45" s="47" t="s">
        <v>208</v>
      </c>
      <c r="N45" s="45"/>
      <c r="O45" s="50" t="n">
        <f aca="true">IF(C45="","",TODAY()-C45)</f>
        <v>28</v>
      </c>
      <c r="P45" s="12" t="str">
        <f aca="true">IF(A45="","",IF(O45&gt;180,"DUE — STALE (&gt;180 days)",IF(J45&lt;&gt;"",IF(ABS(J45-TODAY())&lt;=7,"DUE — EARNINGS WINDOW",IF(I45&lt;&gt;"",IF(ABS(I45)&gt;=0.2,"DUE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f>
        <v>DUE — INSIDER ACTIVITY</v>
      </c>
      <c r="Q45" s="45"/>
    </row>
    <row r="46" customFormat="false" ht="15" hidden="true" customHeight="true" outlineLevel="1" collapsed="false">
      <c r="A46" s="44" t="s">
        <v>268</v>
      </c>
      <c r="B46" s="45" t="s">
        <v>221</v>
      </c>
      <c r="C46" s="46" t="n">
        <v>46246</v>
      </c>
      <c r="D46" s="47"/>
      <c r="E46" s="47" t="n">
        <v>2.86</v>
      </c>
      <c r="F46" s="37"/>
      <c r="G46" s="47" t="n">
        <v>14.57</v>
      </c>
      <c r="H46" s="48" t="str">
        <f aca="false" t="array" ref="H46:H46">IFERROR(INDEX(_xlfn.stockhistory(A46,TODAY()-5,TODAY(),0,0,1),ROWS(_xlfn.stockhistory(A46,TODAY()-5,TODAY(),0,0,1)),1),"")</f>
        <v/>
      </c>
      <c r="I46" s="16" t="str">
        <f aca="false">IF(OR(G46="",H46=""),"",H46/G46-1)</f>
        <v/>
      </c>
      <c r="J46" s="49" t="n">
        <v>46321</v>
      </c>
      <c r="K46" s="47" t="s">
        <v>209</v>
      </c>
      <c r="L46" s="45" t="s">
        <v>269</v>
      </c>
      <c r="M46" s="47" t="s">
        <v>208</v>
      </c>
      <c r="N46" s="45"/>
      <c r="O46" s="50" t="n">
        <f aca="true">IF(C46="","",TODAY()-C46)</f>
        <v>27</v>
      </c>
      <c r="P46" s="12" t="str">
        <f aca="true">IF(A46="","",IF(O46&gt;180,"DUE — STALE (&gt;180 days)",IF(J46&lt;&gt;"",IF(ABS(J46-TODAY())&lt;=7,"DUE — EARNINGS WINDOW",IF(I46&lt;&gt;"",IF(ABS(I46)&gt;=0.2,"DUE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f>
        <v>DUE — INSIDER ACTIVITY</v>
      </c>
      <c r="Q46" s="45"/>
    </row>
    <row r="47" customFormat="false" ht="15" hidden="false" customHeight="true" outlineLevel="0" collapsed="false">
      <c r="A47" s="44" t="s">
        <v>270</v>
      </c>
      <c r="B47" s="47" t="s">
        <v>227</v>
      </c>
      <c r="C47" s="46" t="n">
        <v>46245</v>
      </c>
      <c r="D47" s="47"/>
      <c r="E47" s="47" t="n">
        <v>4.29</v>
      </c>
      <c r="F47" s="37"/>
      <c r="G47" s="47" t="n">
        <v>144.75</v>
      </c>
      <c r="H47" s="48" t="str">
        <f aca="false" t="array" ref="H47:H47">IFERROR(INDEX(_xlfn.stockhistory(A47,TODAY()-5,TODAY(),0,0,1),ROWS(_xlfn.stockhistory(A47,TODAY()-5,TODAY(),0,0,1)),1),"")</f>
        <v/>
      </c>
      <c r="I47" s="16" t="str">
        <f aca="false">IF(OR(G47="",H47=""),"",H47/G47-1)</f>
        <v/>
      </c>
      <c r="J47" s="49" t="n">
        <v>46329</v>
      </c>
      <c r="K47" s="47" t="s">
        <v>209</v>
      </c>
      <c r="L47" s="45" t="s">
        <v>271</v>
      </c>
      <c r="M47" s="47" t="s">
        <v>208</v>
      </c>
      <c r="N47" s="45"/>
      <c r="O47" s="50" t="n">
        <f aca="true">IF(C47="","",TODAY()-C47)</f>
        <v>28</v>
      </c>
      <c r="P47" s="12" t="str">
        <f aca="true">IF(A47="","",IF(O47&gt;180,"DUE — STALE (&gt;180 days)",IF(J47&lt;&gt;"",IF(ABS(J47-TODAY())&lt;=7,"DUE — EARNINGS WINDOW",IF(I47&lt;&gt;"",IF(ABS(I47)&gt;=0.2,"DUE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f>
        <v>DUE — INSIDER ACTIVITY</v>
      </c>
      <c r="Q47" s="45"/>
    </row>
  </sheetData>
  <mergeCells count="1">
    <mergeCell ref="A1:Q1"/>
  </mergeCells>
  <conditionalFormatting sqref="F3:F47">
    <cfRule type="cellIs" priority="2" operator="equal" aboveAverage="0" equalAverage="0" bottom="0" percent="0" rank="0" text="" dxfId="13">
      <formula>"STRONG BUY"</formula>
    </cfRule>
    <cfRule type="cellIs" priority="3" operator="equal" aboveAverage="0" equalAverage="0" bottom="0" percent="0" rank="0" text="" dxfId="14">
      <formula>"BUY"</formula>
    </cfRule>
    <cfRule type="cellIs" priority="4" operator="equal" aboveAverage="0" equalAverage="0" bottom="0" percent="0" rank="0" text="" dxfId="15">
      <formula>"WATCH LIST"</formula>
    </cfRule>
    <cfRule type="cellIs" priority="5" operator="equal" aboveAverage="0" equalAverage="0" bottom="0" percent="0" rank="0" text="" dxfId="16">
      <formula>"AVOID"</formula>
    </cfRule>
    <cfRule type="cellIs" priority="6" operator="equal" aboveAverage="0" equalAverage="0" bottom="0" percent="0" rank="0" text="" dxfId="0">
      <formula>"PASS"</formula>
    </cfRule>
  </conditionalFormatting>
  <conditionalFormatting sqref="P3:P47">
    <cfRule type="expression" priority="7" aboveAverage="0" equalAverage="0" bottom="0" percent="0" rank="0" text="" dxfId="0">
      <formula>ISNUMBER(SEARCH("DUE",O3))</formula>
    </cfRule>
    <cfRule type="expression" priority="8" aboveAverage="0" equalAverage="0" bottom="0" percent="0" rank="0" text="" dxfId="15">
      <formula>ISNUMBER(SEARCH("WATCH",O3))</formula>
    </cfRule>
    <cfRule type="expression" priority="9" aboveAverage="0" equalAverage="0" bottom="0" percent="0" rank="0" text="" dxfId="17">
      <formula>O3="Monitor Only"</formula>
    </cfRule>
  </conditionalFormatting>
  <conditionalFormatting sqref="B3:B47">
    <cfRule type="expression" priority="10" aboveAverage="0" equalAverage="0" bottom="0" percent="0" rank="0" text="" dxfId="16">
      <formula>ISNUMBER(SEARCH("AVOID",B3))</formula>
    </cfRule>
  </conditionalFormatting>
  <dataValidations count="2">
    <dataValidation allowBlank="true" errorStyle="stop" operator="between" showDropDown="false" showErrorMessage="false" showInputMessage="false" sqref="B19:B42" type="list">
      <formula1>"Owned,Owned - Tier1 AVOID,Closed,Watch List,Tier-1 Avoid (external),Near-Miss"</formula1>
      <formula2>0</formula2>
    </dataValidation>
    <dataValidation allowBlank="true" errorStyle="stop" operator="between" showDropDown="false" showErrorMessage="false" showInputMessage="false" sqref="K3:K42 M3:M42"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1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149" activePane="bottomRight" state="frozen"/>
      <selection pane="topLeft" activeCell="A1" activeCellId="0" sqref="A1"/>
      <selection pane="topRight" activeCell="B1" activeCellId="0" sqref="B1"/>
      <selection pane="bottomLeft" activeCell="A149" activeCellId="0" sqref="A149"/>
      <selection pane="bottomRight" activeCell="M63" activeCellId="0" sqref="M63"/>
    </sheetView>
  </sheetViews>
  <sheetFormatPr defaultColWidth="8.66796875" defaultRowHeight="15" customHeight="false" zeroHeight="false" outlineLevelRow="0" outlineLevelCol="0"/>
  <cols>
    <col collapsed="false" customWidth="true" hidden="false" outlineLevel="0" max="1" min="1" style="1" width="12"/>
    <col collapsed="false" customWidth="true" hidden="false" outlineLevel="0" max="2" min="2" style="1" width="6.67"/>
    <col collapsed="false" customWidth="true" hidden="false" outlineLevel="0" max="3" min="3" style="1" width="6.51"/>
    <col collapsed="false" customWidth="true" hidden="false" outlineLevel="0" max="5" min="4" style="1" width="7"/>
    <col collapsed="false" customWidth="true" hidden="false" outlineLevel="0" max="6" min="6" style="1" width="7.16"/>
    <col collapsed="false" customWidth="true" hidden="false" outlineLevel="0" max="7" min="7" style="1" width="6.51"/>
    <col collapsed="false" customWidth="true" hidden="false" outlineLevel="0" max="8" min="8" style="1" width="7"/>
    <col collapsed="false" customWidth="true" hidden="false" outlineLevel="0" max="9" min="9" style="1" width="6.83"/>
    <col collapsed="false" customWidth="true" hidden="false" outlineLevel="0" max="10" min="10" style="1" width="5.66"/>
    <col collapsed="false" customWidth="true" hidden="false" outlineLevel="0" max="11" min="11" style="1" width="6.16"/>
    <col collapsed="false" customWidth="true" hidden="false" outlineLevel="0" max="13" min="12" style="1" width="5.66"/>
    <col collapsed="false" customWidth="true" hidden="false" outlineLevel="0" max="14" min="14" style="1" width="6.51"/>
    <col collapsed="false" customWidth="true" hidden="false" outlineLevel="0" max="15" min="15" style="1" width="6.83"/>
    <col collapsed="false" customWidth="true" hidden="false" outlineLevel="0" max="16" min="16" style="1" width="4.5"/>
    <col collapsed="false" customWidth="true" hidden="false" outlineLevel="0" max="17" min="17" style="1" width="6.51"/>
    <col collapsed="false" customWidth="true" hidden="false" outlineLevel="0" max="18" min="18" style="1" width="6.33"/>
    <col collapsed="false" customWidth="true" hidden="false" outlineLevel="0" max="19" min="19" style="1" width="6.83"/>
    <col collapsed="false" customWidth="true" hidden="false" outlineLevel="0" max="22" min="20" style="1" width="6.51"/>
  </cols>
  <sheetData>
    <row r="1" customFormat="false" ht="25.5" hidden="false" customHeight="true" outlineLevel="0" collapsed="false">
      <c r="A1" s="51" t="s">
        <v>272</v>
      </c>
      <c r="B1" s="51"/>
      <c r="C1" s="51"/>
      <c r="D1" s="51"/>
      <c r="E1" s="51"/>
      <c r="F1" s="51"/>
      <c r="G1" s="51"/>
      <c r="H1" s="51"/>
      <c r="I1" s="51"/>
      <c r="J1" s="51"/>
      <c r="K1" s="51"/>
      <c r="L1" s="51"/>
      <c r="M1" s="51"/>
      <c r="N1" s="51"/>
      <c r="O1" s="51"/>
      <c r="P1" s="51"/>
      <c r="Q1" s="51"/>
    </row>
    <row r="2" customFormat="false" ht="15" hidden="false" customHeight="true" outlineLevel="0" collapsed="false">
      <c r="A2" s="52" t="s">
        <v>273</v>
      </c>
      <c r="B2" s="53" t="s">
        <v>96</v>
      </c>
      <c r="C2" s="53" t="s">
        <v>101</v>
      </c>
      <c r="D2" s="53" t="s">
        <v>103</v>
      </c>
      <c r="E2" s="53" t="s">
        <v>160</v>
      </c>
      <c r="F2" s="53" t="s">
        <v>105</v>
      </c>
      <c r="G2" s="53" t="s">
        <v>107</v>
      </c>
      <c r="H2" s="53" t="s">
        <v>109</v>
      </c>
      <c r="I2" s="53" t="s">
        <v>111</v>
      </c>
      <c r="J2" s="53" t="s">
        <v>165</v>
      </c>
      <c r="K2" s="53" t="s">
        <v>113</v>
      </c>
      <c r="L2" s="53" t="s">
        <v>115</v>
      </c>
      <c r="M2" s="53" t="s">
        <v>117</v>
      </c>
      <c r="N2" s="53" t="s">
        <v>162</v>
      </c>
      <c r="O2" s="53" t="s">
        <v>151</v>
      </c>
      <c r="P2" s="53"/>
      <c r="Q2" s="53" t="s">
        <v>157</v>
      </c>
      <c r="R2" s="53" t="s">
        <v>147</v>
      </c>
      <c r="S2" s="53" t="s">
        <v>139</v>
      </c>
      <c r="T2" s="53" t="s">
        <v>130</v>
      </c>
      <c r="U2" s="53"/>
      <c r="V2" s="54" t="s">
        <v>119</v>
      </c>
    </row>
    <row r="3" customFormat="false" ht="15" hidden="false" customHeight="true" outlineLevel="0" collapsed="false">
      <c r="A3" s="55" t="n">
        <v>45149</v>
      </c>
      <c r="B3" s="56" t="n">
        <v>508.45</v>
      </c>
      <c r="C3" s="56" t="n">
        <v>43.74</v>
      </c>
      <c r="D3" s="56" t="n">
        <v>661.78</v>
      </c>
      <c r="E3" s="56" t="n">
        <v>82.98</v>
      </c>
      <c r="F3" s="56" t="n">
        <v>37.06</v>
      </c>
      <c r="G3" s="56" t="n">
        <v>47.9</v>
      </c>
      <c r="H3" s="56" t="n">
        <v>64.37</v>
      </c>
      <c r="I3" s="56" t="n">
        <v>40.85</v>
      </c>
      <c r="J3" s="56" t="n">
        <v>123.51</v>
      </c>
      <c r="K3" s="56" t="n">
        <v>15.41</v>
      </c>
      <c r="L3" s="56" t="n">
        <v>91.99</v>
      </c>
      <c r="M3" s="56" t="n">
        <v>33.51</v>
      </c>
      <c r="N3" s="56" t="n">
        <v>349.86</v>
      </c>
      <c r="O3" s="56" t="n">
        <v>82.85</v>
      </c>
      <c r="P3" s="56"/>
      <c r="Q3" s="56" t="n">
        <v>49.84</v>
      </c>
      <c r="R3" s="56" t="n">
        <v>47.82</v>
      </c>
      <c r="S3" s="56" t="n">
        <v>58.54</v>
      </c>
      <c r="T3" s="56" t="n">
        <v>26.91</v>
      </c>
      <c r="U3" s="56"/>
    </row>
    <row r="4" customFormat="false" ht="15" hidden="false" customHeight="true" outlineLevel="0" collapsed="false">
      <c r="A4" s="57" t="n">
        <v>45156</v>
      </c>
      <c r="B4" s="58" t="n">
        <v>508.13</v>
      </c>
      <c r="C4" s="58" t="n">
        <v>45.14</v>
      </c>
      <c r="D4" s="58" t="n">
        <v>655.33</v>
      </c>
      <c r="E4" s="58" t="n">
        <v>82.58</v>
      </c>
      <c r="F4" s="58" t="n">
        <v>36.7</v>
      </c>
      <c r="G4" s="58" t="n">
        <v>47.8</v>
      </c>
      <c r="H4" s="58" t="n">
        <v>63.59</v>
      </c>
      <c r="I4" s="58" t="n">
        <v>43.3</v>
      </c>
      <c r="J4" s="58" t="n">
        <v>121.47</v>
      </c>
      <c r="K4" s="58" t="n">
        <v>14.4</v>
      </c>
      <c r="L4" s="58" t="n">
        <v>91.1</v>
      </c>
      <c r="M4" s="58" t="n">
        <v>33.97</v>
      </c>
      <c r="N4" s="58" t="n">
        <v>344.82</v>
      </c>
      <c r="O4" s="58" t="n">
        <v>80.3</v>
      </c>
      <c r="P4" s="58"/>
      <c r="Q4" s="58" t="n">
        <v>50</v>
      </c>
      <c r="R4" s="58" t="n">
        <v>46.93</v>
      </c>
      <c r="S4" s="58" t="n">
        <v>58.05</v>
      </c>
      <c r="T4" s="58" t="n">
        <v>26.19</v>
      </c>
      <c r="U4" s="58"/>
    </row>
    <row r="5" customFormat="false" ht="15" hidden="false" customHeight="true" outlineLevel="0" collapsed="false">
      <c r="A5" s="57" t="n">
        <v>45163</v>
      </c>
      <c r="B5" s="58" t="n">
        <v>525.06</v>
      </c>
      <c r="C5" s="58" t="n">
        <v>45.23</v>
      </c>
      <c r="D5" s="58" t="n">
        <v>651.01</v>
      </c>
      <c r="E5" s="58" t="n">
        <v>85.18</v>
      </c>
      <c r="F5" s="58" t="n">
        <v>37.4</v>
      </c>
      <c r="G5" s="58" t="n">
        <v>48.17</v>
      </c>
      <c r="H5" s="58" t="n">
        <v>63.72</v>
      </c>
      <c r="I5" s="58" t="n">
        <v>46.02</v>
      </c>
      <c r="J5" s="58" t="n">
        <v>122.66</v>
      </c>
      <c r="K5" s="58" t="n">
        <v>14.53</v>
      </c>
      <c r="L5" s="58" t="n">
        <v>93.1</v>
      </c>
      <c r="M5" s="58" t="n">
        <v>37.5</v>
      </c>
      <c r="N5" s="58" t="n">
        <v>350.06</v>
      </c>
      <c r="O5" s="58" t="n">
        <v>79</v>
      </c>
      <c r="P5" s="58"/>
      <c r="Q5" s="58" t="n">
        <v>50.17</v>
      </c>
      <c r="R5" s="58" t="n">
        <v>47.68</v>
      </c>
      <c r="S5" s="58" t="n">
        <v>57.89</v>
      </c>
      <c r="T5" s="58" t="n">
        <v>25.98</v>
      </c>
      <c r="U5" s="58"/>
    </row>
    <row r="6" customFormat="false" ht="15" hidden="false" customHeight="true" outlineLevel="0" collapsed="false">
      <c r="A6" s="57" t="n">
        <v>45170</v>
      </c>
      <c r="B6" s="58" t="n">
        <v>563.21</v>
      </c>
      <c r="C6" s="58" t="n">
        <v>49.34</v>
      </c>
      <c r="D6" s="58" t="n">
        <v>662.52</v>
      </c>
      <c r="E6" s="58" t="n">
        <v>87.25</v>
      </c>
      <c r="F6" s="58" t="n">
        <v>40.31</v>
      </c>
      <c r="G6" s="58" t="n">
        <v>50.7</v>
      </c>
      <c r="H6" s="58" t="n">
        <v>70.39</v>
      </c>
      <c r="I6" s="58" t="n">
        <v>48.51</v>
      </c>
      <c r="J6" s="58" t="n">
        <v>124.59</v>
      </c>
      <c r="K6" s="58" t="n">
        <v>15.18</v>
      </c>
      <c r="L6" s="58" t="n">
        <v>93.19</v>
      </c>
      <c r="M6" s="58" t="n">
        <v>39.87</v>
      </c>
      <c r="N6" s="58" t="n">
        <v>351.1</v>
      </c>
      <c r="O6" s="58" t="n">
        <v>82.69</v>
      </c>
      <c r="P6" s="58"/>
      <c r="Q6" s="58" t="n">
        <v>49.61</v>
      </c>
      <c r="R6" s="58" t="n">
        <v>48.55</v>
      </c>
      <c r="S6" s="58" t="n">
        <v>58.82</v>
      </c>
      <c r="T6" s="58" t="n">
        <v>26.66</v>
      </c>
      <c r="U6" s="58"/>
    </row>
    <row r="7" customFormat="false" ht="15" hidden="false" customHeight="true" outlineLevel="0" collapsed="false">
      <c r="A7" s="57" t="n">
        <v>45177</v>
      </c>
      <c r="B7" s="58" t="n">
        <v>560.36</v>
      </c>
      <c r="C7" s="58" t="n">
        <v>49.12</v>
      </c>
      <c r="D7" s="58" t="n">
        <v>627.86</v>
      </c>
      <c r="E7" s="58" t="n">
        <v>85.76</v>
      </c>
      <c r="F7" s="58" t="n">
        <v>42.02</v>
      </c>
      <c r="G7" s="58" t="n">
        <v>49.77</v>
      </c>
      <c r="H7" s="58" t="n">
        <v>70.18</v>
      </c>
      <c r="I7" s="58" t="n">
        <v>45.57</v>
      </c>
      <c r="J7" s="58" t="n">
        <v>122.48</v>
      </c>
      <c r="K7" s="58" t="n">
        <v>15.13</v>
      </c>
      <c r="L7" s="58" t="n">
        <v>89.64</v>
      </c>
      <c r="M7" s="58" t="n">
        <v>39.2</v>
      </c>
      <c r="N7" s="58" t="n">
        <v>343.05</v>
      </c>
      <c r="O7" s="58" t="n">
        <v>79.51</v>
      </c>
      <c r="P7" s="58"/>
      <c r="Q7" s="58" t="n">
        <v>48.75</v>
      </c>
      <c r="R7" s="58" t="n">
        <v>48.23</v>
      </c>
      <c r="S7" s="58" t="n">
        <v>59.17</v>
      </c>
      <c r="T7" s="58" t="n">
        <v>26.47</v>
      </c>
      <c r="U7" s="58"/>
      <c r="V7" s="59" t="n">
        <v>241.71</v>
      </c>
    </row>
    <row r="8" customFormat="false" ht="15" hidden="false" customHeight="true" outlineLevel="0" collapsed="false">
      <c r="A8" s="57" t="n">
        <v>45184</v>
      </c>
      <c r="B8" s="58" t="n">
        <v>528.89</v>
      </c>
      <c r="C8" s="58" t="n">
        <v>46.18</v>
      </c>
      <c r="D8" s="58" t="n">
        <v>596.66</v>
      </c>
      <c r="E8" s="58" t="n">
        <v>85.17</v>
      </c>
      <c r="F8" s="58" t="n">
        <v>41.36</v>
      </c>
      <c r="G8" s="58" t="n">
        <v>45.42</v>
      </c>
      <c r="H8" s="58" t="n">
        <v>69.88</v>
      </c>
      <c r="I8" s="58" t="n">
        <v>43.9</v>
      </c>
      <c r="J8" s="58" t="n">
        <v>123.18</v>
      </c>
      <c r="K8" s="58" t="n">
        <v>15.33</v>
      </c>
      <c r="L8" s="58" t="n">
        <v>89.25</v>
      </c>
      <c r="M8" s="58" t="n">
        <v>38.17</v>
      </c>
      <c r="N8" s="58" t="n">
        <v>348.9</v>
      </c>
      <c r="O8" s="58" t="n">
        <v>79.36</v>
      </c>
      <c r="P8" s="58"/>
      <c r="Q8" s="58" t="n">
        <v>50.71</v>
      </c>
      <c r="R8" s="58" t="n">
        <v>48.21</v>
      </c>
      <c r="S8" s="58" t="n">
        <v>59.17</v>
      </c>
      <c r="T8" s="58" t="n">
        <v>26.3</v>
      </c>
      <c r="U8" s="58"/>
      <c r="V8" s="59" t="n">
        <v>235.63</v>
      </c>
    </row>
    <row r="9" customFormat="false" ht="15" hidden="false" customHeight="true" outlineLevel="0" collapsed="false">
      <c r="A9" s="57" t="n">
        <v>45191</v>
      </c>
      <c r="B9" s="58" t="n">
        <v>512.9</v>
      </c>
      <c r="C9" s="58" t="n">
        <v>45.09</v>
      </c>
      <c r="D9" s="58" t="n">
        <v>587.1</v>
      </c>
      <c r="E9" s="58" t="n">
        <v>82.91</v>
      </c>
      <c r="F9" s="58" t="n">
        <v>40.64</v>
      </c>
      <c r="G9" s="58" t="n">
        <v>45.18</v>
      </c>
      <c r="H9" s="58" t="n">
        <v>68.88</v>
      </c>
      <c r="I9" s="58" t="n">
        <v>41.61</v>
      </c>
      <c r="J9" s="58" t="n">
        <v>114.07</v>
      </c>
      <c r="K9" s="58" t="n">
        <v>14.13</v>
      </c>
      <c r="L9" s="58" t="n">
        <v>85.64</v>
      </c>
      <c r="M9" s="58" t="n">
        <v>36.45</v>
      </c>
      <c r="N9" s="58" t="n">
        <v>349.53</v>
      </c>
      <c r="O9" s="58" t="n">
        <v>76.69</v>
      </c>
      <c r="P9" s="58"/>
      <c r="Q9" s="58" t="n">
        <v>51.22</v>
      </c>
      <c r="R9" s="58" t="n">
        <v>46.91</v>
      </c>
      <c r="S9" s="58" t="n">
        <v>57.46</v>
      </c>
      <c r="T9" s="58" t="n">
        <v>25.91</v>
      </c>
      <c r="U9" s="58"/>
      <c r="V9" s="59" t="n">
        <v>229.78</v>
      </c>
    </row>
    <row r="10" customFormat="false" ht="15" hidden="false" customHeight="true" outlineLevel="0" collapsed="false">
      <c r="A10" s="57" t="n">
        <v>45198</v>
      </c>
      <c r="B10" s="58" t="n">
        <v>509.9</v>
      </c>
      <c r="C10" s="58" t="n">
        <v>45.98</v>
      </c>
      <c r="D10" s="58" t="n">
        <v>588.66</v>
      </c>
      <c r="E10" s="58" t="n">
        <v>83.06</v>
      </c>
      <c r="F10" s="58" t="n">
        <v>41.85</v>
      </c>
      <c r="G10" s="58" t="n">
        <v>45.87</v>
      </c>
      <c r="H10" s="58" t="n">
        <v>68.03</v>
      </c>
      <c r="I10" s="58" t="n">
        <v>43.5</v>
      </c>
      <c r="J10" s="58" t="n">
        <v>112.21</v>
      </c>
      <c r="K10" s="58" t="n">
        <v>16</v>
      </c>
      <c r="L10" s="58" t="n">
        <v>86.9</v>
      </c>
      <c r="M10" s="58" t="n">
        <v>37.2</v>
      </c>
      <c r="N10" s="58" t="n">
        <v>347.74</v>
      </c>
      <c r="O10" s="58" t="n">
        <v>77.95</v>
      </c>
      <c r="P10" s="58"/>
      <c r="Q10" s="58" t="n">
        <v>51.89</v>
      </c>
      <c r="R10" s="58" t="n">
        <v>46.93</v>
      </c>
      <c r="S10" s="58" t="n">
        <v>57.28</v>
      </c>
      <c r="T10" s="58" t="n">
        <v>25.98</v>
      </c>
      <c r="U10" s="58"/>
      <c r="V10" s="59" t="n">
        <v>224.82</v>
      </c>
    </row>
    <row r="11" customFormat="false" ht="15" hidden="false" customHeight="true" outlineLevel="0" collapsed="false">
      <c r="A11" s="57" t="n">
        <v>45205</v>
      </c>
      <c r="B11" s="58" t="n">
        <v>526.68</v>
      </c>
      <c r="C11" s="58" t="n">
        <v>48.51</v>
      </c>
      <c r="D11" s="58" t="n">
        <v>597.36</v>
      </c>
      <c r="E11" s="58" t="n">
        <v>84.53</v>
      </c>
      <c r="F11" s="58" t="n">
        <v>44.17</v>
      </c>
      <c r="G11" s="58" t="n">
        <v>46.81</v>
      </c>
      <c r="H11" s="58" t="n">
        <v>69.96</v>
      </c>
      <c r="I11" s="58" t="n">
        <v>45.76</v>
      </c>
      <c r="J11" s="58" t="n">
        <v>108.91</v>
      </c>
      <c r="K11" s="58" t="n">
        <v>16.61</v>
      </c>
      <c r="L11" s="58" t="n">
        <v>89.29</v>
      </c>
      <c r="M11" s="58" t="n">
        <v>39.77</v>
      </c>
      <c r="N11" s="58" t="n">
        <v>360.62</v>
      </c>
      <c r="O11" s="58" t="n">
        <v>75.6</v>
      </c>
      <c r="P11" s="58"/>
      <c r="Q11" s="58" t="n">
        <v>52.12</v>
      </c>
      <c r="R11" s="58" t="n">
        <v>47.13</v>
      </c>
      <c r="S11" s="58" t="n">
        <v>57.92</v>
      </c>
      <c r="T11" s="58" t="n">
        <v>25.5</v>
      </c>
      <c r="U11" s="58"/>
      <c r="V11" s="59" t="n">
        <v>229.74</v>
      </c>
    </row>
    <row r="12" customFormat="false" ht="15" hidden="false" customHeight="true" outlineLevel="0" collapsed="false">
      <c r="A12" s="57" t="n">
        <v>45212</v>
      </c>
      <c r="B12" s="58" t="n">
        <v>548.76</v>
      </c>
      <c r="C12" s="58" t="n">
        <v>47.46</v>
      </c>
      <c r="D12" s="58" t="n">
        <v>599.75</v>
      </c>
      <c r="E12" s="58" t="n">
        <v>88.32</v>
      </c>
      <c r="F12" s="58" t="n">
        <v>46.43</v>
      </c>
      <c r="G12" s="58" t="n">
        <v>48.68</v>
      </c>
      <c r="H12" s="58" t="n">
        <v>69.21</v>
      </c>
      <c r="I12" s="58" t="n">
        <v>45.46</v>
      </c>
      <c r="J12" s="58" t="n">
        <v>109.65</v>
      </c>
      <c r="K12" s="58" t="n">
        <v>17.36</v>
      </c>
      <c r="L12" s="58" t="n">
        <v>90.46</v>
      </c>
      <c r="M12" s="58" t="n">
        <v>39.1</v>
      </c>
      <c r="N12" s="58" t="n">
        <v>371</v>
      </c>
      <c r="O12" s="58" t="n">
        <v>75.8</v>
      </c>
      <c r="P12" s="58"/>
      <c r="Q12" s="58" t="n">
        <v>52.17</v>
      </c>
      <c r="R12" s="58" t="n">
        <v>47.26</v>
      </c>
      <c r="S12" s="58" t="n">
        <v>58.25</v>
      </c>
      <c r="T12" s="58" t="n">
        <v>25.83</v>
      </c>
      <c r="U12" s="58"/>
      <c r="V12" s="59" t="n">
        <v>232.31</v>
      </c>
    </row>
    <row r="13" customFormat="false" ht="15" hidden="false" customHeight="true" outlineLevel="0" collapsed="false">
      <c r="A13" s="57" t="n">
        <v>45219</v>
      </c>
      <c r="B13" s="58" t="n">
        <v>540.96</v>
      </c>
      <c r="C13" s="58" t="n">
        <v>46.53</v>
      </c>
      <c r="D13" s="58" t="n">
        <v>580.1</v>
      </c>
      <c r="E13" s="58" t="n">
        <v>85.36</v>
      </c>
      <c r="F13" s="58" t="n">
        <v>44.69</v>
      </c>
      <c r="G13" s="58" t="n">
        <v>46.24</v>
      </c>
      <c r="H13" s="58" t="n">
        <v>67.22</v>
      </c>
      <c r="I13" s="58" t="n">
        <v>41.39</v>
      </c>
      <c r="J13" s="58" t="n">
        <v>102.43</v>
      </c>
      <c r="K13" s="58" t="n">
        <v>16.11</v>
      </c>
      <c r="L13" s="58" t="n">
        <v>91.31</v>
      </c>
      <c r="M13" s="58" t="n">
        <v>36.74</v>
      </c>
      <c r="N13" s="58" t="n">
        <v>361.86</v>
      </c>
      <c r="O13" s="58" t="n">
        <v>74.53</v>
      </c>
      <c r="P13" s="58"/>
      <c r="Q13" s="58" t="n">
        <v>52.36</v>
      </c>
      <c r="R13" s="58" t="n">
        <v>46.32</v>
      </c>
      <c r="S13" s="58" t="n">
        <v>56.56</v>
      </c>
      <c r="T13" s="58" t="n">
        <v>25.5</v>
      </c>
      <c r="U13" s="58"/>
      <c r="V13" s="59" t="n">
        <v>228.12</v>
      </c>
    </row>
    <row r="14" customFormat="false" ht="15" hidden="false" customHeight="true" outlineLevel="0" collapsed="false">
      <c r="A14" s="57" t="n">
        <v>45226</v>
      </c>
      <c r="B14" s="58" t="n">
        <v>508.12</v>
      </c>
      <c r="C14" s="58" t="n">
        <v>44.05</v>
      </c>
      <c r="D14" s="58" t="n">
        <v>590</v>
      </c>
      <c r="E14" s="58" t="n">
        <v>83.84</v>
      </c>
      <c r="F14" s="58" t="n">
        <v>43.21</v>
      </c>
      <c r="G14" s="58" t="n">
        <v>45.79</v>
      </c>
      <c r="H14" s="58" t="n">
        <v>65.65</v>
      </c>
      <c r="I14" s="58" t="n">
        <v>40.5</v>
      </c>
      <c r="J14" s="58" t="n">
        <v>97.32</v>
      </c>
      <c r="K14" s="58" t="n">
        <v>15.07</v>
      </c>
      <c r="L14" s="58" t="n">
        <v>85.99</v>
      </c>
      <c r="M14" s="58" t="n">
        <v>36.42</v>
      </c>
      <c r="N14" s="58" t="n">
        <v>355.28</v>
      </c>
      <c r="O14" s="58" t="n">
        <v>73.38</v>
      </c>
      <c r="P14" s="58"/>
      <c r="Q14" s="58" t="n">
        <v>52.83</v>
      </c>
      <c r="R14" s="58" t="n">
        <v>45.36</v>
      </c>
      <c r="S14" s="58" t="n">
        <v>55.42</v>
      </c>
      <c r="T14" s="58" t="n">
        <v>24.66</v>
      </c>
      <c r="U14" s="58"/>
      <c r="V14" s="59" t="n">
        <v>224.1</v>
      </c>
    </row>
    <row r="15" customFormat="false" ht="15" hidden="false" customHeight="true" outlineLevel="0" collapsed="false">
      <c r="A15" s="57" t="n">
        <v>45233</v>
      </c>
      <c r="B15" s="58" t="n">
        <v>563.66</v>
      </c>
      <c r="C15" s="58" t="n">
        <v>53.12</v>
      </c>
      <c r="D15" s="58" t="n">
        <v>642.41</v>
      </c>
      <c r="E15" s="58" t="n">
        <v>88.27</v>
      </c>
      <c r="F15" s="58" t="n">
        <v>47.06</v>
      </c>
      <c r="G15" s="58" t="n">
        <v>49.96</v>
      </c>
      <c r="H15" s="58" t="n">
        <v>72.58</v>
      </c>
      <c r="I15" s="58" t="n">
        <v>45.01</v>
      </c>
      <c r="J15" s="58" t="n">
        <v>106.55</v>
      </c>
      <c r="K15" s="58" t="n">
        <v>18.89</v>
      </c>
      <c r="L15" s="58" t="n">
        <v>91.79</v>
      </c>
      <c r="M15" s="58" t="n">
        <v>40.44</v>
      </c>
      <c r="N15" s="58" t="n">
        <v>376.2</v>
      </c>
      <c r="O15" s="58" t="n">
        <v>78.63</v>
      </c>
      <c r="P15" s="58"/>
      <c r="Q15" s="58" t="n">
        <v>52.79</v>
      </c>
      <c r="R15" s="58" t="n">
        <v>47.52</v>
      </c>
      <c r="S15" s="58" t="n">
        <v>58.65</v>
      </c>
      <c r="T15" s="58" t="n">
        <v>26.11</v>
      </c>
      <c r="U15" s="58"/>
      <c r="V15" s="59" t="n">
        <v>238.11</v>
      </c>
    </row>
    <row r="16" customFormat="false" ht="15" hidden="false" customHeight="true" outlineLevel="0" collapsed="false">
      <c r="A16" s="57" t="n">
        <v>45240</v>
      </c>
      <c r="B16" s="58" t="n">
        <v>597.22</v>
      </c>
      <c r="C16" s="58" t="n">
        <v>51.71</v>
      </c>
      <c r="D16" s="58" t="n">
        <v>661.28</v>
      </c>
      <c r="E16" s="58" t="n">
        <v>95.75</v>
      </c>
      <c r="F16" s="58" t="n">
        <v>49.08</v>
      </c>
      <c r="G16" s="58" t="n">
        <v>53.43</v>
      </c>
      <c r="H16" s="58" t="n">
        <v>75.36</v>
      </c>
      <c r="I16" s="58" t="n">
        <v>48.34</v>
      </c>
      <c r="J16" s="58" t="n">
        <v>104.55</v>
      </c>
      <c r="K16" s="58" t="n">
        <v>19.67</v>
      </c>
      <c r="L16" s="58" t="n">
        <v>97.44</v>
      </c>
      <c r="M16" s="58" t="n">
        <v>41.83</v>
      </c>
      <c r="N16" s="58" t="n">
        <v>373.65</v>
      </c>
      <c r="O16" s="58" t="n">
        <v>75.95</v>
      </c>
      <c r="P16" s="58"/>
      <c r="Q16" s="58" t="n">
        <v>52.88</v>
      </c>
      <c r="R16" s="58" t="n">
        <v>48.51</v>
      </c>
      <c r="S16" s="58" t="n">
        <v>60.38</v>
      </c>
      <c r="T16" s="58" t="n">
        <v>25.93</v>
      </c>
      <c r="U16" s="58"/>
      <c r="V16" s="59" t="n">
        <v>240.23</v>
      </c>
    </row>
    <row r="17" customFormat="false" ht="15" hidden="false" customHeight="true" outlineLevel="0" collapsed="false">
      <c r="A17" s="57" t="n">
        <v>45247</v>
      </c>
      <c r="B17" s="58" t="n">
        <v>602.66</v>
      </c>
      <c r="C17" s="58" t="n">
        <v>53.66</v>
      </c>
      <c r="D17" s="58" t="n">
        <v>686.09</v>
      </c>
      <c r="E17" s="58" t="n">
        <v>97.77</v>
      </c>
      <c r="F17" s="58" t="n">
        <v>51.77</v>
      </c>
      <c r="G17" s="58" t="n">
        <v>54.45</v>
      </c>
      <c r="H17" s="58" t="n">
        <v>77.56</v>
      </c>
      <c r="I17" s="58" t="n">
        <v>49.3</v>
      </c>
      <c r="J17" s="58" t="n">
        <v>110.07</v>
      </c>
      <c r="K17" s="58" t="n">
        <v>20.49</v>
      </c>
      <c r="L17" s="58" t="n">
        <v>99.58</v>
      </c>
      <c r="M17" s="58" t="n">
        <v>43.29</v>
      </c>
      <c r="N17" s="58" t="n">
        <v>350.5</v>
      </c>
      <c r="O17" s="58" t="n">
        <v>80.16</v>
      </c>
      <c r="P17" s="58"/>
      <c r="Q17" s="58" t="n">
        <v>52.65</v>
      </c>
      <c r="R17" s="58" t="n">
        <v>48.97</v>
      </c>
      <c r="S17" s="58" t="n">
        <v>61.69</v>
      </c>
      <c r="T17" s="58" t="n">
        <v>26.59</v>
      </c>
      <c r="U17" s="58"/>
      <c r="V17" s="59" t="n">
        <v>244.45</v>
      </c>
    </row>
    <row r="18" customFormat="false" ht="15" hidden="false" customHeight="true" outlineLevel="0" collapsed="false">
      <c r="A18" s="57" t="n">
        <v>45254</v>
      </c>
      <c r="B18" s="58" t="n">
        <v>619.43</v>
      </c>
      <c r="C18" s="58" t="n">
        <v>54.6</v>
      </c>
      <c r="D18" s="58" t="n">
        <v>691.18</v>
      </c>
      <c r="E18" s="58" t="n">
        <v>97.89</v>
      </c>
      <c r="F18" s="58" t="n">
        <v>52.67</v>
      </c>
      <c r="G18" s="58" t="n">
        <v>55.56</v>
      </c>
      <c r="H18" s="58" t="n">
        <v>76.87</v>
      </c>
      <c r="I18" s="58" t="n">
        <v>47.78</v>
      </c>
      <c r="J18" s="58" t="n">
        <v>112</v>
      </c>
      <c r="K18" s="58" t="n">
        <v>19.2</v>
      </c>
      <c r="L18" s="58" t="n">
        <v>97.83</v>
      </c>
      <c r="M18" s="58" t="n">
        <v>42.68</v>
      </c>
      <c r="N18" s="58" t="n">
        <v>353.04</v>
      </c>
      <c r="O18" s="58" t="n">
        <v>80.17</v>
      </c>
      <c r="P18" s="58"/>
      <c r="Q18" s="58" t="n">
        <v>53.17</v>
      </c>
      <c r="R18" s="58" t="n">
        <v>49.23</v>
      </c>
      <c r="S18" s="58" t="n">
        <v>62.03</v>
      </c>
      <c r="T18" s="58" t="n">
        <v>26.78</v>
      </c>
      <c r="U18" s="58"/>
      <c r="V18" s="59" t="n">
        <v>249.1</v>
      </c>
    </row>
    <row r="19" customFormat="false" ht="15" hidden="false" customHeight="true" outlineLevel="0" collapsed="false">
      <c r="A19" s="57" t="n">
        <v>45261</v>
      </c>
      <c r="B19" s="58" t="n">
        <v>612.47</v>
      </c>
      <c r="C19" s="58" t="n">
        <v>54.16</v>
      </c>
      <c r="D19" s="58" t="n">
        <v>692.2</v>
      </c>
      <c r="E19" s="58" t="n">
        <v>93</v>
      </c>
      <c r="F19" s="58" t="n">
        <v>58.76</v>
      </c>
      <c r="G19" s="58" t="n">
        <v>54.9</v>
      </c>
      <c r="H19" s="58" t="n">
        <v>75.93</v>
      </c>
      <c r="I19" s="58" t="n">
        <v>46.77</v>
      </c>
      <c r="J19" s="58" t="n">
        <v>118.26</v>
      </c>
      <c r="K19" s="58" t="n">
        <v>20.27</v>
      </c>
      <c r="L19" s="58" t="n">
        <v>98.55</v>
      </c>
      <c r="M19" s="58" t="n">
        <v>45.14</v>
      </c>
      <c r="N19" s="58" t="n">
        <v>351.16</v>
      </c>
      <c r="O19" s="58" t="n">
        <v>82.86</v>
      </c>
      <c r="P19" s="58"/>
      <c r="Q19" s="58" t="n">
        <v>53.48</v>
      </c>
      <c r="R19" s="58" t="n">
        <v>48.9</v>
      </c>
      <c r="S19" s="58" t="n">
        <v>61.89</v>
      </c>
      <c r="T19" s="58" t="n">
        <v>27.14</v>
      </c>
      <c r="U19" s="58"/>
      <c r="V19" s="59" t="n">
        <v>251.2</v>
      </c>
    </row>
    <row r="20" customFormat="false" ht="15" hidden="false" customHeight="true" outlineLevel="0" collapsed="false">
      <c r="A20" s="57" t="n">
        <v>45268</v>
      </c>
      <c r="B20" s="58" t="n">
        <v>610.01</v>
      </c>
      <c r="C20" s="58" t="n">
        <v>56.01</v>
      </c>
      <c r="D20" s="58" t="n">
        <v>696.43</v>
      </c>
      <c r="E20" s="58" t="n">
        <v>94.43</v>
      </c>
      <c r="F20" s="58" t="n">
        <v>60.64</v>
      </c>
      <c r="G20" s="58" t="n">
        <v>53.44</v>
      </c>
      <c r="H20" s="58" t="n">
        <v>74.96</v>
      </c>
      <c r="I20" s="58" t="n">
        <v>47.51</v>
      </c>
      <c r="J20" s="58" t="n">
        <v>119.85</v>
      </c>
      <c r="K20" s="58" t="n">
        <v>17.77</v>
      </c>
      <c r="L20" s="58" t="n">
        <v>100.35</v>
      </c>
      <c r="M20" s="58" t="n">
        <v>47.14</v>
      </c>
      <c r="N20" s="58" t="n">
        <v>350.15</v>
      </c>
      <c r="O20" s="58" t="n">
        <v>83.55</v>
      </c>
      <c r="P20" s="58"/>
      <c r="Q20" s="58" t="n">
        <v>53.82</v>
      </c>
      <c r="R20" s="58" t="n">
        <v>49.26</v>
      </c>
      <c r="S20" s="58" t="n">
        <v>62.12</v>
      </c>
      <c r="T20" s="58" t="n">
        <v>27.38</v>
      </c>
      <c r="U20" s="58"/>
      <c r="V20" s="59" t="n">
        <v>250.51</v>
      </c>
    </row>
    <row r="21" customFormat="false" ht="15" hidden="false" customHeight="true" outlineLevel="0" collapsed="false">
      <c r="A21" s="57" t="n">
        <v>45275</v>
      </c>
      <c r="B21" s="58" t="n">
        <v>584.68</v>
      </c>
      <c r="C21" s="58" t="n">
        <v>58.9</v>
      </c>
      <c r="D21" s="58" t="n">
        <v>752.96</v>
      </c>
      <c r="E21" s="58" t="n">
        <v>112.97</v>
      </c>
      <c r="F21" s="58" t="n">
        <v>65.02</v>
      </c>
      <c r="G21" s="58" t="n">
        <v>58.51</v>
      </c>
      <c r="H21" s="58" t="n">
        <v>81.41</v>
      </c>
      <c r="I21" s="58" t="n">
        <v>48.89</v>
      </c>
      <c r="J21" s="58" t="n">
        <v>134.26</v>
      </c>
      <c r="K21" s="58" t="n">
        <v>18.2</v>
      </c>
      <c r="L21" s="58" t="n">
        <v>102.54</v>
      </c>
      <c r="M21" s="58" t="n">
        <v>47.73</v>
      </c>
      <c r="N21" s="58" t="n">
        <v>410.68</v>
      </c>
      <c r="O21" s="58" t="n">
        <v>88.13</v>
      </c>
      <c r="P21" s="58"/>
      <c r="Q21" s="58" t="n">
        <v>54.58</v>
      </c>
      <c r="R21" s="58" t="n">
        <v>50</v>
      </c>
      <c r="S21" s="58" t="n">
        <v>64.24</v>
      </c>
      <c r="T21" s="58" t="n">
        <v>28.14</v>
      </c>
      <c r="U21" s="58"/>
      <c r="V21" s="59" t="n">
        <v>252.75</v>
      </c>
    </row>
    <row r="22" customFormat="false" ht="15" hidden="false" customHeight="true" outlineLevel="0" collapsed="false">
      <c r="A22" s="57" t="n">
        <v>45282</v>
      </c>
      <c r="B22" s="58" t="n">
        <v>598.75</v>
      </c>
      <c r="C22" s="58" t="n">
        <v>59.57</v>
      </c>
      <c r="D22" s="58" t="n">
        <v>752.53</v>
      </c>
      <c r="E22" s="58" t="n">
        <v>112.2</v>
      </c>
      <c r="F22" s="58" t="n">
        <v>63.91</v>
      </c>
      <c r="G22" s="58" t="n">
        <v>58.27</v>
      </c>
      <c r="H22" s="58" t="n">
        <v>86.49</v>
      </c>
      <c r="I22" s="58" t="n">
        <v>48.83</v>
      </c>
      <c r="J22" s="58" t="n">
        <v>132.4</v>
      </c>
      <c r="K22" s="58" t="n">
        <v>17.41</v>
      </c>
      <c r="L22" s="58" t="n">
        <v>103.15</v>
      </c>
      <c r="M22" s="58" t="n">
        <v>48.78</v>
      </c>
      <c r="N22" s="58" t="n">
        <v>405.25</v>
      </c>
      <c r="O22" s="58" t="n">
        <v>90.13</v>
      </c>
      <c r="P22" s="58"/>
      <c r="Q22" s="58" t="n">
        <v>54.82</v>
      </c>
      <c r="R22" s="58" t="n">
        <v>50.16</v>
      </c>
      <c r="S22" s="58" t="n">
        <v>65.04</v>
      </c>
      <c r="T22" s="58" t="n">
        <v>28.41</v>
      </c>
      <c r="U22" s="58"/>
      <c r="V22" s="59" t="n">
        <v>253.14</v>
      </c>
    </row>
    <row r="23" customFormat="false" ht="15" hidden="false" customHeight="true" outlineLevel="0" collapsed="false">
      <c r="A23" s="57" t="n">
        <v>45289</v>
      </c>
      <c r="B23" s="58" t="n">
        <v>596.6</v>
      </c>
      <c r="C23" s="58" t="n">
        <v>58.88</v>
      </c>
      <c r="D23" s="58" t="n">
        <v>756.92</v>
      </c>
      <c r="E23" s="58" t="n">
        <v>111.63</v>
      </c>
      <c r="F23" s="58" t="n">
        <v>63.83</v>
      </c>
      <c r="G23" s="58" t="n">
        <v>58.13</v>
      </c>
      <c r="H23" s="58" t="n">
        <v>85.34</v>
      </c>
      <c r="I23" s="58" t="n">
        <v>49.52</v>
      </c>
      <c r="J23" s="58" t="n">
        <v>133.3</v>
      </c>
      <c r="K23" s="58" t="n">
        <v>17.17</v>
      </c>
      <c r="L23" s="58" t="n">
        <v>104</v>
      </c>
      <c r="M23" s="58" t="n">
        <v>48.03</v>
      </c>
      <c r="N23" s="58" t="n">
        <v>406.89</v>
      </c>
      <c r="O23" s="58" t="n">
        <v>89.8</v>
      </c>
      <c r="P23" s="58"/>
      <c r="Q23" s="58" t="n">
        <v>54.52</v>
      </c>
      <c r="R23" s="58" t="n">
        <v>49.93</v>
      </c>
      <c r="S23" s="58" t="n">
        <v>65.5</v>
      </c>
      <c r="T23" s="58" t="n">
        <v>28.34</v>
      </c>
      <c r="U23" s="58"/>
      <c r="V23" s="59" t="n">
        <v>255.02</v>
      </c>
    </row>
    <row r="24" customFormat="false" ht="15" hidden="false" customHeight="true" outlineLevel="0" collapsed="false">
      <c r="A24" s="57" t="n">
        <v>45296</v>
      </c>
      <c r="B24" s="58" t="n">
        <v>564.6</v>
      </c>
      <c r="C24" s="58" t="n">
        <v>57.73</v>
      </c>
      <c r="D24" s="58" t="n">
        <v>703.34</v>
      </c>
      <c r="E24" s="58" t="n">
        <v>104.93</v>
      </c>
      <c r="F24" s="58" t="n">
        <v>61.87</v>
      </c>
      <c r="G24" s="58" t="n">
        <v>54.43</v>
      </c>
      <c r="H24" s="58" t="n">
        <v>83.45</v>
      </c>
      <c r="I24" s="58" t="n">
        <v>49.1</v>
      </c>
      <c r="J24" s="58" t="n">
        <v>130.56</v>
      </c>
      <c r="K24" s="58" t="n">
        <v>15.98</v>
      </c>
      <c r="L24" s="58" t="n">
        <v>99.61</v>
      </c>
      <c r="M24" s="58" t="n">
        <v>46.31</v>
      </c>
      <c r="N24" s="58" t="n">
        <v>416.5</v>
      </c>
      <c r="O24" s="58" t="n">
        <v>87.47</v>
      </c>
      <c r="P24" s="58"/>
      <c r="Q24" s="58" t="n">
        <v>54.93</v>
      </c>
      <c r="R24" s="58" t="n">
        <v>49.15</v>
      </c>
      <c r="S24" s="58" t="n">
        <v>64.82</v>
      </c>
      <c r="T24" s="58" t="n">
        <v>28.37</v>
      </c>
      <c r="U24" s="58"/>
      <c r="V24" s="59" t="n">
        <v>254.37</v>
      </c>
    </row>
    <row r="25" customFormat="false" ht="15" hidden="false" customHeight="true" outlineLevel="0" collapsed="false">
      <c r="A25" s="57" t="n">
        <v>45303</v>
      </c>
      <c r="B25" s="58" t="n">
        <v>596.54</v>
      </c>
      <c r="C25" s="58" t="n">
        <v>63.01</v>
      </c>
      <c r="D25" s="58" t="n">
        <v>713.22</v>
      </c>
      <c r="E25" s="58" t="n">
        <v>110.77</v>
      </c>
      <c r="F25" s="58" t="n">
        <v>70.84</v>
      </c>
      <c r="G25" s="58" t="n">
        <v>56.06</v>
      </c>
      <c r="H25" s="58" t="n">
        <v>82.39</v>
      </c>
      <c r="I25" s="58" t="n">
        <v>54.71</v>
      </c>
      <c r="J25" s="58" t="n">
        <v>131.55</v>
      </c>
      <c r="K25" s="58" t="n">
        <v>16.76</v>
      </c>
      <c r="L25" s="58" t="n">
        <v>101.24</v>
      </c>
      <c r="M25" s="58" t="n">
        <v>49.52</v>
      </c>
      <c r="N25" s="58" t="n">
        <v>433.4</v>
      </c>
      <c r="O25" s="58" t="n">
        <v>86.48</v>
      </c>
      <c r="P25" s="58"/>
      <c r="Q25" s="58" t="n">
        <v>55.27</v>
      </c>
      <c r="R25" s="58" t="n">
        <v>50.49</v>
      </c>
      <c r="S25" s="58" t="n">
        <v>66.84</v>
      </c>
      <c r="T25" s="58" t="n">
        <v>28.29</v>
      </c>
      <c r="U25" s="58"/>
      <c r="V25" s="59" t="n">
        <v>258.76</v>
      </c>
    </row>
    <row r="26" customFormat="false" ht="15" hidden="false" customHeight="true" outlineLevel="0" collapsed="false">
      <c r="A26" s="57" t="n">
        <v>45310</v>
      </c>
      <c r="B26" s="58" t="n">
        <v>611.55</v>
      </c>
      <c r="C26" s="58" t="n">
        <v>65.88</v>
      </c>
      <c r="D26" s="58" t="n">
        <v>757.83</v>
      </c>
      <c r="E26" s="58" t="n">
        <v>121.12</v>
      </c>
      <c r="F26" s="58" t="n">
        <v>72.64</v>
      </c>
      <c r="G26" s="58" t="n">
        <v>61.3</v>
      </c>
      <c r="H26" s="58" t="n">
        <v>87.51</v>
      </c>
      <c r="I26" s="58" t="n">
        <v>59.49</v>
      </c>
      <c r="J26" s="58" t="n">
        <v>128.44</v>
      </c>
      <c r="K26" s="58" t="n">
        <v>16.78</v>
      </c>
      <c r="L26" s="58" t="n">
        <v>114.2</v>
      </c>
      <c r="M26" s="58" t="n">
        <v>53.67</v>
      </c>
      <c r="N26" s="58" t="n">
        <v>435.02</v>
      </c>
      <c r="O26" s="58" t="n">
        <v>86.74</v>
      </c>
      <c r="P26" s="58"/>
      <c r="Q26" s="58" t="n">
        <v>55.31</v>
      </c>
      <c r="R26" s="58" t="n">
        <v>51.39</v>
      </c>
      <c r="S26" s="58" t="n">
        <v>68.25</v>
      </c>
      <c r="T26" s="58" t="n">
        <v>28.02</v>
      </c>
      <c r="U26" s="58"/>
      <c r="V26" s="59" t="n">
        <v>265.36</v>
      </c>
    </row>
    <row r="27" customFormat="false" ht="15" hidden="false" customHeight="true" outlineLevel="0" collapsed="false">
      <c r="A27" s="57" t="n">
        <v>45317</v>
      </c>
      <c r="B27" s="58" t="n">
        <v>613.93</v>
      </c>
      <c r="C27" s="58" t="n">
        <v>66.1</v>
      </c>
      <c r="D27" s="58" t="n">
        <v>867.75</v>
      </c>
      <c r="E27" s="58" t="n">
        <v>120.49</v>
      </c>
      <c r="F27" s="58" t="n">
        <v>72.58</v>
      </c>
      <c r="G27" s="58" t="n">
        <v>59.94</v>
      </c>
      <c r="H27" s="58" t="n">
        <v>88.05</v>
      </c>
      <c r="I27" s="58" t="n">
        <v>61.03</v>
      </c>
      <c r="J27" s="58" t="n">
        <v>126.87</v>
      </c>
      <c r="K27" s="58" t="n">
        <v>16.35</v>
      </c>
      <c r="L27" s="58" t="n">
        <v>117.26</v>
      </c>
      <c r="M27" s="58" t="n">
        <v>53.46</v>
      </c>
      <c r="N27" s="58" t="n">
        <v>430.17</v>
      </c>
      <c r="O27" s="58" t="n">
        <v>88.78</v>
      </c>
      <c r="P27" s="58"/>
      <c r="Q27" s="58" t="n">
        <v>55.32</v>
      </c>
      <c r="R27" s="58" t="n">
        <v>51.79</v>
      </c>
      <c r="S27" s="58" t="n">
        <v>69.35</v>
      </c>
      <c r="T27" s="58" t="n">
        <v>28.25</v>
      </c>
      <c r="U27" s="58"/>
      <c r="V27" s="59" t="n">
        <v>262.46</v>
      </c>
    </row>
    <row r="28" customFormat="false" ht="15" hidden="false" customHeight="true" outlineLevel="0" collapsed="false">
      <c r="A28" s="57" t="n">
        <v>45324</v>
      </c>
      <c r="B28" s="58" t="n">
        <v>634.76</v>
      </c>
      <c r="C28" s="58" t="n">
        <v>68.28</v>
      </c>
      <c r="D28" s="58" t="n">
        <v>890.66</v>
      </c>
      <c r="E28" s="58" t="n">
        <v>122.43</v>
      </c>
      <c r="F28" s="58" t="n">
        <v>75.89</v>
      </c>
      <c r="G28" s="58" t="n">
        <v>60.43</v>
      </c>
      <c r="H28" s="58" t="n">
        <v>86.48</v>
      </c>
      <c r="I28" s="58" t="n">
        <v>66.16</v>
      </c>
      <c r="J28" s="58" t="n">
        <v>129.25</v>
      </c>
      <c r="K28" s="58" t="n">
        <v>17.02</v>
      </c>
      <c r="L28" s="58" t="n">
        <v>115.75</v>
      </c>
      <c r="M28" s="58" t="n">
        <v>61.47</v>
      </c>
      <c r="N28" s="58" t="n">
        <v>424.68</v>
      </c>
      <c r="O28" s="58" t="n">
        <v>87.12</v>
      </c>
      <c r="P28" s="58"/>
      <c r="Q28" s="58" t="n">
        <v>55.93</v>
      </c>
      <c r="R28" s="58" t="n">
        <v>51.94</v>
      </c>
      <c r="S28" s="58" t="n">
        <v>72.52</v>
      </c>
      <c r="T28" s="58" t="n">
        <v>28.52</v>
      </c>
      <c r="U28" s="58"/>
      <c r="V28" s="59" t="n">
        <v>271.51</v>
      </c>
    </row>
    <row r="29" customFormat="false" ht="15" hidden="false" customHeight="true" outlineLevel="0" collapsed="false">
      <c r="A29" s="57" t="n">
        <v>45331</v>
      </c>
      <c r="B29" s="58" t="n">
        <v>627.21</v>
      </c>
      <c r="C29" s="58" t="n">
        <v>70.61</v>
      </c>
      <c r="D29" s="58" t="n">
        <v>949.6</v>
      </c>
      <c r="E29" s="58" t="n">
        <v>128.34</v>
      </c>
      <c r="F29" s="58" t="n">
        <v>82.34</v>
      </c>
      <c r="G29" s="58" t="n">
        <v>64.98</v>
      </c>
      <c r="H29" s="58" t="n">
        <v>85.56</v>
      </c>
      <c r="I29" s="58" t="n">
        <v>72.13</v>
      </c>
      <c r="J29" s="58" t="n">
        <v>132.48</v>
      </c>
      <c r="K29" s="58" t="n">
        <v>24.38</v>
      </c>
      <c r="L29" s="58" t="n">
        <v>133.11</v>
      </c>
      <c r="M29" s="58" t="n">
        <v>63.52</v>
      </c>
      <c r="N29" s="58" t="n">
        <v>422.91</v>
      </c>
      <c r="O29" s="58" t="n">
        <v>87.91</v>
      </c>
      <c r="P29" s="58"/>
      <c r="Q29" s="58" t="n">
        <v>55.97</v>
      </c>
      <c r="R29" s="58" t="n">
        <v>52.49</v>
      </c>
      <c r="S29" s="58" t="n">
        <v>74.25</v>
      </c>
      <c r="T29" s="58" t="n">
        <v>28.63</v>
      </c>
      <c r="U29" s="58"/>
      <c r="V29" s="59" t="n">
        <v>271.28</v>
      </c>
    </row>
    <row r="30" customFormat="false" ht="15" hidden="false" customHeight="true" outlineLevel="0" collapsed="false">
      <c r="A30" s="57" t="n">
        <v>45338</v>
      </c>
      <c r="B30" s="58" t="n">
        <v>546.66</v>
      </c>
      <c r="C30" s="58" t="n">
        <v>65.44</v>
      </c>
      <c r="D30" s="58" t="n">
        <v>928.94</v>
      </c>
      <c r="E30" s="58" t="n">
        <v>124.55</v>
      </c>
      <c r="F30" s="58" t="n">
        <v>82.31</v>
      </c>
      <c r="G30" s="58" t="n">
        <v>66.14</v>
      </c>
      <c r="H30" s="58" t="n">
        <v>79.5</v>
      </c>
      <c r="I30" s="58" t="n">
        <v>72.61</v>
      </c>
      <c r="J30" s="58" t="n">
        <v>133.39</v>
      </c>
      <c r="K30" s="58" t="n">
        <v>24.44</v>
      </c>
      <c r="L30" s="58" t="n">
        <v>126.69</v>
      </c>
      <c r="M30" s="58" t="n">
        <v>62.97</v>
      </c>
      <c r="N30" s="58" t="n">
        <v>422.2</v>
      </c>
      <c r="O30" s="58" t="n">
        <v>88.53</v>
      </c>
      <c r="P30" s="58"/>
      <c r="Q30" s="58" t="n">
        <v>55.76</v>
      </c>
      <c r="R30" s="58" t="n">
        <v>52.32</v>
      </c>
      <c r="S30" s="58" t="n">
        <v>74.87</v>
      </c>
      <c r="T30" s="58" t="n">
        <v>28.87</v>
      </c>
      <c r="U30" s="58"/>
      <c r="V30" s="59" t="n">
        <v>273.37</v>
      </c>
    </row>
    <row r="31" customFormat="false" ht="15" hidden="false" customHeight="true" outlineLevel="0" collapsed="false">
      <c r="A31" s="57" t="n">
        <v>45345</v>
      </c>
      <c r="B31" s="58" t="n">
        <v>553.44</v>
      </c>
      <c r="C31" s="58" t="n">
        <v>66.92</v>
      </c>
      <c r="D31" s="58" t="n">
        <v>933.25</v>
      </c>
      <c r="E31" s="58" t="n">
        <v>129.64</v>
      </c>
      <c r="F31" s="58" t="n">
        <v>77.87</v>
      </c>
      <c r="G31" s="58" t="n">
        <v>66.88</v>
      </c>
      <c r="H31" s="58" t="n">
        <v>86</v>
      </c>
      <c r="I31" s="58" t="n">
        <v>78.82</v>
      </c>
      <c r="J31" s="58" t="n">
        <v>133.21</v>
      </c>
      <c r="K31" s="58" t="n">
        <v>22.97</v>
      </c>
      <c r="L31" s="58" t="n">
        <v>129.53</v>
      </c>
      <c r="M31" s="58" t="n">
        <v>62.7</v>
      </c>
      <c r="N31" s="58" t="n">
        <v>430.11</v>
      </c>
      <c r="O31" s="58" t="n">
        <v>88.24</v>
      </c>
      <c r="P31" s="58"/>
      <c r="Q31" s="58" t="n">
        <v>55.41</v>
      </c>
      <c r="R31" s="58" t="n">
        <v>52.98</v>
      </c>
      <c r="S31" s="58" t="n">
        <v>76.55</v>
      </c>
      <c r="T31" s="58" t="n">
        <v>29.5</v>
      </c>
      <c r="U31" s="58"/>
      <c r="V31" s="59" t="n">
        <v>278.31</v>
      </c>
    </row>
    <row r="32" customFormat="false" ht="15" hidden="false" customHeight="true" outlineLevel="0" collapsed="false">
      <c r="A32" s="57" t="n">
        <v>45352</v>
      </c>
      <c r="B32" s="58" t="n">
        <v>570.93</v>
      </c>
      <c r="C32" s="58" t="n">
        <v>71.94</v>
      </c>
      <c r="D32" s="58" t="n">
        <v>990.94</v>
      </c>
      <c r="E32" s="58" t="n">
        <v>139.92</v>
      </c>
      <c r="F32" s="58" t="n">
        <v>78.65</v>
      </c>
      <c r="G32" s="58" t="n">
        <v>71.76</v>
      </c>
      <c r="H32" s="58" t="n">
        <v>95.15</v>
      </c>
      <c r="I32" s="58" t="n">
        <v>82.28</v>
      </c>
      <c r="J32" s="58" t="n">
        <v>134.6</v>
      </c>
      <c r="K32" s="58" t="n">
        <v>24.93</v>
      </c>
      <c r="L32" s="58" t="n">
        <v>133.9</v>
      </c>
      <c r="M32" s="58" t="n">
        <v>70.57</v>
      </c>
      <c r="N32" s="58" t="n">
        <v>432.76</v>
      </c>
      <c r="O32" s="58" t="n">
        <v>89.63</v>
      </c>
      <c r="P32" s="58"/>
      <c r="Q32" s="58" t="n">
        <v>54.33</v>
      </c>
      <c r="R32" s="58" t="n">
        <v>53.26</v>
      </c>
      <c r="S32" s="58" t="n">
        <v>78.7</v>
      </c>
      <c r="T32" s="58" t="n">
        <v>30.15</v>
      </c>
      <c r="U32" s="58"/>
      <c r="V32" s="59" t="n">
        <v>277.88</v>
      </c>
    </row>
    <row r="33" customFormat="false" ht="15" hidden="false" customHeight="true" outlineLevel="0" collapsed="false">
      <c r="A33" s="57" t="n">
        <v>45359</v>
      </c>
      <c r="B33" s="58" t="n">
        <v>551.69</v>
      </c>
      <c r="C33" s="58" t="n">
        <v>68.28</v>
      </c>
      <c r="D33" s="58" t="n">
        <v>994.33</v>
      </c>
      <c r="E33" s="58" t="n">
        <v>130.87</v>
      </c>
      <c r="F33" s="58" t="n">
        <v>80.71</v>
      </c>
      <c r="G33" s="58" t="n">
        <v>69.92</v>
      </c>
      <c r="H33" s="58" t="n">
        <v>97.62</v>
      </c>
      <c r="I33" s="58" t="n">
        <v>87.53</v>
      </c>
      <c r="J33" s="58" t="n">
        <v>135.07</v>
      </c>
      <c r="K33" s="58" t="n">
        <v>26.04</v>
      </c>
      <c r="L33" s="58" t="n">
        <v>146.37</v>
      </c>
      <c r="M33" s="58" t="n">
        <v>69.37</v>
      </c>
      <c r="N33" s="58" t="n">
        <v>413.59</v>
      </c>
      <c r="O33" s="58" t="n">
        <v>89.73</v>
      </c>
      <c r="P33" s="58"/>
      <c r="Q33" s="58" t="n">
        <v>55.45</v>
      </c>
      <c r="R33" s="58" t="n">
        <v>53.19</v>
      </c>
      <c r="S33" s="58" t="n">
        <v>79</v>
      </c>
      <c r="T33" s="58" t="n">
        <v>30.74</v>
      </c>
      <c r="U33" s="58"/>
      <c r="V33" s="59" t="n">
        <v>274.82</v>
      </c>
    </row>
    <row r="34" customFormat="false" ht="15" hidden="false" customHeight="true" outlineLevel="0" collapsed="false">
      <c r="A34" s="57" t="n">
        <v>45366</v>
      </c>
      <c r="B34" s="58" t="n">
        <v>492.46</v>
      </c>
      <c r="C34" s="58" t="n">
        <v>69.43</v>
      </c>
      <c r="D34" s="58" t="n">
        <v>940.21</v>
      </c>
      <c r="E34" s="58" t="n">
        <v>123.55</v>
      </c>
      <c r="F34" s="58" t="n">
        <v>78.91</v>
      </c>
      <c r="G34" s="58" t="n">
        <v>68.39</v>
      </c>
      <c r="H34" s="58" t="n">
        <v>93.25</v>
      </c>
      <c r="I34" s="58" t="n">
        <v>87.84</v>
      </c>
      <c r="J34" s="58" t="n">
        <v>129.02</v>
      </c>
      <c r="K34" s="58" t="n">
        <v>23.49</v>
      </c>
      <c r="L34" s="58" t="n">
        <v>136.98</v>
      </c>
      <c r="M34" s="58" t="n">
        <v>74.16</v>
      </c>
      <c r="N34" s="58" t="n">
        <v>407.69</v>
      </c>
      <c r="O34" s="58" t="n">
        <v>88.97</v>
      </c>
      <c r="P34" s="58"/>
      <c r="Q34" s="58" t="n">
        <v>55.68</v>
      </c>
      <c r="R34" s="58" t="n">
        <v>52.91</v>
      </c>
      <c r="S34" s="58" t="n">
        <v>78.59</v>
      </c>
      <c r="T34" s="58" t="n">
        <v>31.16</v>
      </c>
      <c r="U34" s="58"/>
      <c r="V34" s="59" t="n">
        <v>277.76</v>
      </c>
    </row>
    <row r="35" customFormat="false" ht="15" hidden="false" customHeight="true" outlineLevel="0" collapsed="false">
      <c r="A35" s="57" t="n">
        <v>45373</v>
      </c>
      <c r="B35" s="58" t="n">
        <v>499.52</v>
      </c>
      <c r="C35" s="58" t="n">
        <v>76.61</v>
      </c>
      <c r="D35" s="58" t="n">
        <v>979.96</v>
      </c>
      <c r="E35" s="58" t="n">
        <v>135.35</v>
      </c>
      <c r="F35" s="58" t="n">
        <v>81.9</v>
      </c>
      <c r="G35" s="58" t="n">
        <v>71.06</v>
      </c>
      <c r="H35" s="58" t="n">
        <v>110.21</v>
      </c>
      <c r="I35" s="58" t="n">
        <v>94.29</v>
      </c>
      <c r="J35" s="58" t="n">
        <v>128.62</v>
      </c>
      <c r="K35" s="58" t="n">
        <v>24.18</v>
      </c>
      <c r="L35" s="58" t="n">
        <v>140.54</v>
      </c>
      <c r="M35" s="58" t="n">
        <v>82.5</v>
      </c>
      <c r="N35" s="58" t="n">
        <v>415.66</v>
      </c>
      <c r="O35" s="58" t="n">
        <v>91.1</v>
      </c>
      <c r="P35" s="58"/>
      <c r="Q35" s="58" t="n">
        <v>56.54</v>
      </c>
      <c r="R35" s="58" t="n">
        <v>54.26</v>
      </c>
      <c r="S35" s="58" t="n">
        <v>80.83</v>
      </c>
      <c r="T35" s="58" t="n">
        <v>31.91</v>
      </c>
      <c r="U35" s="58"/>
      <c r="V35" s="59" t="n">
        <v>277.98</v>
      </c>
    </row>
    <row r="36" customFormat="false" ht="15" hidden="false" customHeight="true" outlineLevel="0" collapsed="false">
      <c r="A36" s="57" t="n">
        <v>45379</v>
      </c>
      <c r="B36" s="58" t="n">
        <v>504.6</v>
      </c>
      <c r="C36" s="58" t="n">
        <v>72.5</v>
      </c>
      <c r="D36" s="58" t="n">
        <v>970.47</v>
      </c>
      <c r="E36" s="58" t="n">
        <v>132.54</v>
      </c>
      <c r="F36" s="58" t="n">
        <v>80.15</v>
      </c>
      <c r="G36" s="58" t="n">
        <v>69.86</v>
      </c>
      <c r="H36" s="58" t="n">
        <v>117.89</v>
      </c>
      <c r="I36" s="58" t="n">
        <v>90.36</v>
      </c>
      <c r="J36" s="58" t="n">
        <v>130.22</v>
      </c>
      <c r="K36" s="58" t="n">
        <v>23.01</v>
      </c>
      <c r="L36" s="58" t="n">
        <v>136.05</v>
      </c>
      <c r="M36" s="58" t="n">
        <v>81.67</v>
      </c>
      <c r="N36" s="58" t="n">
        <v>418.01</v>
      </c>
      <c r="O36" s="58" t="n">
        <v>93.71</v>
      </c>
      <c r="P36" s="58"/>
      <c r="Q36" s="58" t="n">
        <v>57.15</v>
      </c>
      <c r="R36" s="58" t="n">
        <v>54.24</v>
      </c>
      <c r="S36" s="58" t="n">
        <v>80.22</v>
      </c>
      <c r="T36" s="58" t="n">
        <v>32.41</v>
      </c>
      <c r="U36" s="58"/>
    </row>
    <row r="37" customFormat="false" ht="15" hidden="false" customHeight="true" outlineLevel="0" collapsed="false">
      <c r="A37" s="57" t="n">
        <v>45387</v>
      </c>
      <c r="B37" s="58" t="n">
        <v>485.12</v>
      </c>
      <c r="C37" s="58" t="n">
        <v>74.4</v>
      </c>
      <c r="D37" s="58" t="n">
        <v>979.55</v>
      </c>
      <c r="E37" s="58" t="n">
        <v>133.94</v>
      </c>
      <c r="F37" s="58" t="n">
        <v>78.88</v>
      </c>
      <c r="G37" s="58" t="n">
        <v>68.28</v>
      </c>
      <c r="H37" s="58" t="n">
        <v>123.58</v>
      </c>
      <c r="I37" s="58" t="n">
        <v>88.01</v>
      </c>
      <c r="J37" s="58" t="n">
        <v>124.74</v>
      </c>
      <c r="K37" s="58" t="n">
        <v>22.96</v>
      </c>
      <c r="L37" s="58" t="n">
        <v>141.36</v>
      </c>
      <c r="M37" s="58" t="n">
        <v>85.34</v>
      </c>
      <c r="N37" s="58" t="n">
        <v>406.67</v>
      </c>
      <c r="O37" s="58" t="n">
        <v>91.69</v>
      </c>
      <c r="P37" s="58"/>
      <c r="Q37" s="58" t="n">
        <v>57.21</v>
      </c>
      <c r="R37" s="58" t="n">
        <v>53.59</v>
      </c>
      <c r="S37" s="58" t="n">
        <v>80.45</v>
      </c>
      <c r="T37" s="58" t="n">
        <v>32.33</v>
      </c>
      <c r="U37" s="58"/>
      <c r="V37" s="59" t="n">
        <v>271.97</v>
      </c>
    </row>
    <row r="38" customFormat="false" ht="15" hidden="false" customHeight="true" outlineLevel="0" collapsed="false">
      <c r="A38" s="57" t="n">
        <v>45394</v>
      </c>
      <c r="B38" s="58" t="n">
        <v>474.09</v>
      </c>
      <c r="C38" s="58" t="n">
        <v>67.81</v>
      </c>
      <c r="D38" s="58" t="n">
        <v>961.84</v>
      </c>
      <c r="E38" s="58" t="n">
        <v>134.41</v>
      </c>
      <c r="F38" s="58" t="n">
        <v>77.26</v>
      </c>
      <c r="G38" s="58" t="n">
        <v>68.08</v>
      </c>
      <c r="H38" s="58" t="n">
        <v>122.52</v>
      </c>
      <c r="I38" s="58" t="n">
        <v>88.19</v>
      </c>
      <c r="J38" s="58" t="n">
        <v>119</v>
      </c>
      <c r="K38" s="58" t="n">
        <v>22.67</v>
      </c>
      <c r="L38" s="58" t="n">
        <v>142.52</v>
      </c>
      <c r="M38" s="58" t="n">
        <v>83.89</v>
      </c>
      <c r="N38" s="58" t="n">
        <v>396.55</v>
      </c>
      <c r="O38" s="58" t="n">
        <v>88.86</v>
      </c>
      <c r="P38" s="58"/>
      <c r="Q38" s="58" t="n">
        <v>57.06</v>
      </c>
      <c r="R38" s="58" t="n">
        <v>53.4</v>
      </c>
      <c r="S38" s="58" t="n">
        <v>79.32</v>
      </c>
      <c r="T38" s="58" t="n">
        <v>31.49</v>
      </c>
      <c r="U38" s="58"/>
      <c r="V38" s="59" t="n">
        <v>270.82</v>
      </c>
    </row>
    <row r="39" customFormat="false" ht="15" hidden="false" customHeight="true" outlineLevel="0" collapsed="false">
      <c r="A39" s="57" t="n">
        <v>45401</v>
      </c>
      <c r="B39" s="58" t="n">
        <v>465.02</v>
      </c>
      <c r="C39" s="58" t="n">
        <v>61.52</v>
      </c>
      <c r="D39" s="58" t="n">
        <v>859.54</v>
      </c>
      <c r="E39" s="58" t="n">
        <v>120.47</v>
      </c>
      <c r="F39" s="58" t="n">
        <v>70.66</v>
      </c>
      <c r="G39" s="58" t="n">
        <v>62.82</v>
      </c>
      <c r="H39" s="58" t="n">
        <v>106.77</v>
      </c>
      <c r="I39" s="58" t="n">
        <v>76.2</v>
      </c>
      <c r="J39" s="58" t="n">
        <v>103.49</v>
      </c>
      <c r="K39" s="58" t="n">
        <v>20.47</v>
      </c>
      <c r="L39" s="58" t="n">
        <v>127.7</v>
      </c>
      <c r="M39" s="58" t="n">
        <v>75.01</v>
      </c>
      <c r="N39" s="58" t="n">
        <v>394.28</v>
      </c>
      <c r="O39" s="58" t="n">
        <v>88.06</v>
      </c>
      <c r="P39" s="58"/>
      <c r="Q39" s="58" t="n">
        <v>57.69</v>
      </c>
      <c r="R39" s="58" t="n">
        <v>50.84</v>
      </c>
      <c r="S39" s="58" t="n">
        <v>74.81</v>
      </c>
      <c r="T39" s="58" t="n">
        <v>30.93</v>
      </c>
      <c r="U39" s="58"/>
      <c r="V39" s="59" t="n">
        <v>264.75</v>
      </c>
    </row>
    <row r="40" customFormat="false" ht="15" hidden="false" customHeight="true" outlineLevel="0" collapsed="false">
      <c r="A40" s="57" t="n">
        <v>45408</v>
      </c>
      <c r="B40" s="58" t="n">
        <v>477.56</v>
      </c>
      <c r="C40" s="58" t="n">
        <v>66.18</v>
      </c>
      <c r="D40" s="58" t="n">
        <v>918.97</v>
      </c>
      <c r="E40" s="58" t="n">
        <v>134.41</v>
      </c>
      <c r="F40" s="58" t="n">
        <v>76.02</v>
      </c>
      <c r="G40" s="58" t="n">
        <v>70.63</v>
      </c>
      <c r="H40" s="58" t="n">
        <v>114.84</v>
      </c>
      <c r="I40" s="58" t="n">
        <v>87.74</v>
      </c>
      <c r="J40" s="58" t="n">
        <v>104.06</v>
      </c>
      <c r="K40" s="58" t="n">
        <v>22.52</v>
      </c>
      <c r="L40" s="58" t="n">
        <v>138.3</v>
      </c>
      <c r="M40" s="58" t="n">
        <v>93.49</v>
      </c>
      <c r="N40" s="58" t="n">
        <v>397.48</v>
      </c>
      <c r="O40" s="58" t="n">
        <v>90.24</v>
      </c>
      <c r="P40" s="58"/>
      <c r="Q40" s="58" t="n">
        <v>58.21</v>
      </c>
      <c r="R40" s="58" t="n">
        <v>52.66</v>
      </c>
      <c r="S40" s="58" t="n">
        <v>77.06</v>
      </c>
      <c r="T40" s="58" t="n">
        <v>31.32</v>
      </c>
      <c r="U40" s="58"/>
      <c r="V40" s="59" t="n">
        <v>269.4</v>
      </c>
    </row>
    <row r="41" customFormat="false" ht="15" hidden="false" customHeight="true" outlineLevel="0" collapsed="false">
      <c r="A41" s="57" t="n">
        <v>45415</v>
      </c>
      <c r="B41" s="58" t="n">
        <v>486.18</v>
      </c>
      <c r="C41" s="58" t="n">
        <v>68.6</v>
      </c>
      <c r="D41" s="58" t="n">
        <v>901.63</v>
      </c>
      <c r="E41" s="58" t="n">
        <v>127.81</v>
      </c>
      <c r="F41" s="58" t="n">
        <v>77.55</v>
      </c>
      <c r="G41" s="58" t="n">
        <v>69.66</v>
      </c>
      <c r="H41" s="58" t="n">
        <v>114.7</v>
      </c>
      <c r="I41" s="58" t="n">
        <v>88.79</v>
      </c>
      <c r="J41" s="58" t="n">
        <v>105.89</v>
      </c>
      <c r="K41" s="58" t="n">
        <v>23.33</v>
      </c>
      <c r="L41" s="58" t="n">
        <v>141.56</v>
      </c>
      <c r="M41" s="58" t="n">
        <v>93.01</v>
      </c>
      <c r="N41" s="58" t="n">
        <v>401.08</v>
      </c>
      <c r="O41" s="58" t="n">
        <v>90.86</v>
      </c>
      <c r="P41" s="58"/>
      <c r="Q41" s="58" t="n">
        <v>58.4</v>
      </c>
      <c r="R41" s="58" t="n">
        <v>52.75</v>
      </c>
      <c r="S41" s="58" t="n">
        <v>77.82</v>
      </c>
      <c r="T41" s="58" t="n">
        <v>30.83</v>
      </c>
      <c r="U41" s="58"/>
      <c r="V41" s="59" t="n">
        <v>263.49</v>
      </c>
    </row>
    <row r="42" customFormat="false" ht="15" hidden="false" customHeight="true" outlineLevel="0" collapsed="false">
      <c r="A42" s="57" t="n">
        <v>45422</v>
      </c>
      <c r="B42" s="58" t="n">
        <v>482.29</v>
      </c>
      <c r="C42" s="58" t="n">
        <v>78.51</v>
      </c>
      <c r="D42" s="58" t="n">
        <v>930.29</v>
      </c>
      <c r="E42" s="58" t="n">
        <v>133.28</v>
      </c>
      <c r="F42" s="58" t="n">
        <v>80.19</v>
      </c>
      <c r="G42" s="58" t="n">
        <v>71.83</v>
      </c>
      <c r="H42" s="58" t="n">
        <v>121.24</v>
      </c>
      <c r="I42" s="58" t="n">
        <v>89.88</v>
      </c>
      <c r="J42" s="58" t="n">
        <v>107.49</v>
      </c>
      <c r="K42" s="58" t="n">
        <v>20.6</v>
      </c>
      <c r="L42" s="58" t="n">
        <v>149.26</v>
      </c>
      <c r="M42" s="58" t="n">
        <v>95.4</v>
      </c>
      <c r="N42" s="58" t="n">
        <v>422.78</v>
      </c>
      <c r="O42" s="58" t="n">
        <v>92.43</v>
      </c>
      <c r="P42" s="58"/>
      <c r="Q42" s="58" t="n">
        <v>58.56</v>
      </c>
      <c r="R42" s="58" t="n">
        <v>53.48</v>
      </c>
      <c r="S42" s="58" t="n">
        <v>79.55</v>
      </c>
      <c r="T42" s="58" t="n">
        <v>31.51</v>
      </c>
      <c r="U42" s="58"/>
      <c r="V42" s="59" t="n">
        <v>275.51</v>
      </c>
    </row>
    <row r="43" customFormat="false" ht="15" hidden="false" customHeight="true" outlineLevel="0" collapsed="false">
      <c r="A43" s="57" t="n">
        <v>45429</v>
      </c>
      <c r="B43" s="58" t="n">
        <v>483.43</v>
      </c>
      <c r="C43" s="58" t="n">
        <v>79.97</v>
      </c>
      <c r="D43" s="58" t="n">
        <v>924.97</v>
      </c>
      <c r="E43" s="58" t="n">
        <v>139.53</v>
      </c>
      <c r="F43" s="58" t="n">
        <v>86.48</v>
      </c>
      <c r="G43" s="58" t="n">
        <v>74.77</v>
      </c>
      <c r="H43" s="58" t="n">
        <v>125.29</v>
      </c>
      <c r="I43" s="58" t="n">
        <v>92.48</v>
      </c>
      <c r="J43" s="58" t="n">
        <v>111.5</v>
      </c>
      <c r="K43" s="58" t="n">
        <v>21.76</v>
      </c>
      <c r="L43" s="58" t="n">
        <v>151.68</v>
      </c>
      <c r="M43" s="58" t="n">
        <v>96.81</v>
      </c>
      <c r="N43" s="58" t="n">
        <v>445.21</v>
      </c>
      <c r="O43" s="58" t="n">
        <v>93.45</v>
      </c>
      <c r="P43" s="58"/>
      <c r="Q43" s="58" t="n">
        <v>58.98</v>
      </c>
      <c r="R43" s="58" t="n">
        <v>54.12</v>
      </c>
      <c r="S43" s="58" t="n">
        <v>80.75</v>
      </c>
      <c r="T43" s="58" t="n">
        <v>31.8</v>
      </c>
      <c r="U43" s="58"/>
      <c r="V43" s="59" t="n">
        <v>275.39</v>
      </c>
    </row>
    <row r="44" customFormat="false" ht="15" hidden="false" customHeight="true" outlineLevel="0" collapsed="false">
      <c r="A44" s="57" t="n">
        <v>45436</v>
      </c>
      <c r="B44" s="58" t="n">
        <v>475.43</v>
      </c>
      <c r="C44" s="58" t="n">
        <v>76.64</v>
      </c>
      <c r="D44" s="58" t="n">
        <v>956.22</v>
      </c>
      <c r="E44" s="58" t="n">
        <v>140.78</v>
      </c>
      <c r="F44" s="58" t="n">
        <v>87.87</v>
      </c>
      <c r="G44" s="58" t="n">
        <v>77.91</v>
      </c>
      <c r="H44" s="58" t="n">
        <v>129.49</v>
      </c>
      <c r="I44" s="58" t="n">
        <v>106.47</v>
      </c>
      <c r="J44" s="58" t="n">
        <v>104.75</v>
      </c>
      <c r="K44" s="58" t="n">
        <v>21.01</v>
      </c>
      <c r="L44" s="58" t="n">
        <v>160</v>
      </c>
      <c r="M44" s="58" t="n">
        <v>106.17</v>
      </c>
      <c r="N44" s="58" t="n">
        <v>456.95</v>
      </c>
      <c r="O44" s="58" t="n">
        <v>92.06</v>
      </c>
      <c r="P44" s="58"/>
      <c r="Q44" s="58" t="n">
        <v>59.18</v>
      </c>
      <c r="R44" s="58" t="n">
        <v>54.38</v>
      </c>
      <c r="S44" s="58" t="n">
        <v>82.32</v>
      </c>
      <c r="T44" s="58" t="n">
        <v>31.26</v>
      </c>
      <c r="U44" s="58"/>
      <c r="V44" s="59" t="n">
        <v>269.87</v>
      </c>
    </row>
    <row r="45" customFormat="false" ht="15" hidden="false" customHeight="true" outlineLevel="0" collapsed="false">
      <c r="A45" s="57" t="n">
        <v>45443</v>
      </c>
      <c r="B45" s="58" t="n">
        <v>444.76</v>
      </c>
      <c r="C45" s="58" t="n">
        <v>74.41</v>
      </c>
      <c r="D45" s="58" t="n">
        <v>960.35</v>
      </c>
      <c r="E45" s="58" t="n">
        <v>132.85</v>
      </c>
      <c r="F45" s="58" t="n">
        <v>78.42</v>
      </c>
      <c r="G45" s="58" t="n">
        <v>75.95</v>
      </c>
      <c r="H45" s="58" t="n">
        <v>125</v>
      </c>
      <c r="I45" s="58" t="n">
        <v>109.63</v>
      </c>
      <c r="J45" s="58" t="n">
        <v>110.49</v>
      </c>
      <c r="K45" s="58" t="n">
        <v>21.68</v>
      </c>
      <c r="L45" s="58" t="n">
        <v>151.04</v>
      </c>
      <c r="M45" s="58" t="n">
        <v>98.07</v>
      </c>
      <c r="N45" s="58" t="n">
        <v>455.34</v>
      </c>
      <c r="O45" s="58" t="n">
        <v>93.05</v>
      </c>
      <c r="P45" s="58"/>
      <c r="Q45" s="58" t="n">
        <v>58.79</v>
      </c>
      <c r="R45" s="58" t="n">
        <v>54.19</v>
      </c>
      <c r="S45" s="58" t="n">
        <v>81.42</v>
      </c>
      <c r="T45" s="58" t="n">
        <v>31.62</v>
      </c>
      <c r="U45" s="58"/>
      <c r="V45" s="59" t="n">
        <v>267.88</v>
      </c>
    </row>
    <row r="46" customFormat="false" ht="15" hidden="false" customHeight="true" outlineLevel="0" collapsed="false">
      <c r="A46" s="57" t="n">
        <v>45450</v>
      </c>
      <c r="B46" s="58" t="n">
        <v>465.43</v>
      </c>
      <c r="C46" s="58" t="n">
        <v>74.2</v>
      </c>
      <c r="D46" s="58" t="n">
        <v>1028.42</v>
      </c>
      <c r="E46" s="58" t="n">
        <v>140.66</v>
      </c>
      <c r="F46" s="58" t="n">
        <v>87.28</v>
      </c>
      <c r="G46" s="58" t="n">
        <v>76.9</v>
      </c>
      <c r="H46" s="58" t="n">
        <v>130.94</v>
      </c>
      <c r="I46" s="58" t="n">
        <v>120.89</v>
      </c>
      <c r="J46" s="58" t="n">
        <v>110.2</v>
      </c>
      <c r="K46" s="58" t="n">
        <v>23.31</v>
      </c>
      <c r="L46" s="58" t="n">
        <v>164.39</v>
      </c>
      <c r="M46" s="58" t="n">
        <v>87.68</v>
      </c>
      <c r="N46" s="58" t="n">
        <v>483.04</v>
      </c>
      <c r="O46" s="58" t="n">
        <v>89.88</v>
      </c>
      <c r="P46" s="58"/>
      <c r="Q46" s="58" t="n">
        <v>58.54</v>
      </c>
      <c r="R46" s="58" t="n">
        <v>54.49</v>
      </c>
      <c r="S46" s="58" t="n">
        <v>83.89</v>
      </c>
      <c r="T46" s="58" t="n">
        <v>30.95</v>
      </c>
      <c r="U46" s="58"/>
      <c r="V46" s="59" t="n">
        <v>273.98</v>
      </c>
    </row>
    <row r="47" customFormat="false" ht="15" hidden="false" customHeight="true" outlineLevel="0" collapsed="false">
      <c r="A47" s="57" t="n">
        <v>45457</v>
      </c>
      <c r="B47" s="58" t="n">
        <v>525.31</v>
      </c>
      <c r="C47" s="58" t="n">
        <v>82.13</v>
      </c>
      <c r="D47" s="58" t="n">
        <v>1027.9</v>
      </c>
      <c r="E47" s="58" t="n">
        <v>173.5</v>
      </c>
      <c r="F47" s="58" t="n">
        <v>96.36</v>
      </c>
      <c r="G47" s="58" t="n">
        <v>82.48</v>
      </c>
      <c r="H47" s="58" t="n">
        <v>141.36</v>
      </c>
      <c r="I47" s="58" t="n">
        <v>131.88</v>
      </c>
      <c r="J47" s="58" t="n">
        <v>112.29</v>
      </c>
      <c r="K47" s="58" t="n">
        <v>23.57</v>
      </c>
      <c r="L47" s="58" t="n">
        <v>172.51</v>
      </c>
      <c r="M47" s="58" t="n">
        <v>91.48</v>
      </c>
      <c r="N47" s="58" t="n">
        <v>480.73</v>
      </c>
      <c r="O47" s="58" t="n">
        <v>87.73</v>
      </c>
      <c r="P47" s="58"/>
      <c r="Q47" s="58" t="n">
        <v>57.91</v>
      </c>
      <c r="R47" s="58" t="n">
        <v>55.18</v>
      </c>
      <c r="S47" s="58" t="n">
        <v>87.43</v>
      </c>
      <c r="T47" s="58" t="n">
        <v>30.82</v>
      </c>
      <c r="U47" s="58"/>
      <c r="V47" s="59" t="n">
        <v>266.11</v>
      </c>
    </row>
    <row r="48" customFormat="false" ht="15" hidden="false" customHeight="true" outlineLevel="0" collapsed="false">
      <c r="A48" s="57" t="n">
        <v>45464</v>
      </c>
      <c r="B48" s="58" t="n">
        <v>533.44</v>
      </c>
      <c r="C48" s="58" t="n">
        <v>84.34</v>
      </c>
      <c r="D48" s="58" t="n">
        <v>1036.6</v>
      </c>
      <c r="E48" s="58" t="n">
        <v>165.86</v>
      </c>
      <c r="F48" s="58" t="n">
        <v>95.16</v>
      </c>
      <c r="G48" s="58" t="n">
        <v>81.66</v>
      </c>
      <c r="H48" s="58" t="n">
        <v>139.54</v>
      </c>
      <c r="I48" s="58" t="n">
        <v>126.57</v>
      </c>
      <c r="J48" s="58" t="n">
        <v>109.4</v>
      </c>
      <c r="K48" s="58" t="n">
        <v>23.84</v>
      </c>
      <c r="L48" s="58" t="n">
        <v>173.96</v>
      </c>
      <c r="M48" s="58" t="n">
        <v>90.62</v>
      </c>
      <c r="N48" s="58" t="n">
        <v>468.71</v>
      </c>
      <c r="O48" s="58" t="n">
        <v>88.68</v>
      </c>
      <c r="P48" s="58"/>
      <c r="Q48" s="58" t="n">
        <v>57.95</v>
      </c>
      <c r="R48" s="58" t="n">
        <v>55.24</v>
      </c>
      <c r="S48" s="58" t="n">
        <v>87.36</v>
      </c>
      <c r="T48" s="58" t="n">
        <v>31.12</v>
      </c>
      <c r="U48" s="58"/>
      <c r="V48" s="59" t="n">
        <v>270.59</v>
      </c>
    </row>
    <row r="49" customFormat="false" ht="15" hidden="false" customHeight="true" outlineLevel="0" collapsed="false">
      <c r="A49" s="57" t="n">
        <v>45471</v>
      </c>
      <c r="B49" s="58" t="n">
        <v>555.54</v>
      </c>
      <c r="C49" s="58" t="n">
        <v>87.62</v>
      </c>
      <c r="D49" s="58" t="n">
        <v>1022.73</v>
      </c>
      <c r="E49" s="58" t="n">
        <v>160.55</v>
      </c>
      <c r="F49" s="58" t="n">
        <v>95.8</v>
      </c>
      <c r="G49" s="58" t="n">
        <v>82.45</v>
      </c>
      <c r="H49" s="58" t="n">
        <v>131.53</v>
      </c>
      <c r="I49" s="58" t="n">
        <v>123.54</v>
      </c>
      <c r="J49" s="58" t="n">
        <v>112.31</v>
      </c>
      <c r="K49" s="58" t="n">
        <v>25.33</v>
      </c>
      <c r="L49" s="58" t="n">
        <v>173.81</v>
      </c>
      <c r="M49" s="58" t="n">
        <v>86.57</v>
      </c>
      <c r="N49" s="58" t="n">
        <v>468.72</v>
      </c>
      <c r="O49" s="58" t="n">
        <v>89.72</v>
      </c>
      <c r="P49" s="58"/>
      <c r="Q49" s="58" t="n">
        <v>59.47</v>
      </c>
      <c r="R49" s="58" t="n">
        <v>55.5</v>
      </c>
      <c r="S49" s="58" t="n">
        <v>87.46</v>
      </c>
      <c r="T49" s="58" t="n">
        <v>30.92</v>
      </c>
      <c r="U49" s="58"/>
      <c r="V49" s="59" t="n">
        <v>258.05</v>
      </c>
    </row>
    <row r="50" customFormat="false" ht="15" hidden="false" customHeight="true" outlineLevel="0" collapsed="false">
      <c r="A50" s="57" t="n">
        <v>45478</v>
      </c>
      <c r="B50" s="58" t="n">
        <v>578.34</v>
      </c>
      <c r="C50" s="58" t="n">
        <v>91.54</v>
      </c>
      <c r="D50" s="58" t="n">
        <v>1074.48</v>
      </c>
      <c r="E50" s="58" t="n">
        <v>170.33</v>
      </c>
      <c r="F50" s="58" t="n">
        <v>97.42</v>
      </c>
      <c r="G50" s="58" t="n">
        <v>85.52</v>
      </c>
      <c r="H50" s="58" t="n">
        <v>131.6</v>
      </c>
      <c r="I50" s="58" t="n">
        <v>125.83</v>
      </c>
      <c r="J50" s="58" t="n">
        <v>114.46</v>
      </c>
      <c r="K50" s="58" t="n">
        <v>27.23</v>
      </c>
      <c r="L50" s="58" t="n">
        <v>183.99</v>
      </c>
      <c r="M50" s="58" t="n">
        <v>91.78</v>
      </c>
      <c r="N50" s="58" t="n">
        <v>474.57</v>
      </c>
      <c r="O50" s="58" t="n">
        <v>88.24</v>
      </c>
      <c r="P50" s="58"/>
      <c r="Q50" s="58" t="n">
        <v>59.99</v>
      </c>
      <c r="R50" s="58" t="n">
        <v>55.88</v>
      </c>
      <c r="S50" s="58" t="n">
        <v>90.17</v>
      </c>
      <c r="T50" s="58" t="n">
        <v>30.3</v>
      </c>
      <c r="U50" s="58"/>
      <c r="V50" s="59" t="n">
        <v>265.81</v>
      </c>
    </row>
    <row r="51" customFormat="false" ht="15" hidden="false" customHeight="true" outlineLevel="0" collapsed="false">
      <c r="A51" s="57" t="n">
        <v>45485</v>
      </c>
      <c r="B51" s="58" t="n">
        <v>559.05</v>
      </c>
      <c r="C51" s="58" t="n">
        <v>90.48</v>
      </c>
      <c r="D51" s="58" t="n">
        <v>1085.26</v>
      </c>
      <c r="E51" s="58" t="n">
        <v>170.07</v>
      </c>
      <c r="F51" s="58" t="n">
        <v>92.83</v>
      </c>
      <c r="G51" s="58" t="n">
        <v>85.77</v>
      </c>
      <c r="H51" s="58" t="n">
        <v>133.55</v>
      </c>
      <c r="I51" s="58" t="n">
        <v>129.24</v>
      </c>
      <c r="J51" s="58" t="n">
        <v>120.15</v>
      </c>
      <c r="K51" s="58" t="n">
        <v>28.07</v>
      </c>
      <c r="L51" s="58" t="n">
        <v>187.35</v>
      </c>
      <c r="M51" s="58" t="n">
        <v>89.67</v>
      </c>
      <c r="N51" s="58" t="n">
        <v>488.74</v>
      </c>
      <c r="O51" s="58" t="n">
        <v>93.16</v>
      </c>
      <c r="P51" s="58"/>
      <c r="Q51" s="58" t="n">
        <v>60.21</v>
      </c>
      <c r="R51" s="58" t="n">
        <v>55.84</v>
      </c>
      <c r="S51" s="58" t="n">
        <v>89.99</v>
      </c>
      <c r="T51" s="58" t="n">
        <v>31.46</v>
      </c>
      <c r="U51" s="58"/>
      <c r="V51" s="59" t="n">
        <v>261.27</v>
      </c>
    </row>
    <row r="52" customFormat="false" ht="15" hidden="false" customHeight="true" outlineLevel="0" collapsed="false">
      <c r="A52" s="57" t="n">
        <v>45492</v>
      </c>
      <c r="B52" s="58" t="n">
        <v>551</v>
      </c>
      <c r="C52" s="58" t="n">
        <v>82.64</v>
      </c>
      <c r="D52" s="58" t="n">
        <v>895.37</v>
      </c>
      <c r="E52" s="58" t="n">
        <v>157.35</v>
      </c>
      <c r="F52" s="58" t="n">
        <v>76.24</v>
      </c>
      <c r="G52" s="58" t="n">
        <v>76.26</v>
      </c>
      <c r="H52" s="58" t="n">
        <v>114.26</v>
      </c>
      <c r="I52" s="58" t="n">
        <v>117.93</v>
      </c>
      <c r="J52" s="58" t="n">
        <v>123.75</v>
      </c>
      <c r="K52" s="58" t="n">
        <v>28.58</v>
      </c>
      <c r="L52" s="58" t="n">
        <v>165.77</v>
      </c>
      <c r="M52" s="58" t="n">
        <v>85.31</v>
      </c>
      <c r="N52" s="58" t="n">
        <v>491.57</v>
      </c>
      <c r="O52" s="58" t="n">
        <v>95.62</v>
      </c>
      <c r="P52" s="58"/>
      <c r="Q52" s="58" t="n">
        <v>58.58</v>
      </c>
      <c r="R52" s="58" t="n">
        <v>54.19</v>
      </c>
      <c r="S52" s="58" t="n">
        <v>86.35</v>
      </c>
      <c r="T52" s="58" t="n">
        <v>31.94</v>
      </c>
      <c r="U52" s="58"/>
      <c r="V52" s="59" t="n">
        <v>260.99</v>
      </c>
    </row>
    <row r="53" customFormat="false" ht="15" hidden="false" customHeight="true" outlineLevel="0" collapsed="false">
      <c r="A53" s="57" t="n">
        <v>45499</v>
      </c>
      <c r="B53" s="58" t="n">
        <v>542.44</v>
      </c>
      <c r="C53" s="58" t="n">
        <v>79.8</v>
      </c>
      <c r="D53" s="58" t="n">
        <v>888.39</v>
      </c>
      <c r="E53" s="58" t="n">
        <v>151.63</v>
      </c>
      <c r="F53" s="58" t="n">
        <v>64.04</v>
      </c>
      <c r="G53" s="58" t="n">
        <v>78.74</v>
      </c>
      <c r="H53" s="58" t="n">
        <v>109.41</v>
      </c>
      <c r="I53" s="58" t="n">
        <v>113.06</v>
      </c>
      <c r="J53" s="58" t="n">
        <v>122.68</v>
      </c>
      <c r="K53" s="58" t="n">
        <v>27.18</v>
      </c>
      <c r="L53" s="58" t="n">
        <v>161.94</v>
      </c>
      <c r="M53" s="58" t="n">
        <v>77.12</v>
      </c>
      <c r="N53" s="58" t="n">
        <v>495.26</v>
      </c>
      <c r="O53" s="58" t="n">
        <v>99.09</v>
      </c>
      <c r="P53" s="58"/>
      <c r="Q53" s="58" t="n">
        <v>60.1</v>
      </c>
      <c r="R53" s="58" t="n">
        <v>52.96</v>
      </c>
      <c r="S53" s="58" t="n">
        <v>84.72</v>
      </c>
      <c r="T53" s="58" t="n">
        <v>32.51</v>
      </c>
      <c r="U53" s="58"/>
      <c r="V53" s="59" t="n">
        <v>255.09</v>
      </c>
    </row>
    <row r="54" customFormat="false" ht="15" hidden="false" customHeight="true" outlineLevel="0" collapsed="false">
      <c r="A54" s="57" t="n">
        <v>45506</v>
      </c>
      <c r="B54" s="58" t="n">
        <v>526.17</v>
      </c>
      <c r="C54" s="58" t="n">
        <v>79.83</v>
      </c>
      <c r="D54" s="58" t="n">
        <v>809.35</v>
      </c>
      <c r="E54" s="58" t="n">
        <v>143.82</v>
      </c>
      <c r="F54" s="58" t="n">
        <v>54.47</v>
      </c>
      <c r="G54" s="58" t="n">
        <v>69.62</v>
      </c>
      <c r="H54" s="58" t="n">
        <v>92.7</v>
      </c>
      <c r="I54" s="58" t="n">
        <v>107.27</v>
      </c>
      <c r="J54" s="58" t="n">
        <v>123.98</v>
      </c>
      <c r="K54" s="58" t="n">
        <v>24.74</v>
      </c>
      <c r="L54" s="58" t="n">
        <v>149.86</v>
      </c>
      <c r="M54" s="58" t="n">
        <v>69.46</v>
      </c>
      <c r="N54" s="58" t="n">
        <v>494.46</v>
      </c>
      <c r="O54" s="58" t="n">
        <v>92.01</v>
      </c>
      <c r="P54" s="58"/>
      <c r="Q54" s="58" t="n">
        <v>60.6</v>
      </c>
      <c r="R54" s="58" t="n">
        <v>51.14</v>
      </c>
      <c r="S54" s="58" t="n">
        <v>82.2</v>
      </c>
      <c r="T54" s="58" t="n">
        <v>31.58</v>
      </c>
      <c r="U54" s="58"/>
      <c r="V54" s="59" t="n">
        <v>262.1</v>
      </c>
    </row>
    <row r="55" customFormat="false" ht="15" hidden="false" customHeight="true" outlineLevel="0" collapsed="false">
      <c r="A55" s="57" t="n">
        <v>45513</v>
      </c>
      <c r="B55" s="58" t="n">
        <v>536.3</v>
      </c>
      <c r="C55" s="58" t="n">
        <v>83.95</v>
      </c>
      <c r="D55" s="58" t="n">
        <v>860.55</v>
      </c>
      <c r="E55" s="58" t="n">
        <v>148.26</v>
      </c>
      <c r="F55" s="58" t="n">
        <v>60.23</v>
      </c>
      <c r="G55" s="58" t="n">
        <v>74.68</v>
      </c>
      <c r="H55" s="58" t="n">
        <v>93.08</v>
      </c>
      <c r="I55" s="58" t="n">
        <v>104.75</v>
      </c>
      <c r="J55" s="58" t="n">
        <v>121.9</v>
      </c>
      <c r="K55" s="58" t="n">
        <v>30.01</v>
      </c>
      <c r="L55" s="58" t="n">
        <v>167.12</v>
      </c>
      <c r="M55" s="58" t="n">
        <v>71.46</v>
      </c>
      <c r="N55" s="58" t="n">
        <v>468.45</v>
      </c>
      <c r="O55" s="58" t="n">
        <v>90.39</v>
      </c>
      <c r="P55" s="58"/>
      <c r="Q55" s="58" t="n">
        <v>60.94</v>
      </c>
      <c r="R55" s="58" t="n">
        <v>51.29</v>
      </c>
      <c r="S55" s="58" t="n">
        <v>83.62</v>
      </c>
      <c r="T55" s="58" t="n">
        <v>31.53</v>
      </c>
      <c r="U55" s="58"/>
      <c r="V55" s="59" t="n">
        <v>255.9</v>
      </c>
    </row>
    <row r="56" customFormat="false" ht="15" hidden="false" customHeight="true" outlineLevel="0" collapsed="false">
      <c r="A56" s="57" t="n">
        <v>45520</v>
      </c>
      <c r="B56" s="58" t="n">
        <v>553.46</v>
      </c>
      <c r="C56" s="58" t="n">
        <v>88.47</v>
      </c>
      <c r="D56" s="58" t="n">
        <v>918.66</v>
      </c>
      <c r="E56" s="58" t="n">
        <v>165.72</v>
      </c>
      <c r="F56" s="58" t="n">
        <v>65.64</v>
      </c>
      <c r="G56" s="58" t="n">
        <v>81.96</v>
      </c>
      <c r="H56" s="58" t="n">
        <v>107.99</v>
      </c>
      <c r="I56" s="58" t="n">
        <v>124.58</v>
      </c>
      <c r="J56" s="58" t="n">
        <v>122.85</v>
      </c>
      <c r="K56" s="58" t="n">
        <v>32.08</v>
      </c>
      <c r="L56" s="58" t="n">
        <v>174.54</v>
      </c>
      <c r="M56" s="58" t="n">
        <v>79.42</v>
      </c>
      <c r="N56" s="58" t="n">
        <v>477.37</v>
      </c>
      <c r="O56" s="58" t="n">
        <v>92.97</v>
      </c>
      <c r="P56" s="58"/>
      <c r="Q56" s="58" t="n">
        <v>61.02</v>
      </c>
      <c r="R56" s="58" t="n">
        <v>53.45</v>
      </c>
      <c r="S56" s="58" t="n">
        <v>88.39</v>
      </c>
      <c r="T56" s="58" t="n">
        <v>32.04</v>
      </c>
      <c r="U56" s="58"/>
      <c r="V56" s="59" t="n">
        <v>263.41</v>
      </c>
    </row>
    <row r="57" customFormat="false" ht="15" hidden="false" customHeight="true" outlineLevel="0" collapsed="false">
      <c r="A57" s="57" t="n">
        <v>45527</v>
      </c>
      <c r="B57" s="58" t="n">
        <v>558.3</v>
      </c>
      <c r="C57" s="58" t="n">
        <v>88.78</v>
      </c>
      <c r="D57" s="58" t="n">
        <v>907.26</v>
      </c>
      <c r="E57" s="58" t="n">
        <v>166.36</v>
      </c>
      <c r="F57" s="58" t="n">
        <v>67.89</v>
      </c>
      <c r="G57" s="58" t="n">
        <v>81.78</v>
      </c>
      <c r="H57" s="58" t="n">
        <v>102.85</v>
      </c>
      <c r="I57" s="58" t="n">
        <v>129.37</v>
      </c>
      <c r="J57" s="58" t="n">
        <v>128.86</v>
      </c>
      <c r="K57" s="58" t="n">
        <v>31.78</v>
      </c>
      <c r="L57" s="58" t="n">
        <v>171.28</v>
      </c>
      <c r="M57" s="58" t="n">
        <v>78.55</v>
      </c>
      <c r="N57" s="58" t="n">
        <v>481.24</v>
      </c>
      <c r="O57" s="58" t="n">
        <v>95.86</v>
      </c>
      <c r="P57" s="58"/>
      <c r="Q57" s="58" t="n">
        <v>61.51</v>
      </c>
      <c r="R57" s="58" t="n">
        <v>53.9</v>
      </c>
      <c r="S57" s="58" t="n">
        <v>89.61</v>
      </c>
      <c r="T57" s="58" t="n">
        <v>33.09</v>
      </c>
      <c r="U57" s="58"/>
      <c r="V57" s="59" t="n">
        <v>263.47</v>
      </c>
    </row>
    <row r="58" customFormat="false" ht="15" hidden="false" customHeight="true" outlineLevel="0" collapsed="false">
      <c r="A58" s="57" t="n">
        <v>45534</v>
      </c>
      <c r="B58" s="58" t="n">
        <v>574.41</v>
      </c>
      <c r="C58" s="58" t="n">
        <v>88.35</v>
      </c>
      <c r="D58" s="58" t="n">
        <v>903.87</v>
      </c>
      <c r="E58" s="58" t="n">
        <v>162.82</v>
      </c>
      <c r="F58" s="58" t="n">
        <v>69.32</v>
      </c>
      <c r="G58" s="58" t="n">
        <v>81.94</v>
      </c>
      <c r="H58" s="58" t="n">
        <v>96.24</v>
      </c>
      <c r="I58" s="58" t="n">
        <v>119.37</v>
      </c>
      <c r="J58" s="58" t="n">
        <v>127.82</v>
      </c>
      <c r="K58" s="58" t="n">
        <v>31.48</v>
      </c>
      <c r="L58" s="58" t="n">
        <v>171.7</v>
      </c>
      <c r="M58" s="58" t="n">
        <v>83.03</v>
      </c>
      <c r="N58" s="58" t="n">
        <v>495.89</v>
      </c>
      <c r="O58" s="58" t="n">
        <v>95.91</v>
      </c>
      <c r="P58" s="58"/>
      <c r="Q58" s="58" t="n">
        <v>62.02</v>
      </c>
      <c r="R58" s="58" t="n">
        <v>54.08</v>
      </c>
      <c r="S58" s="58" t="n">
        <v>89.25</v>
      </c>
      <c r="T58" s="58" t="n">
        <v>33.2</v>
      </c>
      <c r="U58" s="58"/>
      <c r="V58" s="59" t="n">
        <v>272.27</v>
      </c>
    </row>
    <row r="59" customFormat="false" ht="15" hidden="false" customHeight="true" outlineLevel="0" collapsed="false">
      <c r="A59" s="57" t="n">
        <v>45541</v>
      </c>
      <c r="B59" s="58" t="n">
        <v>563.41</v>
      </c>
      <c r="C59" s="58" t="n">
        <v>78.58</v>
      </c>
      <c r="D59" s="58" t="n">
        <v>752.79</v>
      </c>
      <c r="E59" s="58" t="n">
        <v>137</v>
      </c>
      <c r="F59" s="58" t="n">
        <v>61.6</v>
      </c>
      <c r="G59" s="58" t="n">
        <v>70.28</v>
      </c>
      <c r="H59" s="58" t="n">
        <v>86.38</v>
      </c>
      <c r="I59" s="58" t="n">
        <v>102.83</v>
      </c>
      <c r="J59" s="58" t="n">
        <v>127.23</v>
      </c>
      <c r="K59" s="58" t="n">
        <v>30.33</v>
      </c>
      <c r="L59" s="58" t="n">
        <v>156.82</v>
      </c>
      <c r="M59" s="58" t="n">
        <v>71.77</v>
      </c>
      <c r="N59" s="58" t="n">
        <v>468</v>
      </c>
      <c r="O59" s="58" t="n">
        <v>90.48</v>
      </c>
      <c r="P59" s="58"/>
      <c r="Q59" s="58" t="n">
        <v>61.85</v>
      </c>
      <c r="R59" s="58" t="n">
        <v>51.36</v>
      </c>
      <c r="S59" s="58" t="n">
        <v>83.92</v>
      </c>
      <c r="T59" s="58" t="n">
        <v>31.83</v>
      </c>
      <c r="U59" s="58"/>
      <c r="V59" s="59" t="n">
        <v>275.22</v>
      </c>
    </row>
    <row r="60" customFormat="false" ht="15" hidden="false" customHeight="true" outlineLevel="0" collapsed="false">
      <c r="A60" s="57" t="n">
        <v>45548</v>
      </c>
      <c r="B60" s="58" t="n">
        <v>536.87</v>
      </c>
      <c r="C60" s="58" t="n">
        <v>89.94</v>
      </c>
      <c r="D60" s="58" t="n">
        <v>816.36</v>
      </c>
      <c r="E60" s="58" t="n">
        <v>167.69</v>
      </c>
      <c r="F60" s="58" t="n">
        <v>64.78</v>
      </c>
      <c r="G60" s="58" t="n">
        <v>75.15</v>
      </c>
      <c r="H60" s="58" t="n">
        <v>91.22</v>
      </c>
      <c r="I60" s="58" t="n">
        <v>119.1</v>
      </c>
      <c r="J60" s="58" t="n">
        <v>129.98</v>
      </c>
      <c r="K60" s="58" t="n">
        <v>35.59</v>
      </c>
      <c r="L60" s="58" t="n">
        <v>172.5</v>
      </c>
      <c r="M60" s="58" t="n">
        <v>85.76</v>
      </c>
      <c r="N60" s="58" t="n">
        <v>485.37</v>
      </c>
      <c r="O60" s="58" t="n">
        <v>93.09</v>
      </c>
      <c r="P60" s="58"/>
      <c r="Q60" s="58" t="n">
        <v>61.3</v>
      </c>
      <c r="R60" s="58" t="n">
        <v>53.75</v>
      </c>
      <c r="S60" s="58" t="n">
        <v>89.08</v>
      </c>
      <c r="T60" s="58" t="n">
        <v>32.58</v>
      </c>
      <c r="U60" s="58"/>
      <c r="V60" s="59" t="n">
        <v>283.08</v>
      </c>
    </row>
    <row r="61" customFormat="false" ht="15" hidden="false" customHeight="true" outlineLevel="0" collapsed="false">
      <c r="A61" s="57" t="n">
        <v>45555</v>
      </c>
      <c r="B61" s="58" t="n">
        <v>522.3</v>
      </c>
      <c r="C61" s="58" t="n">
        <v>96.12</v>
      </c>
      <c r="D61" s="58" t="n">
        <v>795.28</v>
      </c>
      <c r="E61" s="58" t="n">
        <v>171.1</v>
      </c>
      <c r="F61" s="58" t="n">
        <v>74.96</v>
      </c>
      <c r="G61" s="58" t="n">
        <v>75.89</v>
      </c>
      <c r="H61" s="58" t="n">
        <v>90.9</v>
      </c>
      <c r="I61" s="58" t="n">
        <v>116</v>
      </c>
      <c r="J61" s="58" t="n">
        <v>125.47</v>
      </c>
      <c r="K61" s="58" t="n">
        <v>37.2</v>
      </c>
      <c r="L61" s="58" t="n">
        <v>174.08</v>
      </c>
      <c r="M61" s="58" t="n">
        <v>94.54</v>
      </c>
      <c r="N61" s="58" t="n">
        <v>464.92</v>
      </c>
      <c r="O61" s="58" t="n">
        <v>95.9</v>
      </c>
      <c r="P61" s="58"/>
      <c r="Q61" s="58" t="n">
        <v>62.79</v>
      </c>
      <c r="R61" s="58" t="n">
        <v>54.41</v>
      </c>
      <c r="S61" s="58" t="n">
        <v>90.53</v>
      </c>
      <c r="T61" s="58" t="n">
        <v>33.14</v>
      </c>
      <c r="U61" s="58"/>
      <c r="V61" s="59" t="n">
        <v>280.54</v>
      </c>
    </row>
    <row r="62" customFormat="false" ht="15" hidden="false" customHeight="true" outlineLevel="0" collapsed="false">
      <c r="A62" s="57" t="n">
        <v>45562</v>
      </c>
      <c r="B62" s="58" t="n">
        <v>515.48</v>
      </c>
      <c r="C62" s="58" t="n">
        <v>95.07</v>
      </c>
      <c r="D62" s="58" t="n">
        <v>841.54</v>
      </c>
      <c r="E62" s="58" t="n">
        <v>172.69</v>
      </c>
      <c r="F62" s="58" t="n">
        <v>71.47</v>
      </c>
      <c r="G62" s="58" t="n">
        <v>78.24</v>
      </c>
      <c r="H62" s="58" t="n">
        <v>107.5</v>
      </c>
      <c r="I62" s="58" t="n">
        <v>121.4</v>
      </c>
      <c r="J62" s="58" t="n">
        <v>125.59</v>
      </c>
      <c r="K62" s="58" t="n">
        <v>36.84</v>
      </c>
      <c r="L62" s="58" t="n">
        <v>177.97</v>
      </c>
      <c r="M62" s="58" t="n">
        <v>98.41</v>
      </c>
      <c r="N62" s="58" t="n">
        <v>462.88</v>
      </c>
      <c r="O62" s="58" t="n">
        <v>95.56</v>
      </c>
      <c r="P62" s="58"/>
      <c r="Q62" s="58" t="n">
        <v>62.19</v>
      </c>
      <c r="R62" s="58" t="n">
        <v>54.8</v>
      </c>
      <c r="S62" s="58" t="n">
        <v>90.34</v>
      </c>
      <c r="T62" s="58" t="n">
        <v>33.21</v>
      </c>
      <c r="U62" s="58"/>
      <c r="V62" s="59" t="n">
        <v>271.08</v>
      </c>
    </row>
    <row r="63" customFormat="false" ht="15" hidden="false" customHeight="true" outlineLevel="0" collapsed="false">
      <c r="A63" s="57" t="n">
        <v>45569</v>
      </c>
      <c r="B63" s="58" t="n">
        <v>507.22</v>
      </c>
      <c r="C63" s="58" t="n">
        <v>98.99</v>
      </c>
      <c r="D63" s="58" t="n">
        <v>833</v>
      </c>
      <c r="E63" s="58" t="n">
        <v>176.64</v>
      </c>
      <c r="F63" s="58" t="n">
        <v>73.06</v>
      </c>
      <c r="G63" s="58" t="n">
        <v>78.74</v>
      </c>
      <c r="H63" s="58" t="n">
        <v>102.25</v>
      </c>
      <c r="I63" s="58" t="n">
        <v>124.92</v>
      </c>
      <c r="J63" s="58" t="n">
        <v>122.42</v>
      </c>
      <c r="K63" s="58" t="n">
        <v>40.01</v>
      </c>
      <c r="L63" s="58" t="n">
        <v>181.16</v>
      </c>
      <c r="M63" s="58" t="n">
        <v>105.2</v>
      </c>
      <c r="N63" s="58" t="n">
        <v>455.31</v>
      </c>
      <c r="O63" s="58" t="n">
        <v>95.83</v>
      </c>
      <c r="P63" s="58"/>
      <c r="Q63" s="58" t="n">
        <v>62.66</v>
      </c>
      <c r="R63" s="58" t="n">
        <v>54.37</v>
      </c>
      <c r="S63" s="58" t="n">
        <v>91.69</v>
      </c>
      <c r="T63" s="58" t="n">
        <v>33.83</v>
      </c>
      <c r="U63" s="58"/>
      <c r="V63" s="59" t="n">
        <v>273.8</v>
      </c>
    </row>
    <row r="64" customFormat="false" ht="15" hidden="false" customHeight="true" outlineLevel="0" collapsed="false">
      <c r="A64" s="57" t="n">
        <v>45576</v>
      </c>
      <c r="B64" s="58" t="n">
        <v>495.42</v>
      </c>
      <c r="C64" s="58" t="n">
        <v>104.23</v>
      </c>
      <c r="D64" s="58" t="n">
        <v>840.69</v>
      </c>
      <c r="E64" s="58" t="n">
        <v>181.48</v>
      </c>
      <c r="F64" s="58" t="n">
        <v>80.05</v>
      </c>
      <c r="G64" s="58" t="n">
        <v>80.37</v>
      </c>
      <c r="H64" s="58" t="n">
        <v>106.92</v>
      </c>
      <c r="I64" s="58" t="n">
        <v>134.8</v>
      </c>
      <c r="J64" s="58" t="n">
        <v>120.24</v>
      </c>
      <c r="K64" s="58" t="n">
        <v>43.51</v>
      </c>
      <c r="L64" s="58" t="n">
        <v>190.81</v>
      </c>
      <c r="M64" s="58" t="n">
        <v>111.84</v>
      </c>
      <c r="N64" s="58" t="n">
        <v>481.71</v>
      </c>
      <c r="O64" s="58" t="n">
        <v>96.97</v>
      </c>
      <c r="P64" s="58"/>
      <c r="Q64" s="58" t="n">
        <v>63.04</v>
      </c>
      <c r="R64" s="58" t="n">
        <v>54.86</v>
      </c>
      <c r="S64" s="58" t="n">
        <v>93.67</v>
      </c>
      <c r="T64" s="58" t="n">
        <v>33.95</v>
      </c>
      <c r="U64" s="58"/>
      <c r="V64" s="59" t="n">
        <v>273.71</v>
      </c>
    </row>
    <row r="65" customFormat="false" ht="15" hidden="false" customHeight="true" outlineLevel="0" collapsed="false">
      <c r="A65" s="57" t="n">
        <v>45583</v>
      </c>
      <c r="B65" s="58" t="n">
        <v>494.9</v>
      </c>
      <c r="C65" s="58" t="n">
        <v>100.5</v>
      </c>
      <c r="D65" s="58" t="n">
        <v>723.26</v>
      </c>
      <c r="E65" s="58" t="n">
        <v>179.89</v>
      </c>
      <c r="F65" s="58" t="n">
        <v>77.54</v>
      </c>
      <c r="G65" s="58" t="n">
        <v>67.85</v>
      </c>
      <c r="H65" s="58" t="n">
        <v>111.15</v>
      </c>
      <c r="I65" s="58" t="n">
        <v>138</v>
      </c>
      <c r="J65" s="58" t="n">
        <v>122.5</v>
      </c>
      <c r="K65" s="58" t="n">
        <v>42.97</v>
      </c>
      <c r="L65" s="58" t="n">
        <v>200.78</v>
      </c>
      <c r="M65" s="58" t="n">
        <v>112.25</v>
      </c>
      <c r="N65" s="58" t="n">
        <v>483</v>
      </c>
      <c r="O65" s="58" t="n">
        <v>98.19</v>
      </c>
      <c r="P65" s="58"/>
      <c r="Q65" s="58" t="n">
        <v>63.28</v>
      </c>
      <c r="R65" s="58" t="n">
        <v>55.27</v>
      </c>
      <c r="S65" s="58" t="n">
        <v>94.07</v>
      </c>
      <c r="T65" s="58" t="n">
        <v>33.79</v>
      </c>
      <c r="U65" s="58"/>
      <c r="V65" s="59" t="n">
        <v>286.3</v>
      </c>
    </row>
    <row r="66" customFormat="false" ht="15" hidden="false" customHeight="true" outlineLevel="0" collapsed="false">
      <c r="A66" s="57" t="n">
        <v>45590</v>
      </c>
      <c r="B66" s="58" t="n">
        <v>483.72</v>
      </c>
      <c r="C66" s="58" t="n">
        <v>98.52</v>
      </c>
      <c r="D66" s="58" t="n">
        <v>711.7</v>
      </c>
      <c r="E66" s="58" t="n">
        <v>173</v>
      </c>
      <c r="F66" s="58" t="n">
        <v>75.16</v>
      </c>
      <c r="G66" s="58" t="n">
        <v>67.31</v>
      </c>
      <c r="H66" s="58" t="n">
        <v>107.91</v>
      </c>
      <c r="I66" s="58" t="n">
        <v>141.54</v>
      </c>
      <c r="J66" s="58" t="n">
        <v>117.54</v>
      </c>
      <c r="K66" s="58" t="n">
        <v>44.86</v>
      </c>
      <c r="L66" s="58" t="n">
        <v>203.44</v>
      </c>
      <c r="M66" s="58" t="n">
        <v>112.17</v>
      </c>
      <c r="N66" s="58" t="n">
        <v>477.7</v>
      </c>
      <c r="O66" s="58" t="n">
        <v>94.92</v>
      </c>
      <c r="P66" s="58"/>
      <c r="Q66" s="58" t="n">
        <v>63.17</v>
      </c>
      <c r="R66" s="58" t="n">
        <v>55.4</v>
      </c>
      <c r="S66" s="58" t="n">
        <v>92.69</v>
      </c>
      <c r="T66" s="58" t="n">
        <v>33.14</v>
      </c>
      <c r="U66" s="58"/>
      <c r="V66" s="59" t="n">
        <v>277.55</v>
      </c>
    </row>
    <row r="67" customFormat="false" ht="15" hidden="false" customHeight="true" outlineLevel="0" collapsed="false">
      <c r="A67" s="57" t="n">
        <v>45597</v>
      </c>
      <c r="B67" s="58" t="n">
        <v>482.8</v>
      </c>
      <c r="C67" s="58" t="n">
        <v>98.54</v>
      </c>
      <c r="D67" s="58" t="n">
        <v>674.73</v>
      </c>
      <c r="E67" s="58" t="n">
        <v>168.92</v>
      </c>
      <c r="F67" s="58" t="n">
        <v>75.78</v>
      </c>
      <c r="G67" s="58" t="n">
        <v>66.94</v>
      </c>
      <c r="H67" s="58" t="n">
        <v>99.73</v>
      </c>
      <c r="I67" s="58" t="n">
        <v>135.4</v>
      </c>
      <c r="J67" s="58" t="n">
        <v>113.4</v>
      </c>
      <c r="K67" s="58" t="n">
        <v>41.92</v>
      </c>
      <c r="L67" s="58" t="n">
        <v>192.95</v>
      </c>
      <c r="M67" s="58" t="n">
        <v>106.9</v>
      </c>
      <c r="N67" s="58" t="n">
        <v>471.12</v>
      </c>
      <c r="O67" s="58" t="n">
        <v>94.69</v>
      </c>
      <c r="P67" s="58"/>
      <c r="Q67" s="58" t="n">
        <v>62.39</v>
      </c>
      <c r="R67" s="58" t="n">
        <v>54.44</v>
      </c>
      <c r="S67" s="58" t="n">
        <v>91.42</v>
      </c>
      <c r="T67" s="58" t="n">
        <v>33.16</v>
      </c>
      <c r="U67" s="58"/>
      <c r="V67" s="59" t="n">
        <v>286.42</v>
      </c>
    </row>
    <row r="68" customFormat="false" ht="15" hidden="false" customHeight="true" outlineLevel="0" collapsed="false">
      <c r="A68" s="57" t="n">
        <v>45604</v>
      </c>
      <c r="B68" s="58" t="n">
        <v>494.68</v>
      </c>
      <c r="C68" s="58" t="n">
        <v>100.11</v>
      </c>
      <c r="D68" s="58" t="n">
        <v>669.47</v>
      </c>
      <c r="E68" s="58" t="n">
        <v>183.64</v>
      </c>
      <c r="F68" s="58" t="n">
        <v>82.51</v>
      </c>
      <c r="G68" s="58" t="n">
        <v>68.74</v>
      </c>
      <c r="H68" s="58" t="n">
        <v>111.9</v>
      </c>
      <c r="I68" s="58" t="n">
        <v>147.63</v>
      </c>
      <c r="J68" s="58" t="n">
        <v>115.83</v>
      </c>
      <c r="K68" s="58" t="n">
        <v>58.39</v>
      </c>
      <c r="L68" s="58" t="n">
        <v>201.2</v>
      </c>
      <c r="M68" s="58" t="n">
        <v>125.75</v>
      </c>
      <c r="N68" s="58" t="n">
        <v>516.74</v>
      </c>
      <c r="O68" s="58" t="n">
        <v>103.08</v>
      </c>
      <c r="P68" s="58"/>
      <c r="Q68" s="58" t="n">
        <v>62.65</v>
      </c>
      <c r="R68" s="58" t="n">
        <v>56.54</v>
      </c>
      <c r="S68" s="58" t="n">
        <v>96.89</v>
      </c>
      <c r="T68" s="58" t="n">
        <v>35.73</v>
      </c>
      <c r="U68" s="58"/>
      <c r="V68" s="59" t="n">
        <v>303.3</v>
      </c>
    </row>
    <row r="69" customFormat="false" ht="15" hidden="false" customHeight="true" outlineLevel="0" collapsed="false">
      <c r="A69" s="57" t="n">
        <v>45611</v>
      </c>
      <c r="B69" s="58" t="n">
        <v>503.37</v>
      </c>
      <c r="C69" s="58" t="n">
        <v>93.6</v>
      </c>
      <c r="D69" s="58" t="n">
        <v>658.63</v>
      </c>
      <c r="E69" s="58" t="n">
        <v>164.84</v>
      </c>
      <c r="F69" s="58" t="n">
        <v>84.19</v>
      </c>
      <c r="G69" s="58" t="n">
        <v>61.45</v>
      </c>
      <c r="H69" s="58" t="n">
        <v>96.34</v>
      </c>
      <c r="I69" s="58" t="n">
        <v>141.98</v>
      </c>
      <c r="J69" s="58" t="n">
        <v>113.42</v>
      </c>
      <c r="K69" s="58" t="n">
        <v>65.77</v>
      </c>
      <c r="L69" s="58" t="n">
        <v>186.01</v>
      </c>
      <c r="M69" s="58" t="n">
        <v>120.87</v>
      </c>
      <c r="N69" s="58" t="n">
        <v>465.7</v>
      </c>
      <c r="O69" s="58" t="n">
        <v>101.08</v>
      </c>
      <c r="P69" s="58"/>
      <c r="Q69" s="58" t="n">
        <v>62.4</v>
      </c>
      <c r="R69" s="58" t="n">
        <v>55.61</v>
      </c>
      <c r="S69" s="58" t="n">
        <v>93.9</v>
      </c>
      <c r="T69" s="58" t="n">
        <v>35.18</v>
      </c>
      <c r="U69" s="58"/>
      <c r="V69" s="59" t="n">
        <v>305.62</v>
      </c>
    </row>
    <row r="70" customFormat="false" ht="15" hidden="false" customHeight="true" outlineLevel="0" collapsed="false">
      <c r="A70" s="57" t="n">
        <v>45618</v>
      </c>
      <c r="B70" s="58" t="n">
        <v>512.15</v>
      </c>
      <c r="C70" s="58" t="n">
        <v>101.62</v>
      </c>
      <c r="D70" s="58" t="n">
        <v>672.88</v>
      </c>
      <c r="E70" s="58" t="n">
        <v>164.23</v>
      </c>
      <c r="F70" s="58" t="n">
        <v>93.07</v>
      </c>
      <c r="G70" s="58" t="n">
        <v>63.96</v>
      </c>
      <c r="H70" s="58" t="n">
        <v>102.64</v>
      </c>
      <c r="I70" s="58" t="n">
        <v>141.95</v>
      </c>
      <c r="J70" s="58" t="n">
        <v>115.8</v>
      </c>
      <c r="K70" s="58" t="n">
        <v>64.35</v>
      </c>
      <c r="L70" s="58" t="n">
        <v>190.08</v>
      </c>
      <c r="M70" s="58" t="n">
        <v>140.15</v>
      </c>
      <c r="N70" s="58" t="n">
        <v>450.97</v>
      </c>
      <c r="O70" s="58" t="n">
        <v>104.78</v>
      </c>
      <c r="P70" s="58"/>
      <c r="Q70" s="58" t="n">
        <v>61.64</v>
      </c>
      <c r="R70" s="58" t="n">
        <v>56.57</v>
      </c>
      <c r="S70" s="58" t="n">
        <v>95.58</v>
      </c>
      <c r="T70" s="58" t="n">
        <v>36.54</v>
      </c>
      <c r="U70" s="58"/>
      <c r="V70" s="59" t="n">
        <v>305.9</v>
      </c>
    </row>
    <row r="71" customFormat="false" ht="15" hidden="false" customHeight="true" outlineLevel="0" collapsed="false">
      <c r="A71" s="57" t="n">
        <v>45625</v>
      </c>
      <c r="B71" s="58" t="n">
        <v>515.93</v>
      </c>
      <c r="C71" s="58" t="n">
        <v>101.46</v>
      </c>
      <c r="D71" s="58" t="n">
        <v>686.61</v>
      </c>
      <c r="E71" s="58" t="n">
        <v>162.08</v>
      </c>
      <c r="F71" s="58" t="n">
        <v>86.49</v>
      </c>
      <c r="G71" s="58" t="n">
        <v>64.7</v>
      </c>
      <c r="H71" s="58" t="n">
        <v>97.95</v>
      </c>
      <c r="I71" s="58" t="n">
        <v>138.25</v>
      </c>
      <c r="J71" s="58" t="n">
        <v>116.78</v>
      </c>
      <c r="K71" s="58" t="n">
        <v>67.08</v>
      </c>
      <c r="L71" s="58" t="n">
        <v>184.66</v>
      </c>
      <c r="M71" s="58" t="n">
        <v>127.6</v>
      </c>
      <c r="N71" s="58" t="n">
        <v>468.13</v>
      </c>
      <c r="O71" s="58" t="n">
        <v>105.49</v>
      </c>
      <c r="P71" s="58"/>
      <c r="Q71" s="58" t="n">
        <v>62.7</v>
      </c>
      <c r="R71" s="58" t="n">
        <v>57.09</v>
      </c>
      <c r="S71" s="58" t="n">
        <v>96.83</v>
      </c>
      <c r="T71" s="58" t="n">
        <v>36.61</v>
      </c>
      <c r="U71" s="58"/>
      <c r="V71" s="59" t="n">
        <v>310.99</v>
      </c>
    </row>
    <row r="72" customFormat="false" ht="15" hidden="false" customHeight="true" outlineLevel="0" collapsed="false">
      <c r="A72" s="57" t="n">
        <v>45632</v>
      </c>
      <c r="B72" s="58" t="n">
        <v>552.96</v>
      </c>
      <c r="C72" s="58" t="n">
        <v>108.25</v>
      </c>
      <c r="D72" s="58" t="n">
        <v>708.98</v>
      </c>
      <c r="E72" s="58" t="n">
        <v>179.53</v>
      </c>
      <c r="F72" s="58" t="n">
        <v>91.41</v>
      </c>
      <c r="G72" s="58" t="n">
        <v>64.83</v>
      </c>
      <c r="H72" s="58" t="n">
        <v>101.17</v>
      </c>
      <c r="I72" s="58" t="n">
        <v>142.44</v>
      </c>
      <c r="J72" s="58" t="n">
        <v>112</v>
      </c>
      <c r="K72" s="58" t="n">
        <v>76.34</v>
      </c>
      <c r="L72" s="58" t="n">
        <v>203.02</v>
      </c>
      <c r="M72" s="58" t="n">
        <v>133.85</v>
      </c>
      <c r="N72" s="58" t="n">
        <v>462.1</v>
      </c>
      <c r="O72" s="58" t="n">
        <v>103.29</v>
      </c>
      <c r="P72" s="58"/>
      <c r="Q72" s="58" t="n">
        <v>63.35</v>
      </c>
      <c r="R72" s="58" t="n">
        <v>57.62</v>
      </c>
      <c r="S72" s="58" t="n">
        <v>98.7</v>
      </c>
      <c r="T72" s="58" t="n">
        <v>36.58</v>
      </c>
      <c r="U72" s="58"/>
      <c r="V72" s="59" t="n">
        <v>306.97</v>
      </c>
    </row>
    <row r="73" customFormat="false" ht="15" hidden="false" customHeight="true" outlineLevel="0" collapsed="false">
      <c r="A73" s="57" t="n">
        <v>45639</v>
      </c>
      <c r="B73" s="58" t="n">
        <v>465.69</v>
      </c>
      <c r="C73" s="58" t="n">
        <v>112.37</v>
      </c>
      <c r="D73" s="58" t="n">
        <v>718.58</v>
      </c>
      <c r="E73" s="58" t="n">
        <v>224.8</v>
      </c>
      <c r="F73" s="58" t="n">
        <v>92.01</v>
      </c>
      <c r="G73" s="58" t="n">
        <v>65.38</v>
      </c>
      <c r="H73" s="58" t="n">
        <v>102.5</v>
      </c>
      <c r="I73" s="58" t="n">
        <v>134.25</v>
      </c>
      <c r="J73" s="58" t="n">
        <v>111.13</v>
      </c>
      <c r="K73" s="58" t="n">
        <v>76.07</v>
      </c>
      <c r="L73" s="58" t="n">
        <v>200.99</v>
      </c>
      <c r="M73" s="58" t="n">
        <v>125.78</v>
      </c>
      <c r="N73" s="58" t="n">
        <v>463.73</v>
      </c>
      <c r="O73" s="58" t="n">
        <v>102.01</v>
      </c>
      <c r="P73" s="58"/>
      <c r="Q73" s="58" t="n">
        <v>62.8</v>
      </c>
      <c r="R73" s="58" t="n">
        <v>57.85</v>
      </c>
      <c r="S73" s="58" t="n">
        <v>97.77</v>
      </c>
      <c r="T73" s="58" t="n">
        <v>34.97</v>
      </c>
      <c r="U73" s="58"/>
      <c r="V73" s="59" t="n">
        <v>310.65</v>
      </c>
    </row>
    <row r="74" customFormat="false" ht="15" hidden="false" customHeight="true" outlineLevel="0" collapsed="false">
      <c r="A74" s="57" t="n">
        <v>45646</v>
      </c>
      <c r="B74" s="58" t="n">
        <v>447.17</v>
      </c>
      <c r="C74" s="58" t="n">
        <v>112.81</v>
      </c>
      <c r="D74" s="58" t="n">
        <v>705.68</v>
      </c>
      <c r="E74" s="58" t="n">
        <v>220.79</v>
      </c>
      <c r="F74" s="58" t="n">
        <v>90.57</v>
      </c>
      <c r="G74" s="58" t="n">
        <v>62.94</v>
      </c>
      <c r="H74" s="58" t="n">
        <v>90.12</v>
      </c>
      <c r="I74" s="58" t="n">
        <v>134.7</v>
      </c>
      <c r="J74" s="58" t="n">
        <v>103.32</v>
      </c>
      <c r="K74" s="58" t="n">
        <v>80.55</v>
      </c>
      <c r="L74" s="58" t="n">
        <v>197.21</v>
      </c>
      <c r="M74" s="58" t="n">
        <v>120.04</v>
      </c>
      <c r="N74" s="58" t="n">
        <v>397.27</v>
      </c>
      <c r="O74" s="58" t="n">
        <v>96.11</v>
      </c>
      <c r="P74" s="58"/>
      <c r="Q74" s="58" t="n">
        <v>62.76</v>
      </c>
      <c r="R74" s="58" t="n">
        <v>57.2</v>
      </c>
      <c r="S74" s="58" t="n">
        <v>95.58</v>
      </c>
      <c r="T74" s="58" t="n">
        <v>33.9</v>
      </c>
      <c r="U74" s="58"/>
      <c r="V74" s="59" t="n">
        <v>313.59</v>
      </c>
    </row>
    <row r="75" customFormat="false" ht="15" hidden="false" customHeight="true" outlineLevel="0" collapsed="false">
      <c r="A75" s="57" t="n">
        <v>45653</v>
      </c>
      <c r="B75" s="58" t="n">
        <v>446.48</v>
      </c>
      <c r="C75" s="58" t="n">
        <v>113.03</v>
      </c>
      <c r="D75" s="58" t="n">
        <v>713.59</v>
      </c>
      <c r="E75" s="58" t="n">
        <v>241.75</v>
      </c>
      <c r="F75" s="58" t="n">
        <v>88.75</v>
      </c>
      <c r="G75" s="58" t="n">
        <v>64.48</v>
      </c>
      <c r="H75" s="58" t="n">
        <v>88.63</v>
      </c>
      <c r="I75" s="58" t="n">
        <v>137.01</v>
      </c>
      <c r="J75" s="58" t="n">
        <v>105.24</v>
      </c>
      <c r="K75" s="58" t="n">
        <v>79.08</v>
      </c>
      <c r="L75" s="58" t="n">
        <v>201.63</v>
      </c>
      <c r="M75" s="58" t="n">
        <v>115.11</v>
      </c>
      <c r="N75" s="58" t="n">
        <v>408.76</v>
      </c>
      <c r="O75" s="58" t="n">
        <v>96.49</v>
      </c>
      <c r="P75" s="58"/>
      <c r="Q75" s="58" t="n">
        <v>63.42</v>
      </c>
      <c r="R75" s="58" t="n">
        <v>57.74</v>
      </c>
      <c r="S75" s="58" t="n">
        <v>96.59</v>
      </c>
      <c r="T75" s="58" t="n">
        <v>34.21</v>
      </c>
      <c r="U75" s="58"/>
      <c r="V75" s="59" t="n">
        <v>314.52</v>
      </c>
    </row>
    <row r="76" customFormat="false" ht="15" hidden="false" customHeight="true" outlineLevel="0" collapsed="false">
      <c r="A76" s="57" t="n">
        <v>45660</v>
      </c>
      <c r="B76" s="58" t="n">
        <v>430.57</v>
      </c>
      <c r="C76" s="58" t="n">
        <v>115.2</v>
      </c>
      <c r="D76" s="58" t="n">
        <v>714.36</v>
      </c>
      <c r="E76" s="58" t="n">
        <v>232.55</v>
      </c>
      <c r="F76" s="58" t="n">
        <v>89.76</v>
      </c>
      <c r="G76" s="58" t="n">
        <v>65.7</v>
      </c>
      <c r="H76" s="58" t="n">
        <v>89.87</v>
      </c>
      <c r="I76" s="58" t="n">
        <v>144.47</v>
      </c>
      <c r="J76" s="58" t="n">
        <v>105.63</v>
      </c>
      <c r="K76" s="58" t="n">
        <v>79.89</v>
      </c>
      <c r="L76" s="58" t="n">
        <v>208.61</v>
      </c>
      <c r="M76" s="58" t="n">
        <v>125.67</v>
      </c>
      <c r="N76" s="58" t="n">
        <v>407.11</v>
      </c>
      <c r="O76" s="58" t="n">
        <v>97.24</v>
      </c>
      <c r="P76" s="58"/>
      <c r="Q76" s="58" t="n">
        <v>62.85</v>
      </c>
      <c r="R76" s="58" t="n">
        <v>57.08</v>
      </c>
      <c r="S76" s="58" t="n">
        <v>96.89</v>
      </c>
      <c r="T76" s="58" t="n">
        <v>34.47</v>
      </c>
      <c r="U76" s="58"/>
      <c r="V76" s="59" t="n">
        <v>310.82</v>
      </c>
    </row>
    <row r="77" customFormat="false" ht="15" hidden="false" customHeight="true" outlineLevel="0" collapsed="false">
      <c r="A77" s="57" t="n">
        <v>45667</v>
      </c>
      <c r="B77" s="58" t="n">
        <v>405.92</v>
      </c>
      <c r="C77" s="58" t="n">
        <v>114.34</v>
      </c>
      <c r="D77" s="58" t="n">
        <v>739.01</v>
      </c>
      <c r="E77" s="58" t="n">
        <v>224.31</v>
      </c>
      <c r="F77" s="58" t="n">
        <v>87.21</v>
      </c>
      <c r="G77" s="58" t="n">
        <v>68.31</v>
      </c>
      <c r="H77" s="58" t="n">
        <v>99.34</v>
      </c>
      <c r="I77" s="58" t="n">
        <v>135.91</v>
      </c>
      <c r="J77" s="58" t="n">
        <v>103.59</v>
      </c>
      <c r="K77" s="58" t="n">
        <v>67.26</v>
      </c>
      <c r="L77" s="58" t="n">
        <v>208.37</v>
      </c>
      <c r="M77" s="58" t="n">
        <v>128.93</v>
      </c>
      <c r="N77" s="58" t="n">
        <v>409.56</v>
      </c>
      <c r="O77" s="58" t="n">
        <v>94.69</v>
      </c>
      <c r="P77" s="58"/>
      <c r="Q77" s="58" t="n">
        <v>62.45</v>
      </c>
      <c r="R77" s="58" t="n">
        <v>55.98</v>
      </c>
      <c r="S77" s="58" t="n">
        <v>95.58</v>
      </c>
      <c r="T77" s="58" t="n">
        <v>34.46</v>
      </c>
      <c r="U77" s="58"/>
      <c r="V77" s="59" t="n">
        <v>303.72</v>
      </c>
    </row>
    <row r="78" customFormat="false" ht="15" hidden="false" customHeight="true" outlineLevel="0" collapsed="false">
      <c r="A78" s="57" t="n">
        <v>45674</v>
      </c>
      <c r="B78" s="58" t="n">
        <v>429.99</v>
      </c>
      <c r="C78" s="58" t="n">
        <v>119.95</v>
      </c>
      <c r="D78" s="58" t="n">
        <v>756.33</v>
      </c>
      <c r="E78" s="58" t="n">
        <v>237.44</v>
      </c>
      <c r="F78" s="58" t="n">
        <v>89.25</v>
      </c>
      <c r="G78" s="58" t="n">
        <v>75.75</v>
      </c>
      <c r="H78" s="58" t="n">
        <v>105.75</v>
      </c>
      <c r="I78" s="58" t="n">
        <v>137.71</v>
      </c>
      <c r="J78" s="58" t="n">
        <v>109.48</v>
      </c>
      <c r="K78" s="58" t="n">
        <v>71.77</v>
      </c>
      <c r="L78" s="58" t="n">
        <v>211.5</v>
      </c>
      <c r="M78" s="58" t="n">
        <v>135.88</v>
      </c>
      <c r="N78" s="58" t="n">
        <v>422</v>
      </c>
      <c r="O78" s="58" t="n">
        <v>99.32</v>
      </c>
      <c r="P78" s="58"/>
      <c r="Q78" s="58" t="n">
        <v>61.36</v>
      </c>
      <c r="R78" s="58" t="n">
        <v>57.27</v>
      </c>
      <c r="S78" s="58" t="n">
        <v>98.65</v>
      </c>
      <c r="T78" s="58" t="n">
        <v>35.79</v>
      </c>
      <c r="U78" s="58"/>
      <c r="V78" s="59" t="n">
        <v>315.47</v>
      </c>
    </row>
    <row r="79" customFormat="false" ht="15" hidden="false" customHeight="true" outlineLevel="0" collapsed="false">
      <c r="A79" s="57" t="n">
        <v>45681</v>
      </c>
      <c r="B79" s="58" t="n">
        <v>435.38</v>
      </c>
      <c r="C79" s="58" t="n">
        <v>129.17</v>
      </c>
      <c r="D79" s="58" t="n">
        <v>732.25</v>
      </c>
      <c r="E79" s="58" t="n">
        <v>244.7</v>
      </c>
      <c r="F79" s="58" t="n">
        <v>93.73</v>
      </c>
      <c r="G79" s="58" t="n">
        <v>74.98</v>
      </c>
      <c r="H79" s="58" t="n">
        <v>103.19</v>
      </c>
      <c r="I79" s="58" t="n">
        <v>142.62</v>
      </c>
      <c r="J79" s="58" t="n">
        <v>118.93</v>
      </c>
      <c r="K79" s="58" t="n">
        <v>78.98</v>
      </c>
      <c r="L79" s="58" t="n">
        <v>221.88</v>
      </c>
      <c r="M79" s="58" t="n">
        <v>146.32</v>
      </c>
      <c r="N79" s="58" t="n">
        <v>439.62</v>
      </c>
      <c r="O79" s="58" t="n">
        <v>99.82</v>
      </c>
      <c r="P79" s="58"/>
      <c r="Q79" s="58" t="n">
        <v>60.49</v>
      </c>
      <c r="R79" s="58" t="n">
        <v>58.07</v>
      </c>
      <c r="S79" s="58" t="n">
        <v>101.33</v>
      </c>
      <c r="T79" s="58" t="n">
        <v>35.88</v>
      </c>
      <c r="U79" s="58"/>
      <c r="V79" s="59" t="n">
        <v>325.91</v>
      </c>
    </row>
    <row r="80" customFormat="false" ht="15" hidden="false" customHeight="true" outlineLevel="0" collapsed="false">
      <c r="A80" s="57" t="n">
        <v>45688</v>
      </c>
      <c r="B80" s="58" t="n">
        <v>437.45</v>
      </c>
      <c r="C80" s="58" t="n">
        <v>115.23</v>
      </c>
      <c r="D80" s="58" t="n">
        <v>739.31</v>
      </c>
      <c r="E80" s="58" t="n">
        <v>221.27</v>
      </c>
      <c r="F80" s="58" t="n">
        <v>99.52</v>
      </c>
      <c r="G80" s="58" t="n">
        <v>73.82</v>
      </c>
      <c r="H80" s="58" t="n">
        <v>91.24</v>
      </c>
      <c r="I80" s="58" t="n">
        <v>120.07</v>
      </c>
      <c r="J80" s="58" t="n">
        <v>119.25</v>
      </c>
      <c r="K80" s="58" t="n">
        <v>82.49</v>
      </c>
      <c r="L80" s="58" t="n">
        <v>209.32</v>
      </c>
      <c r="M80" s="58" t="n">
        <v>117.02</v>
      </c>
      <c r="N80" s="58" t="n">
        <v>461.68</v>
      </c>
      <c r="O80" s="58" t="n">
        <v>98.31</v>
      </c>
      <c r="P80" s="58"/>
      <c r="Q80" s="58" t="n">
        <v>60.36</v>
      </c>
      <c r="R80" s="58" t="n">
        <v>57.47</v>
      </c>
      <c r="S80" s="58" t="n">
        <v>100.04</v>
      </c>
      <c r="T80" s="58" t="n">
        <v>35.51</v>
      </c>
      <c r="U80" s="58"/>
      <c r="V80" s="59" t="n">
        <v>337.36</v>
      </c>
    </row>
    <row r="81" customFormat="false" ht="15" hidden="false" customHeight="true" outlineLevel="0" collapsed="false">
      <c r="A81" s="57" t="n">
        <v>45695</v>
      </c>
      <c r="B81" s="58" t="n">
        <v>433.07</v>
      </c>
      <c r="C81" s="58" t="n">
        <v>118.47</v>
      </c>
      <c r="D81" s="58" t="n">
        <v>727.7</v>
      </c>
      <c r="E81" s="58" t="n">
        <v>224.87</v>
      </c>
      <c r="F81" s="58" t="n">
        <v>105.4</v>
      </c>
      <c r="G81" s="58" t="n">
        <v>74.77</v>
      </c>
      <c r="H81" s="58" t="n">
        <v>92.3</v>
      </c>
      <c r="I81" s="58" t="n">
        <v>129.84</v>
      </c>
      <c r="J81" s="58" t="n">
        <v>117.35</v>
      </c>
      <c r="K81" s="58" t="n">
        <v>110.85</v>
      </c>
      <c r="L81" s="58" t="n">
        <v>206.12</v>
      </c>
      <c r="M81" s="58" t="n">
        <v>121.38</v>
      </c>
      <c r="N81" s="58" t="n">
        <v>469.32</v>
      </c>
      <c r="O81" s="58" t="n">
        <v>97.17</v>
      </c>
      <c r="P81" s="58"/>
      <c r="Q81" s="58" t="n">
        <v>59.58</v>
      </c>
      <c r="R81" s="58" t="n">
        <v>57.17</v>
      </c>
      <c r="S81" s="58" t="n">
        <v>102.03</v>
      </c>
      <c r="T81" s="58" t="n">
        <v>35.2</v>
      </c>
      <c r="U81" s="58"/>
      <c r="V81" s="59" t="n">
        <v>343.5</v>
      </c>
    </row>
    <row r="82" customFormat="false" ht="15" hidden="false" customHeight="true" outlineLevel="0" collapsed="false">
      <c r="A82" s="57" t="n">
        <v>45702</v>
      </c>
      <c r="B82" s="58" t="n">
        <v>460.16</v>
      </c>
      <c r="C82" s="58" t="n">
        <v>106.87</v>
      </c>
      <c r="D82" s="58" t="n">
        <v>751.55</v>
      </c>
      <c r="E82" s="58" t="n">
        <v>233.04</v>
      </c>
      <c r="F82" s="58" t="n">
        <v>112.94</v>
      </c>
      <c r="G82" s="58" t="n">
        <v>75.07</v>
      </c>
      <c r="H82" s="58" t="n">
        <v>99.52</v>
      </c>
      <c r="I82" s="58" t="n">
        <v>138.85</v>
      </c>
      <c r="J82" s="58" t="n">
        <v>120.85</v>
      </c>
      <c r="K82" s="58" t="n">
        <v>119.16</v>
      </c>
      <c r="L82" s="58" t="n">
        <v>203.9</v>
      </c>
      <c r="M82" s="58" t="n">
        <v>108.05</v>
      </c>
      <c r="N82" s="58" t="n">
        <v>459</v>
      </c>
      <c r="O82" s="58" t="n">
        <v>97.47</v>
      </c>
      <c r="P82" s="58"/>
      <c r="Q82" s="58" t="n">
        <v>57.27</v>
      </c>
      <c r="R82" s="58" t="n">
        <v>58.27</v>
      </c>
      <c r="S82" s="58" t="n">
        <v>103.06</v>
      </c>
      <c r="T82" s="58" t="n">
        <v>35.61</v>
      </c>
      <c r="U82" s="58"/>
      <c r="V82" s="59" t="n">
        <v>349.81</v>
      </c>
    </row>
    <row r="83" customFormat="false" ht="15" hidden="false" customHeight="true" outlineLevel="0" collapsed="false">
      <c r="A83" s="57" t="n">
        <v>45709</v>
      </c>
      <c r="B83" s="58" t="n">
        <v>444.32</v>
      </c>
      <c r="C83" s="58" t="n">
        <v>98.3</v>
      </c>
      <c r="D83" s="58" t="n">
        <v>737.21</v>
      </c>
      <c r="E83" s="58" t="n">
        <v>218.66</v>
      </c>
      <c r="F83" s="58" t="n">
        <v>101.67</v>
      </c>
      <c r="G83" s="58" t="n">
        <v>75.43</v>
      </c>
      <c r="H83" s="58" t="n">
        <v>98.84</v>
      </c>
      <c r="I83" s="58" t="n">
        <v>134.43</v>
      </c>
      <c r="J83" s="58" t="n">
        <v>120.97</v>
      </c>
      <c r="K83" s="58" t="n">
        <v>101.35</v>
      </c>
      <c r="L83" s="58" t="n">
        <v>198.24</v>
      </c>
      <c r="M83" s="58" t="n">
        <v>95.99</v>
      </c>
      <c r="N83" s="58" t="n">
        <v>484.24</v>
      </c>
      <c r="O83" s="58" t="n">
        <v>93.91</v>
      </c>
      <c r="P83" s="58"/>
      <c r="Q83" s="58" t="n">
        <v>58.35</v>
      </c>
      <c r="R83" s="58" t="n">
        <v>57.57</v>
      </c>
      <c r="S83" s="58" t="n">
        <v>99.91</v>
      </c>
      <c r="T83" s="58" t="n">
        <v>35.49</v>
      </c>
      <c r="U83" s="58"/>
      <c r="V83" s="59" t="n">
        <v>344.59</v>
      </c>
    </row>
    <row r="84" customFormat="false" ht="15" hidden="false" customHeight="true" outlineLevel="0" collapsed="false">
      <c r="A84" s="57" t="n">
        <v>45716</v>
      </c>
      <c r="B84" s="58" t="n">
        <v>438.56</v>
      </c>
      <c r="C84" s="58" t="n">
        <v>93.05</v>
      </c>
      <c r="D84" s="58" t="n">
        <v>709.08</v>
      </c>
      <c r="E84" s="58" t="n">
        <v>199.43</v>
      </c>
      <c r="F84" s="58" t="n">
        <v>97.42</v>
      </c>
      <c r="G84" s="58" t="n">
        <v>70.88</v>
      </c>
      <c r="H84" s="58" t="n">
        <v>93.63</v>
      </c>
      <c r="I84" s="58" t="n">
        <v>124.92</v>
      </c>
      <c r="J84" s="58" t="n">
        <v>123.92</v>
      </c>
      <c r="K84" s="58" t="n">
        <v>84.92</v>
      </c>
      <c r="L84" s="58" t="n">
        <v>180.53</v>
      </c>
      <c r="M84" s="58" t="n">
        <v>95.17</v>
      </c>
      <c r="N84" s="58" t="n">
        <v>479.79</v>
      </c>
      <c r="O84" s="58" t="n">
        <v>92.85</v>
      </c>
      <c r="P84" s="58"/>
      <c r="Q84" s="58" t="n">
        <v>58</v>
      </c>
      <c r="R84" s="58" t="n">
        <v>55.98</v>
      </c>
      <c r="S84" s="58" t="n">
        <v>99.8</v>
      </c>
      <c r="T84" s="58" t="n">
        <v>35.32</v>
      </c>
      <c r="U84" s="58"/>
      <c r="V84" s="59" t="n">
        <v>358.6</v>
      </c>
    </row>
    <row r="85" customFormat="false" ht="15" hidden="false" customHeight="true" outlineLevel="0" collapsed="false">
      <c r="A85" s="57" t="n">
        <v>45723</v>
      </c>
      <c r="B85" s="58" t="n">
        <v>449.4</v>
      </c>
      <c r="C85" s="58" t="n">
        <v>83.36</v>
      </c>
      <c r="D85" s="58" t="n">
        <v>732.22</v>
      </c>
      <c r="E85" s="58" t="n">
        <v>194.96</v>
      </c>
      <c r="F85" s="58" t="n">
        <v>83.38</v>
      </c>
      <c r="G85" s="58" t="n">
        <v>71.13</v>
      </c>
      <c r="H85" s="58" t="n">
        <v>92.96</v>
      </c>
      <c r="I85" s="58" t="n">
        <v>112.69</v>
      </c>
      <c r="J85" s="58" t="n">
        <v>119.91</v>
      </c>
      <c r="K85" s="58" t="n">
        <v>84.91</v>
      </c>
      <c r="L85" s="58" t="n">
        <v>177.1</v>
      </c>
      <c r="M85" s="58" t="n">
        <v>85.04</v>
      </c>
      <c r="N85" s="58" t="n">
        <v>488.29</v>
      </c>
      <c r="O85" s="58" t="n">
        <v>88.68</v>
      </c>
      <c r="P85" s="58"/>
      <c r="Q85" s="58" t="n">
        <v>59.03</v>
      </c>
      <c r="R85" s="58" t="n">
        <v>53.76</v>
      </c>
      <c r="S85" s="58" t="n">
        <v>94.54</v>
      </c>
      <c r="T85" s="58" t="n">
        <v>34.81</v>
      </c>
      <c r="U85" s="58"/>
      <c r="V85" s="59" t="n">
        <v>341.41</v>
      </c>
    </row>
    <row r="86" customFormat="false" ht="15" hidden="false" customHeight="true" outlineLevel="0" collapsed="false">
      <c r="A86" s="57" t="n">
        <v>45730</v>
      </c>
      <c r="B86" s="58" t="n">
        <v>394.74</v>
      </c>
      <c r="C86" s="58" t="n">
        <v>83.51</v>
      </c>
      <c r="D86" s="58" t="n">
        <v>714</v>
      </c>
      <c r="E86" s="58" t="n">
        <v>195.54</v>
      </c>
      <c r="F86" s="58" t="n">
        <v>88.43</v>
      </c>
      <c r="G86" s="58" t="n">
        <v>71.3</v>
      </c>
      <c r="H86" s="58" t="n">
        <v>100.79</v>
      </c>
      <c r="I86" s="58" t="n">
        <v>121.67</v>
      </c>
      <c r="J86" s="58" t="n">
        <v>111.89</v>
      </c>
      <c r="K86" s="58" t="n">
        <v>86.24</v>
      </c>
      <c r="L86" s="58" t="n">
        <v>174.09</v>
      </c>
      <c r="M86" s="58" t="n">
        <v>87.45</v>
      </c>
      <c r="N86" s="58" t="n">
        <v>504.77</v>
      </c>
      <c r="O86" s="58" t="n">
        <v>87.02</v>
      </c>
      <c r="P86" s="58"/>
      <c r="Q86" s="58" t="n">
        <v>59.99</v>
      </c>
      <c r="R86" s="58" t="n">
        <v>52.61</v>
      </c>
      <c r="S86" s="58" t="n">
        <v>93.86</v>
      </c>
      <c r="T86" s="58" t="n">
        <v>34.09</v>
      </c>
      <c r="U86" s="58"/>
      <c r="V86" s="59" t="n">
        <v>328.04</v>
      </c>
    </row>
    <row r="87" customFormat="false" ht="15" hidden="false" customHeight="true" outlineLevel="0" collapsed="false">
      <c r="A87" s="57" t="n">
        <v>45737</v>
      </c>
      <c r="B87" s="58" t="n">
        <v>387.26</v>
      </c>
      <c r="C87" s="58" t="n">
        <v>83.13</v>
      </c>
      <c r="D87" s="58" t="n">
        <v>716.22</v>
      </c>
      <c r="E87" s="58" t="n">
        <v>191.66</v>
      </c>
      <c r="F87" s="58" t="n">
        <v>90.56</v>
      </c>
      <c r="G87" s="58" t="n">
        <v>70.65</v>
      </c>
      <c r="H87" s="58" t="n">
        <v>94.72</v>
      </c>
      <c r="I87" s="58" t="n">
        <v>117.7</v>
      </c>
      <c r="J87" s="58" t="n">
        <v>108.42</v>
      </c>
      <c r="K87" s="58" t="n">
        <v>90.96</v>
      </c>
      <c r="L87" s="58" t="n">
        <v>176.73</v>
      </c>
      <c r="M87" s="58" t="n">
        <v>88.63</v>
      </c>
      <c r="N87" s="58" t="n">
        <v>503.2</v>
      </c>
      <c r="O87" s="58" t="n">
        <v>87.86</v>
      </c>
      <c r="P87" s="58"/>
      <c r="Q87" s="58" t="n">
        <v>59.84</v>
      </c>
      <c r="R87" s="58" t="n">
        <v>52.8</v>
      </c>
      <c r="S87" s="58" t="n">
        <v>94.22</v>
      </c>
      <c r="T87" s="58" t="n">
        <v>34.67</v>
      </c>
      <c r="U87" s="58"/>
      <c r="V87" s="59" t="n">
        <v>331.86</v>
      </c>
    </row>
    <row r="88" customFormat="false" ht="15" hidden="false" customHeight="true" outlineLevel="0" collapsed="false">
      <c r="A88" s="57" t="n">
        <v>45744</v>
      </c>
      <c r="B88" s="58" t="n">
        <v>385.71</v>
      </c>
      <c r="C88" s="58" t="n">
        <v>77.94</v>
      </c>
      <c r="D88" s="58" t="n">
        <v>674.58</v>
      </c>
      <c r="E88" s="58" t="n">
        <v>169.12</v>
      </c>
      <c r="F88" s="58" t="n">
        <v>89.28</v>
      </c>
      <c r="G88" s="58" t="n">
        <v>67.36</v>
      </c>
      <c r="H88" s="58" t="n">
        <v>88.44</v>
      </c>
      <c r="I88" s="58" t="n">
        <v>109.67</v>
      </c>
      <c r="J88" s="58" t="n">
        <v>110.45</v>
      </c>
      <c r="K88" s="58" t="n">
        <v>85.85</v>
      </c>
      <c r="L88" s="58" t="n">
        <v>165.25</v>
      </c>
      <c r="M88" s="58" t="n">
        <v>74.25</v>
      </c>
      <c r="N88" s="58" t="n">
        <v>492.69</v>
      </c>
      <c r="O88" s="58" t="n">
        <v>87.12</v>
      </c>
      <c r="P88" s="58"/>
      <c r="Q88" s="58" t="n">
        <v>61.6</v>
      </c>
      <c r="R88" s="58" t="n">
        <v>51.81</v>
      </c>
      <c r="S88" s="58" t="n">
        <v>92.19</v>
      </c>
      <c r="T88" s="58" t="n">
        <v>34.1</v>
      </c>
      <c r="U88" s="58"/>
      <c r="V88" s="59" t="n">
        <v>338.97</v>
      </c>
    </row>
    <row r="89" customFormat="false" ht="15" hidden="false" customHeight="true" outlineLevel="0" collapsed="false">
      <c r="A89" s="57" t="n">
        <v>45751</v>
      </c>
      <c r="B89" s="58" t="n">
        <v>349.07</v>
      </c>
      <c r="C89" s="58" t="n">
        <v>64.37</v>
      </c>
      <c r="D89" s="58" t="n">
        <v>605.55</v>
      </c>
      <c r="E89" s="58" t="n">
        <v>146.29</v>
      </c>
      <c r="F89" s="58" t="n">
        <v>80.41</v>
      </c>
      <c r="G89" s="58" t="n">
        <v>57.65</v>
      </c>
      <c r="H89" s="58" t="n">
        <v>64.72</v>
      </c>
      <c r="I89" s="58" t="n">
        <v>94.31</v>
      </c>
      <c r="J89" s="58" t="n">
        <v>98.23</v>
      </c>
      <c r="K89" s="58" t="n">
        <v>74.01</v>
      </c>
      <c r="L89" s="58" t="n">
        <v>146.8</v>
      </c>
      <c r="M89" s="58" t="n">
        <v>59.41</v>
      </c>
      <c r="N89" s="58" t="n">
        <v>474.62</v>
      </c>
      <c r="O89" s="58" t="n">
        <v>78</v>
      </c>
      <c r="P89" s="58"/>
      <c r="Q89" s="58" t="n">
        <v>60.58</v>
      </c>
      <c r="R89" s="58" t="n">
        <v>46.6</v>
      </c>
      <c r="S89" s="58" t="n">
        <v>82.32</v>
      </c>
      <c r="T89" s="58" t="n">
        <v>30.95</v>
      </c>
      <c r="U89" s="58"/>
      <c r="V89" s="59" t="n">
        <v>309.59</v>
      </c>
    </row>
    <row r="90" customFormat="false" ht="15" hidden="false" customHeight="true" outlineLevel="0" collapsed="false">
      <c r="A90" s="57" t="n">
        <v>45758</v>
      </c>
      <c r="B90" s="58" t="n">
        <v>352.47</v>
      </c>
      <c r="C90" s="58" t="n">
        <v>72.67</v>
      </c>
      <c r="D90" s="58" t="n">
        <v>668.81</v>
      </c>
      <c r="E90" s="58" t="n">
        <v>181.94</v>
      </c>
      <c r="F90" s="58" t="n">
        <v>94.48</v>
      </c>
      <c r="G90" s="58" t="n">
        <v>67.02</v>
      </c>
      <c r="H90" s="58" t="n">
        <v>69.55</v>
      </c>
      <c r="I90" s="58" t="n">
        <v>110.93</v>
      </c>
      <c r="J90" s="58" t="n">
        <v>96.23</v>
      </c>
      <c r="K90" s="58" t="n">
        <v>88.55</v>
      </c>
      <c r="L90" s="58" t="n">
        <v>157.08</v>
      </c>
      <c r="M90" s="58" t="n">
        <v>69.61</v>
      </c>
      <c r="N90" s="58" t="n">
        <v>484.22</v>
      </c>
      <c r="O90" s="58" t="n">
        <v>78.98</v>
      </c>
      <c r="P90" s="58"/>
      <c r="Q90" s="58" t="n">
        <v>61.24</v>
      </c>
      <c r="R90" s="58" t="n">
        <v>49.54</v>
      </c>
      <c r="S90" s="58" t="n">
        <v>89.82</v>
      </c>
      <c r="T90" s="58" t="n">
        <v>31.56</v>
      </c>
      <c r="U90" s="58"/>
      <c r="V90" s="59" t="n">
        <v>329.63</v>
      </c>
    </row>
    <row r="91" customFormat="false" ht="15" hidden="false" customHeight="true" outlineLevel="0" collapsed="false">
      <c r="A91" s="57" t="n">
        <v>45764</v>
      </c>
      <c r="B91" s="58" t="n">
        <v>348.8</v>
      </c>
      <c r="C91" s="58" t="n">
        <v>71.2</v>
      </c>
      <c r="D91" s="58" t="n">
        <v>640.16</v>
      </c>
      <c r="E91" s="58" t="n">
        <v>170.99</v>
      </c>
      <c r="F91" s="58" t="n">
        <v>93.91</v>
      </c>
      <c r="G91" s="58" t="n">
        <v>63.44</v>
      </c>
      <c r="H91" s="58" t="n">
        <v>68.8</v>
      </c>
      <c r="I91" s="58" t="n">
        <v>101.49</v>
      </c>
      <c r="J91" s="58" t="n">
        <v>102.1</v>
      </c>
      <c r="K91" s="58" t="n">
        <v>93.78</v>
      </c>
      <c r="L91" s="58" t="n">
        <v>151.74</v>
      </c>
      <c r="M91" s="58" t="n">
        <v>73.21</v>
      </c>
      <c r="N91" s="58" t="n">
        <v>489.1</v>
      </c>
      <c r="O91" s="58" t="n">
        <v>80.45</v>
      </c>
      <c r="P91" s="58"/>
      <c r="Q91" s="58" t="n">
        <v>61.83</v>
      </c>
      <c r="R91" s="58" t="n">
        <v>48.74</v>
      </c>
      <c r="S91" s="58" t="n">
        <v>88.26</v>
      </c>
      <c r="T91" s="58" t="n">
        <v>31.78</v>
      </c>
      <c r="U91" s="58"/>
    </row>
    <row r="92" customFormat="false" ht="15" hidden="false" customHeight="true" outlineLevel="0" collapsed="false">
      <c r="A92" s="57" t="n">
        <v>45772</v>
      </c>
      <c r="B92" s="58" t="n">
        <v>367.72</v>
      </c>
      <c r="C92" s="58" t="n">
        <v>77.91</v>
      </c>
      <c r="D92" s="58" t="n">
        <v>677.27</v>
      </c>
      <c r="E92" s="58" t="n">
        <v>192.31</v>
      </c>
      <c r="F92" s="58" t="n">
        <v>106.22</v>
      </c>
      <c r="G92" s="58" t="n">
        <v>69.46</v>
      </c>
      <c r="H92" s="58" t="n">
        <v>79.78</v>
      </c>
      <c r="I92" s="58" t="n">
        <v>111.01</v>
      </c>
      <c r="J92" s="58" t="n">
        <v>102.24</v>
      </c>
      <c r="K92" s="58" t="n">
        <v>112.78</v>
      </c>
      <c r="L92" s="58" t="n">
        <v>165.1</v>
      </c>
      <c r="M92" s="58" t="n">
        <v>86.95</v>
      </c>
      <c r="N92" s="58" t="n">
        <v>493.84</v>
      </c>
      <c r="O92" s="58" t="n">
        <v>82.71</v>
      </c>
      <c r="P92" s="58"/>
      <c r="Q92" s="58" t="n">
        <v>61.82</v>
      </c>
      <c r="R92" s="58" t="n">
        <v>51.09</v>
      </c>
      <c r="S92" s="58" t="n">
        <v>94.02</v>
      </c>
      <c r="T92" s="58" t="n">
        <v>32.83</v>
      </c>
      <c r="U92" s="58"/>
      <c r="V92" s="59" t="n">
        <v>331.38</v>
      </c>
    </row>
    <row r="93" customFormat="false" ht="15" hidden="false" customHeight="true" outlineLevel="0" collapsed="false">
      <c r="A93" s="57" t="n">
        <v>45779</v>
      </c>
      <c r="B93" s="58" t="n">
        <v>380.87</v>
      </c>
      <c r="C93" s="58" t="n">
        <v>91.02</v>
      </c>
      <c r="D93" s="58" t="n">
        <v>690.33</v>
      </c>
      <c r="E93" s="58" t="n">
        <v>203.64</v>
      </c>
      <c r="F93" s="58" t="n">
        <v>110.15</v>
      </c>
      <c r="G93" s="58" t="n">
        <v>69.82</v>
      </c>
      <c r="H93" s="58" t="n">
        <v>80.72</v>
      </c>
      <c r="I93" s="58" t="n">
        <v>114.5</v>
      </c>
      <c r="J93" s="58" t="n">
        <v>105.41</v>
      </c>
      <c r="K93" s="58" t="n">
        <v>124.28</v>
      </c>
      <c r="L93" s="58" t="n">
        <v>179.28</v>
      </c>
      <c r="M93" s="58" t="n">
        <v>95</v>
      </c>
      <c r="N93" s="58" t="n">
        <v>501.15</v>
      </c>
      <c r="O93" s="58" t="n">
        <v>85.52</v>
      </c>
      <c r="P93" s="58"/>
      <c r="Q93" s="58" t="n">
        <v>61.87</v>
      </c>
      <c r="R93" s="58" t="n">
        <v>51.49</v>
      </c>
      <c r="S93" s="58" t="n">
        <v>97.8</v>
      </c>
      <c r="T93" s="58" t="n">
        <v>33.46</v>
      </c>
      <c r="U93" s="58"/>
      <c r="V93" s="59" t="n">
        <v>343.67</v>
      </c>
    </row>
    <row r="94" customFormat="false" ht="15" hidden="false" customHeight="true" outlineLevel="0" collapsed="false">
      <c r="A94" s="57" t="n">
        <v>45786</v>
      </c>
      <c r="B94" s="58" t="n">
        <v>383.28</v>
      </c>
      <c r="C94" s="58" t="n">
        <v>86.52</v>
      </c>
      <c r="D94" s="58" t="n">
        <v>706.21</v>
      </c>
      <c r="E94" s="58" t="n">
        <v>208.2</v>
      </c>
      <c r="F94" s="58" t="n">
        <v>102.64</v>
      </c>
      <c r="G94" s="58" t="n">
        <v>70.12</v>
      </c>
      <c r="H94" s="58" t="n">
        <v>85.86</v>
      </c>
      <c r="I94" s="58" t="n">
        <v>116.65</v>
      </c>
      <c r="J94" s="58" t="n">
        <v>106.91</v>
      </c>
      <c r="K94" s="58" t="n">
        <v>117.3</v>
      </c>
      <c r="L94" s="58" t="n">
        <v>176.52</v>
      </c>
      <c r="M94" s="58" t="n">
        <v>94.06</v>
      </c>
      <c r="N94" s="58" t="n">
        <v>424.99</v>
      </c>
      <c r="O94" s="58" t="n">
        <v>86.51</v>
      </c>
      <c r="P94" s="58"/>
      <c r="Q94" s="58" t="n">
        <v>62.54</v>
      </c>
      <c r="R94" s="58" t="n">
        <v>51.63</v>
      </c>
      <c r="S94" s="58" t="n">
        <v>98.48</v>
      </c>
      <c r="T94" s="58" t="n">
        <v>33.4</v>
      </c>
      <c r="U94" s="58"/>
      <c r="V94" s="59" t="n">
        <v>348.55</v>
      </c>
    </row>
    <row r="95" customFormat="false" ht="15" hidden="false" customHeight="true" outlineLevel="0" collapsed="false">
      <c r="A95" s="57" t="n">
        <v>45793</v>
      </c>
      <c r="B95" s="58" t="n">
        <v>417.13</v>
      </c>
      <c r="C95" s="58" t="n">
        <v>96.42</v>
      </c>
      <c r="D95" s="58" t="n">
        <v>748.1</v>
      </c>
      <c r="E95" s="58" t="n">
        <v>228.61</v>
      </c>
      <c r="F95" s="58" t="n">
        <v>109.82</v>
      </c>
      <c r="G95" s="58" t="n">
        <v>79.12</v>
      </c>
      <c r="H95" s="58" t="n">
        <v>98</v>
      </c>
      <c r="I95" s="58" t="n">
        <v>135.4</v>
      </c>
      <c r="J95" s="58" t="n">
        <v>110.55</v>
      </c>
      <c r="K95" s="58" t="n">
        <v>129.52</v>
      </c>
      <c r="L95" s="58" t="n">
        <v>194.22</v>
      </c>
      <c r="M95" s="58" t="n">
        <v>106.04</v>
      </c>
      <c r="N95" s="58" t="n">
        <v>438.65</v>
      </c>
      <c r="O95" s="58" t="n">
        <v>90.74</v>
      </c>
      <c r="P95" s="58"/>
      <c r="Q95" s="58" t="n">
        <v>62.95</v>
      </c>
      <c r="R95" s="58" t="n">
        <v>52.52</v>
      </c>
      <c r="S95" s="58" t="n">
        <v>105.2</v>
      </c>
      <c r="T95" s="58" t="n">
        <v>34.84</v>
      </c>
      <c r="U95" s="58"/>
      <c r="V95" s="59" t="n">
        <v>361.59</v>
      </c>
    </row>
    <row r="96" customFormat="false" ht="15" hidden="false" customHeight="true" outlineLevel="0" collapsed="false">
      <c r="A96" s="57" t="n">
        <v>45800</v>
      </c>
      <c r="B96" s="58" t="n">
        <v>407.69</v>
      </c>
      <c r="C96" s="58" t="n">
        <v>91.2</v>
      </c>
      <c r="D96" s="58" t="n">
        <v>732.49</v>
      </c>
      <c r="E96" s="58" t="n">
        <v>228.72</v>
      </c>
      <c r="F96" s="58" t="n">
        <v>113.9</v>
      </c>
      <c r="G96" s="58" t="n">
        <v>75.72</v>
      </c>
      <c r="H96" s="58" t="n">
        <v>93.37</v>
      </c>
      <c r="I96" s="58" t="n">
        <v>131.29</v>
      </c>
      <c r="J96" s="58" t="n">
        <v>104.04</v>
      </c>
      <c r="K96" s="58" t="n">
        <v>123.31</v>
      </c>
      <c r="L96" s="58" t="n">
        <v>191.98</v>
      </c>
      <c r="M96" s="58" t="n">
        <v>104.14</v>
      </c>
      <c r="N96" s="58" t="n">
        <v>436</v>
      </c>
      <c r="O96" s="58" t="n">
        <v>87.11</v>
      </c>
      <c r="P96" s="58"/>
      <c r="Q96" s="58" t="n">
        <v>63.05</v>
      </c>
      <c r="R96" s="58" t="n">
        <v>52.04</v>
      </c>
      <c r="S96" s="58" t="n">
        <v>102.85</v>
      </c>
      <c r="T96" s="58" t="n">
        <v>33.63</v>
      </c>
      <c r="U96" s="58"/>
      <c r="V96" s="59" t="n">
        <v>350.12</v>
      </c>
    </row>
    <row r="97" customFormat="false" ht="15" hidden="false" customHeight="true" outlineLevel="0" collapsed="false">
      <c r="A97" s="57" t="n">
        <v>45807</v>
      </c>
      <c r="B97" s="58" t="n">
        <v>415.09</v>
      </c>
      <c r="C97" s="58" t="n">
        <v>86.64</v>
      </c>
      <c r="D97" s="58" t="n">
        <v>736.77</v>
      </c>
      <c r="E97" s="58" t="n">
        <v>242.07</v>
      </c>
      <c r="F97" s="58" t="n">
        <v>117.84</v>
      </c>
      <c r="G97" s="58" t="n">
        <v>75.69</v>
      </c>
      <c r="H97" s="58" t="n">
        <v>94.46</v>
      </c>
      <c r="I97" s="58" t="n">
        <v>135.13</v>
      </c>
      <c r="J97" s="58" t="n">
        <v>108.6</v>
      </c>
      <c r="K97" s="58" t="n">
        <v>131.78</v>
      </c>
      <c r="L97" s="58" t="n">
        <v>193.32</v>
      </c>
      <c r="M97" s="58" t="n">
        <v>107.93</v>
      </c>
      <c r="N97" s="58" t="n">
        <v>442.05</v>
      </c>
      <c r="O97" s="58" t="n">
        <v>88.13</v>
      </c>
      <c r="P97" s="58"/>
      <c r="Q97" s="58" t="n">
        <v>63.27</v>
      </c>
      <c r="R97" s="58" t="n">
        <v>52.63</v>
      </c>
      <c r="S97" s="58" t="n">
        <v>105.35</v>
      </c>
      <c r="T97" s="58" t="n">
        <v>33.89</v>
      </c>
      <c r="U97" s="58"/>
      <c r="V97" s="59" t="n">
        <v>361.66</v>
      </c>
    </row>
    <row r="98" customFormat="false" ht="15" hidden="false" customHeight="true" outlineLevel="0" collapsed="false">
      <c r="A98" s="57" t="n">
        <v>45814</v>
      </c>
      <c r="B98" s="58" t="n">
        <v>416.92</v>
      </c>
      <c r="C98" s="58" t="n">
        <v>97.25</v>
      </c>
      <c r="D98" s="58" t="n">
        <v>753.02</v>
      </c>
      <c r="E98" s="58" t="n">
        <v>246.93</v>
      </c>
      <c r="F98" s="58" t="n">
        <v>117.1</v>
      </c>
      <c r="G98" s="58" t="n">
        <v>80.8</v>
      </c>
      <c r="H98" s="58" t="n">
        <v>108.56</v>
      </c>
      <c r="I98" s="58" t="n">
        <v>141.72</v>
      </c>
      <c r="J98" s="58" t="n">
        <v>108.79</v>
      </c>
      <c r="K98" s="58" t="n">
        <v>127.72</v>
      </c>
      <c r="L98" s="58" t="n">
        <v>205.18</v>
      </c>
      <c r="M98" s="58" t="n">
        <v>115.36</v>
      </c>
      <c r="N98" s="58" t="n">
        <v>450.5</v>
      </c>
      <c r="O98" s="58" t="n">
        <v>89.76</v>
      </c>
      <c r="P98" s="58"/>
      <c r="Q98" s="58" t="n">
        <v>63.41</v>
      </c>
      <c r="R98" s="58" t="n">
        <v>52.7</v>
      </c>
      <c r="S98" s="58" t="n">
        <v>106.92</v>
      </c>
      <c r="T98" s="58" t="n">
        <v>34.69</v>
      </c>
      <c r="U98" s="58"/>
      <c r="V98" s="59" t="n">
        <v>366.64</v>
      </c>
    </row>
    <row r="99" customFormat="false" ht="15" hidden="false" customHeight="true" outlineLevel="0" collapsed="false">
      <c r="A99" s="57" t="n">
        <v>45821</v>
      </c>
      <c r="B99" s="58" t="n">
        <v>391.68</v>
      </c>
      <c r="C99" s="58" t="n">
        <v>92.35</v>
      </c>
      <c r="D99" s="58" t="n">
        <v>761</v>
      </c>
      <c r="E99" s="58" t="n">
        <v>248.7</v>
      </c>
      <c r="F99" s="58" t="n">
        <v>120.16</v>
      </c>
      <c r="G99" s="58" t="n">
        <v>86.77</v>
      </c>
      <c r="H99" s="58" t="n">
        <v>115.6</v>
      </c>
      <c r="I99" s="58" t="n">
        <v>141.97</v>
      </c>
      <c r="J99" s="58" t="n">
        <v>107.28</v>
      </c>
      <c r="K99" s="58" t="n">
        <v>137.4</v>
      </c>
      <c r="L99" s="58" t="n">
        <v>211.1</v>
      </c>
      <c r="M99" s="58" t="n">
        <v>110.97</v>
      </c>
      <c r="N99" s="58" t="n">
        <v>455.45</v>
      </c>
      <c r="O99" s="58" t="n">
        <v>89.22</v>
      </c>
      <c r="P99" s="58"/>
      <c r="Q99" s="58" t="n">
        <v>62.75</v>
      </c>
      <c r="R99" s="58" t="n">
        <v>52.59</v>
      </c>
      <c r="S99" s="58" t="n">
        <v>106.16</v>
      </c>
      <c r="T99" s="58" t="n">
        <v>35.07</v>
      </c>
      <c r="U99" s="58"/>
      <c r="V99" s="59" t="n">
        <v>349.44</v>
      </c>
    </row>
    <row r="100" customFormat="false" ht="15" hidden="false" customHeight="true" outlineLevel="0" collapsed="false">
      <c r="A100" s="57" t="n">
        <v>45828</v>
      </c>
      <c r="B100" s="58" t="n">
        <v>376.92</v>
      </c>
      <c r="C100" s="58" t="n">
        <v>86.25</v>
      </c>
      <c r="D100" s="58" t="n">
        <v>756.53</v>
      </c>
      <c r="E100" s="58" t="n">
        <v>249.99</v>
      </c>
      <c r="F100" s="58" t="n">
        <v>119.08</v>
      </c>
      <c r="G100" s="58" t="n">
        <v>85</v>
      </c>
      <c r="H100" s="58" t="n">
        <v>123.6</v>
      </c>
      <c r="I100" s="58" t="n">
        <v>143.85</v>
      </c>
      <c r="J100" s="58" t="n">
        <v>105.69</v>
      </c>
      <c r="K100" s="58" t="n">
        <v>137.3</v>
      </c>
      <c r="L100" s="58" t="n">
        <v>209.51</v>
      </c>
      <c r="M100" s="58" t="n">
        <v>118.54</v>
      </c>
      <c r="N100" s="58" t="n">
        <v>440.87</v>
      </c>
      <c r="O100" s="58" t="n">
        <v>89.37</v>
      </c>
      <c r="P100" s="58"/>
      <c r="Q100" s="58" t="n">
        <v>63.47</v>
      </c>
      <c r="R100" s="58" t="n">
        <v>52.75</v>
      </c>
      <c r="S100" s="58" t="n">
        <v>106.91</v>
      </c>
      <c r="T100" s="58" t="n">
        <v>35.03</v>
      </c>
      <c r="U100" s="58"/>
      <c r="V100" s="59" t="n">
        <v>335.29</v>
      </c>
    </row>
    <row r="101" customFormat="false" ht="15" hidden="false" customHeight="true" outlineLevel="0" collapsed="false">
      <c r="A101" s="57" t="n">
        <v>45835</v>
      </c>
      <c r="B101" s="58" t="n">
        <v>385.83</v>
      </c>
      <c r="C101" s="58" t="n">
        <v>99.39</v>
      </c>
      <c r="D101" s="58" t="n">
        <v>795.95</v>
      </c>
      <c r="E101" s="58" t="n">
        <v>269.35</v>
      </c>
      <c r="F101" s="58" t="n">
        <v>124.83</v>
      </c>
      <c r="G101" s="58" t="n">
        <v>88.99</v>
      </c>
      <c r="H101" s="58" t="n">
        <v>124.76</v>
      </c>
      <c r="I101" s="58" t="n">
        <v>157.75</v>
      </c>
      <c r="J101" s="58" t="n">
        <v>105.62</v>
      </c>
      <c r="K101" s="58" t="n">
        <v>130.74</v>
      </c>
      <c r="L101" s="58" t="n">
        <v>228.57</v>
      </c>
      <c r="M101" s="58" t="n">
        <v>127.16</v>
      </c>
      <c r="N101" s="58" t="n">
        <v>441.3</v>
      </c>
      <c r="O101" s="58" t="n">
        <v>91.21</v>
      </c>
      <c r="P101" s="58"/>
      <c r="Q101" s="58" t="n">
        <v>63.94</v>
      </c>
      <c r="R101" s="58" t="n">
        <v>54.27</v>
      </c>
      <c r="S101" s="58" t="n">
        <v>111.84</v>
      </c>
      <c r="T101" s="58" t="n">
        <v>35.33</v>
      </c>
      <c r="U101" s="58"/>
      <c r="V101" s="59" t="n">
        <v>345.24</v>
      </c>
    </row>
    <row r="102" customFormat="false" ht="15" hidden="false" customHeight="true" outlineLevel="0" collapsed="false">
      <c r="A102" s="57" t="n">
        <v>45841</v>
      </c>
      <c r="B102" s="58" t="n">
        <v>379.31</v>
      </c>
      <c r="C102" s="58" t="n">
        <v>102.52</v>
      </c>
      <c r="D102" s="58" t="n">
        <v>794.5</v>
      </c>
      <c r="E102" s="58" t="n">
        <v>275.18</v>
      </c>
      <c r="F102" s="58" t="n">
        <v>128.53</v>
      </c>
      <c r="G102" s="58" t="n">
        <v>92.46</v>
      </c>
      <c r="H102" s="58" t="n">
        <v>122.29</v>
      </c>
      <c r="I102" s="58" t="n">
        <v>159.34</v>
      </c>
      <c r="J102" s="58" t="n">
        <v>108.02</v>
      </c>
      <c r="K102" s="58" t="n">
        <v>134.36</v>
      </c>
      <c r="L102" s="58" t="n">
        <v>234.8</v>
      </c>
      <c r="M102" s="58" t="n">
        <v>127.84</v>
      </c>
      <c r="N102" s="58" t="n">
        <v>459.62</v>
      </c>
      <c r="O102" s="58" t="n">
        <v>95.01</v>
      </c>
      <c r="P102" s="58"/>
      <c r="Q102" s="58" t="n">
        <v>64.17</v>
      </c>
      <c r="R102" s="58" t="n">
        <v>54.16</v>
      </c>
      <c r="S102" s="58" t="n">
        <v>112.51</v>
      </c>
      <c r="T102" s="58" t="n">
        <v>35.77</v>
      </c>
      <c r="U102" s="58"/>
    </row>
    <row r="103" customFormat="false" ht="15" hidden="false" customHeight="true" outlineLevel="0" collapsed="false">
      <c r="A103" s="57" t="n">
        <v>45849</v>
      </c>
      <c r="B103" s="58" t="n">
        <v>363.35</v>
      </c>
      <c r="C103" s="58" t="n">
        <v>108.57</v>
      </c>
      <c r="D103" s="58" t="n">
        <v>801.93</v>
      </c>
      <c r="E103" s="58" t="n">
        <v>274.38</v>
      </c>
      <c r="F103" s="58" t="n">
        <v>119.61</v>
      </c>
      <c r="G103" s="58" t="n">
        <v>92.46</v>
      </c>
      <c r="H103" s="58" t="n">
        <v>124.53</v>
      </c>
      <c r="I103" s="58" t="n">
        <v>164.92</v>
      </c>
      <c r="J103" s="58" t="n">
        <v>109.17</v>
      </c>
      <c r="K103" s="58" t="n">
        <v>142.1</v>
      </c>
      <c r="L103" s="58" t="n">
        <v>230.4</v>
      </c>
      <c r="M103" s="58" t="n">
        <v>123.3</v>
      </c>
      <c r="N103" s="58" t="n">
        <v>468.85</v>
      </c>
      <c r="O103" s="58" t="n">
        <v>94.88</v>
      </c>
      <c r="P103" s="58"/>
      <c r="Q103" s="58" t="n">
        <v>64.18</v>
      </c>
      <c r="R103" s="58" t="n">
        <v>54.36</v>
      </c>
      <c r="S103" s="58" t="n">
        <v>112.17</v>
      </c>
      <c r="T103" s="58" t="n">
        <v>35.84</v>
      </c>
      <c r="U103" s="58"/>
      <c r="V103" s="59" t="n">
        <v>344.56</v>
      </c>
    </row>
    <row r="104" customFormat="false" ht="15" hidden="false" customHeight="true" outlineLevel="0" collapsed="false">
      <c r="A104" s="57" t="n">
        <v>45856</v>
      </c>
      <c r="B104" s="58" t="n">
        <v>365.79</v>
      </c>
      <c r="C104" s="58" t="n">
        <v>111.78</v>
      </c>
      <c r="D104" s="58" t="n">
        <v>734.58</v>
      </c>
      <c r="E104" s="58" t="n">
        <v>283.34</v>
      </c>
      <c r="F104" s="58" t="n">
        <v>118.99</v>
      </c>
      <c r="G104" s="58" t="n">
        <v>93.11</v>
      </c>
      <c r="H104" s="58" t="n">
        <v>114.39</v>
      </c>
      <c r="I104" s="58" t="n">
        <v>172.41</v>
      </c>
      <c r="J104" s="58" t="n">
        <v>106.78</v>
      </c>
      <c r="K104" s="58" t="n">
        <v>153.52</v>
      </c>
      <c r="L104" s="58" t="n">
        <v>240.4</v>
      </c>
      <c r="M104" s="58" t="n">
        <v>129.06</v>
      </c>
      <c r="N104" s="58" t="n">
        <v>459.81</v>
      </c>
      <c r="O104" s="58" t="n">
        <v>93.77</v>
      </c>
      <c r="P104" s="58"/>
      <c r="Q104" s="58" t="n">
        <v>64.32</v>
      </c>
      <c r="R104" s="58" t="n">
        <v>54.69</v>
      </c>
      <c r="S104" s="58" t="n">
        <v>113.83</v>
      </c>
      <c r="T104" s="58" t="n">
        <v>35.08</v>
      </c>
      <c r="U104" s="58"/>
      <c r="V104" s="59" t="n">
        <v>345.67</v>
      </c>
    </row>
    <row r="105" customFormat="false" ht="15" hidden="false" customHeight="true" outlineLevel="0" collapsed="false">
      <c r="A105" s="57" t="n">
        <v>45863</v>
      </c>
      <c r="B105" s="58" t="n">
        <v>370.74</v>
      </c>
      <c r="C105" s="58" t="n">
        <v>114.28</v>
      </c>
      <c r="D105" s="58" t="n">
        <v>711.25</v>
      </c>
      <c r="E105" s="58" t="n">
        <v>290.18</v>
      </c>
      <c r="F105" s="58" t="n">
        <v>116.98</v>
      </c>
      <c r="G105" s="58" t="n">
        <v>90.21</v>
      </c>
      <c r="H105" s="58" t="n">
        <v>111.26</v>
      </c>
      <c r="I105" s="58" t="n">
        <v>173.5</v>
      </c>
      <c r="J105" s="58" t="n">
        <v>110.29</v>
      </c>
      <c r="K105" s="58" t="n">
        <v>158.8</v>
      </c>
      <c r="L105" s="58" t="n">
        <v>245.6</v>
      </c>
      <c r="M105" s="58" t="n">
        <v>137.47</v>
      </c>
      <c r="N105" s="58" t="n">
        <v>469.65</v>
      </c>
      <c r="O105" s="58" t="n">
        <v>95.15</v>
      </c>
      <c r="P105" s="58"/>
      <c r="Q105" s="58" t="n">
        <v>64.87</v>
      </c>
      <c r="R105" s="58" t="n">
        <v>55.08</v>
      </c>
      <c r="S105" s="58" t="n">
        <v>115.03</v>
      </c>
      <c r="T105" s="58" t="n">
        <v>35.85</v>
      </c>
      <c r="U105" s="58"/>
      <c r="V105" s="59" t="n">
        <v>353.59</v>
      </c>
    </row>
    <row r="106" customFormat="false" ht="15" hidden="false" customHeight="true" outlineLevel="0" collapsed="false">
      <c r="A106" s="57" t="n">
        <v>45870</v>
      </c>
      <c r="B106" s="58" t="n">
        <v>347.8</v>
      </c>
      <c r="C106" s="58" t="n">
        <v>117.57</v>
      </c>
      <c r="D106" s="58" t="n">
        <v>689.82</v>
      </c>
      <c r="E106" s="58" t="n">
        <v>288.64</v>
      </c>
      <c r="F106" s="58" t="n">
        <v>111.67</v>
      </c>
      <c r="G106" s="58" t="n">
        <v>88.66</v>
      </c>
      <c r="H106" s="58" t="n">
        <v>104.88</v>
      </c>
      <c r="I106" s="58" t="n">
        <v>173.72</v>
      </c>
      <c r="J106" s="58" t="n">
        <v>104.91</v>
      </c>
      <c r="K106" s="58" t="n">
        <v>154.27</v>
      </c>
      <c r="L106" s="58" t="n">
        <v>235.21</v>
      </c>
      <c r="M106" s="58" t="n">
        <v>141.59</v>
      </c>
      <c r="N106" s="58" t="n">
        <v>462.13</v>
      </c>
      <c r="O106" s="58" t="n">
        <v>90.37</v>
      </c>
      <c r="P106" s="58"/>
      <c r="Q106" s="58" t="n">
        <v>65</v>
      </c>
      <c r="R106" s="58" t="n">
        <v>53.81</v>
      </c>
      <c r="S106" s="58" t="n">
        <v>113.23</v>
      </c>
      <c r="T106" s="58" t="n">
        <v>34.35</v>
      </c>
      <c r="U106" s="58"/>
      <c r="V106" s="59" t="n">
        <v>336.07</v>
      </c>
    </row>
    <row r="107" customFormat="false" ht="15" hidden="false" customHeight="true" outlineLevel="0" collapsed="false">
      <c r="A107" s="57" t="n">
        <v>45877</v>
      </c>
      <c r="B107" s="58" t="n">
        <v>341.05</v>
      </c>
      <c r="C107" s="58" t="n">
        <v>139.18</v>
      </c>
      <c r="D107" s="58" t="n">
        <v>722.32</v>
      </c>
      <c r="E107" s="58" t="n">
        <v>304.97</v>
      </c>
      <c r="F107" s="58" t="n">
        <v>106.12</v>
      </c>
      <c r="G107" s="58" t="n">
        <v>91.48</v>
      </c>
      <c r="H107" s="58" t="n">
        <v>118.89</v>
      </c>
      <c r="I107" s="58" t="n">
        <v>182.7</v>
      </c>
      <c r="J107" s="58" t="n">
        <v>105.68</v>
      </c>
      <c r="K107" s="58" t="n">
        <v>186.96</v>
      </c>
      <c r="L107" s="58" t="n">
        <v>241.83</v>
      </c>
      <c r="M107" s="58" t="n">
        <v>139.93</v>
      </c>
      <c r="N107" s="58" t="n">
        <v>366.54</v>
      </c>
      <c r="O107" s="58" t="n">
        <v>92.47</v>
      </c>
      <c r="P107" s="58"/>
      <c r="Q107" s="58" t="n">
        <v>64.89</v>
      </c>
      <c r="R107" s="58" t="n">
        <v>55.32</v>
      </c>
      <c r="S107" s="58" t="n">
        <v>117.19</v>
      </c>
      <c r="T107" s="58" t="n">
        <v>34.69</v>
      </c>
      <c r="U107" s="58"/>
      <c r="V107" s="59" t="n">
        <v>333.52</v>
      </c>
    </row>
    <row r="108" customFormat="false" ht="15" hidden="false" customHeight="true" outlineLevel="0" collapsed="false">
      <c r="A108" s="57" t="n">
        <v>45884</v>
      </c>
      <c r="B108" s="58" t="n">
        <v>354.85</v>
      </c>
      <c r="C108" s="58" t="n">
        <v>137.3</v>
      </c>
      <c r="D108" s="58" t="n">
        <v>742.16</v>
      </c>
      <c r="E108" s="58" t="n">
        <v>306.34</v>
      </c>
      <c r="F108" s="58" t="n">
        <v>106.98</v>
      </c>
      <c r="G108" s="58" t="n">
        <v>87.49</v>
      </c>
      <c r="H108" s="58" t="n">
        <v>120.87</v>
      </c>
      <c r="I108" s="58" t="n">
        <v>180.45</v>
      </c>
      <c r="J108" s="58" t="n">
        <v>106.59</v>
      </c>
      <c r="K108" s="58" t="n">
        <v>177.17</v>
      </c>
      <c r="L108" s="58" t="n">
        <v>238.88</v>
      </c>
      <c r="M108" s="58" t="n">
        <v>133.07</v>
      </c>
      <c r="N108" s="58" t="n">
        <v>392.79</v>
      </c>
      <c r="O108" s="58" t="n">
        <v>95.23</v>
      </c>
      <c r="P108" s="58"/>
      <c r="Q108" s="58" t="n">
        <v>65.1</v>
      </c>
      <c r="R108" s="58" t="n">
        <v>55.8</v>
      </c>
      <c r="S108" s="58" t="n">
        <v>117.31</v>
      </c>
      <c r="T108" s="58" t="n">
        <v>36.06</v>
      </c>
      <c r="U108" s="58"/>
      <c r="V108" s="59" t="n">
        <v>341.74</v>
      </c>
    </row>
    <row r="109" customFormat="false" ht="15" hidden="false" customHeight="true" outlineLevel="0" collapsed="false">
      <c r="A109" s="57" t="n">
        <v>45891</v>
      </c>
      <c r="B109" s="58" t="n">
        <v>362.09</v>
      </c>
      <c r="C109" s="58" t="n">
        <v>133.25</v>
      </c>
      <c r="D109" s="58" t="n">
        <v>754.89</v>
      </c>
      <c r="E109" s="58" t="n">
        <v>294</v>
      </c>
      <c r="F109" s="58" t="n">
        <v>105.14</v>
      </c>
      <c r="G109" s="58" t="n">
        <v>87.03</v>
      </c>
      <c r="H109" s="58" t="n">
        <v>117.68</v>
      </c>
      <c r="I109" s="58" t="n">
        <v>177.99</v>
      </c>
      <c r="J109" s="58" t="n">
        <v>112.28</v>
      </c>
      <c r="K109" s="58" t="n">
        <v>158.74</v>
      </c>
      <c r="L109" s="58" t="n">
        <v>232.99</v>
      </c>
      <c r="M109" s="58" t="n">
        <v>125.97</v>
      </c>
      <c r="N109" s="58" t="n">
        <v>395.12</v>
      </c>
      <c r="O109" s="58" t="n">
        <v>99.02</v>
      </c>
      <c r="P109" s="58"/>
      <c r="Q109" s="58" t="n">
        <v>64.28</v>
      </c>
      <c r="R109" s="58" t="n">
        <v>55.67</v>
      </c>
      <c r="S109" s="58" t="n">
        <v>116.51</v>
      </c>
      <c r="T109" s="58" t="n">
        <v>36.99</v>
      </c>
      <c r="U109" s="58"/>
      <c r="V109" s="59" t="n">
        <v>347.26</v>
      </c>
    </row>
    <row r="110" customFormat="false" ht="15" hidden="false" customHeight="true" outlineLevel="0" collapsed="false">
      <c r="A110" s="57" t="n">
        <v>45898</v>
      </c>
      <c r="B110" s="58" t="n">
        <v>356.7</v>
      </c>
      <c r="C110" s="58" t="n">
        <v>136.55</v>
      </c>
      <c r="D110" s="58" t="n">
        <v>742.62</v>
      </c>
      <c r="E110" s="58" t="n">
        <v>297.39</v>
      </c>
      <c r="F110" s="58" t="n">
        <v>105.93</v>
      </c>
      <c r="G110" s="58" t="n">
        <v>87.2</v>
      </c>
      <c r="H110" s="58" t="n">
        <v>119.01</v>
      </c>
      <c r="I110" s="58" t="n">
        <v>174.18</v>
      </c>
      <c r="J110" s="58" t="n">
        <v>113.78</v>
      </c>
      <c r="K110" s="58" t="n">
        <v>156.71</v>
      </c>
      <c r="L110" s="58" t="n">
        <v>230.87</v>
      </c>
      <c r="M110" s="58" t="n">
        <v>127.55</v>
      </c>
      <c r="N110" s="58" t="n">
        <v>391.02</v>
      </c>
      <c r="O110" s="58" t="n">
        <v>99.85</v>
      </c>
      <c r="P110" s="58"/>
      <c r="Q110" s="58" t="n">
        <v>64.91</v>
      </c>
      <c r="R110" s="58" t="n">
        <v>55.68</v>
      </c>
      <c r="S110" s="58" t="n">
        <v>116.48</v>
      </c>
      <c r="T110" s="58" t="n">
        <v>37.33</v>
      </c>
      <c r="U110" s="58"/>
      <c r="V110" s="59" t="n">
        <v>348.99</v>
      </c>
    </row>
    <row r="111" customFormat="false" ht="15" hidden="false" customHeight="true" outlineLevel="0" collapsed="false">
      <c r="A111" s="57" t="n">
        <v>45905</v>
      </c>
      <c r="B111" s="58" t="n">
        <v>348.97</v>
      </c>
      <c r="C111" s="58" t="n">
        <v>142.85</v>
      </c>
      <c r="D111" s="58" t="n">
        <v>781.7</v>
      </c>
      <c r="E111" s="58" t="n">
        <v>334.89</v>
      </c>
      <c r="F111" s="58" t="n">
        <v>104.41</v>
      </c>
      <c r="G111" s="58" t="n">
        <v>90.51</v>
      </c>
      <c r="H111" s="58" t="n">
        <v>131.37</v>
      </c>
      <c r="I111" s="58" t="n">
        <v>167.02</v>
      </c>
      <c r="J111" s="58" t="n">
        <v>113.65</v>
      </c>
      <c r="K111" s="58" t="n">
        <v>153.11</v>
      </c>
      <c r="L111" s="58" t="n">
        <v>243.41</v>
      </c>
      <c r="M111" s="58" t="n">
        <v>124</v>
      </c>
      <c r="N111" s="58" t="n">
        <v>396.12</v>
      </c>
      <c r="O111" s="58" t="n">
        <v>100.94</v>
      </c>
      <c r="P111" s="58"/>
      <c r="Q111" s="58" t="n">
        <v>65.56</v>
      </c>
      <c r="R111" s="58" t="n">
        <v>55.78</v>
      </c>
      <c r="S111" s="58" t="n">
        <v>117.05</v>
      </c>
      <c r="T111" s="58" t="n">
        <v>37.61</v>
      </c>
      <c r="U111" s="58"/>
      <c r="V111" s="59" t="n">
        <v>340.5</v>
      </c>
    </row>
    <row r="112" customFormat="false" ht="15" hidden="false" customHeight="true" outlineLevel="0" collapsed="false">
      <c r="A112" s="57" t="n">
        <v>45912</v>
      </c>
      <c r="B112" s="58" t="n">
        <v>349.36</v>
      </c>
      <c r="C112" s="58" t="n">
        <v>139.39</v>
      </c>
      <c r="D112" s="58" t="n">
        <v>813.87</v>
      </c>
      <c r="E112" s="58" t="n">
        <v>359.87</v>
      </c>
      <c r="F112" s="58" t="n">
        <v>109.03</v>
      </c>
      <c r="G112" s="58" t="n">
        <v>96.4</v>
      </c>
      <c r="H112" s="58" t="n">
        <v>157.23</v>
      </c>
      <c r="I112" s="58" t="n">
        <v>177.82</v>
      </c>
      <c r="J112" s="58" t="n">
        <v>115.35</v>
      </c>
      <c r="K112" s="58" t="n">
        <v>171.43</v>
      </c>
      <c r="L112" s="58" t="n">
        <v>259.33</v>
      </c>
      <c r="M112" s="58" t="n">
        <v>134.84</v>
      </c>
      <c r="N112" s="58" t="n">
        <v>394.53</v>
      </c>
      <c r="O112" s="58" t="n">
        <v>100.14</v>
      </c>
      <c r="P112" s="58"/>
      <c r="Q112" s="58" t="n">
        <v>65.6</v>
      </c>
      <c r="R112" s="58" t="n">
        <v>56.54</v>
      </c>
      <c r="S112" s="58" t="n">
        <v>120.48</v>
      </c>
      <c r="T112" s="58" t="n">
        <v>37.5</v>
      </c>
      <c r="U112" s="58"/>
      <c r="V112" s="59" t="n">
        <v>336.74</v>
      </c>
    </row>
    <row r="113" customFormat="false" ht="15" hidden="false" customHeight="true" outlineLevel="0" collapsed="false">
      <c r="A113" s="57" t="n">
        <v>45919</v>
      </c>
      <c r="B113" s="58" t="n">
        <v>365.9</v>
      </c>
      <c r="C113" s="58" t="n">
        <v>149.61</v>
      </c>
      <c r="D113" s="58" t="n">
        <v>932.15</v>
      </c>
      <c r="E113" s="58" t="n">
        <v>344.94</v>
      </c>
      <c r="F113" s="58" t="n">
        <v>125.64</v>
      </c>
      <c r="G113" s="58" t="n">
        <v>104.48</v>
      </c>
      <c r="H113" s="58" t="n">
        <v>162.73</v>
      </c>
      <c r="I113" s="58" t="n">
        <v>176.67</v>
      </c>
      <c r="J113" s="58" t="n">
        <v>113.51</v>
      </c>
      <c r="K113" s="58" t="n">
        <v>182.39</v>
      </c>
      <c r="L113" s="58" t="n">
        <v>264.87</v>
      </c>
      <c r="M113" s="58" t="n">
        <v>143.6</v>
      </c>
      <c r="N113" s="58" t="n">
        <v>383.12</v>
      </c>
      <c r="O113" s="58" t="n">
        <v>100.71</v>
      </c>
      <c r="P113" s="58"/>
      <c r="Q113" s="58" t="n">
        <v>65.27</v>
      </c>
      <c r="R113" s="58" t="n">
        <v>57.16</v>
      </c>
      <c r="S113" s="58" t="n">
        <v>121.93</v>
      </c>
      <c r="T113" s="58" t="n">
        <v>37.45</v>
      </c>
      <c r="U113" s="58"/>
      <c r="V113" s="59" t="n">
        <v>338.9</v>
      </c>
    </row>
    <row r="114" customFormat="false" ht="15" hidden="false" customHeight="true" outlineLevel="0" collapsed="false">
      <c r="A114" s="57" t="n">
        <v>45926</v>
      </c>
      <c r="B114" s="58" t="n">
        <v>360.37</v>
      </c>
      <c r="C114" s="58" t="n">
        <v>142.5</v>
      </c>
      <c r="D114" s="58" t="n">
        <v>951.52</v>
      </c>
      <c r="E114" s="58" t="n">
        <v>334.53</v>
      </c>
      <c r="F114" s="58" t="n">
        <v>120.36</v>
      </c>
      <c r="G114" s="58" t="n">
        <v>106.43</v>
      </c>
      <c r="H114" s="58" t="n">
        <v>157.27</v>
      </c>
      <c r="I114" s="58" t="n">
        <v>178.19</v>
      </c>
      <c r="J114" s="58" t="n">
        <v>114.19</v>
      </c>
      <c r="K114" s="58" t="n">
        <v>177.57</v>
      </c>
      <c r="L114" s="58" t="n">
        <v>273.36</v>
      </c>
      <c r="M114" s="58" t="n">
        <v>138.62</v>
      </c>
      <c r="N114" s="58" t="n">
        <v>385.74</v>
      </c>
      <c r="O114" s="58" t="n">
        <v>100.55</v>
      </c>
      <c r="P114" s="58"/>
      <c r="Q114" s="58" t="n">
        <v>65.37</v>
      </c>
      <c r="R114" s="58" t="n">
        <v>57.25</v>
      </c>
      <c r="S114" s="58" t="n">
        <v>120.58</v>
      </c>
      <c r="T114" s="58" t="n">
        <v>37.74</v>
      </c>
      <c r="U114" s="58"/>
      <c r="V114" s="59" t="n">
        <v>334.69</v>
      </c>
    </row>
    <row r="115" customFormat="false" ht="15" hidden="false" customHeight="true" outlineLevel="0" collapsed="false">
      <c r="A115" s="57" t="n">
        <v>45933</v>
      </c>
      <c r="B115" s="58" t="n">
        <v>346.74</v>
      </c>
      <c r="C115" s="58" t="n">
        <v>145.5</v>
      </c>
      <c r="D115" s="58" t="n">
        <v>1032.22</v>
      </c>
      <c r="E115" s="58" t="n">
        <v>338.37</v>
      </c>
      <c r="F115" s="58" t="n">
        <v>122.47</v>
      </c>
      <c r="G115" s="58" t="n">
        <v>110.16</v>
      </c>
      <c r="H115" s="58" t="n">
        <v>187.83</v>
      </c>
      <c r="I115" s="58" t="n">
        <v>187.62</v>
      </c>
      <c r="J115" s="58" t="n">
        <v>117.06</v>
      </c>
      <c r="K115" s="58" t="n">
        <v>173.07</v>
      </c>
      <c r="L115" s="58" t="n">
        <v>292.19</v>
      </c>
      <c r="M115" s="58" t="n">
        <v>160.2</v>
      </c>
      <c r="N115" s="58" t="n">
        <v>403.3</v>
      </c>
      <c r="O115" s="58" t="n">
        <v>100.66</v>
      </c>
      <c r="P115" s="58"/>
      <c r="Q115" s="58" t="n">
        <v>64.79</v>
      </c>
      <c r="R115" s="58" t="n">
        <v>57.28</v>
      </c>
      <c r="S115" s="58" t="n">
        <v>120.09</v>
      </c>
      <c r="T115" s="58" t="n">
        <v>37.87</v>
      </c>
      <c r="U115" s="58"/>
      <c r="V115" s="59" t="n">
        <v>347.06</v>
      </c>
    </row>
    <row r="116" customFormat="false" ht="15" hidden="false" customHeight="true" outlineLevel="0" collapsed="false">
      <c r="A116" s="57" t="n">
        <v>45940</v>
      </c>
      <c r="B116" s="58" t="n">
        <v>337.51</v>
      </c>
      <c r="C116" s="58" t="n">
        <v>154.1</v>
      </c>
      <c r="D116" s="58" t="n">
        <v>936.19</v>
      </c>
      <c r="E116" s="58" t="n">
        <v>324.63</v>
      </c>
      <c r="F116" s="58" t="n">
        <v>123.42</v>
      </c>
      <c r="G116" s="58" t="n">
        <v>98.28</v>
      </c>
      <c r="H116" s="58" t="n">
        <v>181.6</v>
      </c>
      <c r="I116" s="58" t="n">
        <v>183.16</v>
      </c>
      <c r="J116" s="58" t="n">
        <v>111.23</v>
      </c>
      <c r="K116" s="58" t="n">
        <v>175.44</v>
      </c>
      <c r="L116" s="58" t="n">
        <v>280.66</v>
      </c>
      <c r="M116" s="58" t="n">
        <v>169.01</v>
      </c>
      <c r="N116" s="58" t="n">
        <v>407.79</v>
      </c>
      <c r="O116" s="58" t="n">
        <v>95.19</v>
      </c>
      <c r="P116" s="58"/>
      <c r="Q116" s="58" t="n">
        <v>66.2</v>
      </c>
      <c r="R116" s="58" t="n">
        <v>56.33</v>
      </c>
      <c r="S116" s="58" t="n">
        <v>118.5</v>
      </c>
      <c r="T116" s="58" t="n">
        <v>36.58</v>
      </c>
      <c r="U116" s="58"/>
      <c r="V116" s="59" t="n">
        <v>340.92</v>
      </c>
    </row>
    <row r="117" customFormat="false" ht="15" hidden="false" customHeight="true" outlineLevel="0" collapsed="false">
      <c r="A117" s="57" t="n">
        <v>45947</v>
      </c>
      <c r="B117" s="58" t="n">
        <v>333.26</v>
      </c>
      <c r="C117" s="58" t="n">
        <v>143.1</v>
      </c>
      <c r="D117" s="58" t="n">
        <v>1029.27</v>
      </c>
      <c r="E117" s="58" t="n">
        <v>349.33</v>
      </c>
      <c r="F117" s="58" t="n">
        <v>121.16</v>
      </c>
      <c r="G117" s="58" t="n">
        <v>110.67</v>
      </c>
      <c r="H117" s="58" t="n">
        <v>202.38</v>
      </c>
      <c r="I117" s="58" t="n">
        <v>183.22</v>
      </c>
      <c r="J117" s="58" t="n">
        <v>124.08</v>
      </c>
      <c r="K117" s="58" t="n">
        <v>178.15</v>
      </c>
      <c r="L117" s="58" t="n">
        <v>295.08</v>
      </c>
      <c r="M117" s="58" t="n">
        <v>174</v>
      </c>
      <c r="N117" s="58" t="n">
        <v>416.81</v>
      </c>
      <c r="O117" s="58" t="n">
        <v>97.06</v>
      </c>
      <c r="P117" s="58"/>
      <c r="Q117" s="58" t="n">
        <v>66.35</v>
      </c>
      <c r="R117" s="58" t="n">
        <v>57.48</v>
      </c>
      <c r="S117" s="58" t="n">
        <v>120.42</v>
      </c>
      <c r="T117" s="58" t="n">
        <v>37.09</v>
      </c>
      <c r="U117" s="58"/>
      <c r="V117" s="59" t="n">
        <v>339.18</v>
      </c>
    </row>
    <row r="118" customFormat="false" ht="15" hidden="false" customHeight="true" outlineLevel="0" collapsed="false">
      <c r="A118" s="57" t="n">
        <v>45954</v>
      </c>
      <c r="B118" s="58" t="n">
        <v>353.52</v>
      </c>
      <c r="C118" s="58" t="n">
        <v>153.82</v>
      </c>
      <c r="D118" s="58" t="n">
        <v>1033.1</v>
      </c>
      <c r="E118" s="58" t="n">
        <v>354.13</v>
      </c>
      <c r="F118" s="58" t="n">
        <v>131.83</v>
      </c>
      <c r="G118" s="58" t="n">
        <v>118.28</v>
      </c>
      <c r="H118" s="58" t="n">
        <v>219.02</v>
      </c>
      <c r="I118" s="58" t="n">
        <v>186.26</v>
      </c>
      <c r="J118" s="58" t="n">
        <v>126.43</v>
      </c>
      <c r="K118" s="58" t="n">
        <v>184.63</v>
      </c>
      <c r="L118" s="58" t="n">
        <v>294.96</v>
      </c>
      <c r="M118" s="58" t="n">
        <v>186.06</v>
      </c>
      <c r="N118" s="58" t="n">
        <v>421.39</v>
      </c>
      <c r="O118" s="58" t="n">
        <v>99.91</v>
      </c>
      <c r="P118" s="58"/>
      <c r="Q118" s="58" t="n">
        <v>66.27</v>
      </c>
      <c r="R118" s="58" t="n">
        <v>58.55</v>
      </c>
      <c r="S118" s="58" t="n">
        <v>121.71</v>
      </c>
      <c r="T118" s="58" t="n">
        <v>38.06</v>
      </c>
      <c r="U118" s="58"/>
      <c r="V118" s="59" t="n">
        <v>344.62</v>
      </c>
    </row>
    <row r="119" customFormat="false" ht="15" hidden="false" customHeight="true" outlineLevel="0" collapsed="false">
      <c r="A119" s="57" t="n">
        <v>45961</v>
      </c>
      <c r="B119" s="58" t="n">
        <v>340.31</v>
      </c>
      <c r="C119" s="58" t="n">
        <v>157.69</v>
      </c>
      <c r="D119" s="58" t="n">
        <v>1059.23</v>
      </c>
      <c r="E119" s="58" t="n">
        <v>369.63</v>
      </c>
      <c r="F119" s="58" t="n">
        <v>135.75</v>
      </c>
      <c r="G119" s="58" t="n">
        <v>120.87</v>
      </c>
      <c r="H119" s="58" t="n">
        <v>223.77</v>
      </c>
      <c r="I119" s="58" t="n">
        <v>202.49</v>
      </c>
      <c r="J119" s="58" t="n">
        <v>124.09</v>
      </c>
      <c r="K119" s="58" t="n">
        <v>200.47</v>
      </c>
      <c r="L119" s="58" t="n">
        <v>300.43</v>
      </c>
      <c r="M119" s="58" t="n">
        <v>192.86</v>
      </c>
      <c r="N119" s="58" t="n">
        <v>425.57</v>
      </c>
      <c r="O119" s="58" t="n">
        <v>97.8</v>
      </c>
      <c r="P119" s="58"/>
      <c r="Q119" s="58" t="n">
        <v>66.29</v>
      </c>
      <c r="R119" s="58" t="n">
        <v>59.1</v>
      </c>
      <c r="S119" s="58" t="n">
        <v>121.7</v>
      </c>
      <c r="T119" s="58" t="n">
        <v>37.82</v>
      </c>
      <c r="U119" s="58"/>
      <c r="V119" s="59" t="n">
        <v>338.04</v>
      </c>
    </row>
    <row r="120" customFormat="false" ht="15" hidden="false" customHeight="true" outlineLevel="0" collapsed="false">
      <c r="A120" s="57" t="n">
        <v>45968</v>
      </c>
      <c r="B120" s="58" t="n">
        <v>326.95</v>
      </c>
      <c r="C120" s="58" t="n">
        <v>134.65</v>
      </c>
      <c r="D120" s="58" t="n">
        <v>1016.96</v>
      </c>
      <c r="E120" s="58" t="n">
        <v>349.43</v>
      </c>
      <c r="F120" s="58" t="n">
        <v>134.95</v>
      </c>
      <c r="G120" s="58" t="n">
        <v>119.34</v>
      </c>
      <c r="H120" s="58" t="n">
        <v>237.92</v>
      </c>
      <c r="I120" s="58" t="n">
        <v>188.15</v>
      </c>
      <c r="J120" s="58" t="n">
        <v>125.6</v>
      </c>
      <c r="K120" s="58" t="n">
        <v>177.93</v>
      </c>
      <c r="L120" s="58" t="n">
        <v>286.5</v>
      </c>
      <c r="M120" s="58" t="n">
        <v>179.8</v>
      </c>
      <c r="N120" s="58" t="n">
        <v>409.47</v>
      </c>
      <c r="O120" s="58" t="n">
        <v>97.74</v>
      </c>
      <c r="P120" s="58"/>
      <c r="Q120" s="58" t="n">
        <v>67</v>
      </c>
      <c r="R120" s="58" t="n">
        <v>57.71</v>
      </c>
      <c r="S120" s="58" t="n">
        <v>118.53</v>
      </c>
      <c r="T120" s="58" t="n">
        <v>37.88</v>
      </c>
      <c r="U120" s="58"/>
      <c r="V120" s="59" t="n">
        <v>333.35</v>
      </c>
    </row>
    <row r="121" customFormat="false" ht="15" hidden="false" customHeight="true" outlineLevel="0" collapsed="false">
      <c r="A121" s="57" t="n">
        <v>45975</v>
      </c>
      <c r="B121" s="58" t="n">
        <v>331.11</v>
      </c>
      <c r="C121" s="58" t="n">
        <v>131.37</v>
      </c>
      <c r="D121" s="58" t="n">
        <v>1006.98</v>
      </c>
      <c r="E121" s="58" t="n">
        <v>342.46</v>
      </c>
      <c r="F121" s="58" t="n">
        <v>134.39</v>
      </c>
      <c r="G121" s="58" t="n">
        <v>113.43</v>
      </c>
      <c r="H121" s="58" t="n">
        <v>246.83</v>
      </c>
      <c r="I121" s="58" t="n">
        <v>190.17</v>
      </c>
      <c r="J121" s="58" t="n">
        <v>122.83</v>
      </c>
      <c r="K121" s="58" t="n">
        <v>174.01</v>
      </c>
      <c r="L121" s="58" t="n">
        <v>284.82</v>
      </c>
      <c r="M121" s="58" t="n">
        <v>170.97</v>
      </c>
      <c r="N121" s="58" t="n">
        <v>437.15</v>
      </c>
      <c r="O121" s="58" t="n">
        <v>97.59</v>
      </c>
      <c r="P121" s="58"/>
      <c r="Q121" s="58" t="n">
        <v>66.44</v>
      </c>
      <c r="R121" s="58" t="n">
        <v>57.82</v>
      </c>
      <c r="S121" s="58" t="n">
        <v>117.83</v>
      </c>
      <c r="T121" s="58" t="n">
        <v>38.3</v>
      </c>
      <c r="U121" s="58"/>
      <c r="V121" s="59" t="n">
        <v>328.05</v>
      </c>
    </row>
    <row r="122" customFormat="false" ht="15" hidden="false" customHeight="true" outlineLevel="0" collapsed="false">
      <c r="A122" s="57" t="n">
        <v>45982</v>
      </c>
      <c r="B122" s="58" t="n">
        <v>324.19</v>
      </c>
      <c r="C122" s="58" t="n">
        <v>117.43</v>
      </c>
      <c r="D122" s="58" t="n">
        <v>966.57</v>
      </c>
      <c r="E122" s="58" t="n">
        <v>340.2</v>
      </c>
      <c r="F122" s="58" t="n">
        <v>122.67</v>
      </c>
      <c r="G122" s="58" t="n">
        <v>109.71</v>
      </c>
      <c r="H122" s="58" t="n">
        <v>207.37</v>
      </c>
      <c r="I122" s="58" t="n">
        <v>178.88</v>
      </c>
      <c r="J122" s="58" t="n">
        <v>125.79</v>
      </c>
      <c r="K122" s="58" t="n">
        <v>154.85</v>
      </c>
      <c r="L122" s="58" t="n">
        <v>275.06</v>
      </c>
      <c r="M122" s="58" t="n">
        <v>159.83</v>
      </c>
      <c r="N122" s="58" t="n">
        <v>426.76</v>
      </c>
      <c r="O122" s="58" t="n">
        <v>96.83</v>
      </c>
      <c r="P122" s="58"/>
      <c r="Q122" s="58" t="n">
        <v>67.05</v>
      </c>
      <c r="R122" s="58" t="n">
        <v>56.24</v>
      </c>
      <c r="S122" s="58" t="n">
        <v>114.3</v>
      </c>
      <c r="T122" s="58" t="n">
        <v>37.53</v>
      </c>
      <c r="U122" s="58"/>
      <c r="V122" s="59" t="n">
        <v>326.02</v>
      </c>
    </row>
    <row r="123" customFormat="false" ht="15" hidden="false" customHeight="true" outlineLevel="0" collapsed="false">
      <c r="A123" s="57" t="n">
        <v>45989</v>
      </c>
      <c r="B123" s="58" t="n">
        <v>320.13</v>
      </c>
      <c r="C123" s="58" t="n">
        <v>130.68</v>
      </c>
      <c r="D123" s="58" t="n">
        <v>1060</v>
      </c>
      <c r="E123" s="58" t="n">
        <v>402.96</v>
      </c>
      <c r="F123" s="58" t="n">
        <v>127.29</v>
      </c>
      <c r="G123" s="58" t="n">
        <v>117.55</v>
      </c>
      <c r="H123" s="58" t="n">
        <v>236.48</v>
      </c>
      <c r="I123" s="58" t="n">
        <v>177</v>
      </c>
      <c r="J123" s="58" t="n">
        <v>128.53</v>
      </c>
      <c r="K123" s="58" t="n">
        <v>168.45</v>
      </c>
      <c r="L123" s="58" t="n">
        <v>291.51</v>
      </c>
      <c r="M123" s="58" t="n">
        <v>179.73</v>
      </c>
      <c r="N123" s="58" t="n">
        <v>433.61</v>
      </c>
      <c r="O123" s="58" t="n">
        <v>101.13</v>
      </c>
      <c r="P123" s="58"/>
      <c r="Q123" s="58" t="n">
        <v>66.74</v>
      </c>
      <c r="R123" s="58" t="n">
        <v>58.81</v>
      </c>
      <c r="S123" s="58" t="n">
        <v>120.12</v>
      </c>
      <c r="T123" s="58" t="n">
        <v>38.82</v>
      </c>
      <c r="U123" s="58"/>
      <c r="V123" s="59" t="n">
        <v>332.44</v>
      </c>
    </row>
    <row r="124" customFormat="false" ht="15" hidden="false" customHeight="true" outlineLevel="0" collapsed="false">
      <c r="A124" s="57" t="n">
        <v>45996</v>
      </c>
      <c r="B124" s="58" t="n">
        <v>346.26</v>
      </c>
      <c r="C124" s="58" t="n">
        <v>128.59</v>
      </c>
      <c r="D124" s="58" t="n">
        <v>1099.47</v>
      </c>
      <c r="E124" s="58" t="n">
        <v>390.24</v>
      </c>
      <c r="F124" s="58" t="n">
        <v>128.01</v>
      </c>
      <c r="G124" s="58" t="n">
        <v>121.45</v>
      </c>
      <c r="H124" s="58" t="n">
        <v>237.22</v>
      </c>
      <c r="I124" s="58" t="n">
        <v>182.41</v>
      </c>
      <c r="J124" s="58" t="n">
        <v>127.98</v>
      </c>
      <c r="K124" s="58" t="n">
        <v>181.76</v>
      </c>
      <c r="L124" s="58" t="n">
        <v>294.72</v>
      </c>
      <c r="M124" s="58" t="n">
        <v>189.02</v>
      </c>
      <c r="N124" s="58" t="n">
        <v>455.48</v>
      </c>
      <c r="O124" s="58" t="n">
        <v>102.9</v>
      </c>
      <c r="P124" s="58"/>
      <c r="Q124" s="58" t="n">
        <v>66.72</v>
      </c>
      <c r="R124" s="58" t="n">
        <v>58.82</v>
      </c>
      <c r="S124" s="58" t="n">
        <v>120.85</v>
      </c>
      <c r="T124" s="58" t="n">
        <v>39.42</v>
      </c>
      <c r="U124" s="58"/>
      <c r="V124" s="59" t="n">
        <v>329.26</v>
      </c>
    </row>
    <row r="125" customFormat="false" ht="15" hidden="false" customHeight="true" outlineLevel="0" collapsed="false">
      <c r="A125" s="57" t="n">
        <v>46003</v>
      </c>
      <c r="B125" s="58" t="n">
        <v>356.43</v>
      </c>
      <c r="C125" s="58" t="n">
        <v>124.76</v>
      </c>
      <c r="D125" s="58" t="n">
        <v>1080.85</v>
      </c>
      <c r="E125" s="58" t="n">
        <v>359.93</v>
      </c>
      <c r="F125" s="58" t="n">
        <v>126.2</v>
      </c>
      <c r="G125" s="58" t="n">
        <v>119.39</v>
      </c>
      <c r="H125" s="58" t="n">
        <v>241.14</v>
      </c>
      <c r="I125" s="58" t="n">
        <v>175.02</v>
      </c>
      <c r="J125" s="58" t="n">
        <v>130.18</v>
      </c>
      <c r="K125" s="58" t="n">
        <v>183.57</v>
      </c>
      <c r="L125" s="58" t="n">
        <v>292.04</v>
      </c>
      <c r="M125" s="58" t="n">
        <v>161.27</v>
      </c>
      <c r="N125" s="58" t="n">
        <v>452.04</v>
      </c>
      <c r="O125" s="58" t="n">
        <v>105.11</v>
      </c>
      <c r="P125" s="58"/>
      <c r="Q125" s="58" t="n">
        <v>66.97</v>
      </c>
      <c r="R125" s="58" t="n">
        <v>58.18</v>
      </c>
      <c r="S125" s="58" t="n">
        <v>119.1</v>
      </c>
      <c r="T125" s="58" t="n">
        <v>39.7</v>
      </c>
      <c r="U125" s="58"/>
      <c r="V125" s="59" t="n">
        <v>345.75</v>
      </c>
    </row>
    <row r="126" customFormat="false" ht="15" hidden="false" customHeight="true" outlineLevel="0" collapsed="false">
      <c r="A126" s="57" t="n">
        <v>46010</v>
      </c>
      <c r="B126" s="58" t="n">
        <v>355.86</v>
      </c>
      <c r="C126" s="58" t="n">
        <v>131.12</v>
      </c>
      <c r="D126" s="58" t="n">
        <v>1056.02</v>
      </c>
      <c r="E126" s="58" t="n">
        <v>340.36</v>
      </c>
      <c r="F126" s="58" t="n">
        <v>120.32</v>
      </c>
      <c r="G126" s="58" t="n">
        <v>124.57</v>
      </c>
      <c r="H126" s="58" t="n">
        <v>265.92</v>
      </c>
      <c r="I126" s="58" t="n">
        <v>180.99</v>
      </c>
      <c r="J126" s="58" t="n">
        <v>127.23</v>
      </c>
      <c r="K126" s="58" t="n">
        <v>193.38</v>
      </c>
      <c r="L126" s="58" t="n">
        <v>288.95</v>
      </c>
      <c r="M126" s="58" t="n">
        <v>159.82</v>
      </c>
      <c r="N126" s="58" t="n">
        <v>456.2</v>
      </c>
      <c r="O126" s="58" t="n">
        <v>103.78</v>
      </c>
      <c r="P126" s="58"/>
      <c r="Q126" s="58" t="n">
        <v>67.16</v>
      </c>
      <c r="R126" s="58" t="n">
        <v>58.62</v>
      </c>
      <c r="S126" s="58" t="n">
        <v>119.53</v>
      </c>
      <c r="T126" s="58" t="n">
        <v>39.53</v>
      </c>
      <c r="U126" s="58"/>
      <c r="V126" s="59" t="n">
        <v>347.17</v>
      </c>
    </row>
    <row r="127" customFormat="false" ht="15" hidden="false" customHeight="true" outlineLevel="0" collapsed="false">
      <c r="A127" s="57" t="n">
        <v>46017</v>
      </c>
      <c r="B127" s="58" t="n">
        <v>353.8</v>
      </c>
      <c r="C127" s="58" t="n">
        <v>131.84</v>
      </c>
      <c r="D127" s="58" t="n">
        <v>1072.75</v>
      </c>
      <c r="E127" s="58" t="n">
        <v>352.13</v>
      </c>
      <c r="F127" s="58" t="n">
        <v>120.3</v>
      </c>
      <c r="G127" s="58" t="n">
        <v>127.96</v>
      </c>
      <c r="H127" s="58" t="n">
        <v>284.79</v>
      </c>
      <c r="I127" s="58" t="n">
        <v>190.53</v>
      </c>
      <c r="J127" s="58" t="n">
        <v>128.71</v>
      </c>
      <c r="K127" s="58" t="n">
        <v>188.71</v>
      </c>
      <c r="L127" s="58" t="n">
        <v>302.84</v>
      </c>
      <c r="M127" s="58" t="n">
        <v>167.58</v>
      </c>
      <c r="N127" s="58" t="n">
        <v>462.9</v>
      </c>
      <c r="O127" s="58" t="n">
        <v>103.69</v>
      </c>
      <c r="P127" s="58"/>
      <c r="Q127" s="58" t="n">
        <v>66.57</v>
      </c>
      <c r="R127" s="58" t="n">
        <v>59.34</v>
      </c>
      <c r="S127" s="58" t="n">
        <v>121.38</v>
      </c>
      <c r="T127" s="58" t="n">
        <v>39.79</v>
      </c>
      <c r="U127" s="58"/>
      <c r="V127" s="59" t="n">
        <v>352.88</v>
      </c>
    </row>
    <row r="128" customFormat="false" ht="15" hidden="false" customHeight="true" outlineLevel="0" collapsed="false">
      <c r="A128" s="57" t="n">
        <v>46024</v>
      </c>
      <c r="B128" s="58" t="n">
        <v>333.3</v>
      </c>
      <c r="C128" s="58" t="n">
        <v>133.6</v>
      </c>
      <c r="D128" s="58" t="n">
        <v>1163.78</v>
      </c>
      <c r="E128" s="58" t="n">
        <v>347.62</v>
      </c>
      <c r="F128" s="58" t="n">
        <v>113.4</v>
      </c>
      <c r="G128" s="58" t="n">
        <v>127.45</v>
      </c>
      <c r="H128" s="58" t="n">
        <v>315.42</v>
      </c>
      <c r="I128" s="58" t="n">
        <v>188.85</v>
      </c>
      <c r="J128" s="58" t="n">
        <v>129.05</v>
      </c>
      <c r="K128" s="58" t="n">
        <v>167.86</v>
      </c>
      <c r="L128" s="58" t="n">
        <v>319.61</v>
      </c>
      <c r="M128" s="58" t="n">
        <v>175.61</v>
      </c>
      <c r="N128" s="58" t="n">
        <v>452.13</v>
      </c>
      <c r="O128" s="58" t="n">
        <v>103.12</v>
      </c>
      <c r="P128" s="58"/>
      <c r="Q128" s="58" t="n">
        <v>67.03</v>
      </c>
      <c r="R128" s="58" t="n">
        <v>58.09</v>
      </c>
      <c r="S128" s="58" t="n">
        <v>119.67</v>
      </c>
      <c r="T128" s="58" t="n">
        <v>39.42</v>
      </c>
      <c r="U128" s="58"/>
      <c r="V128" s="59" t="n">
        <v>344.41</v>
      </c>
    </row>
    <row r="129" customFormat="false" ht="15" hidden="false" customHeight="true" outlineLevel="0" collapsed="false">
      <c r="A129" s="57" t="n">
        <v>46031</v>
      </c>
      <c r="B129" s="58" t="n">
        <v>333.95</v>
      </c>
      <c r="C129" s="58" t="n">
        <v>122.89</v>
      </c>
      <c r="D129" s="58" t="n">
        <v>1273.88</v>
      </c>
      <c r="E129" s="58" t="n">
        <v>344.97</v>
      </c>
      <c r="F129" s="58" t="n">
        <v>117.65</v>
      </c>
      <c r="G129" s="58" t="n">
        <v>140</v>
      </c>
      <c r="H129" s="58" t="n">
        <v>345.09</v>
      </c>
      <c r="I129" s="58" t="n">
        <v>184.86</v>
      </c>
      <c r="J129" s="58" t="n">
        <v>129.4</v>
      </c>
      <c r="K129" s="58" t="n">
        <v>177.49</v>
      </c>
      <c r="L129" s="58" t="n">
        <v>323.63</v>
      </c>
      <c r="M129" s="58" t="n">
        <v>163.58</v>
      </c>
      <c r="N129" s="58" t="n">
        <v>463.86</v>
      </c>
      <c r="O129" s="58" t="n">
        <v>107.33</v>
      </c>
      <c r="P129" s="58"/>
      <c r="Q129" s="58" t="n">
        <v>66.64</v>
      </c>
      <c r="R129" s="58" t="n">
        <v>59.16</v>
      </c>
      <c r="S129" s="58" t="n">
        <v>120.03</v>
      </c>
      <c r="T129" s="58" t="n">
        <v>40.43</v>
      </c>
      <c r="U129" s="58"/>
      <c r="V129" s="59" t="n">
        <v>347.68</v>
      </c>
    </row>
    <row r="130" customFormat="false" ht="15" hidden="false" customHeight="true" outlineLevel="0" collapsed="false">
      <c r="A130" s="57" t="n">
        <v>46038</v>
      </c>
      <c r="B130" s="58" t="n">
        <v>296.12</v>
      </c>
      <c r="C130" s="58" t="n">
        <v>129.83</v>
      </c>
      <c r="D130" s="58" t="n">
        <v>1358.57</v>
      </c>
      <c r="E130" s="58" t="n">
        <v>351.71</v>
      </c>
      <c r="F130" s="58" t="n">
        <v>113.47</v>
      </c>
      <c r="G130" s="58" t="n">
        <v>156.78</v>
      </c>
      <c r="H130" s="58" t="n">
        <v>362.75</v>
      </c>
      <c r="I130" s="58" t="n">
        <v>186.23</v>
      </c>
      <c r="J130" s="58" t="n">
        <v>133.21</v>
      </c>
      <c r="K130" s="58" t="n">
        <v>170.96</v>
      </c>
      <c r="L130" s="58" t="n">
        <v>342.4</v>
      </c>
      <c r="M130" s="58" t="n">
        <v>176.93</v>
      </c>
      <c r="N130" s="58" t="n">
        <v>441.36</v>
      </c>
      <c r="O130" s="58" t="n">
        <v>108.51</v>
      </c>
      <c r="P130" s="58"/>
      <c r="Q130" s="58" t="n">
        <v>65.89</v>
      </c>
      <c r="R130" s="58" t="n">
        <v>58.92</v>
      </c>
      <c r="S130" s="58" t="n">
        <v>120</v>
      </c>
      <c r="T130" s="58" t="n">
        <v>39.61</v>
      </c>
      <c r="U130" s="58"/>
      <c r="V130" s="59" t="n">
        <v>326.34</v>
      </c>
    </row>
    <row r="131" customFormat="false" ht="15" hidden="false" customHeight="true" outlineLevel="0" collapsed="false">
      <c r="A131" s="57" t="n">
        <v>46045</v>
      </c>
      <c r="B131" s="58" t="n">
        <v>301.07</v>
      </c>
      <c r="C131" s="58" t="n">
        <v>136.34</v>
      </c>
      <c r="D131" s="58" t="n">
        <v>1389.04</v>
      </c>
      <c r="E131" s="58" t="n">
        <v>320.05</v>
      </c>
      <c r="F131" s="58" t="n">
        <v>113.12</v>
      </c>
      <c r="G131" s="58" t="n">
        <v>151.28</v>
      </c>
      <c r="H131" s="58" t="n">
        <v>399.65</v>
      </c>
      <c r="I131" s="58" t="n">
        <v>187.67</v>
      </c>
      <c r="J131" s="58" t="n">
        <v>127.15</v>
      </c>
      <c r="K131" s="58" t="n">
        <v>169.6</v>
      </c>
      <c r="L131" s="58" t="n">
        <v>334.87</v>
      </c>
      <c r="M131" s="58" t="n">
        <v>182.49</v>
      </c>
      <c r="N131" s="58" t="n">
        <v>468.41</v>
      </c>
      <c r="O131" s="58" t="n">
        <v>108.49</v>
      </c>
      <c r="P131" s="58"/>
      <c r="Q131" s="58" t="n">
        <v>65.01</v>
      </c>
      <c r="R131" s="58" t="n">
        <v>59.22</v>
      </c>
      <c r="S131" s="58" t="n">
        <v>117.92</v>
      </c>
      <c r="T131" s="58" t="n">
        <v>39.86</v>
      </c>
      <c r="U131" s="58"/>
      <c r="V131" s="59" t="n">
        <v>324.23</v>
      </c>
    </row>
    <row r="132" customFormat="false" ht="15" hidden="false" customHeight="true" outlineLevel="0" collapsed="false">
      <c r="A132" s="57" t="n">
        <v>46052</v>
      </c>
      <c r="B132" s="58" t="n">
        <v>293.25</v>
      </c>
      <c r="C132" s="58" t="n">
        <v>141.74</v>
      </c>
      <c r="D132" s="58" t="n">
        <v>1423</v>
      </c>
      <c r="E132" s="58" t="n">
        <v>331.3</v>
      </c>
      <c r="F132" s="58" t="n">
        <v>110.35</v>
      </c>
      <c r="G132" s="58" t="n">
        <v>142.79</v>
      </c>
      <c r="H132" s="58" t="n">
        <v>414.88</v>
      </c>
      <c r="I132" s="58" t="n">
        <v>191.13</v>
      </c>
      <c r="J132" s="58" t="n">
        <v>130.56</v>
      </c>
      <c r="K132" s="58" t="n">
        <v>146.59</v>
      </c>
      <c r="L132" s="58" t="n">
        <v>330.56</v>
      </c>
      <c r="M132" s="58" t="n">
        <v>186.18</v>
      </c>
      <c r="N132" s="58" t="n">
        <v>469.9</v>
      </c>
      <c r="O132" s="58" t="n">
        <v>109.27</v>
      </c>
      <c r="P132" s="58"/>
      <c r="Q132" s="58" t="n">
        <v>64.28</v>
      </c>
      <c r="R132" s="58" t="n">
        <v>59.43</v>
      </c>
      <c r="S132" s="58" t="n">
        <v>119.87</v>
      </c>
      <c r="T132" s="58" t="n">
        <v>39.47</v>
      </c>
      <c r="U132" s="58"/>
      <c r="V132" s="59" t="n">
        <v>319.91</v>
      </c>
    </row>
    <row r="133" customFormat="false" ht="15" hidden="false" customHeight="true" outlineLevel="0" collapsed="false">
      <c r="A133" s="57" t="n">
        <v>46059</v>
      </c>
      <c r="B133" s="58" t="n">
        <v>268.38</v>
      </c>
      <c r="C133" s="58" t="n">
        <v>137.49</v>
      </c>
      <c r="D133" s="58" t="n">
        <v>1413.01</v>
      </c>
      <c r="E133" s="58" t="n">
        <v>332.92</v>
      </c>
      <c r="F133" s="58" t="n">
        <v>98.88</v>
      </c>
      <c r="G133" s="58" t="n">
        <v>144.29</v>
      </c>
      <c r="H133" s="58" t="n">
        <v>394.69</v>
      </c>
      <c r="I133" s="58" t="n">
        <v>185.41</v>
      </c>
      <c r="J133" s="58" t="n">
        <v>136.95</v>
      </c>
      <c r="K133" s="58" t="n">
        <v>135.9</v>
      </c>
      <c r="L133" s="58" t="n">
        <v>348.85</v>
      </c>
      <c r="M133" s="58" t="n">
        <v>195.58</v>
      </c>
      <c r="N133" s="58" t="n">
        <v>477.92</v>
      </c>
      <c r="O133" s="58" t="n">
        <v>115.19</v>
      </c>
      <c r="P133" s="58"/>
      <c r="Q133" s="58" t="n">
        <v>63.39</v>
      </c>
      <c r="R133" s="58" t="n">
        <v>58.05</v>
      </c>
      <c r="S133" s="58" t="n">
        <v>119.84</v>
      </c>
      <c r="T133" s="58" t="n">
        <v>40.43</v>
      </c>
      <c r="U133" s="58"/>
      <c r="V133" s="59" t="n">
        <v>329.6</v>
      </c>
    </row>
    <row r="134" customFormat="false" ht="15" hidden="false" customHeight="true" outlineLevel="0" collapsed="false">
      <c r="A134" s="57" t="n">
        <v>46066</v>
      </c>
      <c r="B134" s="58" t="n">
        <v>263.97</v>
      </c>
      <c r="C134" s="58" t="n">
        <v>141.59</v>
      </c>
      <c r="D134" s="58" t="n">
        <v>1406.61</v>
      </c>
      <c r="E134" s="58" t="n">
        <v>325.17</v>
      </c>
      <c r="F134" s="58" t="n">
        <v>107.41</v>
      </c>
      <c r="G134" s="58" t="n">
        <v>146.41</v>
      </c>
      <c r="H134" s="58" t="n">
        <v>411.66</v>
      </c>
      <c r="I134" s="58" t="n">
        <v>182.81</v>
      </c>
      <c r="J134" s="58" t="n">
        <v>138.97</v>
      </c>
      <c r="K134" s="58" t="n">
        <v>131.41</v>
      </c>
      <c r="L134" s="58" t="n">
        <v>366.36</v>
      </c>
      <c r="M134" s="58" t="n">
        <v>234.53</v>
      </c>
      <c r="N134" s="58" t="n">
        <v>491.47</v>
      </c>
      <c r="O134" s="58" t="n">
        <v>114.9</v>
      </c>
      <c r="P134" s="58"/>
      <c r="Q134" s="58" t="n">
        <v>64.13</v>
      </c>
      <c r="R134" s="58" t="n">
        <v>57.51</v>
      </c>
      <c r="S134" s="58" t="n">
        <v>118.25</v>
      </c>
      <c r="T134" s="58" t="n">
        <v>40.26</v>
      </c>
      <c r="U134" s="58"/>
      <c r="V134" s="59" t="n">
        <v>312.85</v>
      </c>
    </row>
    <row r="135" customFormat="false" ht="15" hidden="false" customHeight="true" outlineLevel="0" collapsed="false">
      <c r="A135" s="57" t="n">
        <v>46073</v>
      </c>
      <c r="B135" s="58" t="n">
        <v>258.61</v>
      </c>
      <c r="C135" s="58" t="n">
        <v>132.79</v>
      </c>
      <c r="D135" s="58" t="n">
        <v>1469.59</v>
      </c>
      <c r="E135" s="58" t="n">
        <v>332.65</v>
      </c>
      <c r="F135" s="58" t="n">
        <v>97.15</v>
      </c>
      <c r="G135" s="58" t="n">
        <v>149.6</v>
      </c>
      <c r="H135" s="58" t="n">
        <v>428.17</v>
      </c>
      <c r="I135" s="58" t="n">
        <v>189.82</v>
      </c>
      <c r="J135" s="58" t="n">
        <v>141.51</v>
      </c>
      <c r="K135" s="58" t="n">
        <v>135.24</v>
      </c>
      <c r="L135" s="58" t="n">
        <v>370.54</v>
      </c>
      <c r="M135" s="58" t="n">
        <v>243.75</v>
      </c>
      <c r="N135" s="58" t="n">
        <v>476.9</v>
      </c>
      <c r="O135" s="58" t="n">
        <v>115.54</v>
      </c>
      <c r="P135" s="58"/>
      <c r="Q135" s="58" t="n">
        <v>65.44</v>
      </c>
      <c r="R135" s="58" t="n">
        <v>58.15</v>
      </c>
      <c r="S135" s="58" t="n">
        <v>119.96</v>
      </c>
      <c r="T135" s="58" t="n">
        <v>40.34</v>
      </c>
      <c r="U135" s="58"/>
      <c r="V135" s="59" t="n">
        <v>319.69</v>
      </c>
    </row>
    <row r="136" customFormat="false" ht="15" hidden="false" customHeight="true" outlineLevel="0" collapsed="false">
      <c r="A136" s="57" t="n">
        <v>46080</v>
      </c>
      <c r="B136" s="58" t="n">
        <v>262.41</v>
      </c>
      <c r="C136" s="58" t="n">
        <v>133.5</v>
      </c>
      <c r="D136" s="58" t="n">
        <v>1450.56</v>
      </c>
      <c r="E136" s="58" t="n">
        <v>319.55</v>
      </c>
      <c r="F136" s="58" t="n">
        <v>93</v>
      </c>
      <c r="G136" s="58" t="n">
        <v>152.46</v>
      </c>
      <c r="H136" s="58" t="n">
        <v>412.37</v>
      </c>
      <c r="I136" s="58" t="n">
        <v>177.19</v>
      </c>
      <c r="J136" s="58" t="n">
        <v>142.57</v>
      </c>
      <c r="K136" s="58" t="n">
        <v>137.19</v>
      </c>
      <c r="L136" s="58" t="n">
        <v>374.58</v>
      </c>
      <c r="M136" s="58" t="n">
        <v>254.89</v>
      </c>
      <c r="N136" s="58" t="n">
        <v>496.83</v>
      </c>
      <c r="O136" s="58" t="n">
        <v>112.98</v>
      </c>
      <c r="P136" s="58"/>
      <c r="Q136" s="58" t="n">
        <v>67.12</v>
      </c>
      <c r="R136" s="58" t="n">
        <v>58.04</v>
      </c>
      <c r="S136" s="58" t="n">
        <v>119.47</v>
      </c>
      <c r="T136" s="58" t="n">
        <v>40.48</v>
      </c>
      <c r="U136" s="58"/>
      <c r="V136" s="59" t="n">
        <v>318.89</v>
      </c>
    </row>
    <row r="137" customFormat="false" ht="15" hidden="false" customHeight="true" outlineLevel="0" collapsed="false">
      <c r="A137" s="57" t="n">
        <v>46087</v>
      </c>
      <c r="B137" s="58" t="n">
        <v>283.62</v>
      </c>
      <c r="C137" s="58" t="n">
        <v>132.89</v>
      </c>
      <c r="D137" s="58" t="n">
        <v>1292.8</v>
      </c>
      <c r="E137" s="58" t="n">
        <v>330.48</v>
      </c>
      <c r="F137" s="58" t="n">
        <v>107.25</v>
      </c>
      <c r="G137" s="58" t="n">
        <v>134.46</v>
      </c>
      <c r="H137" s="58" t="n">
        <v>370.3</v>
      </c>
      <c r="I137" s="58" t="n">
        <v>177.82</v>
      </c>
      <c r="J137" s="58" t="n">
        <v>134.54</v>
      </c>
      <c r="K137" s="58" t="n">
        <v>157.16</v>
      </c>
      <c r="L137" s="58" t="n">
        <v>338.89</v>
      </c>
      <c r="M137" s="58" t="n">
        <v>241.78</v>
      </c>
      <c r="N137" s="58" t="n">
        <v>456.69</v>
      </c>
      <c r="O137" s="58" t="n">
        <v>108.65</v>
      </c>
      <c r="P137" s="58"/>
      <c r="Q137" s="58" t="n">
        <v>67.27</v>
      </c>
      <c r="R137" s="58" t="n">
        <v>56.85</v>
      </c>
      <c r="S137" s="58" t="n">
        <v>118.24</v>
      </c>
      <c r="T137" s="58" t="n">
        <v>40.11</v>
      </c>
      <c r="U137" s="58"/>
      <c r="V137" s="59" t="n">
        <v>316.12</v>
      </c>
    </row>
    <row r="138" customFormat="false" ht="15" hidden="false" customHeight="true" outlineLevel="0" collapsed="false">
      <c r="A138" s="57" t="n">
        <v>46094</v>
      </c>
      <c r="B138" s="58" t="n">
        <v>249.32</v>
      </c>
      <c r="C138" s="58" t="n">
        <v>133.57</v>
      </c>
      <c r="D138" s="58" t="n">
        <v>1345.69</v>
      </c>
      <c r="E138" s="58" t="n">
        <v>322.16</v>
      </c>
      <c r="F138" s="58" t="n">
        <v>110.45</v>
      </c>
      <c r="G138" s="58" t="n">
        <v>141.86</v>
      </c>
      <c r="H138" s="58" t="n">
        <v>426.13</v>
      </c>
      <c r="I138" s="58" t="n">
        <v>180.25</v>
      </c>
      <c r="J138" s="58" t="n">
        <v>131.75</v>
      </c>
      <c r="K138" s="58" t="n">
        <v>150.95</v>
      </c>
      <c r="L138" s="58" t="n">
        <v>338.31</v>
      </c>
      <c r="M138" s="58" t="n">
        <v>258.88</v>
      </c>
      <c r="N138" s="58" t="n">
        <v>469.34</v>
      </c>
      <c r="O138" s="58" t="n">
        <v>106.29</v>
      </c>
      <c r="P138" s="58"/>
      <c r="Q138" s="58" t="n">
        <v>67.54</v>
      </c>
      <c r="R138" s="58" t="n">
        <v>56.56</v>
      </c>
      <c r="S138" s="58" t="n">
        <v>116.18</v>
      </c>
      <c r="T138" s="58" t="n">
        <v>39.2</v>
      </c>
      <c r="U138" s="58"/>
      <c r="V138" s="59" t="n">
        <v>305.94</v>
      </c>
    </row>
    <row r="139" customFormat="false" ht="15" hidden="false" customHeight="true" outlineLevel="0" collapsed="false">
      <c r="A139" s="57" t="n">
        <v>46101</v>
      </c>
      <c r="B139" s="58" t="n">
        <v>248.15</v>
      </c>
      <c r="C139" s="58" t="n">
        <v>131.22</v>
      </c>
      <c r="D139" s="58" t="n">
        <v>1317.25</v>
      </c>
      <c r="E139" s="58" t="n">
        <v>310.51</v>
      </c>
      <c r="F139" s="58" t="n">
        <v>102.25</v>
      </c>
      <c r="G139" s="58" t="n">
        <v>149.87</v>
      </c>
      <c r="H139" s="58" t="n">
        <v>422.9</v>
      </c>
      <c r="I139" s="58" t="n">
        <v>172.7</v>
      </c>
      <c r="J139" s="58" t="n">
        <v>128.01</v>
      </c>
      <c r="K139" s="58" t="n">
        <v>150.68</v>
      </c>
      <c r="L139" s="58" t="n">
        <v>329.24</v>
      </c>
      <c r="M139" s="58" t="n">
        <v>255.88</v>
      </c>
      <c r="N139" s="58" t="n">
        <v>454</v>
      </c>
      <c r="O139" s="58" t="n">
        <v>106.08</v>
      </c>
      <c r="P139" s="58"/>
      <c r="Q139" s="58" t="n">
        <v>67.68</v>
      </c>
      <c r="R139" s="58" t="n">
        <v>55.76</v>
      </c>
      <c r="S139" s="58" t="n">
        <v>113.78</v>
      </c>
      <c r="T139" s="58" t="n">
        <v>39.24</v>
      </c>
      <c r="U139" s="58"/>
      <c r="V139" s="59" t="n">
        <v>300.44</v>
      </c>
    </row>
    <row r="140" customFormat="false" ht="15" hidden="false" customHeight="true" outlineLevel="0" collapsed="false">
      <c r="A140" s="57" t="n">
        <v>46108</v>
      </c>
      <c r="B140" s="58" t="n">
        <v>234.84</v>
      </c>
      <c r="C140" s="58" t="n">
        <v>120.77</v>
      </c>
      <c r="D140" s="58" t="n">
        <v>1302.47</v>
      </c>
      <c r="E140" s="58" t="n">
        <v>300.68</v>
      </c>
      <c r="F140" s="58" t="n">
        <v>92.4</v>
      </c>
      <c r="G140" s="58" t="n">
        <v>144.32</v>
      </c>
      <c r="H140" s="58" t="n">
        <v>357.22</v>
      </c>
      <c r="I140" s="58" t="n">
        <v>167.52</v>
      </c>
      <c r="J140" s="58" t="n">
        <v>128.9</v>
      </c>
      <c r="K140" s="58" t="n">
        <v>143.06</v>
      </c>
      <c r="L140" s="58" t="n">
        <v>326.74</v>
      </c>
      <c r="M140" s="58" t="n">
        <v>251.07</v>
      </c>
      <c r="N140" s="58" t="n">
        <v>433.07</v>
      </c>
      <c r="O140" s="58" t="n">
        <v>109.23</v>
      </c>
      <c r="P140" s="58"/>
      <c r="Q140" s="58" t="n">
        <v>67.7</v>
      </c>
      <c r="R140" s="58" t="n">
        <v>54.13</v>
      </c>
      <c r="S140" s="58" t="n">
        <v>110.31</v>
      </c>
      <c r="T140" s="58" t="n">
        <v>38.75</v>
      </c>
      <c r="U140" s="58"/>
      <c r="V140" s="59" t="n">
        <v>294.36</v>
      </c>
    </row>
    <row r="141" customFormat="false" ht="15" hidden="false" customHeight="true" outlineLevel="0" collapsed="false">
      <c r="A141" s="57" t="n">
        <v>46114</v>
      </c>
      <c r="B141" s="58" t="n">
        <v>242.92</v>
      </c>
      <c r="C141" s="58" t="n">
        <v>126.68</v>
      </c>
      <c r="D141" s="58" t="n">
        <v>1317.23</v>
      </c>
      <c r="E141" s="58" t="n">
        <v>314.55</v>
      </c>
      <c r="F141" s="58" t="n">
        <v>99.78</v>
      </c>
      <c r="G141" s="58" t="n">
        <v>151.68</v>
      </c>
      <c r="H141" s="58" t="n">
        <v>366.24</v>
      </c>
      <c r="I141" s="58" t="n">
        <v>177.39</v>
      </c>
      <c r="J141" s="58" t="n">
        <v>133.77</v>
      </c>
      <c r="K141" s="58" t="n">
        <v>148.46</v>
      </c>
      <c r="L141" s="58" t="n">
        <v>339.04</v>
      </c>
      <c r="M141" s="58" t="n">
        <v>261.29</v>
      </c>
      <c r="N141" s="58" t="n">
        <v>438.71</v>
      </c>
      <c r="O141" s="58" t="n">
        <v>111.42</v>
      </c>
      <c r="P141" s="58"/>
      <c r="Q141" s="58" t="n">
        <v>67.75</v>
      </c>
      <c r="R141" s="58" t="n">
        <v>55.59</v>
      </c>
      <c r="S141" s="58" t="n">
        <v>114.74</v>
      </c>
      <c r="T141" s="58" t="n">
        <v>39.84</v>
      </c>
      <c r="U141" s="58"/>
    </row>
    <row r="142" customFormat="false" ht="15" hidden="false" customHeight="true" outlineLevel="0" collapsed="false">
      <c r="A142" s="57" t="n">
        <v>46122</v>
      </c>
      <c r="B142" s="58" t="n">
        <v>225.35</v>
      </c>
      <c r="C142" s="58" t="n">
        <v>147.35</v>
      </c>
      <c r="D142" s="58" t="n">
        <v>1478.28</v>
      </c>
      <c r="E142" s="58" t="n">
        <v>371.55</v>
      </c>
      <c r="F142" s="58" t="n">
        <v>94.76</v>
      </c>
      <c r="G142" s="58" t="n">
        <v>173.73</v>
      </c>
      <c r="H142" s="58" t="n">
        <v>420.59</v>
      </c>
      <c r="I142" s="58" t="n">
        <v>188.63</v>
      </c>
      <c r="J142" s="58" t="n">
        <v>137.19</v>
      </c>
      <c r="K142" s="58" t="n">
        <v>128.06</v>
      </c>
      <c r="L142" s="58" t="n">
        <v>370.6</v>
      </c>
      <c r="M142" s="58" t="n">
        <v>295.11</v>
      </c>
      <c r="N142" s="58" t="n">
        <v>436.27</v>
      </c>
      <c r="O142" s="58" t="n">
        <v>114.73</v>
      </c>
      <c r="P142" s="58"/>
      <c r="Q142" s="58" t="n">
        <v>68.04</v>
      </c>
      <c r="R142" s="58" t="n">
        <v>57.62</v>
      </c>
      <c r="S142" s="58" t="n">
        <v>123.34</v>
      </c>
      <c r="T142" s="58" t="n">
        <v>39.64</v>
      </c>
      <c r="U142" s="58"/>
      <c r="V142" s="59" t="n">
        <v>303.17</v>
      </c>
    </row>
    <row r="143" customFormat="false" ht="15" hidden="false" customHeight="true" outlineLevel="0" collapsed="false">
      <c r="A143" s="57" t="n">
        <v>46129</v>
      </c>
      <c r="B143" s="58" t="n">
        <v>244.45</v>
      </c>
      <c r="C143" s="58" t="n">
        <v>164.23</v>
      </c>
      <c r="D143" s="58" t="n">
        <v>1459.8</v>
      </c>
      <c r="E143" s="58" t="n">
        <v>406.54</v>
      </c>
      <c r="F143" s="58" t="n">
        <v>105.99</v>
      </c>
      <c r="G143" s="58" t="n">
        <v>179.14</v>
      </c>
      <c r="H143" s="58" t="n">
        <v>455.07</v>
      </c>
      <c r="I143" s="58" t="n">
        <v>201.68</v>
      </c>
      <c r="J143" s="58" t="n">
        <v>145.1</v>
      </c>
      <c r="K143" s="58" t="n">
        <v>146.39</v>
      </c>
      <c r="L143" s="58" t="n">
        <v>370.5</v>
      </c>
      <c r="M143" s="58" t="n">
        <v>307.34</v>
      </c>
      <c r="N143" s="58" t="n">
        <v>441.2</v>
      </c>
      <c r="O143" s="58" t="n">
        <v>117.52</v>
      </c>
      <c r="P143" s="58"/>
      <c r="Q143" s="58" t="n">
        <v>67.32</v>
      </c>
      <c r="R143" s="58" t="n">
        <v>58.66</v>
      </c>
      <c r="S143" s="58" t="n">
        <v>128.3</v>
      </c>
      <c r="T143" s="58" t="n">
        <v>41.76</v>
      </c>
      <c r="U143" s="58"/>
      <c r="V143" s="59" t="n">
        <v>315.78</v>
      </c>
    </row>
    <row r="144" customFormat="false" ht="15" hidden="false" customHeight="true" outlineLevel="0" collapsed="false">
      <c r="A144" s="57" t="n">
        <v>46136</v>
      </c>
      <c r="B144" s="58" t="n">
        <v>245.44</v>
      </c>
      <c r="C144" s="58" t="n">
        <v>176.91</v>
      </c>
      <c r="D144" s="58" t="n">
        <v>1457.7</v>
      </c>
      <c r="E144" s="58" t="n">
        <v>422.76</v>
      </c>
      <c r="F144" s="58" t="n">
        <v>112.03</v>
      </c>
      <c r="G144" s="58" t="n">
        <v>193.5</v>
      </c>
      <c r="H144" s="58" t="n">
        <v>496.72</v>
      </c>
      <c r="I144" s="58" t="n">
        <v>208.27</v>
      </c>
      <c r="J144" s="58" t="n">
        <v>142.1</v>
      </c>
      <c r="K144" s="58" t="n">
        <v>143.09</v>
      </c>
      <c r="L144" s="58" t="n">
        <v>402.46</v>
      </c>
      <c r="M144" s="58" t="n">
        <v>323.46</v>
      </c>
      <c r="N144" s="58" t="n">
        <v>430.29</v>
      </c>
      <c r="O144" s="58" t="n">
        <v>118.96</v>
      </c>
      <c r="P144" s="58"/>
      <c r="Q144" s="58" t="n">
        <v>67.35</v>
      </c>
      <c r="R144" s="58" t="n">
        <v>58.99</v>
      </c>
      <c r="S144" s="58" t="n">
        <v>131.52</v>
      </c>
      <c r="T144" s="58" t="n">
        <v>41.52</v>
      </c>
      <c r="U144" s="58"/>
      <c r="V144" s="59" t="n">
        <v>308.21</v>
      </c>
    </row>
    <row r="145" customFormat="false" ht="15" hidden="false" customHeight="true" outlineLevel="0" collapsed="false">
      <c r="A145" s="57" t="n">
        <v>46143</v>
      </c>
      <c r="B145" s="58" t="n">
        <v>250.71</v>
      </c>
      <c r="C145" s="58" t="n">
        <v>172.7</v>
      </c>
      <c r="D145" s="58" t="n">
        <v>1427.02</v>
      </c>
      <c r="E145" s="58" t="n">
        <v>421.28</v>
      </c>
      <c r="F145" s="58" t="n">
        <v>113.91</v>
      </c>
      <c r="G145" s="58" t="n">
        <v>172.63</v>
      </c>
      <c r="H145" s="58" t="n">
        <v>542.21</v>
      </c>
      <c r="I145" s="58" t="n">
        <v>198.45</v>
      </c>
      <c r="J145" s="58" t="n">
        <v>141.41</v>
      </c>
      <c r="K145" s="58" t="n">
        <v>144.07</v>
      </c>
      <c r="L145" s="58" t="n">
        <v>397.67</v>
      </c>
      <c r="M145" s="58" t="n">
        <v>328.31</v>
      </c>
      <c r="N145" s="58" t="n">
        <v>423.92</v>
      </c>
      <c r="O145" s="58" t="n">
        <v>119.96</v>
      </c>
      <c r="P145" s="58"/>
      <c r="Q145" s="58" t="n">
        <v>67.92</v>
      </c>
      <c r="R145" s="58" t="n">
        <v>58.86</v>
      </c>
      <c r="S145" s="58" t="n">
        <v>134.42</v>
      </c>
      <c r="T145" s="58" t="n">
        <v>42.59</v>
      </c>
      <c r="U145" s="58"/>
      <c r="V145" s="59" t="n">
        <v>326.74</v>
      </c>
    </row>
    <row r="146" customFormat="false" ht="15" hidden="false" customHeight="true" outlineLevel="0" collapsed="false">
      <c r="A146" s="57" t="n">
        <v>46150</v>
      </c>
      <c r="B146" s="58" t="n">
        <v>253.04</v>
      </c>
      <c r="C146" s="58" t="n">
        <v>141.77</v>
      </c>
      <c r="D146" s="58" t="n">
        <v>1592.02</v>
      </c>
      <c r="E146" s="58" t="n">
        <v>430</v>
      </c>
      <c r="F146" s="58" t="n">
        <v>131.94</v>
      </c>
      <c r="G146" s="58" t="n">
        <v>186.92</v>
      </c>
      <c r="H146" s="58" t="n">
        <v>746.81</v>
      </c>
      <c r="I146" s="58" t="n">
        <v>215.2</v>
      </c>
      <c r="J146" s="58" t="n">
        <v>144.09</v>
      </c>
      <c r="K146" s="58" t="n">
        <v>137.8</v>
      </c>
      <c r="L146" s="58" t="n">
        <v>411.68</v>
      </c>
      <c r="M146" s="58" t="n">
        <v>339.97</v>
      </c>
      <c r="N146" s="58" t="n">
        <v>429.82</v>
      </c>
      <c r="O146" s="58" t="n">
        <v>119.84</v>
      </c>
      <c r="P146" s="58"/>
      <c r="Q146" s="58" t="n">
        <v>67.08</v>
      </c>
      <c r="R146" s="58" t="n">
        <v>59.61</v>
      </c>
      <c r="S146" s="58" t="n">
        <v>143.81</v>
      </c>
      <c r="T146" s="58" t="n">
        <v>43.62</v>
      </c>
      <c r="U146" s="58"/>
      <c r="V146" s="59" t="n">
        <v>317.54</v>
      </c>
    </row>
    <row r="147" customFormat="false" ht="15" hidden="false" customHeight="true" outlineLevel="0" collapsed="false">
      <c r="A147" s="57" t="n">
        <v>46157</v>
      </c>
      <c r="B147" s="58" t="n">
        <v>247.6</v>
      </c>
      <c r="C147" s="58" t="n">
        <v>141.97</v>
      </c>
      <c r="D147" s="58" t="n">
        <v>1501.81</v>
      </c>
      <c r="E147" s="58" t="n">
        <v>425.19</v>
      </c>
      <c r="F147" s="58" t="n">
        <v>148.52</v>
      </c>
      <c r="G147" s="58" t="n">
        <v>180.43</v>
      </c>
      <c r="H147" s="58" t="n">
        <v>724.66</v>
      </c>
      <c r="I147" s="58" t="n">
        <v>225.32</v>
      </c>
      <c r="J147" s="58" t="n">
        <v>140.53</v>
      </c>
      <c r="K147" s="58" t="n">
        <v>133.99</v>
      </c>
      <c r="L147" s="58" t="n">
        <v>404.35</v>
      </c>
      <c r="M147" s="58" t="n">
        <v>370.94</v>
      </c>
      <c r="N147" s="58" t="n">
        <v>436.95</v>
      </c>
      <c r="O147" s="58" t="n">
        <v>117.25</v>
      </c>
      <c r="P147" s="58"/>
      <c r="Q147" s="58" t="n">
        <v>67.59</v>
      </c>
      <c r="R147" s="58" t="n">
        <v>59.77</v>
      </c>
      <c r="S147" s="58" t="n">
        <v>143.48</v>
      </c>
      <c r="T147" s="58" t="n">
        <v>42.5</v>
      </c>
      <c r="U147" s="58"/>
      <c r="V147" s="59" t="n">
        <v>325.15</v>
      </c>
    </row>
    <row r="148" customFormat="false" ht="15" hidden="false" customHeight="true" outlineLevel="0" collapsed="false">
      <c r="A148" s="57" t="n">
        <v>46164</v>
      </c>
      <c r="B148" s="58" t="n">
        <v>244.76</v>
      </c>
      <c r="C148" s="58" t="n">
        <v>154.03</v>
      </c>
      <c r="D148" s="58" t="n">
        <v>1632.9</v>
      </c>
      <c r="E148" s="58" t="n">
        <v>414.14</v>
      </c>
      <c r="F148" s="58" t="n">
        <v>165.87</v>
      </c>
      <c r="G148" s="58" t="n">
        <v>188.84</v>
      </c>
      <c r="H148" s="58" t="n">
        <v>751</v>
      </c>
      <c r="I148" s="58" t="n">
        <v>215.33</v>
      </c>
      <c r="J148" s="58" t="n">
        <v>145.9</v>
      </c>
      <c r="K148" s="58" t="n">
        <v>136.88</v>
      </c>
      <c r="L148" s="58" t="n">
        <v>404.52</v>
      </c>
      <c r="M148" s="58" t="n">
        <v>327.46</v>
      </c>
      <c r="N148" s="58" t="n">
        <v>434.52</v>
      </c>
      <c r="O148" s="58" t="n">
        <v>120.03</v>
      </c>
      <c r="P148" s="58"/>
      <c r="Q148" s="58" t="n">
        <v>68.33</v>
      </c>
      <c r="R148" s="58" t="n">
        <v>60.21</v>
      </c>
      <c r="S148" s="58" t="n">
        <v>144.94</v>
      </c>
      <c r="T148" s="58" t="n">
        <v>44.18</v>
      </c>
      <c r="U148" s="58"/>
      <c r="V148" s="59" t="n">
        <v>328.27</v>
      </c>
    </row>
    <row r="149" customFormat="false" ht="15" hidden="false" customHeight="true" outlineLevel="0" collapsed="false">
      <c r="A149" s="57" t="n">
        <v>46171</v>
      </c>
      <c r="B149" s="58" t="n">
        <v>259.21</v>
      </c>
      <c r="C149" s="58" t="n">
        <v>159.47</v>
      </c>
      <c r="D149" s="58" t="n">
        <v>1612.76</v>
      </c>
      <c r="E149" s="58" t="n">
        <v>446.77</v>
      </c>
      <c r="F149" s="58" t="n">
        <v>182.75</v>
      </c>
      <c r="G149" s="58" t="n">
        <v>192.17</v>
      </c>
      <c r="H149" s="58" t="n">
        <v>971</v>
      </c>
      <c r="I149" s="58" t="n">
        <v>211.14</v>
      </c>
      <c r="J149" s="58" t="n">
        <v>143.47</v>
      </c>
      <c r="K149" s="58" t="n">
        <v>156.54</v>
      </c>
      <c r="L149" s="58" t="n">
        <v>418.45</v>
      </c>
      <c r="M149" s="58" t="n">
        <v>315.71</v>
      </c>
      <c r="N149" s="58" t="n">
        <v>447.54</v>
      </c>
      <c r="O149" s="58" t="n">
        <v>120.05</v>
      </c>
      <c r="P149" s="58"/>
      <c r="Q149" s="58" t="n">
        <v>67.7</v>
      </c>
      <c r="R149" s="58" t="n">
        <v>61.15</v>
      </c>
      <c r="S149" s="58" t="n">
        <v>150.59</v>
      </c>
      <c r="T149" s="58" t="n">
        <v>46.57</v>
      </c>
      <c r="U149" s="58"/>
      <c r="V149" s="59" t="n">
        <v>325.75</v>
      </c>
    </row>
    <row r="150" customFormat="false" ht="15" hidden="false" customHeight="true" outlineLevel="0" collapsed="false">
      <c r="A150" s="57" t="n">
        <v>46178</v>
      </c>
      <c r="B150" s="58" t="n">
        <v>251.44</v>
      </c>
      <c r="C150" s="58" t="n">
        <v>154.27</v>
      </c>
      <c r="D150" s="58" t="n">
        <v>1641.74</v>
      </c>
      <c r="E150" s="58" t="n">
        <v>385.73</v>
      </c>
      <c r="F150" s="58" t="n">
        <v>167.76</v>
      </c>
      <c r="G150" s="58" t="n">
        <v>192.92</v>
      </c>
      <c r="H150" s="58" t="n">
        <v>864.01</v>
      </c>
      <c r="I150" s="58" t="n">
        <v>205.1</v>
      </c>
      <c r="J150" s="58" t="n">
        <v>144.54</v>
      </c>
      <c r="K150" s="58" t="n">
        <v>135.53</v>
      </c>
      <c r="L150" s="58" t="n">
        <v>415.17</v>
      </c>
      <c r="M150" s="58" t="n">
        <v>300.51</v>
      </c>
      <c r="N150" s="58" t="n">
        <v>446.83</v>
      </c>
      <c r="O150" s="58" t="n">
        <v>119.7</v>
      </c>
      <c r="P150" s="58"/>
      <c r="Q150" s="58" t="n">
        <v>67.58</v>
      </c>
      <c r="R150" s="58" t="n">
        <v>58.9</v>
      </c>
      <c r="S150" s="58" t="n">
        <v>144.28</v>
      </c>
      <c r="T150" s="58" t="n">
        <v>46.05</v>
      </c>
      <c r="U150" s="58"/>
      <c r="V150" s="59" t="n">
        <v>322.97</v>
      </c>
    </row>
    <row r="151" customFormat="false" ht="15" hidden="false" customHeight="true" outlineLevel="0" collapsed="false">
      <c r="A151" s="57" t="n">
        <v>46185</v>
      </c>
      <c r="B151" s="58" t="n">
        <v>204.02</v>
      </c>
      <c r="C151" s="58" t="n">
        <v>163.24</v>
      </c>
      <c r="D151" s="58" t="n">
        <v>1863.55</v>
      </c>
      <c r="E151" s="58" t="n">
        <v>382.07</v>
      </c>
      <c r="F151" s="58" t="n">
        <v>170.7</v>
      </c>
      <c r="G151" s="58" t="n">
        <v>254.54</v>
      </c>
      <c r="H151" s="58" t="n">
        <v>981.61</v>
      </c>
      <c r="I151" s="58" t="n">
        <v>205.19</v>
      </c>
      <c r="J151" s="58" t="n">
        <v>148.74</v>
      </c>
      <c r="K151" s="58" t="n">
        <v>127.99</v>
      </c>
      <c r="L151" s="58" t="n">
        <v>423.93</v>
      </c>
      <c r="M151" s="58" t="n">
        <v>302.87</v>
      </c>
      <c r="N151" s="58" t="n">
        <v>444.93</v>
      </c>
      <c r="O151" s="58" t="n">
        <v>124.38</v>
      </c>
      <c r="P151" s="58"/>
      <c r="Q151" s="58" t="n">
        <v>68.45</v>
      </c>
      <c r="R151" s="58" t="n">
        <v>59.86</v>
      </c>
      <c r="S151" s="58" t="n">
        <v>152.48</v>
      </c>
      <c r="T151" s="58" t="n">
        <v>46.29</v>
      </c>
      <c r="U151" s="58"/>
      <c r="V151" s="59" t="n">
        <v>321.79</v>
      </c>
    </row>
    <row r="152" customFormat="false" ht="15" hidden="false" customHeight="true" outlineLevel="0" collapsed="false">
      <c r="A152" s="57" t="n">
        <v>46191</v>
      </c>
      <c r="B152" s="58" t="n">
        <v>195.16</v>
      </c>
      <c r="C152" s="58" t="n">
        <v>169.67</v>
      </c>
      <c r="D152" s="58" t="n">
        <v>1929.68</v>
      </c>
      <c r="E152" s="58" t="n">
        <v>411.35</v>
      </c>
      <c r="F152" s="58" t="n">
        <v>171.22</v>
      </c>
      <c r="G152" s="58" t="n">
        <v>259.56</v>
      </c>
      <c r="H152" s="58" t="n">
        <v>1133.99</v>
      </c>
      <c r="I152" s="58" t="n">
        <v>210.69</v>
      </c>
      <c r="J152" s="58" t="n">
        <v>140.54</v>
      </c>
      <c r="K152" s="58" t="n">
        <v>128.47</v>
      </c>
      <c r="L152" s="58" t="n">
        <v>462.12</v>
      </c>
      <c r="M152" s="58" t="n">
        <v>333.05</v>
      </c>
      <c r="N152" s="58" t="n">
        <v>451.63</v>
      </c>
      <c r="O152" s="58" t="n">
        <v>122</v>
      </c>
      <c r="P152" s="58"/>
      <c r="Q152" s="58"/>
      <c r="R152" s="58" t="n">
        <v>61.34</v>
      </c>
      <c r="S152" s="58" t="n">
        <v>159.9</v>
      </c>
      <c r="T152" s="58" t="n">
        <v>45.25</v>
      </c>
      <c r="U152" s="58"/>
    </row>
    <row r="153" customFormat="false" ht="15" hidden="false" customHeight="true" outlineLevel="0" collapsed="false">
      <c r="A153" s="57" t="n">
        <v>46199</v>
      </c>
      <c r="B153" s="58" t="n">
        <v>202.73</v>
      </c>
      <c r="C153" s="58" t="n">
        <v>157.6</v>
      </c>
      <c r="D153" s="58" t="n">
        <v>1794.62</v>
      </c>
      <c r="E153" s="58" t="n">
        <v>365.02</v>
      </c>
      <c r="F153" s="58" t="n">
        <v>175.27</v>
      </c>
      <c r="G153" s="58" t="n">
        <v>248.64</v>
      </c>
      <c r="H153" s="58" t="n">
        <v>1132.33</v>
      </c>
      <c r="I153" s="58" t="n">
        <v>192.53</v>
      </c>
      <c r="J153" s="58" t="n">
        <v>139.97</v>
      </c>
      <c r="K153" s="58" t="n">
        <v>112.93</v>
      </c>
      <c r="L153" s="58" t="n">
        <v>432.35</v>
      </c>
      <c r="M153" s="58" t="n">
        <v>303.95</v>
      </c>
      <c r="N153" s="58" t="n">
        <v>491.34</v>
      </c>
      <c r="O153" s="58" t="n">
        <v>124.94</v>
      </c>
      <c r="P153" s="58"/>
      <c r="Q153" s="58"/>
      <c r="R153" s="58" t="n">
        <v>59.42</v>
      </c>
      <c r="S153" s="58" t="n">
        <v>154.2</v>
      </c>
      <c r="T153" s="58" t="n">
        <v>46.19</v>
      </c>
      <c r="U153" s="58"/>
      <c r="V153" s="59" t="n">
        <v>335.61</v>
      </c>
    </row>
    <row r="154" customFormat="false" ht="15" hidden="false" customHeight="true" outlineLevel="0" collapsed="false">
      <c r="A154" s="57" t="n">
        <v>46205</v>
      </c>
      <c r="B154" s="58" t="n">
        <v>219.72</v>
      </c>
      <c r="C154" s="58" t="n">
        <v>159.99</v>
      </c>
      <c r="D154" s="58" t="n">
        <v>1769.32</v>
      </c>
      <c r="E154" s="58" t="n">
        <v>360.45</v>
      </c>
      <c r="F154" s="58" t="n">
        <v>193.98</v>
      </c>
      <c r="G154" s="58" t="n">
        <v>235.55</v>
      </c>
      <c r="H154" s="58" t="n">
        <v>975.56</v>
      </c>
      <c r="I154" s="58" t="n">
        <v>194.83</v>
      </c>
      <c r="J154" s="58" t="n">
        <v>139.43</v>
      </c>
      <c r="K154" s="58" t="n">
        <v>129.3</v>
      </c>
      <c r="L154" s="58" t="n">
        <v>434.16</v>
      </c>
      <c r="M154" s="58" t="n">
        <v>300.53</v>
      </c>
      <c r="N154" s="58" t="n">
        <v>528.04</v>
      </c>
      <c r="O154" s="58" t="n">
        <v>123.51</v>
      </c>
      <c r="P154" s="58"/>
      <c r="Q154" s="58"/>
      <c r="R154" s="58" t="n">
        <v>59.39</v>
      </c>
      <c r="S154" s="58" t="n">
        <v>150.83</v>
      </c>
      <c r="T154" s="58" t="n">
        <v>47</v>
      </c>
      <c r="U154" s="58"/>
    </row>
    <row r="155" customFormat="false" ht="15" hidden="false" customHeight="true" outlineLevel="0" collapsed="false">
      <c r="A155" s="57" t="n">
        <v>46213</v>
      </c>
      <c r="B155" s="58" t="n">
        <v>223.64</v>
      </c>
      <c r="C155" s="58" t="n">
        <v>186.96</v>
      </c>
      <c r="D155" s="58" t="n">
        <v>1797.32</v>
      </c>
      <c r="E155" s="58" t="n">
        <v>399.97</v>
      </c>
      <c r="F155" s="58" t="n">
        <v>187.18</v>
      </c>
      <c r="G155" s="58" t="n">
        <v>231.52</v>
      </c>
      <c r="H155" s="58" t="n">
        <v>979.3</v>
      </c>
      <c r="I155" s="58" t="n">
        <v>210.96</v>
      </c>
      <c r="J155" s="58" t="n">
        <v>140.87</v>
      </c>
      <c r="K155" s="58" t="n">
        <v>126.79</v>
      </c>
      <c r="L155" s="58" t="n">
        <v>434.11</v>
      </c>
      <c r="M155" s="58" t="n">
        <v>318.86</v>
      </c>
      <c r="N155" s="58" t="n">
        <v>485.39</v>
      </c>
      <c r="O155" s="58" t="n">
        <v>123.95</v>
      </c>
      <c r="P155" s="58"/>
      <c r="Q155" s="58"/>
      <c r="R155" s="58" t="n">
        <v>60.51</v>
      </c>
      <c r="S155" s="58" t="n">
        <v>153.75</v>
      </c>
      <c r="T155" s="58" t="n">
        <v>47.39</v>
      </c>
      <c r="U155" s="58"/>
      <c r="V155" s="59" t="n">
        <v>348.32</v>
      </c>
    </row>
    <row r="156" customFormat="false" ht="15" hidden="false" customHeight="true" outlineLevel="0" collapsed="false">
      <c r="A156" s="57" t="n">
        <v>46220</v>
      </c>
      <c r="B156" s="58" t="n">
        <v>237.25</v>
      </c>
      <c r="C156" s="58" t="n">
        <v>168.61</v>
      </c>
      <c r="D156" s="58" t="n">
        <v>1747.58</v>
      </c>
      <c r="E156" s="58" t="n">
        <v>370.83</v>
      </c>
      <c r="F156" s="58" t="n">
        <v>203.08</v>
      </c>
      <c r="G156" s="58" t="n">
        <v>212.75</v>
      </c>
      <c r="H156" s="58" t="n">
        <v>848.95</v>
      </c>
      <c r="I156" s="58" t="n">
        <v>202.81</v>
      </c>
      <c r="J156" s="58" t="n">
        <v>149.79</v>
      </c>
      <c r="K156" s="58" t="n">
        <v>132.38</v>
      </c>
      <c r="L156" s="58" t="n">
        <v>398.37</v>
      </c>
      <c r="M156" s="58" t="n">
        <v>289.56</v>
      </c>
      <c r="N156" s="58" t="n">
        <v>485.65</v>
      </c>
      <c r="O156" s="58" t="n">
        <v>125.35</v>
      </c>
      <c r="P156" s="58"/>
      <c r="Q156" s="58"/>
      <c r="R156" s="58" t="n">
        <v>58.51</v>
      </c>
      <c r="S156" s="58" t="n">
        <v>143.89</v>
      </c>
      <c r="T156" s="58" t="n">
        <v>47.8</v>
      </c>
      <c r="U156" s="58"/>
      <c r="V156" s="59" t="n">
        <v>357.9</v>
      </c>
    </row>
    <row r="157" customFormat="false" ht="15" hidden="false" customHeight="true" outlineLevel="0" collapsed="false">
      <c r="A157" s="57" t="n">
        <v>46227</v>
      </c>
      <c r="B157" s="58" t="n">
        <v>225.11</v>
      </c>
      <c r="C157" s="58" t="n">
        <v>173.99</v>
      </c>
      <c r="D157" s="58" t="n">
        <v>1757.09</v>
      </c>
      <c r="E157" s="58" t="n">
        <v>381.92</v>
      </c>
      <c r="F157" s="58" t="n">
        <v>183.28</v>
      </c>
      <c r="G157" s="58" t="n">
        <v>210.52</v>
      </c>
      <c r="H157" s="58" t="n">
        <v>920.95</v>
      </c>
      <c r="I157" s="58" t="n">
        <v>206.84</v>
      </c>
      <c r="J157" s="58" t="n">
        <v>147.63</v>
      </c>
      <c r="K157" s="58" t="n">
        <v>122.92</v>
      </c>
      <c r="L157" s="58" t="n">
        <v>403.41</v>
      </c>
      <c r="M157" s="58" t="n">
        <v>290.36</v>
      </c>
      <c r="N157" s="58" t="n">
        <v>477.36</v>
      </c>
      <c r="O157" s="58" t="n">
        <v>125.28</v>
      </c>
      <c r="P157" s="58"/>
      <c r="Q157" s="58"/>
      <c r="R157" s="58" t="n">
        <v>57.96</v>
      </c>
      <c r="S157" s="58" t="n">
        <v>146.51</v>
      </c>
      <c r="T157" s="58" t="n">
        <v>48.14</v>
      </c>
      <c r="U157" s="58"/>
      <c r="V157" s="59" t="n">
        <v>355.08</v>
      </c>
    </row>
    <row r="158" customFormat="false" ht="15" hidden="false" customHeight="true" outlineLevel="0" collapsed="false">
      <c r="A158" s="57" t="n">
        <v>46234</v>
      </c>
      <c r="B158" s="58" t="n">
        <v>250.41</v>
      </c>
      <c r="C158" s="58" t="n">
        <v>180.35</v>
      </c>
      <c r="D158" s="58" t="n">
        <v>1629</v>
      </c>
      <c r="E158" s="58" t="n">
        <v>389.28</v>
      </c>
      <c r="F158" s="58" t="n">
        <v>190.86</v>
      </c>
      <c r="G158" s="58" t="n">
        <v>182.82</v>
      </c>
      <c r="H158" s="58" t="n">
        <v>823.03</v>
      </c>
      <c r="I158" s="58" t="n">
        <v>200.75</v>
      </c>
      <c r="J158" s="58" t="n">
        <v>144.61</v>
      </c>
      <c r="K158" s="58" t="n">
        <v>123.06</v>
      </c>
      <c r="L158" s="58" t="n">
        <v>404.25</v>
      </c>
      <c r="M158" s="58" t="n">
        <v>241.57</v>
      </c>
      <c r="N158" s="58" t="n">
        <v>477.1</v>
      </c>
      <c r="O158" s="58" t="n">
        <v>125.28</v>
      </c>
      <c r="P158" s="58"/>
      <c r="Q158" s="58"/>
      <c r="R158" s="58" t="n">
        <v>58.25</v>
      </c>
      <c r="S158" s="58" t="n">
        <v>143.83</v>
      </c>
      <c r="T158" s="58" t="n">
        <v>49.74</v>
      </c>
      <c r="U158" s="58"/>
      <c r="V158" s="59" t="n">
        <v>365.45</v>
      </c>
    </row>
    <row r="159" customFormat="false" ht="15" hidden="false" customHeight="true" outlineLevel="0" collapsed="false">
      <c r="A159" s="57" t="n">
        <v>46241</v>
      </c>
      <c r="B159" s="58" t="n">
        <v>265.21</v>
      </c>
      <c r="C159" s="58" t="n">
        <v>188.67</v>
      </c>
      <c r="D159" s="58" t="n">
        <v>1740.99</v>
      </c>
      <c r="E159" s="58" t="n">
        <v>427.76</v>
      </c>
      <c r="F159" s="58" t="n">
        <v>214.42</v>
      </c>
      <c r="G159" s="58" t="n">
        <v>197.89</v>
      </c>
      <c r="H159" s="58" t="n">
        <v>877.57</v>
      </c>
      <c r="I159" s="58" t="n">
        <v>223.96</v>
      </c>
      <c r="J159" s="58" t="n">
        <v>140.16</v>
      </c>
      <c r="K159" s="58" t="n">
        <v>172.01</v>
      </c>
      <c r="L159" s="58" t="n">
        <v>420.04</v>
      </c>
      <c r="M159" s="58" t="n">
        <v>272.4</v>
      </c>
      <c r="N159" s="58" t="n">
        <v>496.07</v>
      </c>
      <c r="O159" s="58" t="n">
        <v>126.88</v>
      </c>
      <c r="P159" s="58"/>
      <c r="Q159" s="58" t="n">
        <v>69.86</v>
      </c>
      <c r="R159" s="58" t="n">
        <v>59.74</v>
      </c>
      <c r="S159" s="58" t="n">
        <v>149.69</v>
      </c>
      <c r="T159" s="58" t="n">
        <v>51.46</v>
      </c>
      <c r="U159" s="58"/>
      <c r="V159" s="59" t="n">
        <v>361.83</v>
      </c>
    </row>
    <row r="160" customFormat="false" ht="15" hidden="false" customHeight="true" outlineLevel="0" collapsed="false">
      <c r="A160" s="57" t="n">
        <v>46248</v>
      </c>
      <c r="B160" s="58" t="n">
        <v>264.02</v>
      </c>
      <c r="C160" s="58" t="n">
        <v>198.82</v>
      </c>
      <c r="D160" s="58" t="n">
        <v>1844.08</v>
      </c>
      <c r="E160" s="58" t="n">
        <v>392.99</v>
      </c>
      <c r="F160" s="58" t="n">
        <v>216.95</v>
      </c>
      <c r="G160" s="58" t="n">
        <v>203.49</v>
      </c>
      <c r="H160" s="58" t="n">
        <v>971.66</v>
      </c>
      <c r="I160" s="58" t="n">
        <v>225.16</v>
      </c>
      <c r="J160" s="58" t="n">
        <v>141.03</v>
      </c>
      <c r="K160" s="58" t="n">
        <v>174.04</v>
      </c>
      <c r="L160" s="58" t="n">
        <v>426.35</v>
      </c>
      <c r="M160" s="58" t="n">
        <v>293.84</v>
      </c>
      <c r="N160" s="58" t="n">
        <v>505.75</v>
      </c>
      <c r="O160" s="58" t="n">
        <v>128.73</v>
      </c>
      <c r="P160" s="58"/>
      <c r="Q160" s="58" t="n">
        <v>70.15</v>
      </c>
      <c r="R160" s="58" t="n">
        <v>60.53</v>
      </c>
      <c r="S160" s="58" t="n">
        <v>153.31</v>
      </c>
      <c r="T160" s="58" t="n">
        <v>53.71</v>
      </c>
      <c r="U160" s="58"/>
      <c r="V160" s="59" t="n">
        <v>364.15</v>
      </c>
    </row>
    <row r="161" customFormat="false" ht="15" hidden="false" customHeight="true" outlineLevel="0" collapsed="false">
      <c r="A161" s="57" t="n">
        <v>46255</v>
      </c>
      <c r="B161" s="58" t="n">
        <v>275.3</v>
      </c>
      <c r="C161" s="58" t="n">
        <v>188.65</v>
      </c>
      <c r="D161" s="58" t="n">
        <v>1763.76</v>
      </c>
      <c r="E161" s="58" t="n">
        <v>368.45</v>
      </c>
      <c r="F161" s="58" t="n">
        <v>191.95</v>
      </c>
      <c r="G161" s="58" t="n">
        <v>183.99</v>
      </c>
      <c r="H161" s="58" t="n">
        <v>966.78</v>
      </c>
      <c r="I161" s="58" t="n">
        <v>214.72</v>
      </c>
      <c r="J161" s="58" t="n">
        <v>141.8</v>
      </c>
      <c r="K161" s="58" t="n">
        <v>179.94</v>
      </c>
      <c r="L161" s="58" t="n">
        <v>418.95</v>
      </c>
      <c r="M161" s="58" t="n">
        <v>261.95</v>
      </c>
      <c r="N161" s="58" t="n">
        <v>548.05</v>
      </c>
      <c r="O161" s="58" t="n">
        <v>126.45</v>
      </c>
      <c r="P161" s="58"/>
      <c r="Q161" s="58" t="n">
        <v>69.41</v>
      </c>
      <c r="R161" s="58" t="n">
        <v>59.84</v>
      </c>
      <c r="S161" s="58" t="n">
        <v>148.73</v>
      </c>
      <c r="T161" s="58" t="n">
        <v>55.45</v>
      </c>
      <c r="U161" s="58"/>
      <c r="V161" s="59" t="n">
        <v>371.04</v>
      </c>
    </row>
    <row r="162" customFormat="false" ht="15" hidden="false" customHeight="true" outlineLevel="0" collapsed="false">
      <c r="A162" s="60" t="n">
        <v>46262</v>
      </c>
      <c r="B162" s="1" t="n">
        <v>291.52</v>
      </c>
      <c r="C162" s="1" t="n">
        <v>195.38</v>
      </c>
      <c r="D162" s="1" t="n">
        <v>1696.16</v>
      </c>
      <c r="E162" s="1" t="n">
        <v>368.79</v>
      </c>
      <c r="F162" s="1" t="n">
        <v>218.4</v>
      </c>
      <c r="G162" s="1" t="n">
        <v>175.54</v>
      </c>
      <c r="H162" s="1" t="n">
        <v>932.86</v>
      </c>
      <c r="I162" s="1" t="n">
        <v>217.55</v>
      </c>
      <c r="J162" s="1" t="n">
        <v>140.7</v>
      </c>
      <c r="K162" s="1" t="n">
        <v>186.29</v>
      </c>
      <c r="L162" s="1" t="n">
        <v>417.52</v>
      </c>
      <c r="M162" s="1" t="n">
        <v>257.08</v>
      </c>
      <c r="N162" s="1" t="n">
        <v>541.69</v>
      </c>
      <c r="O162" s="1" t="n">
        <v>125.57</v>
      </c>
      <c r="Q162" s="1" t="n">
        <v>69.69</v>
      </c>
      <c r="R162" s="1" t="n">
        <v>59.47</v>
      </c>
      <c r="S162" s="1" t="n">
        <v>146.78</v>
      </c>
      <c r="T162" s="1" t="n">
        <v>55.66</v>
      </c>
      <c r="V162" s="1" t="n">
        <v>381.6</v>
      </c>
    </row>
    <row r="163" customFormat="false" ht="15" hidden="false" customHeight="true" outlineLevel="0" collapsed="false">
      <c r="A163" s="60" t="n">
        <v>46269</v>
      </c>
      <c r="B163" s="1" t="n">
        <v>266.51</v>
      </c>
      <c r="C163" s="1" t="n">
        <v>193.78</v>
      </c>
      <c r="D163" s="1" t="n">
        <v>1714.88</v>
      </c>
      <c r="E163" s="1" t="n">
        <v>357.9</v>
      </c>
      <c r="F163" s="1" t="n">
        <v>213.1</v>
      </c>
      <c r="G163" s="1" t="n">
        <v>185.6</v>
      </c>
      <c r="H163" s="1" t="n">
        <v>1016.59</v>
      </c>
      <c r="I163" s="1" t="n">
        <v>230.36</v>
      </c>
      <c r="J163" s="1" t="n">
        <v>137.34</v>
      </c>
      <c r="K163" s="1" t="n">
        <v>174.33</v>
      </c>
      <c r="L163" s="1" t="n">
        <v>428.91</v>
      </c>
      <c r="M163" s="1" t="n">
        <v>280.53</v>
      </c>
      <c r="N163" s="1" t="n">
        <v>546.12</v>
      </c>
      <c r="O163" s="1" t="n">
        <v>126.93</v>
      </c>
      <c r="Q163" s="1" t="n">
        <v>69.72</v>
      </c>
      <c r="R163" s="1" t="n">
        <v>59.87</v>
      </c>
      <c r="S163" s="1" t="n">
        <v>149.72</v>
      </c>
      <c r="T163" s="1" t="n">
        <v>55.29</v>
      </c>
      <c r="V163" s="1" t="n">
        <v>375.07</v>
      </c>
    </row>
    <row r="164" customFormat="false" ht="15" hidden="false" customHeight="true" outlineLevel="0" collapsed="false"/>
  </sheetData>
  <mergeCells count="1">
    <mergeCell ref="A1:Q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6" activePane="bottomLeft" state="frozen"/>
      <selection pane="topLeft" activeCell="A1" activeCellId="0" sqref="A1"/>
      <selection pane="bottomLeft" activeCell="A49" activeCellId="0" sqref="A49"/>
    </sheetView>
  </sheetViews>
  <sheetFormatPr defaultColWidth="8.66796875" defaultRowHeight="15" customHeight="false" zeroHeight="false" outlineLevelRow="1" outlineLevelCol="0"/>
  <cols>
    <col collapsed="false" customWidth="true" hidden="false" outlineLevel="0" max="1" min="1" style="1" width="10"/>
    <col collapsed="false" customWidth="true" hidden="false" outlineLevel="0" max="2" min="2" style="1" width="18"/>
    <col collapsed="false" customWidth="true" hidden="false" outlineLevel="0" max="3" min="3" style="1" width="12"/>
    <col collapsed="false" customWidth="true" hidden="false" outlineLevel="0" max="5" min="5" style="1" width="9.67"/>
    <col collapsed="false" customWidth="true" hidden="false" outlineLevel="0" max="6" min="6" style="1" width="13"/>
    <col collapsed="false" customWidth="true" hidden="false" outlineLevel="0" max="8" min="7" style="1" width="9"/>
    <col collapsed="false" customWidth="true" hidden="false" outlineLevel="0" max="9" min="9" style="1" width="7.33"/>
    <col collapsed="false" customWidth="true" hidden="false" outlineLevel="0" max="10" min="10" style="1" width="8"/>
  </cols>
  <sheetData>
    <row r="1" customFormat="false" ht="31.5" hidden="false" customHeight="true" outlineLevel="0" collapsed="false">
      <c r="A1" s="61" t="s">
        <v>82</v>
      </c>
      <c r="B1" s="61" t="s">
        <v>274</v>
      </c>
      <c r="C1" s="61" t="s">
        <v>275</v>
      </c>
      <c r="D1" s="62" t="s">
        <v>276</v>
      </c>
      <c r="E1" s="62" t="s">
        <v>277</v>
      </c>
      <c r="F1" s="61" t="s">
        <v>278</v>
      </c>
      <c r="G1" s="61" t="s">
        <v>279</v>
      </c>
      <c r="H1" s="61" t="s">
        <v>280</v>
      </c>
      <c r="I1" s="61" t="s">
        <v>281</v>
      </c>
      <c r="J1" s="61" t="s">
        <v>282</v>
      </c>
    </row>
    <row r="2" customFormat="false" ht="15" hidden="false" customHeight="true" outlineLevel="0" collapsed="false">
      <c r="A2" s="63" t="str">
        <f aca="false">IF(Scoring!A3="","",Scoring!A3)</f>
        <v>MU</v>
      </c>
      <c r="B2" s="64" t="str">
        <f aca="false">IF(Scoring!B3="","",Scoring!B3)</f>
        <v>Micron Technology</v>
      </c>
      <c r="C2" s="65" t="n">
        <f aca="false">IF(Scoring!C3="","",Scoring!C3)</f>
        <v>46240</v>
      </c>
      <c r="D2" s="66" t="n">
        <f aca="false">IF(Scoring!N3="","",Scoring!N3)</f>
        <v>3.64285714285714</v>
      </c>
      <c r="E2" s="67" t="n">
        <f aca="false">IF(Scoring!AF3="","",Scoring!AF3)</f>
        <v>71.8</v>
      </c>
      <c r="F2" s="37" t="str">
        <f aca="false">IF(Scoring!AG3&lt;&gt;"",Scoring!AG3,IF(Scoring!AH3="OK","PENDING",""))</f>
        <v>BUY</v>
      </c>
      <c r="G2" s="37" t="str">
        <f aca="false">IF(Scoring!AH3="","",Scoring!AH3)</f>
        <v>OK</v>
      </c>
      <c r="H2" s="37" t="str">
        <f aca="false">IF(Scoring!AI3="","",Scoring!AI3)</f>
        <v>OK</v>
      </c>
      <c r="I2" s="37" t="str">
        <f aca="false">IF(Scoring!AJ3="","",Scoring!AJ3)</f>
        <v>OK</v>
      </c>
      <c r="J2" s="37" t="str">
        <f aca="false">IF(Scoring!AK3="","",Scoring!AK3)</f>
        <v>OK</v>
      </c>
    </row>
    <row r="3" customFormat="false" ht="15" hidden="false" customHeight="true" outlineLevel="0" collapsed="false">
      <c r="A3" s="63" t="str">
        <f aca="false">IF(Scoring!A4="","",Scoring!A4)</f>
        <v>AVGO</v>
      </c>
      <c r="B3" s="64" t="str">
        <f aca="false">IF(Scoring!B4="","",Scoring!B4)</f>
        <v>Broadcom Inc.</v>
      </c>
      <c r="C3" s="65" t="n">
        <f aca="false">IF(Scoring!C4="","",Scoring!C4)</f>
        <v>46240</v>
      </c>
      <c r="D3" s="66" t="n">
        <f aca="false">IF(Scoring!N4="","",Scoring!N4)</f>
        <v>4.07142857142857</v>
      </c>
      <c r="E3" s="67" t="n">
        <f aca="false">IF(Scoring!AF4="","",Scoring!AF4)</f>
        <v>80.8</v>
      </c>
      <c r="F3" s="37" t="str">
        <f aca="false">IF(Scoring!AG4&lt;&gt;"",Scoring!AG4,IF(Scoring!AH4="OK","PENDING",""))</f>
        <v>STRONG BUY</v>
      </c>
      <c r="G3" s="37" t="str">
        <f aca="false">IF(Scoring!AH4="","",Scoring!AH4)</f>
        <v>OK</v>
      </c>
      <c r="H3" s="37" t="str">
        <f aca="false">IF(Scoring!AI4="","",Scoring!AI4)</f>
        <v>OK</v>
      </c>
      <c r="I3" s="37" t="str">
        <f aca="false">IF(Scoring!AJ4="","",Scoring!AJ4)</f>
        <v>OK</v>
      </c>
      <c r="J3" s="37" t="str">
        <f aca="false">IF(Scoring!AK4="","",Scoring!AK4)</f>
        <v>OK</v>
      </c>
    </row>
    <row r="4" customFormat="false" ht="15" hidden="false" customHeight="true" outlineLevel="0" collapsed="false">
      <c r="A4" s="63" t="str">
        <f aca="false">IF(Scoring!A5="","",Scoring!A5)</f>
        <v>PLTR</v>
      </c>
      <c r="B4" s="64" t="str">
        <f aca="false">IF(Scoring!B5="","",Scoring!B5)</f>
        <v>Palantir Technologies</v>
      </c>
      <c r="C4" s="65" t="n">
        <f aca="false">IF(Scoring!C5="","",Scoring!C5)</f>
        <v>46240</v>
      </c>
      <c r="D4" s="66" t="n">
        <f aca="false">IF(Scoring!N5="","",Scoring!N5)</f>
        <v>4</v>
      </c>
      <c r="E4" s="67" t="n">
        <f aca="false">IF(Scoring!AF5="","",Scoring!AF5)</f>
        <v>75.2</v>
      </c>
      <c r="F4" s="37" t="str">
        <f aca="false">IF(Scoring!AG5&lt;&gt;"",Scoring!AG5,IF(Scoring!AH5="OK","PENDING",""))</f>
        <v>BUY</v>
      </c>
      <c r="G4" s="37" t="str">
        <f aca="false">IF(Scoring!AH5="","",Scoring!AH5)</f>
        <v>OK</v>
      </c>
      <c r="H4" s="37" t="str">
        <f aca="false">IF(Scoring!AI5="","",Scoring!AI5)</f>
        <v>OK</v>
      </c>
      <c r="I4" s="37" t="str">
        <f aca="false">IF(Scoring!AJ5="","",Scoring!AJ5)</f>
        <v>OK</v>
      </c>
      <c r="J4" s="37" t="str">
        <f aca="false">IF(Scoring!AK5="","",Scoring!AK5)</f>
        <v>OK</v>
      </c>
    </row>
    <row r="5" customFormat="false" ht="15" hidden="false" customHeight="true" outlineLevel="0" collapsed="false">
      <c r="A5" s="63" t="str">
        <f aca="false">IF(Scoring!A6="","",Scoring!A6)</f>
        <v>NVDA</v>
      </c>
      <c r="B5" s="64" t="str">
        <f aca="false">IF(Scoring!B6="","",Scoring!B6)</f>
        <v>NVIDIA Corporation</v>
      </c>
      <c r="C5" s="65" t="n">
        <f aca="false">IF(Scoring!C6="","",Scoring!C6)</f>
        <v>46240</v>
      </c>
      <c r="D5" s="66" t="n">
        <f aca="false">IF(Scoring!N6="","",Scoring!N6)</f>
        <v>4.57142857142857</v>
      </c>
      <c r="E5" s="67" t="n">
        <f aca="false">IF(Scoring!AF6="","",Scoring!AF6)</f>
        <v>93.2</v>
      </c>
      <c r="F5" s="37" t="str">
        <f aca="false">IF(Scoring!AG6&lt;&gt;"",Scoring!AG6,IF(Scoring!AH6="OK","PENDING",""))</f>
        <v>STRONG BUY</v>
      </c>
      <c r="G5" s="37" t="str">
        <f aca="false">IF(Scoring!AH6="","",Scoring!AH6)</f>
        <v>OK</v>
      </c>
      <c r="H5" s="37" t="str">
        <f aca="false">IF(Scoring!AI6="","",Scoring!AI6)</f>
        <v>OK</v>
      </c>
      <c r="I5" s="37" t="str">
        <f aca="false">IF(Scoring!AJ6="","",Scoring!AJ6)</f>
        <v>OK</v>
      </c>
      <c r="J5" s="37" t="str">
        <f aca="false">IF(Scoring!AK6="","",Scoring!AK6)</f>
        <v>OK</v>
      </c>
    </row>
    <row r="6" customFormat="false" ht="15" hidden="false" customHeight="true" outlineLevel="0" collapsed="false">
      <c r="A6" s="63" t="str">
        <f aca="false">IF(Scoring!A7="","",Scoring!A7)</f>
        <v>VRTX</v>
      </c>
      <c r="B6" s="64" t="str">
        <f aca="false">IF(Scoring!B7="","",Scoring!B7)</f>
        <v>Vertex Pharmaceuticals</v>
      </c>
      <c r="C6" s="65" t="n">
        <f aca="false">IF(Scoring!C7="","",Scoring!C7)</f>
        <v>46241</v>
      </c>
      <c r="D6" s="66" t="n">
        <f aca="false">IF(Scoring!N7="","",Scoring!N7)</f>
        <v>3.78571428571429</v>
      </c>
      <c r="E6" s="67" t="n">
        <f aca="false">IF(Scoring!AF7="","",Scoring!AF7)</f>
        <v>75.6</v>
      </c>
      <c r="F6" s="37" t="str">
        <f aca="false">IF(Scoring!AG7&lt;&gt;"",Scoring!AG7,IF(Scoring!AH7="OK","PENDING",""))</f>
        <v>BUY</v>
      </c>
      <c r="G6" s="37" t="str">
        <f aca="false">IF(Scoring!AH7="","",Scoring!AH7)</f>
        <v>OK</v>
      </c>
      <c r="H6" s="37" t="str">
        <f aca="false">IF(Scoring!AI7="","",Scoring!AI7)</f>
        <v>OK</v>
      </c>
      <c r="I6" s="37" t="str">
        <f aca="false">IF(Scoring!AJ7="","",Scoring!AJ7)</f>
        <v>OK</v>
      </c>
      <c r="J6" s="37" t="str">
        <f aca="false">IF(Scoring!AK7="","",Scoring!AK7)</f>
        <v>OK</v>
      </c>
    </row>
    <row r="7" customFormat="false" ht="15" hidden="false" customHeight="true" outlineLevel="0" collapsed="false">
      <c r="A7" s="63" t="str">
        <f aca="false">IF(Scoring!A8="","",Scoring!A8)</f>
        <v>PLD</v>
      </c>
      <c r="B7" s="64" t="str">
        <f aca="false">IF(Scoring!B8="","",Scoring!B8)</f>
        <v>Prologis Inc. (REIT-adapted)</v>
      </c>
      <c r="C7" s="65" t="n">
        <f aca="false">IF(Scoring!C8="","",Scoring!C8)</f>
        <v>46240</v>
      </c>
      <c r="D7" s="66" t="n">
        <f aca="false">IF(Scoring!N8="","",Scoring!N8)</f>
        <v>4.35714285714286</v>
      </c>
      <c r="E7" s="67" t="n">
        <f aca="false">IF(Scoring!AF8="","",Scoring!AF8)</f>
        <v>82</v>
      </c>
      <c r="F7" s="37" t="str">
        <f aca="false">IF(Scoring!AG8&lt;&gt;"",Scoring!AG8,IF(Scoring!AH8="OK","PENDING",""))</f>
        <v>STRONG BUY</v>
      </c>
      <c r="G7" s="37" t="str">
        <f aca="false">IF(Scoring!AH8="","",Scoring!AH8)</f>
        <v>OK</v>
      </c>
      <c r="H7" s="37" t="str">
        <f aca="false">IF(Scoring!AI8="","",Scoring!AI8)</f>
        <v>OK</v>
      </c>
      <c r="I7" s="37" t="str">
        <f aca="false">IF(Scoring!AJ8="","",Scoring!AJ8)</f>
        <v>OK</v>
      </c>
      <c r="J7" s="37" t="str">
        <f aca="false">IF(Scoring!AK8="","",Scoring!AK8)</f>
        <v>OK</v>
      </c>
    </row>
    <row r="8" customFormat="false" ht="15" hidden="true" customHeight="true" outlineLevel="1" collapsed="false">
      <c r="A8" s="63" t="str">
        <f aca="false">IF(Scoring!A9="","",Scoring!A9)</f>
        <v>SFM</v>
      </c>
      <c r="B8" s="64" t="str">
        <f aca="false">IF(Scoring!B9="","",Scoring!B9)</f>
        <v>Sprouts Farmers Market</v>
      </c>
      <c r="C8" s="65" t="n">
        <f aca="false">IF(Scoring!C9="","",Scoring!C9)</f>
        <v>46240</v>
      </c>
      <c r="D8" s="66" t="n">
        <f aca="false">IF(Scoring!N9="","",Scoring!N9)</f>
        <v>1.85714285714286</v>
      </c>
      <c r="E8" s="67" t="str">
        <f aca="false">IF(Scoring!AF9="","",Scoring!AF9)</f>
        <v/>
      </c>
      <c r="F8" s="37" t="str">
        <f aca="false">IF(Scoring!AG9&lt;&gt;"",Scoring!AG9,IF(Scoring!AH9="OK","PENDING",""))</f>
        <v/>
      </c>
      <c r="G8" s="37" t="str">
        <f aca="false">IF(Scoring!AH9="","",Scoring!AH9)</f>
        <v>FAIL</v>
      </c>
      <c r="H8" s="37" t="str">
        <f aca="false">IF(Scoring!AI9="","",Scoring!AI9)</f>
        <v>REVIEW</v>
      </c>
      <c r="I8" s="37" t="str">
        <f aca="false">IF(Scoring!AJ9="","",Scoring!AJ9)</f>
        <v>AVOID</v>
      </c>
      <c r="J8" s="37" t="str">
        <f aca="false">IF(Scoring!AK9="","",Scoring!AK9)</f>
        <v>OK</v>
      </c>
    </row>
    <row r="9" customFormat="false" ht="15" hidden="true" customHeight="true" outlineLevel="1" collapsed="false">
      <c r="A9" s="63" t="str">
        <f aca="false">IF(Scoring!A10="","",Scoring!A10)</f>
        <v>ONON</v>
      </c>
      <c r="B9" s="64" t="str">
        <f aca="false">IF(Scoring!B10="","",Scoring!B10)</f>
        <v>On Holding AG</v>
      </c>
      <c r="C9" s="65" t="n">
        <f aca="false">IF(Scoring!C10="","",Scoring!C10)</f>
        <v>46240</v>
      </c>
      <c r="D9" s="66" t="n">
        <f aca="false">IF(Scoring!N10="","",Scoring!N10)</f>
        <v>2.64285714285714</v>
      </c>
      <c r="E9" s="67" t="str">
        <f aca="false">IF(Scoring!AF10="","",Scoring!AF10)</f>
        <v/>
      </c>
      <c r="F9" s="37" t="str">
        <f aca="false">IF(Scoring!AG10&lt;&gt;"",Scoring!AG10,IF(Scoring!AH10="OK","PENDING",""))</f>
        <v/>
      </c>
      <c r="G9" s="37" t="str">
        <f aca="false">IF(Scoring!AH10="","",Scoring!AH10)</f>
        <v>FAIL</v>
      </c>
      <c r="H9" s="37" t="str">
        <f aca="false">IF(Scoring!AI10="","",Scoring!AI10)</f>
        <v>OK</v>
      </c>
      <c r="I9" s="37" t="str">
        <f aca="false">IF(Scoring!AJ10="","",Scoring!AJ10)</f>
        <v>AVOID</v>
      </c>
      <c r="J9" s="37" t="str">
        <f aca="false">IF(Scoring!AK10="","",Scoring!AK10)</f>
        <v>OK</v>
      </c>
    </row>
    <row r="10" customFormat="false" ht="15" hidden="true" customHeight="true" outlineLevel="1" collapsed="false">
      <c r="A10" s="63" t="str">
        <f aca="false">IF(Scoring!A11="","",Scoring!A11)</f>
        <v>TSLA</v>
      </c>
      <c r="B10" s="64" t="str">
        <f aca="false">IF(Scoring!B11="","",Scoring!B11)</f>
        <v>Tesla Inc.</v>
      </c>
      <c r="C10" s="65" t="n">
        <f aca="false">IF(Scoring!C11="","",Scoring!C11)</f>
        <v>46240</v>
      </c>
      <c r="D10" s="66" t="n">
        <f aca="false">IF(Scoring!N11="","",Scoring!N11)</f>
        <v>1.92857142857143</v>
      </c>
      <c r="E10" s="67" t="str">
        <f aca="false">IF(Scoring!AF11="","",Scoring!AF11)</f>
        <v/>
      </c>
      <c r="F10" s="37" t="str">
        <f aca="false">IF(Scoring!AG11&lt;&gt;"",Scoring!AG11,IF(Scoring!AH11="OK","PENDING",""))</f>
        <v/>
      </c>
      <c r="G10" s="37" t="str">
        <f aca="false">IF(Scoring!AH11="","",Scoring!AH11)</f>
        <v>FAIL</v>
      </c>
      <c r="H10" s="37" t="str">
        <f aca="false">IF(Scoring!AI11="","",Scoring!AI11)</f>
        <v>REVIEW</v>
      </c>
      <c r="I10" s="37" t="str">
        <f aca="false">IF(Scoring!AJ11="","",Scoring!AJ11)</f>
        <v>AVOID</v>
      </c>
      <c r="J10" s="37" t="str">
        <f aca="false">IF(Scoring!AK11="","",Scoring!AK11)</f>
        <v>OK</v>
      </c>
    </row>
    <row r="11" customFormat="false" ht="15" hidden="false" customHeight="true" outlineLevel="0" collapsed="false">
      <c r="A11" s="63" t="str">
        <f aca="false">IF(Scoring!A12="","",Scoring!A12)</f>
        <v>ADBE</v>
      </c>
      <c r="B11" s="64" t="str">
        <f aca="false">IF(Scoring!B12="","",Scoring!B12)</f>
        <v>Adobe Inc.</v>
      </c>
      <c r="C11" s="65" t="n">
        <f aca="false">IF(Scoring!C12="","",Scoring!C12)</f>
        <v>46240</v>
      </c>
      <c r="D11" s="66" t="n">
        <f aca="false">IF(Scoring!N12="","",Scoring!N12)</f>
        <v>4.57142857142857</v>
      </c>
      <c r="E11" s="67" t="n">
        <f aca="false">IF(Scoring!AF12="","",Scoring!AF12)</f>
        <v>85.8</v>
      </c>
      <c r="F11" s="37" t="str">
        <f aca="false">IF(Scoring!AG12&lt;&gt;"",Scoring!AG12,IF(Scoring!AH12="OK","PENDING",""))</f>
        <v>STRONG BUY</v>
      </c>
      <c r="G11" s="37" t="str">
        <f aca="false">IF(Scoring!AH12="","",Scoring!AH12)</f>
        <v>OK</v>
      </c>
      <c r="H11" s="37" t="str">
        <f aca="false">IF(Scoring!AI12="","",Scoring!AI12)</f>
        <v>OK</v>
      </c>
      <c r="I11" s="37" t="str">
        <f aca="false">IF(Scoring!AJ12="","",Scoring!AJ12)</f>
        <v>OK</v>
      </c>
      <c r="J11" s="37" t="str">
        <f aca="false">IF(Scoring!AK12="","",Scoring!AK12)</f>
        <v>OK</v>
      </c>
    </row>
    <row r="12" customFormat="false" ht="15" hidden="false" customHeight="true" outlineLevel="0" collapsed="false">
      <c r="A12" s="63" t="str">
        <f aca="false">IF(Scoring!A13="","",Scoring!A13)</f>
        <v>ANET</v>
      </c>
      <c r="B12" s="64" t="str">
        <f aca="false">IF(Scoring!B13="","",Scoring!B13)</f>
        <v>Arista Networks</v>
      </c>
      <c r="C12" s="65" t="n">
        <f aca="false">IF(Scoring!C13="","",Scoring!C13)</f>
        <v>46240</v>
      </c>
      <c r="D12" s="66" t="n">
        <f aca="false">IF(Scoring!N13="","",Scoring!N13)</f>
        <v>4.57142857142857</v>
      </c>
      <c r="E12" s="67" t="n">
        <f aca="false">IF(Scoring!AF13="","",Scoring!AF13)</f>
        <v>85</v>
      </c>
      <c r="F12" s="37" t="str">
        <f aca="false">IF(Scoring!AG13&lt;&gt;"",Scoring!AG13,IF(Scoring!AH13="OK","PENDING",""))</f>
        <v>STRONG BUY</v>
      </c>
      <c r="G12" s="37" t="str">
        <f aca="false">IF(Scoring!AH13="","",Scoring!AH13)</f>
        <v>OK</v>
      </c>
      <c r="H12" s="37" t="str">
        <f aca="false">IF(Scoring!AI13="","",Scoring!AI13)</f>
        <v>OK</v>
      </c>
      <c r="I12" s="37" t="str">
        <f aca="false">IF(Scoring!AJ13="","",Scoring!AJ13)</f>
        <v>OK</v>
      </c>
      <c r="J12" s="37" t="str">
        <f aca="false">IF(Scoring!AK13="","",Scoring!AK13)</f>
        <v>OK</v>
      </c>
    </row>
    <row r="13" customFormat="false" ht="15" hidden="false" customHeight="true" outlineLevel="0" collapsed="false">
      <c r="A13" s="63" t="str">
        <f aca="false">IF(Scoring!A14="","",Scoring!A14)</f>
        <v>ASML</v>
      </c>
      <c r="B13" s="64" t="str">
        <f aca="false">IF(Scoring!B14="","",Scoring!B14)</f>
        <v>ASML Holding</v>
      </c>
      <c r="C13" s="65" t="n">
        <f aca="false">IF(Scoring!C14="","",Scoring!C14)</f>
        <v>46240</v>
      </c>
      <c r="D13" s="66" t="n">
        <f aca="false">IF(Scoring!N14="","",Scoring!N14)</f>
        <v>3.57142857142857</v>
      </c>
      <c r="E13" s="67" t="n">
        <f aca="false">IF(Scoring!AF14="","",Scoring!AF14)</f>
        <v>73.2</v>
      </c>
      <c r="F13" s="37" t="str">
        <f aca="false">IF(Scoring!AG14&lt;&gt;"",Scoring!AG14,IF(Scoring!AH14="OK","PENDING",""))</f>
        <v>BUY</v>
      </c>
      <c r="G13" s="37" t="str">
        <f aca="false">IF(Scoring!AH14="","",Scoring!AH14)</f>
        <v>OK</v>
      </c>
      <c r="H13" s="37" t="str">
        <f aca="false">IF(Scoring!AI14="","",Scoring!AI14)</f>
        <v>OK</v>
      </c>
      <c r="I13" s="37" t="str">
        <f aca="false">IF(Scoring!AJ14="","",Scoring!AJ14)</f>
        <v>OK</v>
      </c>
      <c r="J13" s="37" t="str">
        <f aca="false">IF(Scoring!AK14="","",Scoring!AK14)</f>
        <v>OK</v>
      </c>
    </row>
    <row r="14" customFormat="false" ht="15" hidden="false" customHeight="true" outlineLevel="0" collapsed="false">
      <c r="A14" s="63" t="str">
        <f aca="false">IF(Scoring!A15="","",Scoring!A15)</f>
        <v>CRWD</v>
      </c>
      <c r="B14" s="64" t="str">
        <f aca="false">IF(Scoring!B15="","",Scoring!B15)</f>
        <v>CrowdStrike Holdings</v>
      </c>
      <c r="C14" s="65" t="n">
        <f aca="false">IF(Scoring!C15="","",Scoring!C15)</f>
        <v>46240</v>
      </c>
      <c r="D14" s="66" t="n">
        <f aca="false">IF(Scoring!N15="","",Scoring!N15)</f>
        <v>4</v>
      </c>
      <c r="E14" s="67" t="n">
        <f aca="false">IF(Scoring!AF15="","",Scoring!AF15)</f>
        <v>70.4</v>
      </c>
      <c r="F14" s="37" t="str">
        <f aca="false">IF(Scoring!AG15&lt;&gt;"",Scoring!AG15,IF(Scoring!AH15="OK","PENDING",""))</f>
        <v>BUY</v>
      </c>
      <c r="G14" s="37" t="str">
        <f aca="false">IF(Scoring!AH15="","",Scoring!AH15)</f>
        <v>OK</v>
      </c>
      <c r="H14" s="37" t="str">
        <f aca="false">IF(Scoring!AI15="","",Scoring!AI15)</f>
        <v>OK</v>
      </c>
      <c r="I14" s="37" t="str">
        <f aca="false">IF(Scoring!AJ15="","",Scoring!AJ15)</f>
        <v>OK</v>
      </c>
      <c r="J14" s="37" t="str">
        <f aca="false">IF(Scoring!AK15="","",Scoring!AK15)</f>
        <v>OK</v>
      </c>
    </row>
    <row r="15" customFormat="false" ht="15" hidden="false" customHeight="true" outlineLevel="0" collapsed="false">
      <c r="A15" s="63" t="str">
        <f aca="false">IF(Scoring!A16="","",Scoring!A16)</f>
        <v>KLAC</v>
      </c>
      <c r="B15" s="64" t="str">
        <f aca="false">IF(Scoring!B16="","",Scoring!B16)</f>
        <v>KLA Corporation</v>
      </c>
      <c r="C15" s="65" t="n">
        <f aca="false">IF(Scoring!C16="","",Scoring!C16)</f>
        <v>46240</v>
      </c>
      <c r="D15" s="66" t="n">
        <f aca="false">IF(Scoring!N16="","",Scoring!N16)</f>
        <v>3.42857142857143</v>
      </c>
      <c r="E15" s="67" t="n">
        <f aca="false">IF(Scoring!AF16="","",Scoring!AF16)</f>
        <v>68.6</v>
      </c>
      <c r="F15" s="37" t="str">
        <f aca="false">IF(Scoring!AG16&lt;&gt;"",Scoring!AG16,IF(Scoring!AH16="OK","PENDING",""))</f>
        <v>BUY</v>
      </c>
      <c r="G15" s="37" t="str">
        <f aca="false">IF(Scoring!AH16="","",Scoring!AH16)</f>
        <v>OK</v>
      </c>
      <c r="H15" s="37" t="str">
        <f aca="false">IF(Scoring!AI16="","",Scoring!AI16)</f>
        <v>OK</v>
      </c>
      <c r="I15" s="37" t="str">
        <f aca="false">IF(Scoring!AJ16="","",Scoring!AJ16)</f>
        <v>OK</v>
      </c>
      <c r="J15" s="37" t="str">
        <f aca="false">IF(Scoring!AK16="","",Scoring!AK16)</f>
        <v>OK</v>
      </c>
    </row>
    <row r="16" customFormat="false" ht="15" hidden="false" customHeight="true" outlineLevel="0" collapsed="false">
      <c r="A16" s="63" t="str">
        <f aca="false">IF(Scoring!A17="","",Scoring!A17)</f>
        <v>TSM</v>
      </c>
      <c r="B16" s="64" t="str">
        <f aca="false">IF(Scoring!B17="","",Scoring!B17)</f>
        <v>Taiwan Semiconductor Mfg.</v>
      </c>
      <c r="C16" s="65" t="n">
        <f aca="false">IF(Scoring!C17="","",Scoring!C17)</f>
        <v>46240</v>
      </c>
      <c r="D16" s="66" t="n">
        <f aca="false">IF(Scoring!N17="","",Scoring!N17)</f>
        <v>4</v>
      </c>
      <c r="E16" s="67" t="n">
        <f aca="false">IF(Scoring!AF17="","",Scoring!AF17)</f>
        <v>81</v>
      </c>
      <c r="F16" s="37" t="str">
        <f aca="false">IF(Scoring!AG17&lt;&gt;"",Scoring!AG17,IF(Scoring!AH17="OK","PENDING",""))</f>
        <v>STRONG BUY</v>
      </c>
      <c r="G16" s="37" t="str">
        <f aca="false">IF(Scoring!AH17="","",Scoring!AH17)</f>
        <v>OK</v>
      </c>
      <c r="H16" s="37" t="str">
        <f aca="false">IF(Scoring!AI17="","",Scoring!AI17)</f>
        <v>OK</v>
      </c>
      <c r="I16" s="37" t="str">
        <f aca="false">IF(Scoring!AJ17="","",Scoring!AJ17)</f>
        <v>OK</v>
      </c>
      <c r="J16" s="37" t="str">
        <f aca="false">IF(Scoring!AK17="","",Scoring!AK17)</f>
        <v>OK</v>
      </c>
    </row>
    <row r="17" customFormat="false" ht="15" hidden="false" customHeight="true" outlineLevel="0" collapsed="false">
      <c r="A17" s="63" t="str">
        <f aca="false">IF(Scoring!A18="","",Scoring!A18)</f>
        <v>VRT</v>
      </c>
      <c r="B17" s="64" t="str">
        <f aca="false">IF(Scoring!B18="","",Scoring!B18)</f>
        <v>Vertiv Holdings</v>
      </c>
      <c r="C17" s="65" t="n">
        <f aca="false">IF(Scoring!C18="","",Scoring!C18)</f>
        <v>46240</v>
      </c>
      <c r="D17" s="66" t="n">
        <f aca="false">IF(Scoring!N18="","",Scoring!N18)</f>
        <v>4.35714285714286</v>
      </c>
      <c r="E17" s="67" t="n">
        <f aca="false">IF(Scoring!AF18="","",Scoring!AF18)</f>
        <v>82.8</v>
      </c>
      <c r="F17" s="37" t="str">
        <f aca="false">IF(Scoring!AG18&lt;&gt;"",Scoring!AG18,IF(Scoring!AH18="OK","PENDING",""))</f>
        <v>STRONG BUY</v>
      </c>
      <c r="G17" s="37" t="str">
        <f aca="false">IF(Scoring!AH18="","",Scoring!AH18)</f>
        <v>OK</v>
      </c>
      <c r="H17" s="37" t="str">
        <f aca="false">IF(Scoring!AI18="","",Scoring!AI18)</f>
        <v>OK</v>
      </c>
      <c r="I17" s="37" t="str">
        <f aca="false">IF(Scoring!AJ18="","",Scoring!AJ18)</f>
        <v>OK</v>
      </c>
      <c r="J17" s="37" t="str">
        <f aca="false">IF(Scoring!AK18="","",Scoring!AK18)</f>
        <v>OK</v>
      </c>
    </row>
    <row r="18" customFormat="false" ht="15" hidden="false" customHeight="true" outlineLevel="0" collapsed="false">
      <c r="A18" s="63" t="str">
        <f aca="false">IF(Scoring!A19="","",Scoring!A19)</f>
        <v>COST</v>
      </c>
      <c r="B18" s="64" t="str">
        <f aca="false">IF(Scoring!B19="","",Scoring!B19)</f>
        <v>Costco Wholesale Corp.</v>
      </c>
      <c r="C18" s="65" t="n">
        <f aca="false">IF(Scoring!C19="","",Scoring!C19)</f>
        <v>46245</v>
      </c>
      <c r="D18" s="66" t="n">
        <f aca="false">IF(Scoring!N19="","",Scoring!N19)</f>
        <v>4.14285714285714</v>
      </c>
      <c r="E18" s="67" t="n">
        <f aca="false">IF(Scoring!AF19="","",Scoring!AF19)</f>
        <v>77.4</v>
      </c>
      <c r="F18" s="37" t="str">
        <f aca="false">IF(Scoring!AG19&lt;&gt;"",Scoring!AG19,IF(Scoring!AH19="OK","PENDING",""))</f>
        <v>BUY</v>
      </c>
      <c r="G18" s="37" t="str">
        <f aca="false">IF(Scoring!AH19="","",Scoring!AH19)</f>
        <v>OK</v>
      </c>
      <c r="H18" s="37" t="str">
        <f aca="false">IF(Scoring!AI19="","",Scoring!AI19)</f>
        <v>OK</v>
      </c>
      <c r="I18" s="37" t="str">
        <f aca="false">IF(Scoring!AJ19="","",Scoring!AJ19)</f>
        <v>OK</v>
      </c>
      <c r="J18" s="37" t="str">
        <f aca="false">IF(Scoring!AK19="","",Scoring!AK19)</f>
        <v>OK</v>
      </c>
    </row>
    <row r="19" customFormat="false" ht="15" hidden="false" customHeight="true" outlineLevel="0" collapsed="false">
      <c r="A19" s="63" t="str">
        <f aca="false">IF(Scoring!A20="","",Scoring!A20)</f>
        <v>V</v>
      </c>
      <c r="B19" s="64" t="str">
        <f aca="false">IF(Scoring!B20="","",Scoring!B20)</f>
        <v>Visa Inc.</v>
      </c>
      <c r="C19" s="65" t="n">
        <f aca="false">IF(Scoring!C20="","",Scoring!C20)</f>
        <v>46245</v>
      </c>
      <c r="D19" s="66" t="n">
        <f aca="false">IF(Scoring!N20="","",Scoring!N20)</f>
        <v>4.57142857142857</v>
      </c>
      <c r="E19" s="67" t="n">
        <f aca="false">IF(Scoring!AF20="","",Scoring!AF20)</f>
        <v>86.4</v>
      </c>
      <c r="F19" s="37" t="str">
        <f aca="false">IF(Scoring!AG20&lt;&gt;"",Scoring!AG20,IF(Scoring!AH20="OK","PENDING",""))</f>
        <v>STRONG BUY</v>
      </c>
      <c r="G19" s="37" t="str">
        <f aca="false">IF(Scoring!AH20="","",Scoring!AH20)</f>
        <v>OK</v>
      </c>
      <c r="H19" s="37" t="str">
        <f aca="false">IF(Scoring!AI20="","",Scoring!AI20)</f>
        <v>OK</v>
      </c>
      <c r="I19" s="37" t="str">
        <f aca="false">IF(Scoring!AJ20="","",Scoring!AJ20)</f>
        <v>OK</v>
      </c>
      <c r="J19" s="37" t="str">
        <f aca="false">IF(Scoring!AK20="","",Scoring!AK20)</f>
        <v>OK</v>
      </c>
    </row>
    <row r="20" customFormat="false" ht="15" hidden="true" customHeight="true" outlineLevel="1" collapsed="false">
      <c r="A20" s="63" t="str">
        <f aca="false">IF(Scoring!A21="","",Scoring!A21)</f>
        <v>NEE</v>
      </c>
      <c r="B20" s="64" t="str">
        <f aca="false">IF(Scoring!B21="","",Scoring!B21)</f>
        <v>NextEra Energy Inc.</v>
      </c>
      <c r="C20" s="65" t="n">
        <f aca="false">IF(Scoring!C21="","",Scoring!C21)</f>
        <v>46245</v>
      </c>
      <c r="D20" s="66" t="n">
        <f aca="false">IF(Scoring!N21="","",Scoring!N21)</f>
        <v>2.5</v>
      </c>
      <c r="E20" s="67" t="str">
        <f aca="false">IF(Scoring!AF21="","",Scoring!AF21)</f>
        <v/>
      </c>
      <c r="F20" s="37" t="str">
        <f aca="false">IF(Scoring!AG21&lt;&gt;"",Scoring!AG21,IF(Scoring!AH21="OK","PENDING",""))</f>
        <v/>
      </c>
      <c r="G20" s="37" t="str">
        <f aca="false">IF(Scoring!AH21="","",Scoring!AH21)</f>
        <v>FAIL</v>
      </c>
      <c r="H20" s="37" t="str">
        <f aca="false">IF(Scoring!AI21="","",Scoring!AI21)</f>
        <v>REVIEW</v>
      </c>
      <c r="I20" s="37" t="str">
        <f aca="false">IF(Scoring!AJ21="","",Scoring!AJ21)</f>
        <v>AVOID</v>
      </c>
      <c r="J20" s="37" t="str">
        <f aca="false">IF(Scoring!AK21="","",Scoring!AK21)</f>
        <v>OK</v>
      </c>
    </row>
    <row r="21" customFormat="false" ht="15" hidden="true" customHeight="true" outlineLevel="1" collapsed="false">
      <c r="A21" s="63" t="str">
        <f aca="false">IF(Scoring!A22="","",Scoring!A22)</f>
        <v>CRK</v>
      </c>
      <c r="B21" s="64" t="str">
        <f aca="false">IF(Scoring!B22="","",Scoring!B22)</f>
        <v>Comstock Resources Inc.</v>
      </c>
      <c r="C21" s="65" t="n">
        <f aca="false">IF(Scoring!C22="","",Scoring!C22)</f>
        <v>46245</v>
      </c>
      <c r="D21" s="66" t="n">
        <f aca="false">IF(Scoring!N22="","",Scoring!N22)</f>
        <v>1.21428571428571</v>
      </c>
      <c r="E21" s="67" t="str">
        <f aca="false">IF(Scoring!AF22="","",Scoring!AF22)</f>
        <v/>
      </c>
      <c r="F21" s="37" t="str">
        <f aca="false">IF(Scoring!AG22&lt;&gt;"",Scoring!AG22,IF(Scoring!AH22="OK","PENDING",""))</f>
        <v/>
      </c>
      <c r="G21" s="37" t="str">
        <f aca="false">IF(Scoring!AH22="","",Scoring!AH22)</f>
        <v>FAIL</v>
      </c>
      <c r="H21" s="37" t="str">
        <f aca="false">IF(Scoring!AI22="","",Scoring!AI22)</f>
        <v>REVIEW</v>
      </c>
      <c r="I21" s="37" t="str">
        <f aca="false">IF(Scoring!AJ22="","",Scoring!AJ22)</f>
        <v>AVOID</v>
      </c>
      <c r="J21" s="37" t="str">
        <f aca="false">IF(Scoring!AK22="","",Scoring!AK22)</f>
        <v>OK</v>
      </c>
    </row>
    <row r="22" customFormat="false" ht="15" hidden="false" customHeight="true" outlineLevel="0" collapsed="false">
      <c r="A22" s="63" t="str">
        <f aca="false">IF(Scoring!A23="","",Scoring!A23)</f>
        <v>ET</v>
      </c>
      <c r="B22" s="64" t="str">
        <f aca="false">IF(Scoring!B23="","",Scoring!B23)</f>
        <v>Energy Transfer LP</v>
      </c>
      <c r="C22" s="65" t="n">
        <f aca="false">IF(Scoring!C23="","",Scoring!C23)</f>
        <v>46245</v>
      </c>
      <c r="D22" s="66" t="n">
        <f aca="false">IF(Scoring!N23="","",Scoring!N23)</f>
        <v>4</v>
      </c>
      <c r="E22" s="67" t="str">
        <f aca="false">IF(Scoring!AF23="","",Scoring!AF23)</f>
        <v/>
      </c>
      <c r="F22" s="37" t="str">
        <f aca="false">IF(Scoring!AG23&lt;&gt;"",Scoring!AG23,IF(Scoring!AH23="OK","PENDING",""))</f>
        <v>PENDING</v>
      </c>
      <c r="G22" s="37" t="str">
        <f aca="false">IF(Scoring!AH23="","",Scoring!AH23)</f>
        <v>OK</v>
      </c>
      <c r="H22" s="37" t="str">
        <f aca="false">IF(Scoring!AI23="","",Scoring!AI23)</f>
        <v>OK</v>
      </c>
      <c r="I22" s="37" t="str">
        <f aca="false">IF(Scoring!AJ23="","",Scoring!AJ23)</f>
        <v>OK</v>
      </c>
      <c r="J22" s="37" t="str">
        <f aca="false">IF(Scoring!AK23="","",Scoring!AK23)</f>
        <v>OK</v>
      </c>
    </row>
    <row r="23" customFormat="false" ht="15" hidden="true" customHeight="true" outlineLevel="1" collapsed="false">
      <c r="A23" s="63" t="str">
        <f aca="false">IF(Scoring!A24="","",Scoring!A24)</f>
        <v>LBRT</v>
      </c>
      <c r="B23" s="64" t="str">
        <f aca="false">IF(Scoring!B24="","",Scoring!B24)</f>
        <v>Liberty Energy Inc.</v>
      </c>
      <c r="C23" s="65" t="n">
        <f aca="false">IF(Scoring!C24="","",Scoring!C24)</f>
        <v>46245</v>
      </c>
      <c r="D23" s="66" t="n">
        <f aca="false">IF(Scoring!N24="","",Scoring!N24)</f>
        <v>2.07142857142857</v>
      </c>
      <c r="E23" s="67" t="str">
        <f aca="false">IF(Scoring!AF24="","",Scoring!AF24)</f>
        <v/>
      </c>
      <c r="F23" s="37" t="str">
        <f aca="false">IF(Scoring!AG24&lt;&gt;"",Scoring!AG24,IF(Scoring!AH24="OK","PENDING",""))</f>
        <v/>
      </c>
      <c r="G23" s="37" t="str">
        <f aca="false">IF(Scoring!AH24="","",Scoring!AH24)</f>
        <v>FAIL</v>
      </c>
      <c r="H23" s="37" t="str">
        <f aca="false">IF(Scoring!AI24="","",Scoring!AI24)</f>
        <v>REVIEW</v>
      </c>
      <c r="I23" s="37" t="str">
        <f aca="false">IF(Scoring!AJ24="","",Scoring!AJ24)</f>
        <v>AVOID</v>
      </c>
      <c r="J23" s="37" t="str">
        <f aca="false">IF(Scoring!AK24="","",Scoring!AK24)</f>
        <v>OK</v>
      </c>
    </row>
    <row r="24" customFormat="false" ht="15" hidden="true" customHeight="true" outlineLevel="1" collapsed="false">
      <c r="A24" s="63" t="str">
        <f aca="false">IF(Scoring!A25="","",Scoring!A25)</f>
        <v>NOV</v>
      </c>
      <c r="B24" s="64" t="str">
        <f aca="false">IF(Scoring!B25="","",Scoring!B25)</f>
        <v>NOV Inc.</v>
      </c>
      <c r="C24" s="65" t="n">
        <f aca="false">IF(Scoring!C25="","",Scoring!C25)</f>
        <v>46245</v>
      </c>
      <c r="D24" s="66" t="n">
        <f aca="false">IF(Scoring!N25="","",Scoring!N25)</f>
        <v>2.64285714285714</v>
      </c>
      <c r="E24" s="67" t="str">
        <f aca="false">IF(Scoring!AF25="","",Scoring!AF25)</f>
        <v/>
      </c>
      <c r="F24" s="37" t="str">
        <f aca="false">IF(Scoring!AG25&lt;&gt;"",Scoring!AG25,IF(Scoring!AH25="OK","PENDING",""))</f>
        <v/>
      </c>
      <c r="G24" s="37" t="str">
        <f aca="false">IF(Scoring!AH25="","",Scoring!AH25)</f>
        <v>FAIL</v>
      </c>
      <c r="H24" s="37" t="str">
        <f aca="false">IF(Scoring!AI25="","",Scoring!AI25)</f>
        <v>OK</v>
      </c>
      <c r="I24" s="37" t="str">
        <f aca="false">IF(Scoring!AJ25="","",Scoring!AJ25)</f>
        <v>AVOID</v>
      </c>
      <c r="J24" s="37" t="str">
        <f aca="false">IF(Scoring!AK25="","",Scoring!AK25)</f>
        <v>OK</v>
      </c>
    </row>
    <row r="25" customFormat="false" ht="15" hidden="true" customHeight="true" outlineLevel="1" collapsed="false">
      <c r="A25" s="63" t="str">
        <f aca="false">IF(Scoring!A26="","",Scoring!A26)</f>
        <v>CE</v>
      </c>
      <c r="B25" s="64" t="str">
        <f aca="false">IF(Scoring!B26="","",Scoring!B26)</f>
        <v>Celanese Corp.</v>
      </c>
      <c r="C25" s="65" t="n">
        <f aca="false">IF(Scoring!C26="","",Scoring!C26)</f>
        <v>46245</v>
      </c>
      <c r="D25" s="66" t="n">
        <f aca="false">IF(Scoring!N26="","",Scoring!N26)</f>
        <v>1.78571428571429</v>
      </c>
      <c r="E25" s="67" t="str">
        <f aca="false">IF(Scoring!AF26="","",Scoring!AF26)</f>
        <v/>
      </c>
      <c r="F25" s="37" t="str">
        <f aca="false">IF(Scoring!AG26&lt;&gt;"",Scoring!AG26,IF(Scoring!AH26="OK","PENDING",""))</f>
        <v/>
      </c>
      <c r="G25" s="37" t="str">
        <f aca="false">IF(Scoring!AH26="","",Scoring!AH26)</f>
        <v>FAIL</v>
      </c>
      <c r="H25" s="37" t="str">
        <f aca="false">IF(Scoring!AI26="","",Scoring!AI26)</f>
        <v>REVIEW</v>
      </c>
      <c r="I25" s="37" t="str">
        <f aca="false">IF(Scoring!AJ26="","",Scoring!AJ26)</f>
        <v>AVOID</v>
      </c>
      <c r="J25" s="37" t="str">
        <f aca="false">IF(Scoring!AK26="","",Scoring!AK26)</f>
        <v>OK</v>
      </c>
    </row>
    <row r="26" customFormat="false" ht="15" hidden="true" customHeight="true" outlineLevel="1" collapsed="false">
      <c r="A26" s="63" t="str">
        <f aca="false">IF(Scoring!A27="","",Scoring!A27)</f>
        <v>CLF</v>
      </c>
      <c r="B26" s="64" t="str">
        <f aca="false">IF(Scoring!B27="","",Scoring!B27)</f>
        <v>Cleveland-Cliffs Inc.</v>
      </c>
      <c r="C26" s="65" t="n">
        <f aca="false">IF(Scoring!C27="","",Scoring!C27)</f>
        <v>46245</v>
      </c>
      <c r="D26" s="66" t="n">
        <f aca="false">IF(Scoring!N27="","",Scoring!N27)</f>
        <v>1.85714285714286</v>
      </c>
      <c r="E26" s="67" t="str">
        <f aca="false">IF(Scoring!AF27="","",Scoring!AF27)</f>
        <v/>
      </c>
      <c r="F26" s="37" t="str">
        <f aca="false">IF(Scoring!AG27&lt;&gt;"",Scoring!AG27,IF(Scoring!AH27="OK","PENDING",""))</f>
        <v/>
      </c>
      <c r="G26" s="37" t="str">
        <f aca="false">IF(Scoring!AH27="","",Scoring!AH27)</f>
        <v>FAIL</v>
      </c>
      <c r="H26" s="37" t="str">
        <f aca="false">IF(Scoring!AI27="","",Scoring!AI27)</f>
        <v>REVIEW</v>
      </c>
      <c r="I26" s="37" t="str">
        <f aca="false">IF(Scoring!AJ27="","",Scoring!AJ27)</f>
        <v>AVOID</v>
      </c>
      <c r="J26" s="37" t="str">
        <f aca="false">IF(Scoring!AK27="","",Scoring!AK27)</f>
        <v>OK</v>
      </c>
    </row>
    <row r="27" customFormat="false" ht="15" hidden="false" customHeight="true" outlineLevel="0" collapsed="false">
      <c r="A27" s="63" t="str">
        <f aca="false">IF(Scoring!A28="","",Scoring!A28)</f>
        <v>LIN</v>
      </c>
      <c r="B27" s="64" t="str">
        <f aca="false">IF(Scoring!B28="","",Scoring!B28)</f>
        <v>Linde plc</v>
      </c>
      <c r="C27" s="65" t="n">
        <f aca="false">IF(Scoring!C28="","",Scoring!C28)</f>
        <v>46245</v>
      </c>
      <c r="D27" s="66" t="n">
        <f aca="false">IF(Scoring!N28="","",Scoring!N28)</f>
        <v>4.5</v>
      </c>
      <c r="E27" s="67" t="str">
        <f aca="false">IF(Scoring!AF28="","",Scoring!AF28)</f>
        <v/>
      </c>
      <c r="F27" s="37" t="str">
        <f aca="false">IF(Scoring!AG28&lt;&gt;"",Scoring!AG28,IF(Scoring!AH28="OK","PENDING",""))</f>
        <v>PENDING</v>
      </c>
      <c r="G27" s="37" t="str">
        <f aca="false">IF(Scoring!AH28="","",Scoring!AH28)</f>
        <v>OK</v>
      </c>
      <c r="H27" s="37" t="str">
        <f aca="false">IF(Scoring!AI28="","",Scoring!AI28)</f>
        <v>OK</v>
      </c>
      <c r="I27" s="37" t="str">
        <f aca="false">IF(Scoring!AJ28="","",Scoring!AJ28)</f>
        <v>OK</v>
      </c>
      <c r="J27" s="37" t="str">
        <f aca="false">IF(Scoring!AK28="","",Scoring!AK28)</f>
        <v>OK</v>
      </c>
    </row>
    <row r="28" customFormat="false" ht="15" hidden="true" customHeight="true" outlineLevel="1" collapsed="false">
      <c r="A28" s="63" t="str">
        <f aca="false">IF(Scoring!A29="","",Scoring!A29)</f>
        <v>DEO</v>
      </c>
      <c r="B28" s="64" t="str">
        <f aca="false">IF(Scoring!B29="","",Scoring!B29)</f>
        <v>Diageo plc</v>
      </c>
      <c r="C28" s="65" t="n">
        <f aca="false">IF(Scoring!C29="","",Scoring!C29)</f>
        <v>46245</v>
      </c>
      <c r="D28" s="66" t="n">
        <f aca="false">IF(Scoring!N29="","",Scoring!N29)</f>
        <v>2.35714285714286</v>
      </c>
      <c r="E28" s="67" t="str">
        <f aca="false">IF(Scoring!AF29="","",Scoring!AF29)</f>
        <v/>
      </c>
      <c r="F28" s="37" t="str">
        <f aca="false">IF(Scoring!AG29&lt;&gt;"",Scoring!AG29,IF(Scoring!AH29="OK","PENDING",""))</f>
        <v/>
      </c>
      <c r="G28" s="37" t="str">
        <f aca="false">IF(Scoring!AH29="","",Scoring!AH29)</f>
        <v>FAIL</v>
      </c>
      <c r="H28" s="37" t="str">
        <f aca="false">IF(Scoring!AI29="","",Scoring!AI29)</f>
        <v>OK</v>
      </c>
      <c r="I28" s="37" t="str">
        <f aca="false">IF(Scoring!AJ29="","",Scoring!AJ29)</f>
        <v>AVOID</v>
      </c>
      <c r="J28" s="37" t="str">
        <f aca="false">IF(Scoring!AK29="","",Scoring!AK29)</f>
        <v>OK</v>
      </c>
    </row>
    <row r="29" customFormat="false" ht="15" hidden="true" customHeight="true" outlineLevel="1" collapsed="false">
      <c r="A29" s="63" t="str">
        <f aca="false">IF(Scoring!A30="","",Scoring!A30)</f>
        <v>EL</v>
      </c>
      <c r="B29" s="64" t="str">
        <f aca="false">IF(Scoring!B30="","",Scoring!B30)</f>
        <v>Estee Lauder Companies</v>
      </c>
      <c r="C29" s="65" t="n">
        <f aca="false">IF(Scoring!C30="","",Scoring!C30)</f>
        <v>46245</v>
      </c>
      <c r="D29" s="66" t="n">
        <f aca="false">IF(Scoring!N30="","",Scoring!N30)</f>
        <v>2.14285714285714</v>
      </c>
      <c r="E29" s="67" t="str">
        <f aca="false">IF(Scoring!AF30="","",Scoring!AF30)</f>
        <v/>
      </c>
      <c r="F29" s="37" t="str">
        <f aca="false">IF(Scoring!AG30&lt;&gt;"",Scoring!AG30,IF(Scoring!AH30="OK","PENDING",""))</f>
        <v/>
      </c>
      <c r="G29" s="37" t="str">
        <f aca="false">IF(Scoring!AH30="","",Scoring!AH30)</f>
        <v>FAIL</v>
      </c>
      <c r="H29" s="37" t="str">
        <f aca="false">IF(Scoring!AI30="","",Scoring!AI30)</f>
        <v>REVIEW</v>
      </c>
      <c r="I29" s="37" t="str">
        <f aca="false">IF(Scoring!AJ30="","",Scoring!AJ30)</f>
        <v>AVOID</v>
      </c>
      <c r="J29" s="37" t="str">
        <f aca="false">IF(Scoring!AK30="","",Scoring!AK30)</f>
        <v>OK</v>
      </c>
    </row>
    <row r="30" customFormat="false" ht="15" hidden="true" customHeight="true" outlineLevel="1" collapsed="false">
      <c r="A30" s="63" t="str">
        <f aca="false">IF(Scoring!A31="","",Scoring!A31)</f>
        <v>HRL</v>
      </c>
      <c r="B30" s="64" t="str">
        <f aca="false">IF(Scoring!B31="","",Scoring!B31)</f>
        <v>Hormel Foods Corp.</v>
      </c>
      <c r="C30" s="65" t="n">
        <f aca="false">IF(Scoring!C31="","",Scoring!C31)</f>
        <v>46245</v>
      </c>
      <c r="D30" s="66" t="n">
        <f aca="false">IF(Scoring!N31="","",Scoring!N31)</f>
        <v>1.92857142857143</v>
      </c>
      <c r="E30" s="67" t="str">
        <f aca="false">IF(Scoring!AF31="","",Scoring!AF31)</f>
        <v/>
      </c>
      <c r="F30" s="37" t="str">
        <f aca="false">IF(Scoring!AG31&lt;&gt;"",Scoring!AG31,IF(Scoring!AH31="OK","PENDING",""))</f>
        <v/>
      </c>
      <c r="G30" s="37" t="str">
        <f aca="false">IF(Scoring!AH31="","",Scoring!AH31)</f>
        <v>FAIL</v>
      </c>
      <c r="H30" s="37" t="str">
        <f aca="false">IF(Scoring!AI31="","",Scoring!AI31)</f>
        <v>REVIEW</v>
      </c>
      <c r="I30" s="37" t="str">
        <f aca="false">IF(Scoring!AJ31="","",Scoring!AJ31)</f>
        <v>AVOID</v>
      </c>
      <c r="J30" s="37" t="str">
        <f aca="false">IF(Scoring!AK31="","",Scoring!AK31)</f>
        <v>OK</v>
      </c>
    </row>
    <row r="31" customFormat="false" ht="15" hidden="false" customHeight="true" outlineLevel="0" collapsed="false">
      <c r="A31" s="63" t="str">
        <f aca="false">IF(Scoring!A32="","",Scoring!A32)</f>
        <v>PG</v>
      </c>
      <c r="B31" s="64" t="str">
        <f aca="false">IF(Scoring!B32="","",Scoring!B32)</f>
        <v>Procter &amp; Gamble Co.</v>
      </c>
      <c r="C31" s="65" t="n">
        <f aca="false">IF(Scoring!C32="","",Scoring!C32)</f>
        <v>46245</v>
      </c>
      <c r="D31" s="66" t="n">
        <f aca="false">IF(Scoring!N32="","",Scoring!N32)</f>
        <v>4.21428571428571</v>
      </c>
      <c r="E31" s="67" t="str">
        <f aca="false">IF(Scoring!AF32="","",Scoring!AF32)</f>
        <v/>
      </c>
      <c r="F31" s="37" t="str">
        <f aca="false">IF(Scoring!AG32&lt;&gt;"",Scoring!AG32,IF(Scoring!AH32="OK","PENDING",""))</f>
        <v>PENDING</v>
      </c>
      <c r="G31" s="37" t="str">
        <f aca="false">IF(Scoring!AH32="","",Scoring!AH32)</f>
        <v>OK</v>
      </c>
      <c r="H31" s="37" t="str">
        <f aca="false">IF(Scoring!AI32="","",Scoring!AI32)</f>
        <v>OK</v>
      </c>
      <c r="I31" s="37" t="str">
        <f aca="false">IF(Scoring!AJ32="","",Scoring!AJ32)</f>
        <v>OK</v>
      </c>
      <c r="J31" s="37" t="str">
        <f aca="false">IF(Scoring!AK32="","",Scoring!AK32)</f>
        <v>OK</v>
      </c>
    </row>
    <row r="32" customFormat="false" ht="15" hidden="false" customHeight="true" outlineLevel="0" collapsed="false">
      <c r="A32" s="63" t="str">
        <f aca="false">IF(Scoring!A33="","",Scoring!A33)</f>
        <v>CMG</v>
      </c>
      <c r="B32" s="64" t="str">
        <f aca="false">IF(Scoring!B33="","",Scoring!B33)</f>
        <v>Chipotle Mexican Grill</v>
      </c>
      <c r="C32" s="65" t="n">
        <f aca="false">IF(Scoring!C33="","",Scoring!C33)</f>
        <v>46245</v>
      </c>
      <c r="D32" s="66" t="n">
        <f aca="false">IF(Scoring!N33="","",Scoring!N33)</f>
        <v>3.71428571428571</v>
      </c>
      <c r="E32" s="67" t="str">
        <f aca="false">IF(Scoring!AF33="","",Scoring!AF33)</f>
        <v/>
      </c>
      <c r="F32" s="37" t="str">
        <f aca="false">IF(Scoring!AG33&lt;&gt;"",Scoring!AG33,IF(Scoring!AH33="OK","PENDING",""))</f>
        <v>PENDING</v>
      </c>
      <c r="G32" s="37" t="str">
        <f aca="false">IF(Scoring!AH33="","",Scoring!AH33)</f>
        <v>OK</v>
      </c>
      <c r="H32" s="37" t="str">
        <f aca="false">IF(Scoring!AI33="","",Scoring!AI33)</f>
        <v>OK</v>
      </c>
      <c r="I32" s="37" t="str">
        <f aca="false">IF(Scoring!AJ33="","",Scoring!AJ33)</f>
        <v>OK</v>
      </c>
      <c r="J32" s="37" t="str">
        <f aca="false">IF(Scoring!AK33="","",Scoring!AK33)</f>
        <v>OK</v>
      </c>
    </row>
    <row r="33" customFormat="false" ht="15" hidden="false" customHeight="true" outlineLevel="0" collapsed="false">
      <c r="A33" s="63" t="str">
        <f aca="false">IF(Scoring!A34="","",Scoring!A34)</f>
        <v>DPZ</v>
      </c>
      <c r="B33" s="64" t="str">
        <f aca="false">IF(Scoring!B34="","",Scoring!B34)</f>
        <v>Domino's Pizza Inc.</v>
      </c>
      <c r="C33" s="65" t="n">
        <f aca="false">IF(Scoring!C34="","",Scoring!C34)</f>
        <v>46245</v>
      </c>
      <c r="D33" s="66" t="n">
        <f aca="false">IF(Scoring!N34="","",Scoring!N34)</f>
        <v>4.85714285714286</v>
      </c>
      <c r="E33" s="67" t="str">
        <f aca="false">IF(Scoring!AF34="","",Scoring!AF34)</f>
        <v/>
      </c>
      <c r="F33" s="37" t="str">
        <f aca="false">IF(Scoring!AG34&lt;&gt;"",Scoring!AG34,IF(Scoring!AH34="OK","PENDING",""))</f>
        <v>PENDING</v>
      </c>
      <c r="G33" s="37" t="str">
        <f aca="false">IF(Scoring!AH34="","",Scoring!AH34)</f>
        <v>OK</v>
      </c>
      <c r="H33" s="37" t="str">
        <f aca="false">IF(Scoring!AI34="","",Scoring!AI34)</f>
        <v>OK</v>
      </c>
      <c r="I33" s="37" t="str">
        <f aca="false">IF(Scoring!AJ34="","",Scoring!AJ34)</f>
        <v>OK</v>
      </c>
      <c r="J33" s="37" t="str">
        <f aca="false">IF(Scoring!AK34="","",Scoring!AK34)</f>
        <v>OK</v>
      </c>
    </row>
    <row r="34" customFormat="false" ht="15" hidden="true" customHeight="true" outlineLevel="1" collapsed="false">
      <c r="A34" s="63" t="str">
        <f aca="false">IF(Scoring!A35="","",Scoring!A35)</f>
        <v>PZZA</v>
      </c>
      <c r="B34" s="64" t="str">
        <f aca="false">IF(Scoring!B35="","",Scoring!B35)</f>
        <v>Papa John's Intl.</v>
      </c>
      <c r="C34" s="65" t="n">
        <f aca="false">IF(Scoring!C35="","",Scoring!C35)</f>
        <v>46245</v>
      </c>
      <c r="D34" s="66" t="n">
        <f aca="false">IF(Scoring!N35="","",Scoring!N35)</f>
        <v>1.35714285714286</v>
      </c>
      <c r="E34" s="67" t="str">
        <f aca="false">IF(Scoring!AF35="","",Scoring!AF35)</f>
        <v/>
      </c>
      <c r="F34" s="37" t="str">
        <f aca="false">IF(Scoring!AG35&lt;&gt;"",Scoring!AG35,IF(Scoring!AH35="OK","PENDING",""))</f>
        <v/>
      </c>
      <c r="G34" s="37" t="str">
        <f aca="false">IF(Scoring!AH35="","",Scoring!AH35)</f>
        <v>FAIL</v>
      </c>
      <c r="H34" s="37" t="str">
        <f aca="false">IF(Scoring!AI35="","",Scoring!AI35)</f>
        <v>REVIEW</v>
      </c>
      <c r="I34" s="37" t="str">
        <f aca="false">IF(Scoring!AJ35="","",Scoring!AJ35)</f>
        <v>AVOID</v>
      </c>
      <c r="J34" s="37" t="str">
        <f aca="false">IF(Scoring!AK35="","",Scoring!AK35)</f>
        <v>OK</v>
      </c>
    </row>
    <row r="35" customFormat="false" ht="15" hidden="false" customHeight="true" outlineLevel="0" collapsed="false">
      <c r="A35" s="63" t="str">
        <f aca="false">IF(Scoring!A36="","",Scoring!A36)</f>
        <v>YUM</v>
      </c>
      <c r="B35" s="64" t="str">
        <f aca="false">IF(Scoring!B36="","",Scoring!B36)</f>
        <v>Yum! Brands Inc.</v>
      </c>
      <c r="C35" s="65" t="n">
        <f aca="false">IF(Scoring!C36="","",Scoring!C36)</f>
        <v>46245</v>
      </c>
      <c r="D35" s="66" t="n">
        <f aca="false">IF(Scoring!N36="","",Scoring!N36)</f>
        <v>4.28571428571429</v>
      </c>
      <c r="E35" s="67" t="str">
        <f aca="false">IF(Scoring!AF36="","",Scoring!AF36)</f>
        <v/>
      </c>
      <c r="F35" s="37" t="str">
        <f aca="false">IF(Scoring!AG36&lt;&gt;"",Scoring!AG36,IF(Scoring!AH36="OK","PENDING",""))</f>
        <v>PENDING</v>
      </c>
      <c r="G35" s="37" t="str">
        <f aca="false">IF(Scoring!AH36="","",Scoring!AH36)</f>
        <v>OK</v>
      </c>
      <c r="H35" s="37" t="str">
        <f aca="false">IF(Scoring!AI36="","",Scoring!AI36)</f>
        <v>OK</v>
      </c>
      <c r="I35" s="37" t="str">
        <f aca="false">IF(Scoring!AJ36="","",Scoring!AJ36)</f>
        <v>OK</v>
      </c>
      <c r="J35" s="37" t="str">
        <f aca="false">IF(Scoring!AK36="","",Scoring!AK36)</f>
        <v>OK</v>
      </c>
    </row>
    <row r="36" customFormat="false" ht="15" hidden="true" customHeight="true" outlineLevel="1" collapsed="false">
      <c r="A36" s="63" t="str">
        <f aca="false">IF(Scoring!A37="","",Scoring!A37)</f>
        <v>NKE</v>
      </c>
      <c r="B36" s="64" t="str">
        <f aca="false">IF(Scoring!B37="","",Scoring!B37)</f>
        <v>Nike Inc.</v>
      </c>
      <c r="C36" s="65" t="n">
        <f aca="false">IF(Scoring!C37="","",Scoring!C37)</f>
        <v>46246</v>
      </c>
      <c r="D36" s="66" t="n">
        <f aca="false">IF(Scoring!N37="","",Scoring!N37)</f>
        <v>1.57142857142857</v>
      </c>
      <c r="E36" s="67" t="str">
        <f aca="false">IF(Scoring!AF37="","",Scoring!AF37)</f>
        <v/>
      </c>
      <c r="F36" s="37" t="str">
        <f aca="false">IF(Scoring!AG37&lt;&gt;"",Scoring!AG37,IF(Scoring!AH37="OK","PENDING",""))</f>
        <v/>
      </c>
      <c r="G36" s="37" t="str">
        <f aca="false">IF(Scoring!AH37="","",Scoring!AH37)</f>
        <v>FAIL</v>
      </c>
      <c r="H36" s="37" t="str">
        <f aca="false">IF(Scoring!AI37="","",Scoring!AI37)</f>
        <v>REVIEW</v>
      </c>
      <c r="I36" s="37" t="str">
        <f aca="false">IF(Scoring!AJ37="","",Scoring!AJ37)</f>
        <v>AVOID</v>
      </c>
      <c r="J36" s="37" t="str">
        <f aca="false">IF(Scoring!AK37="","",Scoring!AK37)</f>
        <v>OK</v>
      </c>
    </row>
    <row r="37" customFormat="false" ht="15" hidden="true" customHeight="true" outlineLevel="1" collapsed="false">
      <c r="A37" s="63" t="str">
        <f aca="false">IF(Scoring!A38="","",Scoring!A38)</f>
        <v>VFC</v>
      </c>
      <c r="B37" s="64" t="str">
        <f aca="false">IF(Scoring!B38="","",Scoring!B38)</f>
        <v>V.F. Corporation</v>
      </c>
      <c r="C37" s="65" t="n">
        <f aca="false">IF(Scoring!C38="","",Scoring!C38)</f>
        <v>46246</v>
      </c>
      <c r="D37" s="66" t="n">
        <f aca="false">IF(Scoring!N38="","",Scoring!N38)</f>
        <v>2.85714285714286</v>
      </c>
      <c r="E37" s="67" t="str">
        <f aca="false">IF(Scoring!AF38="","",Scoring!AF38)</f>
        <v/>
      </c>
      <c r="F37" s="37" t="str">
        <f aca="false">IF(Scoring!AG38&lt;&gt;"",Scoring!AG38,IF(Scoring!AH38="OK","PENDING",""))</f>
        <v/>
      </c>
      <c r="G37" s="37" t="str">
        <f aca="false">IF(Scoring!AH38="","",Scoring!AH38)</f>
        <v>FAIL</v>
      </c>
      <c r="H37" s="37" t="str">
        <f aca="false">IF(Scoring!AI38="","",Scoring!AI38)</f>
        <v>OK</v>
      </c>
      <c r="I37" s="37" t="str">
        <f aca="false">IF(Scoring!AJ38="","",Scoring!AJ38)</f>
        <v>OK</v>
      </c>
      <c r="J37" s="37" t="str">
        <f aca="false">IF(Scoring!AK38="","",Scoring!AK38)</f>
        <v>OK</v>
      </c>
    </row>
    <row r="38" customFormat="false" ht="15" hidden="true" customHeight="true" outlineLevel="1" collapsed="false">
      <c r="A38" s="63" t="str">
        <f aca="false">IF(Scoring!A39="","",Scoring!A39)</f>
        <v>GOOS</v>
      </c>
      <c r="B38" s="64" t="str">
        <f aca="false">IF(Scoring!B39="","",Scoring!B39)</f>
        <v>Canada Goose Holdings</v>
      </c>
      <c r="C38" s="65" t="n">
        <f aca="false">IF(Scoring!C39="","",Scoring!C39)</f>
        <v>46246</v>
      </c>
      <c r="D38" s="66" t="n">
        <f aca="false">IF(Scoring!N39="","",Scoring!N39)</f>
        <v>2.5</v>
      </c>
      <c r="E38" s="67" t="str">
        <f aca="false">IF(Scoring!AF39="","",Scoring!AF39)</f>
        <v/>
      </c>
      <c r="F38" s="37" t="str">
        <f aca="false">IF(Scoring!AG39&lt;&gt;"",Scoring!AG39,IF(Scoring!AH39="OK","PENDING",""))</f>
        <v/>
      </c>
      <c r="G38" s="37" t="str">
        <f aca="false">IF(Scoring!AH39="","",Scoring!AH39)</f>
        <v>FAIL</v>
      </c>
      <c r="H38" s="37" t="str">
        <f aca="false">IF(Scoring!AI39="","",Scoring!AI39)</f>
        <v>REVIEW</v>
      </c>
      <c r="I38" s="37" t="str">
        <f aca="false">IF(Scoring!AJ39="","",Scoring!AJ39)</f>
        <v>AVOID</v>
      </c>
      <c r="J38" s="37" t="str">
        <f aca="false">IF(Scoring!AK39="","",Scoring!AK39)</f>
        <v>OK</v>
      </c>
    </row>
    <row r="39" customFormat="false" ht="15" hidden="true" customHeight="true" outlineLevel="1" collapsed="false">
      <c r="A39" s="63" t="str">
        <f aca="false">IF(Scoring!A40="","",Scoring!A40)</f>
        <v>AAP</v>
      </c>
      <c r="B39" s="64" t="str">
        <f aca="false">IF(Scoring!B40="","",Scoring!B40)</f>
        <v>Advance Auto Parts Inc.</v>
      </c>
      <c r="C39" s="65" t="n">
        <f aca="false">IF(Scoring!C40="","",Scoring!C40)</f>
        <v>46246</v>
      </c>
      <c r="D39" s="66" t="n">
        <f aca="false">IF(Scoring!N40="","",Scoring!N40)</f>
        <v>1.35714285714286</v>
      </c>
      <c r="E39" s="67" t="str">
        <f aca="false">IF(Scoring!AF40="","",Scoring!AF40)</f>
        <v/>
      </c>
      <c r="F39" s="37" t="str">
        <f aca="false">IF(Scoring!AG40&lt;&gt;"",Scoring!AG40,IF(Scoring!AH40="OK","PENDING",""))</f>
        <v/>
      </c>
      <c r="G39" s="37" t="str">
        <f aca="false">IF(Scoring!AH40="","",Scoring!AH40)</f>
        <v>FAIL</v>
      </c>
      <c r="H39" s="37" t="str">
        <f aca="false">IF(Scoring!AI40="","",Scoring!AI40)</f>
        <v>REVIEW</v>
      </c>
      <c r="I39" s="37" t="str">
        <f aca="false">IF(Scoring!AJ40="","",Scoring!AJ40)</f>
        <v>AVOID</v>
      </c>
      <c r="J39" s="37" t="str">
        <f aca="false">IF(Scoring!AK40="","",Scoring!AK40)</f>
        <v>OK</v>
      </c>
    </row>
    <row r="40" customFormat="false" ht="15" hidden="true" customHeight="true" outlineLevel="1" collapsed="false">
      <c r="A40" s="63" t="str">
        <f aca="false">IF(Scoring!A41="","",Scoring!A41)</f>
        <v>BABA</v>
      </c>
      <c r="B40" s="64" t="str">
        <f aca="false">IF(Scoring!B41="","",Scoring!B41)</f>
        <v>Alibaba Group Holding Ltd.</v>
      </c>
      <c r="C40" s="65" t="n">
        <f aca="false">IF(Scoring!C41="","",Scoring!C41)</f>
        <v>46246</v>
      </c>
      <c r="D40" s="66" t="n">
        <f aca="false">IF(Scoring!N41="","",Scoring!N41)</f>
        <v>2.78571428571429</v>
      </c>
      <c r="E40" s="67" t="str">
        <f aca="false">IF(Scoring!AF41="","",Scoring!AF41)</f>
        <v/>
      </c>
      <c r="F40" s="37" t="str">
        <f aca="false">IF(Scoring!AG41&lt;&gt;"",Scoring!AG41,IF(Scoring!AH41="OK","PENDING",""))</f>
        <v/>
      </c>
      <c r="G40" s="37" t="str">
        <f aca="false">IF(Scoring!AH41="","",Scoring!AH41)</f>
        <v>FAIL</v>
      </c>
      <c r="H40" s="37" t="str">
        <f aca="false">IF(Scoring!AI41="","",Scoring!AI41)</f>
        <v>OK</v>
      </c>
      <c r="I40" s="37" t="str">
        <f aca="false">IF(Scoring!AJ41="","",Scoring!AJ41)</f>
        <v>AVOID</v>
      </c>
      <c r="J40" s="37" t="str">
        <f aca="false">IF(Scoring!AK41="","",Scoring!AK41)</f>
        <v>OK</v>
      </c>
    </row>
    <row r="41" customFormat="false" ht="15" hidden="false" customHeight="true" outlineLevel="0" collapsed="false">
      <c r="A41" s="63" t="str">
        <f aca="false">IF(Scoring!A42="","",Scoring!A42)</f>
        <v>ETSY</v>
      </c>
      <c r="B41" s="64" t="str">
        <f aca="false">IF(Scoring!B42="","",Scoring!B42)</f>
        <v>Etsy Inc.</v>
      </c>
      <c r="C41" s="65" t="n">
        <f aca="false">IF(Scoring!C42="","",Scoring!C42)</f>
        <v>46246</v>
      </c>
      <c r="D41" s="66" t="n">
        <f aca="false">IF(Scoring!N42="","",Scoring!N42)</f>
        <v>3.42857142857143</v>
      </c>
      <c r="E41" s="67" t="str">
        <f aca="false">IF(Scoring!AF42="","",Scoring!AF42)</f>
        <v/>
      </c>
      <c r="F41" s="37" t="str">
        <f aca="false">IF(Scoring!AG42&lt;&gt;"",Scoring!AG42,IF(Scoring!AH42="OK","PENDING",""))</f>
        <v>PENDING</v>
      </c>
      <c r="G41" s="37" t="str">
        <f aca="false">IF(Scoring!AH42="","",Scoring!AH42)</f>
        <v>OK</v>
      </c>
      <c r="H41" s="37" t="str">
        <f aca="false">IF(Scoring!AI42="","",Scoring!AI42)</f>
        <v>OK</v>
      </c>
      <c r="I41" s="37" t="str">
        <f aca="false">IF(Scoring!AJ42="","",Scoring!AJ42)</f>
        <v>OK</v>
      </c>
      <c r="J41" s="37" t="str">
        <f aca="false">IF(Scoring!AK42="","",Scoring!AK42)</f>
        <v>OK</v>
      </c>
    </row>
    <row r="42" customFormat="false" ht="15" hidden="false" customHeight="true" outlineLevel="0" collapsed="false">
      <c r="A42" s="63" t="str">
        <f aca="false">IF(Scoring!A43="","",Scoring!A43)</f>
        <v>GE</v>
      </c>
      <c r="B42" s="64" t="str">
        <f aca="false">IF(Scoring!B43="","",Scoring!B43)</f>
        <v>GE Aerospace</v>
      </c>
      <c r="C42" s="65" t="n">
        <f aca="false">IF(Scoring!C43="","",Scoring!C43)</f>
        <v>46247</v>
      </c>
      <c r="D42" s="66" t="n">
        <f aca="false">IF(Scoring!N43="","",Scoring!N43)</f>
        <v>3.85714285714286</v>
      </c>
      <c r="E42" s="67" t="str">
        <f aca="false">IF(Scoring!AF43="","",Scoring!AF43)</f>
        <v/>
      </c>
      <c r="F42" s="37" t="str">
        <f aca="false">IF(Scoring!AG43&lt;&gt;"",Scoring!AG43,IF(Scoring!AH43="OK","PENDING",""))</f>
        <v>PENDING</v>
      </c>
      <c r="G42" s="37" t="str">
        <f aca="false">IF(Scoring!AH43="","",Scoring!AH43)</f>
        <v>OK</v>
      </c>
      <c r="H42" s="37" t="str">
        <f aca="false">IF(Scoring!AI43="","",Scoring!AI43)</f>
        <v>OK</v>
      </c>
      <c r="I42" s="37" t="str">
        <f aca="false">IF(Scoring!AJ43="","",Scoring!AJ43)</f>
        <v>OK</v>
      </c>
      <c r="J42" s="37" t="str">
        <f aca="false">IF(Scoring!AK43="","",Scoring!AK43)</f>
        <v>OK</v>
      </c>
    </row>
    <row r="43" customFormat="false" ht="15" hidden="false" customHeight="true" outlineLevel="0" collapsed="false">
      <c r="A43" s="63" t="str">
        <f aca="false">IF(Scoring!A44="","",Scoring!A44)</f>
        <v>PH</v>
      </c>
      <c r="B43" s="64" t="str">
        <f aca="false">IF(Scoring!B44="","",Scoring!B44)</f>
        <v>Parker-Hannifin Corporation</v>
      </c>
      <c r="C43" s="65" t="n">
        <f aca="false">IF(Scoring!C44="","",Scoring!C44)</f>
        <v>46247</v>
      </c>
      <c r="D43" s="66" t="n">
        <f aca="false">IF(Scoring!N44="","",Scoring!N44)</f>
        <v>3.28571428571429</v>
      </c>
      <c r="E43" s="67" t="str">
        <f aca="false">IF(Scoring!AF44="","",Scoring!AF44)</f>
        <v/>
      </c>
      <c r="F43" s="37" t="str">
        <f aca="false">IF(Scoring!AG44&lt;&gt;"",Scoring!AG44,IF(Scoring!AH44="OK","PENDING",""))</f>
        <v>PENDING</v>
      </c>
      <c r="G43" s="37" t="str">
        <f aca="false">IF(Scoring!AH44="","",Scoring!AH44)</f>
        <v>OK</v>
      </c>
      <c r="H43" s="37" t="str">
        <f aca="false">IF(Scoring!AI44="","",Scoring!AI44)</f>
        <v>OK</v>
      </c>
      <c r="I43" s="37" t="str">
        <f aca="false">IF(Scoring!AJ44="","",Scoring!AJ44)</f>
        <v>OK</v>
      </c>
      <c r="J43" s="37" t="str">
        <f aca="false">IF(Scoring!AK44="","",Scoring!AK44)</f>
        <v>OK</v>
      </c>
    </row>
    <row r="44" customFormat="false" ht="15" hidden="false" customHeight="true" outlineLevel="0" collapsed="false">
      <c r="A44" s="63" t="str">
        <f aca="false">IF(Scoring!A45="","",Scoring!A45)</f>
        <v>ETN</v>
      </c>
      <c r="B44" s="64" t="str">
        <f aca="false">IF(Scoring!B45="","",Scoring!B45)</f>
        <v>Eaton Corporation plc</v>
      </c>
      <c r="C44" s="65" t="n">
        <f aca="false">IF(Scoring!C45="","",Scoring!C45)</f>
        <v>46247</v>
      </c>
      <c r="D44" s="66" t="n">
        <f aca="false">IF(Scoring!N45="","",Scoring!N45)</f>
        <v>3.5</v>
      </c>
      <c r="E44" s="67" t="str">
        <f aca="false">IF(Scoring!AF45="","",Scoring!AF45)</f>
        <v/>
      </c>
      <c r="F44" s="37" t="str">
        <f aca="false">IF(Scoring!AG45&lt;&gt;"",Scoring!AG45,IF(Scoring!AH45="OK","PENDING",""))</f>
        <v>PENDING</v>
      </c>
      <c r="G44" s="37" t="str">
        <f aca="false">IF(Scoring!AH45="","",Scoring!AH45)</f>
        <v>OK</v>
      </c>
      <c r="H44" s="37" t="str">
        <f aca="false">IF(Scoring!AI45="","",Scoring!AI45)</f>
        <v>OK</v>
      </c>
      <c r="I44" s="37" t="str">
        <f aca="false">IF(Scoring!AJ45="","",Scoring!AJ45)</f>
        <v>OK</v>
      </c>
      <c r="J44" s="37" t="str">
        <f aca="false">IF(Scoring!AK45="","",Scoring!AK45)</f>
        <v>OK</v>
      </c>
    </row>
    <row r="45" customFormat="false" ht="15" hidden="true" customHeight="true" outlineLevel="1" collapsed="false">
      <c r="A45" s="63" t="str">
        <f aca="false">IF(Scoring!A46="","",Scoring!A46)</f>
        <v>DIS</v>
      </c>
      <c r="B45" s="64" t="str">
        <f aca="false">IF(Scoring!B46="","",Scoring!B46)</f>
        <v>The Walt Disney Company</v>
      </c>
      <c r="C45" s="65" t="n">
        <f aca="false">IF(Scoring!C46="","",Scoring!C46)</f>
        <v>46258</v>
      </c>
      <c r="D45" s="66" t="n">
        <f aca="false">IF(Scoring!N46="","",Scoring!N46)</f>
        <v>2.92857142857143</v>
      </c>
      <c r="E45" s="67" t="str">
        <f aca="false">IF(Scoring!AF46="","",Scoring!AF46)</f>
        <v/>
      </c>
      <c r="F45" s="37" t="str">
        <f aca="false">IF(Scoring!AG46&lt;&gt;"",Scoring!AG46,IF(Scoring!AH46="OK","PENDING",""))</f>
        <v/>
      </c>
      <c r="G45" s="37" t="str">
        <f aca="false">IF(Scoring!AH46="","",Scoring!AH46)</f>
        <v>FAIL</v>
      </c>
      <c r="H45" s="37" t="str">
        <f aca="false">IF(Scoring!AI46="","",Scoring!AI46)</f>
        <v>OK</v>
      </c>
      <c r="I45" s="37" t="str">
        <f aca="false">IF(Scoring!AJ46="","",Scoring!AJ46)</f>
        <v>AVOID</v>
      </c>
      <c r="J45" s="37" t="str">
        <f aca="false">IF(Scoring!AK46="","",Scoring!AK46)</f>
        <v>OK</v>
      </c>
    </row>
    <row r="46" customFormat="false" ht="15" hidden="false" customHeight="true" outlineLevel="0" collapsed="false">
      <c r="A46" s="63" t="str">
        <f aca="false">IF(Scoring!A47="","",Scoring!A47)</f>
        <v>NFLX</v>
      </c>
      <c r="B46" s="64" t="str">
        <f aca="false">IF(Scoring!B47="","",Scoring!B47)</f>
        <v>Netflix, Inc.</v>
      </c>
      <c r="C46" s="65" t="n">
        <f aca="false">IF(Scoring!C47="","",Scoring!C47)</f>
        <v>46258</v>
      </c>
      <c r="D46" s="66" t="n">
        <f aca="false">IF(Scoring!N47="","",Scoring!N47)</f>
        <v>4.21428571428571</v>
      </c>
      <c r="E46" s="67" t="str">
        <f aca="false">IF(Scoring!AF47="","",Scoring!AF47)</f>
        <v/>
      </c>
      <c r="F46" s="37" t="str">
        <f aca="false">IF(Scoring!AG47&lt;&gt;"",Scoring!AG47,IF(Scoring!AH47="OK","PENDING",""))</f>
        <v>PENDING</v>
      </c>
      <c r="G46" s="37" t="str">
        <f aca="false">IF(Scoring!AH47="","",Scoring!AH47)</f>
        <v>OK</v>
      </c>
      <c r="H46" s="37" t="str">
        <f aca="false">IF(Scoring!AI47="","",Scoring!AI47)</f>
        <v>OK</v>
      </c>
      <c r="I46" s="37" t="str">
        <f aca="false">IF(Scoring!AJ47="","",Scoring!AJ47)</f>
        <v>OK</v>
      </c>
      <c r="J46" s="37" t="str">
        <f aca="false">IF(Scoring!AK47="","",Scoring!AK47)</f>
        <v>OK</v>
      </c>
    </row>
    <row r="48" customFormat="false" ht="15" hidden="false" customHeight="true" outlineLevel="0" collapsed="false">
      <c r="A48" s="18" t="s">
        <v>283</v>
      </c>
      <c r="B48" s="18"/>
      <c r="C48" s="18"/>
      <c r="D48" s="18"/>
      <c r="E48" s="18"/>
      <c r="F48" s="18"/>
    </row>
    <row r="49" customFormat="false" ht="15.75" hidden="false" customHeight="true" outlineLevel="0" collapsed="false">
      <c r="A49" s="68" t="n">
        <f aca="false">SUBTOTAL(103,A2:A47)</f>
        <v>26</v>
      </c>
      <c r="B49" s="69" t="s">
        <v>284</v>
      </c>
    </row>
  </sheetData>
  <mergeCells count="1">
    <mergeCell ref="A48:F48"/>
  </mergeCells>
  <conditionalFormatting sqref="F2:F46">
    <cfRule type="cellIs" priority="2" operator="equal" aboveAverage="0" equalAverage="0" bottom="0" percent="0" rank="0" text="" dxfId="13">
      <formula>"STRONG BUY"</formula>
    </cfRule>
    <cfRule type="cellIs" priority="3" operator="equal" aboveAverage="0" equalAverage="0" bottom="0" percent="0" rank="0" text="" dxfId="14">
      <formula>"BUY"</formula>
    </cfRule>
    <cfRule type="cellIs" priority="4" operator="equal" aboveAverage="0" equalAverage="0" bottom="0" percent="0" rank="0" text="" dxfId="15">
      <formula>"WATCH LIST"</formula>
    </cfRule>
    <cfRule type="cellIs" priority="5" operator="equal" aboveAverage="0" equalAverage="0" bottom="0" percent="0" rank="0" text="" dxfId="16">
      <formula>"AVOID"</formula>
    </cfRule>
    <cfRule type="cellIs" priority="6" operator="equal" aboveAverage="0" equalAverage="0" bottom="0" percent="0" rank="0" text="" dxfId="0">
      <formula>"PASS"</formula>
    </cfRule>
  </conditionalFormatting>
  <conditionalFormatting sqref="G2:G46">
    <cfRule type="cellIs" priority="7" operator="equal" aboveAverage="0" equalAverage="0" bottom="0" percent="0" rank="0" text="" dxfId="0">
      <formula>"FAIL"</formula>
    </cfRule>
  </conditionalFormatting>
  <conditionalFormatting sqref="I2:I46">
    <cfRule type="cellIs" priority="8" operator="equal" aboveAverage="0" equalAverage="0" bottom="0" percent="0" rank="0" text="" dxfId="0">
      <formula>"AVOID"</formula>
    </cfRule>
  </conditionalFormatting>
  <conditionalFormatting sqref="H2:H46">
    <cfRule type="cellIs" priority="9" operator="equal" aboveAverage="0" equalAverage="0" bottom="0" percent="0" rank="0" text="" dxfId="15">
      <formula>"REVIEW"</formula>
    </cfRule>
  </conditionalFormatting>
  <conditionalFormatting sqref="J2:J46">
    <cfRule type="cellIs" priority="10" operator="equal" aboveAverage="0" equalAverage="0" bottom="0" percent="0" rank="0" text="" dxfId="15">
      <formula>"CAP AT BUY"</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6" ySplit="2" topLeftCell="AA37" activePane="bottomRight" state="frozen"/>
      <selection pane="topLeft" activeCell="A1" activeCellId="0" sqref="A1"/>
      <selection pane="topRight" activeCell="AA1" activeCellId="0" sqref="AA1"/>
      <selection pane="bottomLeft" activeCell="A37" activeCellId="0" sqref="A37"/>
      <selection pane="bottomRight" activeCell="M2" activeCellId="0" sqref="M2"/>
    </sheetView>
  </sheetViews>
  <sheetFormatPr defaultColWidth="8.66796875" defaultRowHeight="13.5" customHeight="false" zeroHeight="false" outlineLevelRow="1" outlineLevelCol="1"/>
  <cols>
    <col collapsed="false" customWidth="true" hidden="false" outlineLevel="0" max="1" min="1" style="70" width="8"/>
    <col collapsed="false" customWidth="true" hidden="false" outlineLevel="0" max="2" min="2" style="70" width="18"/>
    <col collapsed="false" customWidth="true" hidden="false" outlineLevel="0" max="3" min="3" style="70" width="10"/>
    <col collapsed="false" customWidth="true" hidden="false" outlineLevel="1" max="32" min="4" style="70" width="8.83"/>
    <col collapsed="false" customWidth="true" hidden="false" outlineLevel="0" max="33" min="33" style="70" width="12"/>
    <col collapsed="false" customWidth="true" hidden="false" outlineLevel="0" max="37" min="34" style="70" width="8"/>
    <col collapsed="false" customWidth="false" hidden="false" outlineLevel="0" max="38" min="38" style="70" width="8.67"/>
    <col collapsed="false" customWidth="true" hidden="false" outlineLevel="0" max="39" min="39" style="70" width="6.83"/>
    <col collapsed="false" customWidth="true" hidden="false" outlineLevel="0" max="45" min="40" style="70" width="10"/>
    <col collapsed="false" customWidth="false" hidden="false" outlineLevel="0" max="16384" min="46" style="70" width="8.67"/>
  </cols>
  <sheetData>
    <row r="1" customFormat="false" ht="33.75" hidden="false" customHeight="true" outlineLevel="0" collapsed="false">
      <c r="D1" s="71" t="s">
        <v>285</v>
      </c>
      <c r="E1" s="71"/>
      <c r="F1" s="71"/>
      <c r="G1" s="71"/>
      <c r="H1" s="71"/>
      <c r="I1" s="71"/>
      <c r="J1" s="71"/>
      <c r="K1" s="71"/>
      <c r="L1" s="71"/>
      <c r="M1" s="71"/>
      <c r="N1" s="71"/>
      <c r="O1" s="71"/>
      <c r="P1" s="71" t="s">
        <v>286</v>
      </c>
      <c r="Q1" s="71"/>
      <c r="R1" s="71"/>
      <c r="S1" s="71"/>
      <c r="T1" s="71"/>
      <c r="U1" s="71"/>
      <c r="V1" s="71"/>
      <c r="W1" s="71"/>
      <c r="X1" s="71"/>
      <c r="Y1" s="71" t="s">
        <v>287</v>
      </c>
      <c r="Z1" s="71"/>
      <c r="AA1" s="71"/>
      <c r="AB1" s="71"/>
      <c r="AC1" s="71"/>
      <c r="AD1" s="71"/>
      <c r="AE1" s="71"/>
      <c r="AH1" s="72" t="s">
        <v>288</v>
      </c>
      <c r="AI1" s="72"/>
      <c r="AJ1" s="72"/>
      <c r="AK1" s="72"/>
      <c r="AL1" s="73" t="s">
        <v>289</v>
      </c>
      <c r="AM1" s="73"/>
      <c r="AN1" s="74" t="s">
        <v>290</v>
      </c>
      <c r="AO1" s="74"/>
      <c r="AP1" s="74"/>
      <c r="AQ1" s="74"/>
      <c r="AR1" s="74"/>
      <c r="AS1" s="74"/>
    </row>
    <row r="2" customFormat="false" ht="37.5" hidden="false" customHeight="true" outlineLevel="0" collapsed="false">
      <c r="A2" s="75" t="s">
        <v>82</v>
      </c>
      <c r="B2" s="75" t="s">
        <v>274</v>
      </c>
      <c r="C2" s="75" t="s">
        <v>291</v>
      </c>
      <c r="D2" s="76" t="s">
        <v>292</v>
      </c>
      <c r="E2" s="76" t="s">
        <v>293</v>
      </c>
      <c r="F2" s="76" t="s">
        <v>294</v>
      </c>
      <c r="G2" s="76" t="s">
        <v>293</v>
      </c>
      <c r="H2" s="76" t="s">
        <v>295</v>
      </c>
      <c r="I2" s="76" t="s">
        <v>293</v>
      </c>
      <c r="J2" s="76" t="s">
        <v>296</v>
      </c>
      <c r="K2" s="76" t="s">
        <v>293</v>
      </c>
      <c r="L2" s="76" t="s">
        <v>297</v>
      </c>
      <c r="M2" s="76" t="s">
        <v>298</v>
      </c>
      <c r="N2" s="76" t="s">
        <v>299</v>
      </c>
      <c r="O2" s="76" t="s">
        <v>300</v>
      </c>
      <c r="P2" s="75" t="s">
        <v>301</v>
      </c>
      <c r="Q2" s="75" t="s">
        <v>293</v>
      </c>
      <c r="R2" s="75" t="s">
        <v>302</v>
      </c>
      <c r="S2" s="75" t="s">
        <v>293</v>
      </c>
      <c r="T2" s="75" t="s">
        <v>303</v>
      </c>
      <c r="U2" s="75" t="s">
        <v>293</v>
      </c>
      <c r="V2" s="75" t="s">
        <v>304</v>
      </c>
      <c r="W2" s="75" t="s">
        <v>293</v>
      </c>
      <c r="X2" s="75" t="s">
        <v>305</v>
      </c>
      <c r="Y2" s="75" t="s">
        <v>306</v>
      </c>
      <c r="Z2" s="75" t="s">
        <v>293</v>
      </c>
      <c r="AA2" s="75" t="s">
        <v>307</v>
      </c>
      <c r="AB2" s="75" t="s">
        <v>293</v>
      </c>
      <c r="AC2" s="75" t="s">
        <v>308</v>
      </c>
      <c r="AD2" s="75" t="s">
        <v>293</v>
      </c>
      <c r="AE2" s="75" t="s">
        <v>309</v>
      </c>
      <c r="AF2" s="75" t="s">
        <v>310</v>
      </c>
      <c r="AG2" s="75" t="s">
        <v>278</v>
      </c>
      <c r="AH2" s="72" t="s">
        <v>311</v>
      </c>
      <c r="AI2" s="72" t="s">
        <v>312</v>
      </c>
      <c r="AJ2" s="72" t="s">
        <v>313</v>
      </c>
      <c r="AK2" s="72" t="s">
        <v>314</v>
      </c>
      <c r="AL2" s="77" t="s">
        <v>315</v>
      </c>
      <c r="AM2" s="75" t="s">
        <v>316</v>
      </c>
      <c r="AN2" s="75" t="s">
        <v>317</v>
      </c>
      <c r="AO2" s="75" t="s">
        <v>318</v>
      </c>
      <c r="AP2" s="75" t="s">
        <v>319</v>
      </c>
      <c r="AQ2" s="75" t="s">
        <v>320</v>
      </c>
      <c r="AR2" s="75" t="s">
        <v>321</v>
      </c>
      <c r="AS2" s="77" t="s">
        <v>322</v>
      </c>
    </row>
    <row r="3" customFormat="false" ht="15" hidden="false" customHeight="true" outlineLevel="0" collapsed="false">
      <c r="A3" s="34" t="s">
        <v>109</v>
      </c>
      <c r="B3" s="78" t="s">
        <v>110</v>
      </c>
      <c r="C3" s="79" t="n">
        <v>46240</v>
      </c>
      <c r="D3" s="78" t="n">
        <v>3</v>
      </c>
      <c r="E3" s="78" t="s">
        <v>323</v>
      </c>
      <c r="F3" s="78" t="n">
        <v>3</v>
      </c>
      <c r="G3" s="78" t="s">
        <v>323</v>
      </c>
      <c r="H3" s="78" t="n">
        <v>4</v>
      </c>
      <c r="I3" s="78" t="s">
        <v>324</v>
      </c>
      <c r="J3" s="78" t="n">
        <v>5</v>
      </c>
      <c r="K3" s="78" t="s">
        <v>324</v>
      </c>
      <c r="L3" s="78" t="n">
        <v>4</v>
      </c>
      <c r="M3" s="78" t="s">
        <v>323</v>
      </c>
      <c r="N3" s="80" t="n">
        <f aca="false">IF(COUNT(D3,F3,H3,J3,L3)=0,"",(D3*0.2+F3*0.15+H3*0.15+J3*0.1+L3*0.1)/0.7)</f>
        <v>3.64285714285714</v>
      </c>
      <c r="O3" s="81" t="n">
        <f aca="false">IF(COUNT(D3,F3,H3,J3,L3)=0,"",D3*0.2+F3*0.15+H3*0.15+J3*0.1+L3*0.1)</f>
        <v>2.55</v>
      </c>
      <c r="P3" s="78" t="n">
        <v>4</v>
      </c>
      <c r="Q3" s="78" t="s">
        <v>323</v>
      </c>
      <c r="R3" s="78" t="n">
        <v>5</v>
      </c>
      <c r="S3" s="78" t="s">
        <v>323</v>
      </c>
      <c r="T3" s="78" t="n">
        <v>5</v>
      </c>
      <c r="U3" s="78" t="s">
        <v>324</v>
      </c>
      <c r="V3" s="78" t="n">
        <v>1</v>
      </c>
      <c r="W3" s="78" t="s">
        <v>324</v>
      </c>
      <c r="X3" s="81" t="n">
        <f aca="false">IF(COUNT(P3,R3,T3,V3)=0,"",P3*0.08+R3*0.06+T3*0.03+V3*0.08)</f>
        <v>0.85</v>
      </c>
      <c r="Y3" s="78" t="n">
        <v>5</v>
      </c>
      <c r="Z3" s="78" t="s">
        <v>324</v>
      </c>
      <c r="AA3" s="78" t="n">
        <v>3</v>
      </c>
      <c r="AB3" s="78" t="s">
        <v>323</v>
      </c>
      <c r="AC3" s="78" t="n">
        <v>3</v>
      </c>
      <c r="AD3" s="78" t="s">
        <v>325</v>
      </c>
      <c r="AE3" s="81" t="n">
        <f aca="false">IF(COUNT(Y3,AA3,AC3)=0,"",Y3*0.02+AA3*0.02+AC3*0.01)</f>
        <v>0.19</v>
      </c>
      <c r="AF3" s="67" t="n">
        <f aca="false">IF(OR(O3="",X3="",AE3=""),"",(O3+X3+AE3)*20)</f>
        <v>71.8</v>
      </c>
      <c r="AG3" s="63" t="str">
        <f aca="false">IF(AF3="","",IF(AF3&gt;=80,"STRONG BUY",IF(AF3&gt;=65,"BUY",IF(AF3&gt;=50,"WATCH LIST",IF(AF3&gt;=35,"AVOID","PASS")))))</f>
        <v>BUY</v>
      </c>
      <c r="AH3" s="63" t="str">
        <f aca="false">IF(N3="","",IF(N3&lt;3,"FAIL","OK"))</f>
        <v>OK</v>
      </c>
      <c r="AI3" s="63" t="str">
        <f aca="false">IF(COUNT(D3:L3)=0,"",IF(COUNTIF(D3:L3,1)&gt;0,"REVIEW","OK"))</f>
        <v>OK</v>
      </c>
      <c r="AJ3" s="63" t="str">
        <f aca="false">IF(COUNT(D3:L3)=0,"",IF(COUNTIF(D3:L3,"&lt;=2")&gt;=2,"AVOID","OK"))</f>
        <v>OK</v>
      </c>
      <c r="AK3" s="63" t="str">
        <f aca="false">IF(COUNTA(E3:M3)=0,"",IF(COUNTIF(E3:M3,"L")&gt;=2,"CAP AT BUY","OK"))</f>
        <v>OK</v>
      </c>
      <c r="AL3" s="82" t="s">
        <v>326</v>
      </c>
      <c r="AM3" s="78" t="s">
        <v>327</v>
      </c>
      <c r="AN3" s="78"/>
      <c r="AO3" s="63"/>
      <c r="AP3" s="78" t="str">
        <f aca="false">IF(OR(AN3="",AO3=""),"",IF(AN3&gt;AO3,"OK","LOW CONF"))</f>
        <v/>
      </c>
      <c r="AQ3" s="78"/>
      <c r="AR3" s="63"/>
      <c r="AS3" s="83" t="str">
        <f aca="false">IF(OR(AQ3="",AR3=""),"",IF(AQ3&lt;AR3,"Decreased",IF(AQ3&gt;AR3,"Increased","Flat")))</f>
        <v/>
      </c>
    </row>
    <row r="4" customFormat="false" ht="15" hidden="false" customHeight="true" outlineLevel="0" collapsed="false">
      <c r="A4" s="34" t="s">
        <v>160</v>
      </c>
      <c r="B4" s="78" t="s">
        <v>161</v>
      </c>
      <c r="C4" s="79" t="n">
        <v>46240</v>
      </c>
      <c r="D4" s="78" t="n">
        <v>3</v>
      </c>
      <c r="E4" s="78" t="s">
        <v>323</v>
      </c>
      <c r="F4" s="78" t="n">
        <v>4</v>
      </c>
      <c r="G4" s="78" t="s">
        <v>324</v>
      </c>
      <c r="H4" s="78" t="n">
        <v>5</v>
      </c>
      <c r="I4" s="78" t="s">
        <v>324</v>
      </c>
      <c r="J4" s="78" t="n">
        <v>4</v>
      </c>
      <c r="K4" s="78" t="s">
        <v>323</v>
      </c>
      <c r="L4" s="78" t="n">
        <v>5</v>
      </c>
      <c r="M4" s="78" t="s">
        <v>324</v>
      </c>
      <c r="N4" s="80" t="n">
        <f aca="false">IF(COUNT(D4,F4,H4,J4,L4)=0,"",(D4*0.2+F4*0.15+H4*0.15+J4*0.1+L4*0.1)/0.7)</f>
        <v>4.07142857142857</v>
      </c>
      <c r="O4" s="81" t="n">
        <f aca="false">IF(COUNT(D4,F4,H4,J4,L4)=0,"",D4*0.2+F4*0.15+H4*0.15+J4*0.1+L4*0.1)</f>
        <v>2.85</v>
      </c>
      <c r="P4" s="78" t="n">
        <v>4</v>
      </c>
      <c r="Q4" s="78" t="s">
        <v>324</v>
      </c>
      <c r="R4" s="78" t="n">
        <v>4</v>
      </c>
      <c r="S4" s="78" t="s">
        <v>325</v>
      </c>
      <c r="T4" s="78" t="n">
        <v>4</v>
      </c>
      <c r="U4" s="78" t="s">
        <v>323</v>
      </c>
      <c r="V4" s="78" t="n">
        <v>4</v>
      </c>
      <c r="W4" s="78" t="s">
        <v>323</v>
      </c>
      <c r="X4" s="81" t="n">
        <f aca="false">IF(COUNT(P4,R4,T4,V4)=0,"",P4*0.08+R4*0.06+T4*0.03+V4*0.08)</f>
        <v>1</v>
      </c>
      <c r="Y4" s="78" t="n">
        <v>3</v>
      </c>
      <c r="Z4" s="78" t="s">
        <v>323</v>
      </c>
      <c r="AA4" s="78" t="n">
        <v>5</v>
      </c>
      <c r="AB4" s="78" t="s">
        <v>324</v>
      </c>
      <c r="AC4" s="78" t="n">
        <v>3</v>
      </c>
      <c r="AD4" s="78" t="s">
        <v>323</v>
      </c>
      <c r="AE4" s="81" t="n">
        <f aca="false">IF(COUNT(Y4,AA4,AC4)=0,"",Y4*0.02+AA4*0.02+AC4*0.01)</f>
        <v>0.19</v>
      </c>
      <c r="AF4" s="67" t="n">
        <f aca="false">IF(OR(O4="",X4="",AE4=""),"",(O4+X4+AE4)*20)</f>
        <v>80.8</v>
      </c>
      <c r="AG4" s="63" t="str">
        <f aca="false">IF(AF4="","",IF(AF4&gt;=80,"STRONG BUY",IF(AF4&gt;=65,"BUY",IF(AF4&gt;=50,"WATCH LIST",IF(AF4&gt;=35,"AVOID","PASS")))))</f>
        <v>STRONG BUY</v>
      </c>
      <c r="AH4" s="63" t="str">
        <f aca="false">IF(N4="","",IF(N4&lt;3,"FAIL","OK"))</f>
        <v>OK</v>
      </c>
      <c r="AI4" s="63" t="str">
        <f aca="false">IF(COUNT(D4:L4)=0,"",IF(COUNTIF(D4:L4,1)&gt;0,"REVIEW","OK"))</f>
        <v>OK</v>
      </c>
      <c r="AJ4" s="63" t="str">
        <f aca="false">IF(COUNT(D4:L4)=0,"",IF(COUNTIF(D4:L4,"&lt;=2")&gt;=2,"AVOID","OK"))</f>
        <v>OK</v>
      </c>
      <c r="AK4" s="63" t="str">
        <f aca="false">IF(COUNTA(E4:M4)=0,"",IF(COUNTIF(E4:M4,"L")&gt;=2,"CAP AT BUY","OK"))</f>
        <v>OK</v>
      </c>
      <c r="AL4" s="82" t="s">
        <v>326</v>
      </c>
      <c r="AM4" s="78" t="s">
        <v>327</v>
      </c>
      <c r="AN4" s="78"/>
      <c r="AO4" s="63"/>
      <c r="AP4" s="78" t="str">
        <f aca="false">IF(OR(AN4="",AO4=""),"",IF(AN4&gt;AO4,"OK","LOW CONF"))</f>
        <v/>
      </c>
      <c r="AQ4" s="78"/>
      <c r="AR4" s="63"/>
      <c r="AS4" s="83" t="str">
        <f aca="false">IF(OR(AQ4="",AR4=""),"",IF(AQ4&lt;AR4,"Decreased",IF(AQ4&gt;AR4,"Increased","Flat")))</f>
        <v/>
      </c>
    </row>
    <row r="5" customFormat="false" ht="15" hidden="false" customHeight="true" outlineLevel="0" collapsed="false">
      <c r="A5" s="34" t="s">
        <v>113</v>
      </c>
      <c r="B5" s="78" t="s">
        <v>114</v>
      </c>
      <c r="C5" s="79" t="n">
        <v>46240</v>
      </c>
      <c r="D5" s="78" t="n">
        <v>2</v>
      </c>
      <c r="E5" s="78" t="s">
        <v>324</v>
      </c>
      <c r="F5" s="78" t="n">
        <v>5</v>
      </c>
      <c r="G5" s="78" t="s">
        <v>324</v>
      </c>
      <c r="H5" s="78" t="n">
        <v>5</v>
      </c>
      <c r="I5" s="78" t="s">
        <v>323</v>
      </c>
      <c r="J5" s="78" t="n">
        <v>4</v>
      </c>
      <c r="K5" s="78" t="s">
        <v>323</v>
      </c>
      <c r="L5" s="78" t="n">
        <v>5</v>
      </c>
      <c r="M5" s="78" t="s">
        <v>324</v>
      </c>
      <c r="N5" s="80" t="n">
        <f aca="false">IF(COUNT(D5,F5,H5,J5,L5)=0,"",(D5*0.2+F5*0.15+H5*0.15+J5*0.1+L5*0.1)/0.7)</f>
        <v>4</v>
      </c>
      <c r="O5" s="81" t="n">
        <f aca="false">IF(COUNT(D5,F5,H5,J5,L5)=0,"",D5*0.2+F5*0.15+H5*0.15+J5*0.1+L5*0.1)</f>
        <v>2.8</v>
      </c>
      <c r="P5" s="78" t="n">
        <v>3</v>
      </c>
      <c r="Q5" s="78" t="s">
        <v>323</v>
      </c>
      <c r="R5" s="78" t="n">
        <v>5</v>
      </c>
      <c r="S5" s="78" t="s">
        <v>324</v>
      </c>
      <c r="T5" s="78" t="n">
        <v>3</v>
      </c>
      <c r="U5" s="78" t="s">
        <v>323</v>
      </c>
      <c r="V5" s="78" t="n">
        <v>2</v>
      </c>
      <c r="W5" s="78" t="s">
        <v>323</v>
      </c>
      <c r="X5" s="81" t="n">
        <f aca="false">IF(COUNT(P5,R5,T5,V5)=0,"",P5*0.08+R5*0.06+T5*0.03+V5*0.08)</f>
        <v>0.79</v>
      </c>
      <c r="Y5" s="78" t="n">
        <v>3</v>
      </c>
      <c r="Z5" s="78" t="s">
        <v>325</v>
      </c>
      <c r="AA5" s="78" t="n">
        <v>4</v>
      </c>
      <c r="AB5" s="78" t="s">
        <v>323</v>
      </c>
      <c r="AC5" s="78" t="n">
        <v>3</v>
      </c>
      <c r="AD5" s="78" t="s">
        <v>325</v>
      </c>
      <c r="AE5" s="81" t="n">
        <f aca="false">IF(COUNT(Y5,AA5,AC5)=0,"",Y5*0.02+AA5*0.02+AC5*0.01)</f>
        <v>0.17</v>
      </c>
      <c r="AF5" s="67" t="n">
        <f aca="false">IF(OR(O5="",X5="",AE5=""),"",(O5+X5+AE5)*20)</f>
        <v>75.2</v>
      </c>
      <c r="AG5" s="63" t="str">
        <f aca="false">IF(AF5="","",IF(AF5&gt;=80,"STRONG BUY",IF(AF5&gt;=65,"BUY",IF(AF5&gt;=50,"WATCH LIST",IF(AF5&gt;=35,"AVOID","PASS")))))</f>
        <v>BUY</v>
      </c>
      <c r="AH5" s="63" t="str">
        <f aca="false">IF(N5="","",IF(N5&lt;3,"FAIL","OK"))</f>
        <v>OK</v>
      </c>
      <c r="AI5" s="63" t="str">
        <f aca="false">IF(COUNT(D5:L5)=0,"",IF(COUNTIF(D5:L5,1)&gt;0,"REVIEW","OK"))</f>
        <v>OK</v>
      </c>
      <c r="AJ5" s="63" t="str">
        <f aca="false">IF(COUNT(D5:L5)=0,"",IF(COUNTIF(D5:L5,"&lt;=2")&gt;=2,"AVOID","OK"))</f>
        <v>OK</v>
      </c>
      <c r="AK5" s="63" t="str">
        <f aca="false">IF(COUNTA(E5:M5)=0,"",IF(COUNTIF(E5:M5,"L")&gt;=2,"CAP AT BUY","OK"))</f>
        <v>OK</v>
      </c>
      <c r="AL5" s="82" t="s">
        <v>326</v>
      </c>
      <c r="AM5" s="78" t="s">
        <v>328</v>
      </c>
      <c r="AN5" s="78"/>
      <c r="AO5" s="63"/>
      <c r="AP5" s="78" t="str">
        <f aca="false">IF(OR(AN5="",AO5=""),"",IF(AN5&gt;AO5,"OK","LOW CONF"))</f>
        <v/>
      </c>
      <c r="AQ5" s="78"/>
      <c r="AR5" s="63"/>
      <c r="AS5" s="83" t="str">
        <f aca="false">IF(OR(AQ5="",AR5=""),"",IF(AQ5&lt;AR5,"Decreased",IF(AQ5&gt;AR5,"Increased","Flat")))</f>
        <v/>
      </c>
    </row>
    <row r="6" customFormat="false" ht="15" hidden="false" customHeight="true" outlineLevel="0" collapsed="false">
      <c r="A6" s="34" t="s">
        <v>111</v>
      </c>
      <c r="B6" s="78" t="s">
        <v>112</v>
      </c>
      <c r="C6" s="79" t="n">
        <v>46240</v>
      </c>
      <c r="D6" s="78" t="n">
        <v>4</v>
      </c>
      <c r="E6" s="78" t="s">
        <v>324</v>
      </c>
      <c r="F6" s="78" t="n">
        <v>5</v>
      </c>
      <c r="G6" s="78" t="s">
        <v>324</v>
      </c>
      <c r="H6" s="78" t="n">
        <v>5</v>
      </c>
      <c r="I6" s="78" t="s">
        <v>324</v>
      </c>
      <c r="J6" s="78" t="n">
        <v>4</v>
      </c>
      <c r="K6" s="78" t="s">
        <v>324</v>
      </c>
      <c r="L6" s="78" t="n">
        <v>5</v>
      </c>
      <c r="M6" s="78" t="s">
        <v>324</v>
      </c>
      <c r="N6" s="80" t="n">
        <f aca="false">IF(COUNT(D6,F6,H6,J6,L6)=0,"",(D6*0.2+F6*0.15+H6*0.15+J6*0.1+L6*0.1)/0.7)</f>
        <v>4.57142857142857</v>
      </c>
      <c r="O6" s="81" t="n">
        <f aca="false">IF(COUNT(D6,F6,H6,J6,L6)=0,"",D6*0.2+F6*0.15+H6*0.15+J6*0.1+L6*0.1)</f>
        <v>3.2</v>
      </c>
      <c r="P6" s="78" t="n">
        <v>5</v>
      </c>
      <c r="Q6" s="78" t="s">
        <v>324</v>
      </c>
      <c r="R6" s="78" t="n">
        <v>5</v>
      </c>
      <c r="S6" s="78" t="s">
        <v>324</v>
      </c>
      <c r="T6" s="78" t="n">
        <v>5</v>
      </c>
      <c r="U6" s="78" t="s">
        <v>324</v>
      </c>
      <c r="V6" s="78" t="n">
        <v>5</v>
      </c>
      <c r="W6" s="78" t="s">
        <v>323</v>
      </c>
      <c r="X6" s="81" t="n">
        <f aca="false">IF(COUNT(P6,R6,T6,V6)=0,"",P6*0.08+R6*0.06+T6*0.03+V6*0.08)</f>
        <v>1.25</v>
      </c>
      <c r="Y6" s="78" t="n">
        <v>4</v>
      </c>
      <c r="Z6" s="78" t="s">
        <v>323</v>
      </c>
      <c r="AA6" s="78" t="n">
        <v>5</v>
      </c>
      <c r="AB6" s="78" t="s">
        <v>323</v>
      </c>
      <c r="AC6" s="78" t="n">
        <v>3</v>
      </c>
      <c r="AD6" s="78" t="s">
        <v>325</v>
      </c>
      <c r="AE6" s="81" t="n">
        <f aca="false">IF(COUNT(Y6,AA6,AC6)=0,"",Y6*0.02+AA6*0.02+AC6*0.01)</f>
        <v>0.21</v>
      </c>
      <c r="AF6" s="67" t="n">
        <f aca="false">IF(OR(O6="",X6="",AE6=""),"",(O6+X6+AE6)*20)</f>
        <v>93.2</v>
      </c>
      <c r="AG6" s="63" t="str">
        <f aca="false">IF(AF6="","",IF(AF6&gt;=80,"STRONG BUY",IF(AF6&gt;=65,"BUY",IF(AF6&gt;=50,"WATCH LIST",IF(AF6&gt;=35,"AVOID","PASS")))))</f>
        <v>STRONG BUY</v>
      </c>
      <c r="AH6" s="63" t="str">
        <f aca="false">IF(N6="","",IF(N6&lt;3,"FAIL","OK"))</f>
        <v>OK</v>
      </c>
      <c r="AI6" s="63" t="str">
        <f aca="false">IF(COUNT(D6:L6)=0,"",IF(COUNTIF(D6:L6,1)&gt;0,"REVIEW","OK"))</f>
        <v>OK</v>
      </c>
      <c r="AJ6" s="63" t="str">
        <f aca="false">IF(COUNT(D6:L6)=0,"",IF(COUNTIF(D6:L6,"&lt;=2")&gt;=2,"AVOID","OK"))</f>
        <v>OK</v>
      </c>
      <c r="AK6" s="63" t="str">
        <f aca="false">IF(COUNTA(E6:M6)=0,"",IF(COUNTIF(E6:M6,"L")&gt;=2,"CAP AT BUY","OK"))</f>
        <v>OK</v>
      </c>
      <c r="AL6" s="82" t="s">
        <v>326</v>
      </c>
      <c r="AM6" s="78" t="s">
        <v>327</v>
      </c>
      <c r="AN6" s="78"/>
      <c r="AO6" s="63"/>
      <c r="AP6" s="78" t="str">
        <f aca="false">IF(OR(AN6="",AO6=""),"",IF(AN6&gt;AO6,"OK","LOW CONF"))</f>
        <v/>
      </c>
      <c r="AQ6" s="78"/>
      <c r="AR6" s="63"/>
      <c r="AS6" s="83" t="str">
        <f aca="false">IF(OR(AQ6="",AR6=""),"",IF(AQ6&lt;AR6,"Decreased",IF(AQ6&gt;AR6,"Increased","Flat")))</f>
        <v/>
      </c>
    </row>
    <row r="7" customFormat="false" ht="15" hidden="false" customHeight="true" outlineLevel="0" collapsed="false">
      <c r="A7" s="34" t="s">
        <v>162</v>
      </c>
      <c r="B7" s="78" t="s">
        <v>163</v>
      </c>
      <c r="C7" s="79" t="n">
        <v>46241</v>
      </c>
      <c r="D7" s="78" t="n">
        <v>4</v>
      </c>
      <c r="E7" s="78" t="s">
        <v>324</v>
      </c>
      <c r="F7" s="78" t="n">
        <v>3</v>
      </c>
      <c r="G7" s="78" t="s">
        <v>323</v>
      </c>
      <c r="H7" s="78" t="n">
        <v>4</v>
      </c>
      <c r="I7" s="78" t="s">
        <v>323</v>
      </c>
      <c r="J7" s="78" t="n">
        <v>4</v>
      </c>
      <c r="K7" s="78" t="s">
        <v>323</v>
      </c>
      <c r="L7" s="78" t="n">
        <v>4</v>
      </c>
      <c r="M7" s="78" t="s">
        <v>324</v>
      </c>
      <c r="N7" s="80" t="n">
        <f aca="false">IF(COUNT(D7,F7,H7,J7,L7)=0,"",(D7*0.2+F7*0.15+H7*0.15+J7*0.1+L7*0.1)/0.7)</f>
        <v>3.78571428571429</v>
      </c>
      <c r="O7" s="81" t="n">
        <f aca="false">IF(COUNT(D7,F7,H7,J7,L7)=0,"",D7*0.2+F7*0.15+H7*0.15+J7*0.1+L7*0.1)</f>
        <v>2.65</v>
      </c>
      <c r="P7" s="78" t="n">
        <v>3</v>
      </c>
      <c r="Q7" s="78" t="s">
        <v>323</v>
      </c>
      <c r="R7" s="78" t="n">
        <v>4</v>
      </c>
      <c r="S7" s="78" t="s">
        <v>323</v>
      </c>
      <c r="T7" s="78" t="n">
        <v>4</v>
      </c>
      <c r="U7" s="78" t="s">
        <v>323</v>
      </c>
      <c r="V7" s="78" t="n">
        <v>4</v>
      </c>
      <c r="W7" s="78" t="s">
        <v>323</v>
      </c>
      <c r="X7" s="81" t="n">
        <f aca="false">IF(COUNT(P7,R7,T7,V7)=0,"",P7*0.08+R7*0.06+T7*0.03+V7*0.08)</f>
        <v>0.92</v>
      </c>
      <c r="Y7" s="78" t="n">
        <v>4</v>
      </c>
      <c r="Z7" s="78" t="s">
        <v>323</v>
      </c>
      <c r="AA7" s="78" t="n">
        <v>5</v>
      </c>
      <c r="AB7" s="78" t="s">
        <v>324</v>
      </c>
      <c r="AC7" s="78" t="n">
        <v>3</v>
      </c>
      <c r="AD7" s="78" t="s">
        <v>325</v>
      </c>
      <c r="AE7" s="81" t="n">
        <f aca="false">IF(COUNT(Y7,AA7,AC7)=0,"",Y7*0.02+AA7*0.02+AC7*0.01)</f>
        <v>0.21</v>
      </c>
      <c r="AF7" s="67" t="n">
        <f aca="false">IF(OR(O7="",X7="",AE7=""),"",(O7+X7+AE7)*20)</f>
        <v>75.6</v>
      </c>
      <c r="AG7" s="63" t="str">
        <f aca="false">IF(AF7="","",IF(AF7&gt;=80,"STRONG BUY",IF(AF7&gt;=65,"BUY",IF(AF7&gt;=50,"WATCH LIST",IF(AF7&gt;=35,"AVOID","PASS")))))</f>
        <v>BUY</v>
      </c>
      <c r="AH7" s="63" t="str">
        <f aca="false">IF(N7="","",IF(N7&lt;3,"FAIL","OK"))</f>
        <v>OK</v>
      </c>
      <c r="AI7" s="63" t="str">
        <f aca="false">IF(COUNT(D7:L7)=0,"",IF(COUNTIF(D7:L7,1)&gt;0,"REVIEW","OK"))</f>
        <v>OK</v>
      </c>
      <c r="AJ7" s="63" t="str">
        <f aca="false">IF(COUNT(D7:L7)=0,"",IF(COUNTIF(D7:L7,"&lt;=2")&gt;=2,"AVOID","OK"))</f>
        <v>OK</v>
      </c>
      <c r="AK7" s="63" t="str">
        <f aca="false">IF(COUNTA(E7:M7)=0,"",IF(COUNTIF(E7:M7,"L")&gt;=2,"CAP AT BUY","OK"))</f>
        <v>OK</v>
      </c>
      <c r="AL7" s="82" t="s">
        <v>329</v>
      </c>
      <c r="AM7" s="78" t="s">
        <v>330</v>
      </c>
      <c r="AN7" s="78"/>
      <c r="AO7" s="63"/>
      <c r="AP7" s="78" t="str">
        <f aca="false">IF(OR(AN7="",AO7=""),"",IF(AN7&gt;AO7,"OK","LOW CONF"))</f>
        <v/>
      </c>
      <c r="AQ7" s="78"/>
      <c r="AR7" s="63"/>
      <c r="AS7" s="83" t="str">
        <f aca="false">IF(OR(AQ7="",AR7=""),"",IF(AQ7&lt;AR7,"Decreased",IF(AQ7&gt;AR7,"Increased","Flat")))</f>
        <v/>
      </c>
    </row>
    <row r="8" customFormat="false" ht="15" hidden="false" customHeight="true" outlineLevel="0" collapsed="false">
      <c r="A8" s="34" t="s">
        <v>165</v>
      </c>
      <c r="B8" s="78" t="s">
        <v>331</v>
      </c>
      <c r="C8" s="79" t="n">
        <v>46240</v>
      </c>
      <c r="D8" s="78" t="n">
        <v>4</v>
      </c>
      <c r="E8" s="78" t="s">
        <v>323</v>
      </c>
      <c r="F8" s="78" t="n">
        <v>4</v>
      </c>
      <c r="G8" s="78" t="s">
        <v>323</v>
      </c>
      <c r="H8" s="78" t="n">
        <v>5</v>
      </c>
      <c r="I8" s="78" t="s">
        <v>324</v>
      </c>
      <c r="J8" s="78" t="n">
        <v>4</v>
      </c>
      <c r="K8" s="78" t="s">
        <v>323</v>
      </c>
      <c r="L8" s="78" t="n">
        <v>5</v>
      </c>
      <c r="M8" s="78" t="s">
        <v>324</v>
      </c>
      <c r="N8" s="80" t="n">
        <f aca="false">IF(COUNT(D8,F8,H8,J8,L8)=0,"",(D8*0.2+F8*0.15+H8*0.15+J8*0.1+L8*0.1)/0.7)</f>
        <v>4.35714285714286</v>
      </c>
      <c r="O8" s="81" t="n">
        <f aca="false">IF(COUNT(D8,F8,H8,J8,L8)=0,"",D8*0.2+F8*0.15+H8*0.15+J8*0.1+L8*0.1)</f>
        <v>3.05</v>
      </c>
      <c r="P8" s="78" t="n">
        <v>5</v>
      </c>
      <c r="Q8" s="78" t="s">
        <v>324</v>
      </c>
      <c r="R8" s="78" t="n">
        <v>3</v>
      </c>
      <c r="S8" s="78" t="s">
        <v>325</v>
      </c>
      <c r="T8" s="78" t="n">
        <v>4</v>
      </c>
      <c r="U8" s="78" t="s">
        <v>325</v>
      </c>
      <c r="V8" s="78" t="n">
        <v>2</v>
      </c>
      <c r="W8" s="78" t="s">
        <v>324</v>
      </c>
      <c r="X8" s="81" t="n">
        <f aca="false">IF(COUNT(P8,R8,T8,V8)=0,"",P8*0.08+R8*0.06+T8*0.03+V8*0.08)</f>
        <v>0.86</v>
      </c>
      <c r="Y8" s="78" t="n">
        <v>4</v>
      </c>
      <c r="Z8" s="78" t="s">
        <v>325</v>
      </c>
      <c r="AA8" s="78" t="n">
        <v>4</v>
      </c>
      <c r="AB8" s="78" t="s">
        <v>323</v>
      </c>
      <c r="AC8" s="78" t="n">
        <v>3</v>
      </c>
      <c r="AD8" s="78" t="s">
        <v>325</v>
      </c>
      <c r="AE8" s="81" t="n">
        <f aca="false">IF(COUNT(Y8,AA8,AC8)=0,"",Y8*0.02+AA8*0.02+AC8*0.01)</f>
        <v>0.19</v>
      </c>
      <c r="AF8" s="67" t="n">
        <f aca="false">IF(OR(O8="",X8="",AE8=""),"",(O8+X8+AE8)*20)</f>
        <v>82</v>
      </c>
      <c r="AG8" s="63" t="str">
        <f aca="false">IF(AF8="","",IF(AF8&gt;=80,"STRONG BUY",IF(AF8&gt;=65,"BUY",IF(AF8&gt;=50,"WATCH LIST",IF(AF8&gt;=35,"AVOID","PASS")))))</f>
        <v>STRONG BUY</v>
      </c>
      <c r="AH8" s="63" t="str">
        <f aca="false">IF(N8="","",IF(N8&lt;3,"FAIL","OK"))</f>
        <v>OK</v>
      </c>
      <c r="AI8" s="63" t="str">
        <f aca="false">IF(COUNT(D8:L8)=0,"",IF(COUNTIF(D8:L8,1)&gt;0,"REVIEW","OK"))</f>
        <v>OK</v>
      </c>
      <c r="AJ8" s="63" t="str">
        <f aca="false">IF(COUNT(D8:L8)=0,"",IF(COUNTIF(D8:L8,"&lt;=2")&gt;=2,"AVOID","OK"))</f>
        <v>OK</v>
      </c>
      <c r="AK8" s="63" t="str">
        <f aca="false">IF(COUNTA(E8:M8)=0,"",IF(COUNTIF(E8:M8,"L")&gt;=2,"CAP AT BUY","OK"))</f>
        <v>OK</v>
      </c>
      <c r="AL8" s="82" t="s">
        <v>332</v>
      </c>
      <c r="AM8" s="78" t="s">
        <v>333</v>
      </c>
      <c r="AN8" s="78"/>
      <c r="AO8" s="63"/>
      <c r="AP8" s="78" t="str">
        <f aca="false">IF(OR(AN8="",AO8=""),"",IF(AN8&gt;AO8,"OK","LOW CONF"))</f>
        <v/>
      </c>
      <c r="AQ8" s="78"/>
      <c r="AR8" s="63"/>
      <c r="AS8" s="83" t="str">
        <f aca="false">IF(OR(AQ8="",AR8=""),"",IF(AQ8&lt;AR8,"Decreased",IF(AQ8&gt;AR8,"Increased","Flat")))</f>
        <v/>
      </c>
    </row>
    <row r="9" customFormat="false" ht="15" hidden="true" customHeight="true" outlineLevel="1" collapsed="false">
      <c r="A9" s="34" t="s">
        <v>168</v>
      </c>
      <c r="B9" s="78" t="s">
        <v>169</v>
      </c>
      <c r="C9" s="79" t="n">
        <v>46240</v>
      </c>
      <c r="D9" s="78" t="n">
        <v>2</v>
      </c>
      <c r="E9" s="78" t="s">
        <v>323</v>
      </c>
      <c r="F9" s="78" t="n">
        <v>2</v>
      </c>
      <c r="G9" s="78" t="s">
        <v>323</v>
      </c>
      <c r="H9" s="78" t="n">
        <v>2</v>
      </c>
      <c r="I9" s="78" t="s">
        <v>323</v>
      </c>
      <c r="J9" s="78" t="n">
        <v>2</v>
      </c>
      <c r="K9" s="78" t="s">
        <v>323</v>
      </c>
      <c r="L9" s="78" t="n">
        <v>1</v>
      </c>
      <c r="M9" s="78" t="s">
        <v>324</v>
      </c>
      <c r="N9" s="80" t="n">
        <f aca="false">IF(COUNT(D9,F9,H9,J9,L9)=0,"",(D9*0.2+F9*0.15+H9*0.15+J9*0.1+L9*0.1)/0.7)</f>
        <v>1.85714285714286</v>
      </c>
      <c r="O9" s="81" t="n">
        <f aca="false">IF(COUNT(D9,F9,H9,J9,L9)=0,"",D9*0.2+F9*0.15+H9*0.15+J9*0.1+L9*0.1)</f>
        <v>1.3</v>
      </c>
      <c r="P9" s="78"/>
      <c r="Q9" s="78"/>
      <c r="R9" s="78"/>
      <c r="S9" s="78"/>
      <c r="T9" s="78"/>
      <c r="U9" s="78"/>
      <c r="V9" s="78"/>
      <c r="W9" s="78"/>
      <c r="X9" s="81" t="str">
        <f aca="false">IF(COUNT(P9,R9,T9,V9)=0,"",P9*0.08+R9*0.06+T9*0.03+V9*0.08)</f>
        <v/>
      </c>
      <c r="Y9" s="78"/>
      <c r="Z9" s="78"/>
      <c r="AA9" s="78"/>
      <c r="AB9" s="78"/>
      <c r="AC9" s="78"/>
      <c r="AD9" s="78"/>
      <c r="AE9" s="81" t="str">
        <f aca="false">IF(COUNT(Y9,AA9,AC9)=0,"",Y9*0.02+AA9*0.02+AC9*0.01)</f>
        <v/>
      </c>
      <c r="AF9" s="67" t="str">
        <f aca="false">IF(OR(O9="",X9="",AE9=""),"",(O9+X9+AE9)*20)</f>
        <v/>
      </c>
      <c r="AG9" s="63" t="str">
        <f aca="false">IF(AF9="","",IF(AF9&gt;=80,"STRONG BUY",IF(AF9&gt;=65,"BUY",IF(AF9&gt;=50,"WATCH LIST",IF(AF9&gt;=35,"AVOID","PASS")))))</f>
        <v/>
      </c>
      <c r="AH9" s="63" t="str">
        <f aca="false">IF(N9="","",IF(N9&lt;3,"FAIL","OK"))</f>
        <v>FAIL</v>
      </c>
      <c r="AI9" s="63" t="str">
        <f aca="false">IF(COUNT(D9:L9)=0,"",IF(COUNTIF(D9:L9,1)&gt;0,"REVIEW","OK"))</f>
        <v>REVIEW</v>
      </c>
      <c r="AJ9" s="63" t="str">
        <f aca="false">IF(COUNT(D9:L9)=0,"",IF(COUNTIF(D9:L9,"&lt;=2")&gt;=2,"AVOID","OK"))</f>
        <v>AVOID</v>
      </c>
      <c r="AK9" s="63" t="str">
        <f aca="false">IF(COUNTA(E9:M9)=0,"",IF(COUNTIF(E9:M9,"L")&gt;=2,"CAP AT BUY","OK"))</f>
        <v>OK</v>
      </c>
      <c r="AL9" s="82" t="s">
        <v>334</v>
      </c>
      <c r="AM9" s="78" t="s">
        <v>335</v>
      </c>
      <c r="AN9" s="78"/>
      <c r="AO9" s="63"/>
      <c r="AP9" s="78" t="str">
        <f aca="false">IF(OR(AN9="",AO9=""),"",IF(AN9&gt;AO9,"OK","LOW CONF"))</f>
        <v/>
      </c>
      <c r="AQ9" s="78"/>
      <c r="AR9" s="63"/>
      <c r="AS9" s="83" t="str">
        <f aca="false">IF(OR(AQ9="",AR9=""),"",IF(AQ9&lt;AR9,"Decreased",IF(AQ9&gt;AR9,"Increased","Flat")))</f>
        <v/>
      </c>
    </row>
    <row r="10" customFormat="false" ht="15" hidden="true" customHeight="true" outlineLevel="1" collapsed="false">
      <c r="A10" s="34" t="s">
        <v>179</v>
      </c>
      <c r="B10" s="78" t="s">
        <v>180</v>
      </c>
      <c r="C10" s="79" t="n">
        <v>46240</v>
      </c>
      <c r="D10" s="78" t="n">
        <v>2</v>
      </c>
      <c r="E10" s="78" t="s">
        <v>323</v>
      </c>
      <c r="F10" s="78" t="n">
        <v>4</v>
      </c>
      <c r="G10" s="78" t="s">
        <v>324</v>
      </c>
      <c r="H10" s="78" t="n">
        <v>3</v>
      </c>
      <c r="I10" s="78" t="s">
        <v>323</v>
      </c>
      <c r="J10" s="78" t="n">
        <v>2</v>
      </c>
      <c r="K10" s="78" t="s">
        <v>323</v>
      </c>
      <c r="L10" s="78" t="n">
        <v>2</v>
      </c>
      <c r="M10" s="78" t="s">
        <v>324</v>
      </c>
      <c r="N10" s="80" t="n">
        <f aca="false">IF(COUNT(D10,F10,H10,J10,L10)=0,"",(D10*0.2+F10*0.15+H10*0.15+J10*0.1+L10*0.1)/0.7)</f>
        <v>2.64285714285714</v>
      </c>
      <c r="O10" s="81" t="n">
        <f aca="false">IF(COUNT(D10,F10,H10,J10,L10)=0,"",D10*0.2+F10*0.15+H10*0.15+J10*0.1+L10*0.1)</f>
        <v>1.85</v>
      </c>
      <c r="P10" s="78"/>
      <c r="Q10" s="78"/>
      <c r="R10" s="78"/>
      <c r="S10" s="78"/>
      <c r="T10" s="78"/>
      <c r="U10" s="78"/>
      <c r="V10" s="78"/>
      <c r="W10" s="78"/>
      <c r="X10" s="81" t="str">
        <f aca="false">IF(COUNT(P10,R10,T10,V10)=0,"",P10*0.08+R10*0.06+T10*0.03+V10*0.08)</f>
        <v/>
      </c>
      <c r="Y10" s="78"/>
      <c r="Z10" s="78"/>
      <c r="AA10" s="78"/>
      <c r="AB10" s="78"/>
      <c r="AC10" s="78"/>
      <c r="AD10" s="78"/>
      <c r="AE10" s="81" t="str">
        <f aca="false">IF(COUNT(Y10,AA10,AC10)=0,"",Y10*0.02+AA10*0.02+AC10*0.01)</f>
        <v/>
      </c>
      <c r="AF10" s="67" t="str">
        <f aca="false">IF(OR(O10="",X10="",AE10=""),"",(O10+X10+AE10)*20)</f>
        <v/>
      </c>
      <c r="AG10" s="63" t="str">
        <f aca="false">IF(AF10="","",IF(AF10&gt;=80,"STRONG BUY",IF(AF10&gt;=65,"BUY",IF(AF10&gt;=50,"WATCH LIST",IF(AF10&gt;=35,"AVOID","PASS")))))</f>
        <v/>
      </c>
      <c r="AH10" s="63" t="str">
        <f aca="false">IF(N10="","",IF(N10&lt;3,"FAIL","OK"))</f>
        <v>FAIL</v>
      </c>
      <c r="AI10" s="63" t="str">
        <f aca="false">IF(COUNT(D10:L10)=0,"",IF(COUNTIF(D10:L10,1)&gt;0,"REVIEW","OK"))</f>
        <v>OK</v>
      </c>
      <c r="AJ10" s="63" t="str">
        <f aca="false">IF(COUNT(D10:L10)=0,"",IF(COUNTIF(D10:L10,"&lt;=2")&gt;=2,"AVOID","OK"))</f>
        <v>AVOID</v>
      </c>
      <c r="AK10" s="63" t="str">
        <f aca="false">IF(COUNTA(E10:M10)=0,"",IF(COUNTIF(E10:M10,"L")&gt;=2,"CAP AT BUY","OK"))</f>
        <v>OK</v>
      </c>
      <c r="AL10" s="82" t="s">
        <v>336</v>
      </c>
      <c r="AM10" s="78" t="s">
        <v>337</v>
      </c>
      <c r="AN10" s="78"/>
      <c r="AO10" s="63"/>
      <c r="AP10" s="78" t="str">
        <f aca="false">IF(OR(AN10="",AO10=""),"",IF(AN10&gt;AO10,"OK","LOW CONF"))</f>
        <v/>
      </c>
      <c r="AQ10" s="78"/>
      <c r="AR10" s="63"/>
      <c r="AS10" s="83" t="str">
        <f aca="false">IF(OR(AQ10="",AR10=""),"",IF(AQ10&lt;AR10,"Decreased",IF(AQ10&gt;AR10,"Increased","Flat")))</f>
        <v/>
      </c>
    </row>
    <row r="11" customFormat="false" ht="15" hidden="true" customHeight="true" outlineLevel="1" collapsed="false">
      <c r="A11" s="34" t="s">
        <v>171</v>
      </c>
      <c r="B11" s="78" t="s">
        <v>172</v>
      </c>
      <c r="C11" s="79" t="n">
        <v>46240</v>
      </c>
      <c r="D11" s="78" t="n">
        <v>1</v>
      </c>
      <c r="E11" s="78" t="s">
        <v>324</v>
      </c>
      <c r="F11" s="78" t="n">
        <v>2</v>
      </c>
      <c r="G11" s="78" t="s">
        <v>323</v>
      </c>
      <c r="H11" s="78" t="n">
        <v>3</v>
      </c>
      <c r="I11" s="78" t="s">
        <v>323</v>
      </c>
      <c r="J11" s="78" t="n">
        <v>3</v>
      </c>
      <c r="K11" s="78" t="s">
        <v>323</v>
      </c>
      <c r="L11" s="78" t="n">
        <v>1</v>
      </c>
      <c r="M11" s="78" t="s">
        <v>324</v>
      </c>
      <c r="N11" s="80" t="n">
        <f aca="false">IF(COUNT(D11,F11,H11,J11,L11)=0,"",(D11*0.2+F11*0.15+H11*0.15+J11*0.1+L11*0.1)/0.7)</f>
        <v>1.92857142857143</v>
      </c>
      <c r="O11" s="81" t="n">
        <f aca="false">IF(COUNT(D11,F11,H11,J11,L11)=0,"",D11*0.2+F11*0.15+H11*0.15+J11*0.1+L11*0.1)</f>
        <v>1.35</v>
      </c>
      <c r="P11" s="78"/>
      <c r="Q11" s="78"/>
      <c r="R11" s="78"/>
      <c r="S11" s="78"/>
      <c r="T11" s="78"/>
      <c r="U11" s="78"/>
      <c r="V11" s="78"/>
      <c r="W11" s="78"/>
      <c r="X11" s="81" t="str">
        <f aca="false">IF(COUNT(P11,R11,T11,V11)=0,"",P11*0.08+R11*0.06+T11*0.03+V11*0.08)</f>
        <v/>
      </c>
      <c r="Y11" s="78"/>
      <c r="Z11" s="78"/>
      <c r="AA11" s="78"/>
      <c r="AB11" s="78"/>
      <c r="AC11" s="78"/>
      <c r="AD11" s="78"/>
      <c r="AE11" s="81" t="str">
        <f aca="false">IF(COUNT(Y11,AA11,AC11)=0,"",Y11*0.02+AA11*0.02+AC11*0.01)</f>
        <v/>
      </c>
      <c r="AF11" s="67" t="str">
        <f aca="false">IF(OR(O11="",X11="",AE11=""),"",(O11+X11+AE11)*20)</f>
        <v/>
      </c>
      <c r="AG11" s="63" t="str">
        <f aca="false">IF(AF11="","",IF(AF11&gt;=80,"STRONG BUY",IF(AF11&gt;=65,"BUY",IF(AF11&gt;=50,"WATCH LIST",IF(AF11&gt;=35,"AVOID","PASS")))))</f>
        <v/>
      </c>
      <c r="AH11" s="63" t="str">
        <f aca="false">IF(N11="","",IF(N11&lt;3,"FAIL","OK"))</f>
        <v>FAIL</v>
      </c>
      <c r="AI11" s="63" t="str">
        <f aca="false">IF(COUNT(D11:L11)=0,"",IF(COUNTIF(D11:L11,1)&gt;0,"REVIEW","OK"))</f>
        <v>REVIEW</v>
      </c>
      <c r="AJ11" s="63" t="str">
        <f aca="false">IF(COUNT(D11:L11)=0,"",IF(COUNTIF(D11:L11,"&lt;=2")&gt;=2,"AVOID","OK"))</f>
        <v>AVOID</v>
      </c>
      <c r="AK11" s="63" t="str">
        <f aca="false">IF(COUNTA(E11:M11)=0,"",IF(COUNTIF(E11:M11,"L")&gt;=2,"CAP AT BUY","OK"))</f>
        <v>OK</v>
      </c>
      <c r="AL11" s="82" t="s">
        <v>336</v>
      </c>
      <c r="AM11" s="78" t="s">
        <v>338</v>
      </c>
      <c r="AN11" s="78"/>
      <c r="AO11" s="63"/>
      <c r="AP11" s="78" t="str">
        <f aca="false">IF(OR(AN11="",AO11=""),"",IF(AN11&gt;AO11,"OK","LOW CONF"))</f>
        <v/>
      </c>
      <c r="AQ11" s="78"/>
      <c r="AR11" s="63"/>
      <c r="AS11" s="83" t="str">
        <f aca="false">IF(OR(AQ11="",AR11=""),"",IF(AQ11&lt;AR11,"Decreased",IF(AQ11&gt;AR11,"Increased","Flat")))</f>
        <v/>
      </c>
    </row>
    <row r="12" customFormat="false" ht="15" hidden="false" customHeight="true" outlineLevel="0" collapsed="false">
      <c r="A12" s="34" t="s">
        <v>96</v>
      </c>
      <c r="B12" s="78" t="s">
        <v>97</v>
      </c>
      <c r="C12" s="79" t="n">
        <v>46240</v>
      </c>
      <c r="D12" s="78" t="n">
        <v>5</v>
      </c>
      <c r="E12" s="78" t="s">
        <v>324</v>
      </c>
      <c r="F12" s="78" t="n">
        <v>4</v>
      </c>
      <c r="G12" s="78" t="s">
        <v>324</v>
      </c>
      <c r="H12" s="78" t="n">
        <v>4</v>
      </c>
      <c r="I12" s="78" t="s">
        <v>323</v>
      </c>
      <c r="J12" s="78" t="n">
        <v>5</v>
      </c>
      <c r="K12" s="78" t="s">
        <v>324</v>
      </c>
      <c r="L12" s="78" t="n">
        <v>5</v>
      </c>
      <c r="M12" s="78" t="s">
        <v>324</v>
      </c>
      <c r="N12" s="80" t="n">
        <f aca="false">IF(COUNT(D12,F12,H12,J12,L12)=0,"",(D12*0.2+F12*0.15+H12*0.15+J12*0.1+L12*0.1)/0.7)</f>
        <v>4.57142857142857</v>
      </c>
      <c r="O12" s="81" t="n">
        <f aca="false">IF(COUNT(D12,F12,H12,J12,L12)=0,"",D12*0.2+F12*0.15+H12*0.15+J12*0.1+L12*0.1)</f>
        <v>3.2</v>
      </c>
      <c r="P12" s="78" t="n">
        <v>3</v>
      </c>
      <c r="Q12" s="78" t="s">
        <v>323</v>
      </c>
      <c r="R12" s="78" t="n">
        <v>5</v>
      </c>
      <c r="S12" s="78" t="s">
        <v>324</v>
      </c>
      <c r="T12" s="78" t="n">
        <v>1</v>
      </c>
      <c r="U12" s="78" t="s">
        <v>324</v>
      </c>
      <c r="V12" s="78" t="n">
        <v>5</v>
      </c>
      <c r="W12" s="78" t="s">
        <v>324</v>
      </c>
      <c r="X12" s="81" t="n">
        <f aca="false">IF(COUNT(P12,R12,T12,V12)=0,"",P12*0.08+R12*0.06+T12*0.03+V12*0.08)</f>
        <v>0.97</v>
      </c>
      <c r="Y12" s="78" t="n">
        <v>2</v>
      </c>
      <c r="Z12" s="78" t="s">
        <v>323</v>
      </c>
      <c r="AA12" s="78" t="n">
        <v>3</v>
      </c>
      <c r="AB12" s="78" t="s">
        <v>323</v>
      </c>
      <c r="AC12" s="78" t="n">
        <v>2</v>
      </c>
      <c r="AD12" s="78" t="s">
        <v>325</v>
      </c>
      <c r="AE12" s="81" t="n">
        <f aca="false">IF(COUNT(Y12,AA12,AC12)=0,"",Y12*0.02+AA12*0.02+AC12*0.01)</f>
        <v>0.12</v>
      </c>
      <c r="AF12" s="67" t="n">
        <f aca="false">IF(OR(O12="",X12="",AE12=""),"",(O12+X12+AE12)*20)</f>
        <v>85.8</v>
      </c>
      <c r="AG12" s="63" t="str">
        <f aca="false">IF(AF12="","",IF(AF12&gt;=80,"STRONG BUY",IF(AF12&gt;=65,"BUY",IF(AF12&gt;=50,"WATCH LIST",IF(AF12&gt;=35,"AVOID","PASS")))))</f>
        <v>STRONG BUY</v>
      </c>
      <c r="AH12" s="63" t="str">
        <f aca="false">IF(N12="","",IF(N12&lt;3,"FAIL","OK"))</f>
        <v>OK</v>
      </c>
      <c r="AI12" s="63" t="str">
        <f aca="false">IF(COUNT(D12:L12)=0,"",IF(COUNTIF(D12:L12,1)&gt;0,"REVIEW","OK"))</f>
        <v>OK</v>
      </c>
      <c r="AJ12" s="63" t="str">
        <f aca="false">IF(COUNT(D12:L12)=0,"",IF(COUNTIF(D12:L12,"&lt;=2")&gt;=2,"AVOID","OK"))</f>
        <v>OK</v>
      </c>
      <c r="AK12" s="63" t="str">
        <f aca="false">IF(COUNTA(E12:M12)=0,"",IF(COUNTIF(E12:M12,"L")&gt;=2,"CAP AT BUY","OK"))</f>
        <v>OK</v>
      </c>
      <c r="AL12" s="82" t="s">
        <v>326</v>
      </c>
      <c r="AM12" s="78" t="s">
        <v>339</v>
      </c>
      <c r="AN12" s="78"/>
      <c r="AO12" s="63"/>
      <c r="AP12" s="78" t="str">
        <f aca="false">IF(OR(AN12="",AO12=""),"",IF(AN12&gt;AO12,"OK","LOW CONF"))</f>
        <v/>
      </c>
      <c r="AQ12" s="78"/>
      <c r="AR12" s="63"/>
      <c r="AS12" s="83" t="str">
        <f aca="false">IF(OR(AQ12="",AR12=""),"",IF(AQ12&lt;AR12,"Decreased",IF(AQ12&gt;AR12,"Increased","Flat")))</f>
        <v/>
      </c>
    </row>
    <row r="13" customFormat="false" ht="15" hidden="false" customHeight="true" outlineLevel="0" collapsed="false">
      <c r="A13" s="34" t="s">
        <v>101</v>
      </c>
      <c r="B13" s="78" t="s">
        <v>102</v>
      </c>
      <c r="C13" s="79" t="n">
        <v>46240</v>
      </c>
      <c r="D13" s="78" t="n">
        <v>4</v>
      </c>
      <c r="E13" s="78" t="s">
        <v>323</v>
      </c>
      <c r="F13" s="78" t="n">
        <v>5</v>
      </c>
      <c r="G13" s="78" t="s">
        <v>324</v>
      </c>
      <c r="H13" s="78" t="n">
        <v>5</v>
      </c>
      <c r="I13" s="78" t="s">
        <v>324</v>
      </c>
      <c r="J13" s="78" t="n">
        <v>4</v>
      </c>
      <c r="K13" s="78" t="s">
        <v>323</v>
      </c>
      <c r="L13" s="78" t="n">
        <v>5</v>
      </c>
      <c r="M13" s="78" t="s">
        <v>324</v>
      </c>
      <c r="N13" s="80" t="n">
        <f aca="false">IF(COUNT(D13,F13,H13,J13,L13)=0,"",(D13*0.2+F13*0.15+H13*0.15+J13*0.1+L13*0.1)/0.7)</f>
        <v>4.57142857142857</v>
      </c>
      <c r="O13" s="81" t="n">
        <f aca="false">IF(COUNT(D13,F13,H13,J13,L13)=0,"",D13*0.2+F13*0.15+H13*0.15+J13*0.1+L13*0.1)</f>
        <v>3.2</v>
      </c>
      <c r="P13" s="78" t="n">
        <v>4</v>
      </c>
      <c r="Q13" s="78" t="s">
        <v>324</v>
      </c>
      <c r="R13" s="78" t="n">
        <v>5</v>
      </c>
      <c r="S13" s="78" t="s">
        <v>324</v>
      </c>
      <c r="T13" s="78" t="n">
        <v>5</v>
      </c>
      <c r="U13" s="78" t="s">
        <v>323</v>
      </c>
      <c r="V13" s="78" t="n">
        <v>1</v>
      </c>
      <c r="W13" s="78" t="s">
        <v>324</v>
      </c>
      <c r="X13" s="81" t="n">
        <f aca="false">IF(COUNT(P13,R13,T13,V13)=0,"",P13*0.08+R13*0.06+T13*0.03+V13*0.08)</f>
        <v>0.85</v>
      </c>
      <c r="Y13" s="78" t="n">
        <v>4</v>
      </c>
      <c r="Z13" s="78" t="s">
        <v>323</v>
      </c>
      <c r="AA13" s="78" t="n">
        <v>5</v>
      </c>
      <c r="AB13" s="78" t="s">
        <v>324</v>
      </c>
      <c r="AC13" s="78" t="n">
        <v>2</v>
      </c>
      <c r="AD13" s="78" t="s">
        <v>323</v>
      </c>
      <c r="AE13" s="81" t="n">
        <f aca="false">IF(COUNT(Y13,AA13,AC13)=0,"",Y13*0.02+AA13*0.02+AC13*0.01)</f>
        <v>0.2</v>
      </c>
      <c r="AF13" s="67" t="n">
        <f aca="false">IF(OR(O13="",X13="",AE13=""),"",(O13+X13+AE13)*20)</f>
        <v>85</v>
      </c>
      <c r="AG13" s="63" t="str">
        <f aca="false">IF(AF13="","",IF(AF13&gt;=80,"STRONG BUY",IF(AF13&gt;=65,"BUY",IF(AF13&gt;=50,"WATCH LIST",IF(AF13&gt;=35,"AVOID","PASS")))))</f>
        <v>STRONG BUY</v>
      </c>
      <c r="AH13" s="63" t="str">
        <f aca="false">IF(N13="","",IF(N13&lt;3,"FAIL","OK"))</f>
        <v>OK</v>
      </c>
      <c r="AI13" s="63" t="str">
        <f aca="false">IF(COUNT(D13:L13)=0,"",IF(COUNTIF(D13:L13,1)&gt;0,"REVIEW","OK"))</f>
        <v>OK</v>
      </c>
      <c r="AJ13" s="63" t="str">
        <f aca="false">IF(COUNT(D13:L13)=0,"",IF(COUNTIF(D13:L13,"&lt;=2")&gt;=2,"AVOID","OK"))</f>
        <v>OK</v>
      </c>
      <c r="AK13" s="63" t="str">
        <f aca="false">IF(COUNTA(E13:M13)=0,"",IF(COUNTIF(E13:M13,"L")&gt;=2,"CAP AT BUY","OK"))</f>
        <v>OK</v>
      </c>
      <c r="AL13" s="82" t="s">
        <v>326</v>
      </c>
      <c r="AM13" s="78" t="s">
        <v>340</v>
      </c>
      <c r="AN13" s="78"/>
      <c r="AO13" s="63"/>
      <c r="AP13" s="78" t="str">
        <f aca="false">IF(OR(AN13="",AO13=""),"",IF(AN13&gt;AO13,"OK","LOW CONF"))</f>
        <v/>
      </c>
      <c r="AQ13" s="78"/>
      <c r="AR13" s="63"/>
      <c r="AS13" s="83" t="str">
        <f aca="false">IF(OR(AQ13="",AR13=""),"",IF(AQ13&lt;AR13,"Decreased",IF(AQ13&gt;AR13,"Increased","Flat")))</f>
        <v/>
      </c>
    </row>
    <row r="14" customFormat="false" ht="15" hidden="false" customHeight="true" outlineLevel="0" collapsed="false">
      <c r="A14" s="34" t="s">
        <v>103</v>
      </c>
      <c r="B14" s="78" t="s">
        <v>104</v>
      </c>
      <c r="C14" s="79" t="n">
        <v>46240</v>
      </c>
      <c r="D14" s="78" t="n">
        <v>3</v>
      </c>
      <c r="E14" s="78" t="s">
        <v>323</v>
      </c>
      <c r="F14" s="78" t="n">
        <v>3</v>
      </c>
      <c r="G14" s="78" t="s">
        <v>323</v>
      </c>
      <c r="H14" s="78" t="n">
        <v>5</v>
      </c>
      <c r="I14" s="78" t="s">
        <v>324</v>
      </c>
      <c r="J14" s="78" t="n">
        <v>4</v>
      </c>
      <c r="K14" s="78" t="s">
        <v>323</v>
      </c>
      <c r="L14" s="78" t="n">
        <v>3</v>
      </c>
      <c r="M14" s="78" t="s">
        <v>323</v>
      </c>
      <c r="N14" s="80" t="n">
        <f aca="false">IF(COUNT(D14,F14,H14,J14,L14)=0,"",(D14*0.2+F14*0.15+H14*0.15+J14*0.1+L14*0.1)/0.7)</f>
        <v>3.57142857142857</v>
      </c>
      <c r="O14" s="81" t="n">
        <f aca="false">IF(COUNT(D14,F14,H14,J14,L14)=0,"",D14*0.2+F14*0.15+H14*0.15+J14*0.1+L14*0.1)</f>
        <v>2.5</v>
      </c>
      <c r="P14" s="78" t="n">
        <v>4</v>
      </c>
      <c r="Q14" s="78" t="s">
        <v>323</v>
      </c>
      <c r="R14" s="78" t="n">
        <v>5</v>
      </c>
      <c r="S14" s="78" t="s">
        <v>324</v>
      </c>
      <c r="T14" s="78" t="n">
        <v>5</v>
      </c>
      <c r="U14" s="78" t="s">
        <v>324</v>
      </c>
      <c r="V14" s="78" t="n">
        <v>2</v>
      </c>
      <c r="W14" s="78" t="s">
        <v>323</v>
      </c>
      <c r="X14" s="81" t="n">
        <f aca="false">IF(COUNT(P14,R14,T14,V14)=0,"",P14*0.08+R14*0.06+T14*0.03+V14*0.08)</f>
        <v>0.93</v>
      </c>
      <c r="Y14" s="78" t="n">
        <v>5</v>
      </c>
      <c r="Z14" s="78" t="s">
        <v>323</v>
      </c>
      <c r="AA14" s="78" t="n">
        <v>5</v>
      </c>
      <c r="AB14" s="78" t="s">
        <v>324</v>
      </c>
      <c r="AC14" s="78" t="n">
        <v>3</v>
      </c>
      <c r="AD14" s="78" t="s">
        <v>325</v>
      </c>
      <c r="AE14" s="81" t="n">
        <f aca="false">IF(COUNT(Y14,AA14,AC14)=0,"",Y14*0.02+AA14*0.02+AC14*0.01)</f>
        <v>0.23</v>
      </c>
      <c r="AF14" s="67" t="n">
        <f aca="false">IF(OR(O14="",X14="",AE14=""),"",(O14+X14+AE14)*20)</f>
        <v>73.2</v>
      </c>
      <c r="AG14" s="63" t="str">
        <f aca="false">IF(AF14="","",IF(AF14&gt;=80,"STRONG BUY",IF(AF14&gt;=65,"BUY",IF(AF14&gt;=50,"WATCH LIST",IF(AF14&gt;=35,"AVOID","PASS")))))</f>
        <v>BUY</v>
      </c>
      <c r="AH14" s="63" t="str">
        <f aca="false">IF(N14="","",IF(N14&lt;3,"FAIL","OK"))</f>
        <v>OK</v>
      </c>
      <c r="AI14" s="63" t="str">
        <f aca="false">IF(COUNT(D14:L14)=0,"",IF(COUNTIF(D14:L14,1)&gt;0,"REVIEW","OK"))</f>
        <v>OK</v>
      </c>
      <c r="AJ14" s="63" t="str">
        <f aca="false">IF(COUNT(D14:L14)=0,"",IF(COUNTIF(D14:L14,"&lt;=2")&gt;=2,"AVOID","OK"))</f>
        <v>OK</v>
      </c>
      <c r="AK14" s="63" t="str">
        <f aca="false">IF(COUNTA(E14:M14)=0,"",IF(COUNTIF(E14:M14,"L")&gt;=2,"CAP AT BUY","OK"))</f>
        <v>OK</v>
      </c>
      <c r="AL14" s="82" t="s">
        <v>326</v>
      </c>
      <c r="AM14" s="78" t="s">
        <v>341</v>
      </c>
      <c r="AN14" s="78"/>
      <c r="AO14" s="63"/>
      <c r="AP14" s="78" t="str">
        <f aca="false">IF(OR(AN14="",AO14=""),"",IF(AN14&gt;AO14,"OK","LOW CONF"))</f>
        <v/>
      </c>
      <c r="AQ14" s="78"/>
      <c r="AR14" s="63"/>
      <c r="AS14" s="83" t="str">
        <f aca="false">IF(OR(AQ14="",AR14=""),"",IF(AQ14&lt;AR14,"Decreased",IF(AQ14&gt;AR14,"Increased","Flat")))</f>
        <v/>
      </c>
    </row>
    <row r="15" customFormat="false" ht="15" hidden="false" customHeight="true" outlineLevel="0" collapsed="false">
      <c r="A15" s="34" t="s">
        <v>105</v>
      </c>
      <c r="B15" s="78" t="s">
        <v>106</v>
      </c>
      <c r="C15" s="79" t="n">
        <v>46240</v>
      </c>
      <c r="D15" s="78" t="n">
        <v>3</v>
      </c>
      <c r="E15" s="78" t="s">
        <v>323</v>
      </c>
      <c r="F15" s="78" t="n">
        <v>4</v>
      </c>
      <c r="G15" s="78" t="s">
        <v>323</v>
      </c>
      <c r="H15" s="78" t="n">
        <v>4</v>
      </c>
      <c r="I15" s="78" t="s">
        <v>323</v>
      </c>
      <c r="J15" s="78" t="n">
        <v>5</v>
      </c>
      <c r="K15" s="78" t="s">
        <v>324</v>
      </c>
      <c r="L15" s="78" t="n">
        <v>5</v>
      </c>
      <c r="M15" s="78" t="s">
        <v>324</v>
      </c>
      <c r="N15" s="80" t="n">
        <f aca="false">IF(COUNT(D15,F15,H15,J15,L15)=0,"",(D15*0.2+F15*0.15+H15*0.15+J15*0.1+L15*0.1)/0.7)</f>
        <v>4</v>
      </c>
      <c r="O15" s="81" t="n">
        <f aca="false">IF(COUNT(D15,F15,H15,J15,L15)=0,"",D15*0.2+F15*0.15+H15*0.15+J15*0.1+L15*0.1)</f>
        <v>2.8</v>
      </c>
      <c r="P15" s="78" t="n">
        <v>3</v>
      </c>
      <c r="Q15" s="78" t="s">
        <v>323</v>
      </c>
      <c r="R15" s="78" t="n">
        <v>2</v>
      </c>
      <c r="S15" s="78" t="s">
        <v>323</v>
      </c>
      <c r="T15" s="78" t="n">
        <v>4</v>
      </c>
      <c r="U15" s="78" t="s">
        <v>324</v>
      </c>
      <c r="V15" s="78" t="n">
        <v>1</v>
      </c>
      <c r="W15" s="78" t="s">
        <v>324</v>
      </c>
      <c r="X15" s="81" t="n">
        <f aca="false">IF(COUNT(P15,R15,T15,V15)=0,"",P15*0.08+R15*0.06+T15*0.03+V15*0.08)</f>
        <v>0.56</v>
      </c>
      <c r="Y15" s="78" t="n">
        <v>4</v>
      </c>
      <c r="Z15" s="78" t="s">
        <v>323</v>
      </c>
      <c r="AA15" s="78" t="n">
        <v>3</v>
      </c>
      <c r="AB15" s="78" t="s">
        <v>323</v>
      </c>
      <c r="AC15" s="78" t="n">
        <v>2</v>
      </c>
      <c r="AD15" s="78" t="s">
        <v>323</v>
      </c>
      <c r="AE15" s="81" t="n">
        <f aca="false">IF(COUNT(Y15,AA15,AC15)=0,"",Y15*0.02+AA15*0.02+AC15*0.01)</f>
        <v>0.16</v>
      </c>
      <c r="AF15" s="67" t="n">
        <f aca="false">IF(OR(O15="",X15="",AE15=""),"",(O15+X15+AE15)*20)</f>
        <v>70.4</v>
      </c>
      <c r="AG15" s="63" t="str">
        <f aca="false">IF(AF15="","",IF(AF15&gt;=80,"STRONG BUY",IF(AF15&gt;=65,"BUY",IF(AF15&gt;=50,"WATCH LIST",IF(AF15&gt;=35,"AVOID","PASS")))))</f>
        <v>BUY</v>
      </c>
      <c r="AH15" s="63" t="str">
        <f aca="false">IF(N15="","",IF(N15&lt;3,"FAIL","OK"))</f>
        <v>OK</v>
      </c>
      <c r="AI15" s="63" t="str">
        <f aca="false">IF(COUNT(D15:L15)=0,"",IF(COUNTIF(D15:L15,1)&gt;0,"REVIEW","OK"))</f>
        <v>OK</v>
      </c>
      <c r="AJ15" s="63" t="str">
        <f aca="false">IF(COUNT(D15:L15)=0,"",IF(COUNTIF(D15:L15,"&lt;=2")&gt;=2,"AVOID","OK"))</f>
        <v>OK</v>
      </c>
      <c r="AK15" s="63" t="str">
        <f aca="false">IF(COUNTA(E15:M15)=0,"",IF(COUNTIF(E15:M15,"L")&gt;=2,"CAP AT BUY","OK"))</f>
        <v>OK</v>
      </c>
      <c r="AL15" s="82" t="s">
        <v>326</v>
      </c>
      <c r="AM15" s="78" t="s">
        <v>328</v>
      </c>
      <c r="AN15" s="78"/>
      <c r="AO15" s="63"/>
      <c r="AP15" s="78" t="str">
        <f aca="false">IF(OR(AN15="",AO15=""),"",IF(AN15&gt;AO15,"OK","LOW CONF"))</f>
        <v/>
      </c>
      <c r="AQ15" s="78"/>
      <c r="AR15" s="63"/>
      <c r="AS15" s="83" t="str">
        <f aca="false">IF(OR(AQ15="",AR15=""),"",IF(AQ15&lt;AR15,"Decreased",IF(AQ15&gt;AR15,"Increased","Flat")))</f>
        <v/>
      </c>
    </row>
    <row r="16" customFormat="false" ht="15" hidden="false" customHeight="true" outlineLevel="0" collapsed="false">
      <c r="A16" s="34" t="s">
        <v>107</v>
      </c>
      <c r="B16" s="78" t="s">
        <v>108</v>
      </c>
      <c r="C16" s="79" t="n">
        <v>46240</v>
      </c>
      <c r="D16" s="78" t="n">
        <v>2</v>
      </c>
      <c r="E16" s="78" t="s">
        <v>323</v>
      </c>
      <c r="F16" s="78" t="n">
        <v>3</v>
      </c>
      <c r="G16" s="78" t="s">
        <v>323</v>
      </c>
      <c r="H16" s="78" t="n">
        <v>5</v>
      </c>
      <c r="I16" s="78" t="s">
        <v>324</v>
      </c>
      <c r="J16" s="78" t="n">
        <v>3</v>
      </c>
      <c r="K16" s="78" t="s">
        <v>323</v>
      </c>
      <c r="L16" s="78" t="n">
        <v>5</v>
      </c>
      <c r="M16" s="78" t="s">
        <v>324</v>
      </c>
      <c r="N16" s="80" t="n">
        <f aca="false">IF(COUNT(D16,F16,H16,J16,L16)=0,"",(D16*0.2+F16*0.15+H16*0.15+J16*0.1+L16*0.1)/0.7)</f>
        <v>3.42857142857143</v>
      </c>
      <c r="O16" s="81" t="n">
        <f aca="false">IF(COUNT(D16,F16,H16,J16,L16)=0,"",D16*0.2+F16*0.15+H16*0.15+J16*0.1+L16*0.1)</f>
        <v>2.4</v>
      </c>
      <c r="P16" s="78" t="n">
        <v>4</v>
      </c>
      <c r="Q16" s="78" t="s">
        <v>324</v>
      </c>
      <c r="R16" s="78" t="n">
        <v>5</v>
      </c>
      <c r="S16" s="78" t="s">
        <v>324</v>
      </c>
      <c r="T16" s="78" t="n">
        <v>3</v>
      </c>
      <c r="U16" s="78" t="s">
        <v>323</v>
      </c>
      <c r="V16" s="78" t="n">
        <v>2</v>
      </c>
      <c r="W16" s="78" t="s">
        <v>323</v>
      </c>
      <c r="X16" s="81" t="n">
        <f aca="false">IF(COUNT(P16,R16,T16,V16)=0,"",P16*0.08+R16*0.06+T16*0.03+V16*0.08)</f>
        <v>0.87</v>
      </c>
      <c r="Y16" s="78" t="n">
        <v>2</v>
      </c>
      <c r="Z16" s="78" t="s">
        <v>323</v>
      </c>
      <c r="AA16" s="78" t="n">
        <v>5</v>
      </c>
      <c r="AB16" s="78" t="s">
        <v>324</v>
      </c>
      <c r="AC16" s="78" t="n">
        <v>2</v>
      </c>
      <c r="AD16" s="78" t="s">
        <v>325</v>
      </c>
      <c r="AE16" s="81" t="n">
        <f aca="false">IF(COUNT(Y16,AA16,AC16)=0,"",Y16*0.02+AA16*0.02+AC16*0.01)</f>
        <v>0.16</v>
      </c>
      <c r="AF16" s="67" t="n">
        <f aca="false">IF(OR(O16="",X16="",AE16=""),"",(O16+X16+AE16)*20)</f>
        <v>68.6</v>
      </c>
      <c r="AG16" s="63" t="str">
        <f aca="false">IF(AF16="","",IF(AF16&gt;=80,"STRONG BUY",IF(AF16&gt;=65,"BUY",IF(AF16&gt;=50,"WATCH LIST",IF(AF16&gt;=35,"AVOID","PASS")))))</f>
        <v>BUY</v>
      </c>
      <c r="AH16" s="63" t="str">
        <f aca="false">IF(N16="","",IF(N16&lt;3,"FAIL","OK"))</f>
        <v>OK</v>
      </c>
      <c r="AI16" s="63" t="str">
        <f aca="false">IF(COUNT(D16:L16)=0,"",IF(COUNTIF(D16:L16,1)&gt;0,"REVIEW","OK"))</f>
        <v>OK</v>
      </c>
      <c r="AJ16" s="63" t="str">
        <f aca="false">IF(COUNT(D16:L16)=0,"",IF(COUNTIF(D16:L16,"&lt;=2")&gt;=2,"AVOID","OK"))</f>
        <v>OK</v>
      </c>
      <c r="AK16" s="63" t="str">
        <f aca="false">IF(COUNTA(E16:M16)=0,"",IF(COUNTIF(E16:M16,"L")&gt;=2,"CAP AT BUY","OK"))</f>
        <v>OK</v>
      </c>
      <c r="AL16" s="82" t="s">
        <v>326</v>
      </c>
      <c r="AM16" s="78" t="s">
        <v>341</v>
      </c>
      <c r="AN16" s="78"/>
      <c r="AO16" s="63"/>
      <c r="AP16" s="78" t="str">
        <f aca="false">IF(OR(AN16="",AO16=""),"",IF(AN16&gt;AO16,"OK","LOW CONF"))</f>
        <v/>
      </c>
      <c r="AQ16" s="78"/>
      <c r="AR16" s="63"/>
      <c r="AS16" s="83" t="str">
        <f aca="false">IF(OR(AQ16="",AR16=""),"",IF(AQ16&lt;AR16,"Decreased",IF(AQ16&gt;AR16,"Increased","Flat")))</f>
        <v/>
      </c>
    </row>
    <row r="17" customFormat="false" ht="15" hidden="false" customHeight="true" outlineLevel="0" collapsed="false">
      <c r="A17" s="34" t="s">
        <v>115</v>
      </c>
      <c r="B17" s="78" t="s">
        <v>342</v>
      </c>
      <c r="C17" s="79" t="n">
        <v>46240</v>
      </c>
      <c r="D17" s="78" t="n">
        <v>3</v>
      </c>
      <c r="E17" s="78" t="s">
        <v>323</v>
      </c>
      <c r="F17" s="78" t="n">
        <v>5</v>
      </c>
      <c r="G17" s="78" t="s">
        <v>324</v>
      </c>
      <c r="H17" s="78" t="n">
        <v>5</v>
      </c>
      <c r="I17" s="78" t="s">
        <v>324</v>
      </c>
      <c r="J17" s="78" t="n">
        <v>4</v>
      </c>
      <c r="K17" s="78" t="s">
        <v>323</v>
      </c>
      <c r="L17" s="78" t="n">
        <v>3</v>
      </c>
      <c r="M17" s="78" t="s">
        <v>323</v>
      </c>
      <c r="N17" s="80" t="n">
        <f aca="false">IF(COUNT(D17,F17,H17,J17,L17)=0,"",(D17*0.2+F17*0.15+H17*0.15+J17*0.1+L17*0.1)/0.7)</f>
        <v>4</v>
      </c>
      <c r="O17" s="81" t="n">
        <f aca="false">IF(COUNT(D17,F17,H17,J17,L17)=0,"",D17*0.2+F17*0.15+H17*0.15+J17*0.1+L17*0.1)</f>
        <v>2.8</v>
      </c>
      <c r="P17" s="78" t="n">
        <v>4</v>
      </c>
      <c r="Q17" s="78" t="s">
        <v>324</v>
      </c>
      <c r="R17" s="78" t="n">
        <v>5</v>
      </c>
      <c r="S17" s="78" t="s">
        <v>324</v>
      </c>
      <c r="T17" s="78" t="n">
        <v>4</v>
      </c>
      <c r="U17" s="78" t="s">
        <v>323</v>
      </c>
      <c r="V17" s="78" t="n">
        <v>4</v>
      </c>
      <c r="W17" s="78" t="s">
        <v>323</v>
      </c>
      <c r="X17" s="81" t="n">
        <f aca="false">IF(COUNT(P17,R17,T17,V17)=0,"",P17*0.08+R17*0.06+T17*0.03+V17*0.08)</f>
        <v>1.06</v>
      </c>
      <c r="Y17" s="78" t="n">
        <v>3</v>
      </c>
      <c r="Z17" s="78" t="s">
        <v>323</v>
      </c>
      <c r="AA17" s="78" t="n">
        <v>5</v>
      </c>
      <c r="AB17" s="78" t="s">
        <v>324</v>
      </c>
      <c r="AC17" s="78" t="n">
        <v>3</v>
      </c>
      <c r="AD17" s="78" t="s">
        <v>325</v>
      </c>
      <c r="AE17" s="81" t="n">
        <f aca="false">IF(COUNT(Y17,AA17,AC17)=0,"",Y17*0.02+AA17*0.02+AC17*0.01)</f>
        <v>0.19</v>
      </c>
      <c r="AF17" s="67" t="n">
        <f aca="false">IF(OR(O17="",X17="",AE17=""),"",(O17+X17+AE17)*20)</f>
        <v>81</v>
      </c>
      <c r="AG17" s="63" t="str">
        <f aca="false">IF(AF17="","",IF(AF17&gt;=80,"STRONG BUY",IF(AF17&gt;=65,"BUY",IF(AF17&gt;=50,"WATCH LIST",IF(AF17&gt;=35,"AVOID","PASS")))))</f>
        <v>STRONG BUY</v>
      </c>
      <c r="AH17" s="63" t="str">
        <f aca="false">IF(N17="","",IF(N17&lt;3,"FAIL","OK"))</f>
        <v>OK</v>
      </c>
      <c r="AI17" s="63" t="str">
        <f aca="false">IF(COUNT(D17:L17)=0,"",IF(COUNTIF(D17:L17,1)&gt;0,"REVIEW","OK"))</f>
        <v>OK</v>
      </c>
      <c r="AJ17" s="63" t="str">
        <f aca="false">IF(COUNT(D17:L17)=0,"",IF(COUNTIF(D17:L17,"&lt;=2")&gt;=2,"AVOID","OK"))</f>
        <v>OK</v>
      </c>
      <c r="AK17" s="63" t="str">
        <f aca="false">IF(COUNTA(E17:M17)=0,"",IF(COUNTIF(E17:M17,"L")&gt;=2,"CAP AT BUY","OK"))</f>
        <v>OK</v>
      </c>
      <c r="AL17" s="82" t="s">
        <v>326</v>
      </c>
      <c r="AM17" s="78" t="s">
        <v>327</v>
      </c>
      <c r="AN17" s="78"/>
      <c r="AO17" s="63"/>
      <c r="AP17" s="78" t="str">
        <f aca="false">IF(OR(AN17="",AO17=""),"",IF(AN17&gt;AO17,"OK","LOW CONF"))</f>
        <v/>
      </c>
      <c r="AQ17" s="78"/>
      <c r="AR17" s="63"/>
      <c r="AS17" s="83" t="str">
        <f aca="false">IF(OR(AQ17="",AR17=""),"",IF(AQ17&lt;AR17,"Decreased",IF(AQ17&gt;AR17,"Increased","Flat")))</f>
        <v/>
      </c>
    </row>
    <row r="18" customFormat="false" ht="15" hidden="false" customHeight="true" outlineLevel="0" collapsed="false">
      <c r="A18" s="34" t="s">
        <v>117</v>
      </c>
      <c r="B18" s="78" t="s">
        <v>118</v>
      </c>
      <c r="C18" s="79" t="n">
        <v>46240</v>
      </c>
      <c r="D18" s="78" t="n">
        <v>4</v>
      </c>
      <c r="E18" s="78" t="s">
        <v>324</v>
      </c>
      <c r="F18" s="78" t="n">
        <v>5</v>
      </c>
      <c r="G18" s="78" t="s">
        <v>324</v>
      </c>
      <c r="H18" s="78" t="n">
        <v>4</v>
      </c>
      <c r="I18" s="78" t="s">
        <v>323</v>
      </c>
      <c r="J18" s="78" t="n">
        <v>4</v>
      </c>
      <c r="K18" s="78" t="s">
        <v>323</v>
      </c>
      <c r="L18" s="78" t="n">
        <v>5</v>
      </c>
      <c r="M18" s="78" t="s">
        <v>324</v>
      </c>
      <c r="N18" s="80" t="n">
        <f aca="false">IF(COUNT(D18,F18,H18,J18,L18)=0,"",(D18*0.2+F18*0.15+H18*0.15+J18*0.1+L18*0.1)/0.7)</f>
        <v>4.35714285714286</v>
      </c>
      <c r="O18" s="81" t="n">
        <f aca="false">IF(COUNT(D18,F18,H18,J18,L18)=0,"",D18*0.2+F18*0.15+H18*0.15+J18*0.1+L18*0.1)</f>
        <v>3.05</v>
      </c>
      <c r="P18" s="78" t="n">
        <v>4</v>
      </c>
      <c r="Q18" s="78" t="s">
        <v>323</v>
      </c>
      <c r="R18" s="78" t="n">
        <v>5</v>
      </c>
      <c r="S18" s="78" t="s">
        <v>324</v>
      </c>
      <c r="T18" s="78" t="n">
        <v>4</v>
      </c>
      <c r="U18" s="78" t="s">
        <v>323</v>
      </c>
      <c r="V18" s="78" t="n">
        <v>2</v>
      </c>
      <c r="W18" s="78" t="s">
        <v>323</v>
      </c>
      <c r="X18" s="81" t="n">
        <f aca="false">IF(COUNT(P18,R18,T18,V18)=0,"",P18*0.08+R18*0.06+T18*0.03+V18*0.08)</f>
        <v>0.9</v>
      </c>
      <c r="Y18" s="78" t="n">
        <v>4</v>
      </c>
      <c r="Z18" s="78" t="s">
        <v>323</v>
      </c>
      <c r="AA18" s="78" t="n">
        <v>4</v>
      </c>
      <c r="AB18" s="78" t="s">
        <v>323</v>
      </c>
      <c r="AC18" s="78" t="n">
        <v>3</v>
      </c>
      <c r="AD18" s="78" t="s">
        <v>325</v>
      </c>
      <c r="AE18" s="81" t="n">
        <f aca="false">IF(COUNT(Y18,AA18,AC18)=0,"",Y18*0.02+AA18*0.02+AC18*0.01)</f>
        <v>0.19</v>
      </c>
      <c r="AF18" s="67" t="n">
        <f aca="false">IF(OR(O18="",X18="",AE18=""),"",(O18+X18+AE18)*20)</f>
        <v>82.8</v>
      </c>
      <c r="AG18" s="63" t="str">
        <f aca="false">IF(AF18="","",IF(AF18&gt;=80,"STRONG BUY",IF(AF18&gt;=65,"BUY",IF(AF18&gt;=50,"WATCH LIST",IF(AF18&gt;=35,"AVOID","PASS")))))</f>
        <v>STRONG BUY</v>
      </c>
      <c r="AH18" s="63" t="str">
        <f aca="false">IF(N18="","",IF(N18&lt;3,"FAIL","OK"))</f>
        <v>OK</v>
      </c>
      <c r="AI18" s="63" t="str">
        <f aca="false">IF(COUNT(D18:L18)=0,"",IF(COUNTIF(D18:L18,1)&gt;0,"REVIEW","OK"))</f>
        <v>OK</v>
      </c>
      <c r="AJ18" s="63" t="str">
        <f aca="false">IF(COUNT(D18:L18)=0,"",IF(COUNTIF(D18:L18,"&lt;=2")&gt;=2,"AVOID","OK"))</f>
        <v>OK</v>
      </c>
      <c r="AK18" s="63" t="str">
        <f aca="false">IF(COUNTA(E18:M18)=0,"",IF(COUNTIF(E18:M18,"L")&gt;=2,"CAP AT BUY","OK"))</f>
        <v>OK</v>
      </c>
      <c r="AL18" s="82" t="s">
        <v>343</v>
      </c>
      <c r="AM18" s="78" t="s">
        <v>344</v>
      </c>
      <c r="AN18" s="78"/>
      <c r="AO18" s="63"/>
      <c r="AP18" s="78" t="str">
        <f aca="false">IF(OR(AN18="",AO18=""),"",IF(AN18&gt;AO18,"OK","LOW CONF"))</f>
        <v/>
      </c>
      <c r="AQ18" s="78"/>
      <c r="AR18" s="63"/>
      <c r="AS18" s="83" t="str">
        <f aca="false">IF(OR(AQ18="",AR18=""),"",IF(AQ18&lt;AR18,"Decreased",IF(AQ18&gt;AR18,"Increased","Flat")))</f>
        <v/>
      </c>
    </row>
    <row r="19" customFormat="false" ht="15" hidden="false" customHeight="true" outlineLevel="0" collapsed="false">
      <c r="A19" s="34" t="s">
        <v>228</v>
      </c>
      <c r="B19" s="78" t="s">
        <v>345</v>
      </c>
      <c r="C19" s="79" t="n">
        <v>46245</v>
      </c>
      <c r="D19" s="78" t="n">
        <v>3</v>
      </c>
      <c r="E19" s="78" t="s">
        <v>323</v>
      </c>
      <c r="F19" s="78" t="n">
        <v>5</v>
      </c>
      <c r="G19" s="78" t="s">
        <v>324</v>
      </c>
      <c r="H19" s="78" t="n">
        <v>5</v>
      </c>
      <c r="I19" s="78" t="s">
        <v>324</v>
      </c>
      <c r="J19" s="78" t="n">
        <v>4</v>
      </c>
      <c r="K19" s="78" t="s">
        <v>323</v>
      </c>
      <c r="L19" s="78" t="n">
        <v>4</v>
      </c>
      <c r="M19" s="78" t="s">
        <v>324</v>
      </c>
      <c r="N19" s="80" t="n">
        <f aca="false">IF(COUNT(D19,F19,H19,J19,L19)=0,"",(D19*0.2+F19*0.15+H19*0.15+J19*0.1+L19*0.1)/0.7)</f>
        <v>4.14285714285714</v>
      </c>
      <c r="O19" s="81" t="n">
        <f aca="false">IF(COUNT(D19,F19,H19,J19,L19)=0,"",D19*0.2+F19*0.15+H19*0.15+J19*0.1+L19*0.1)</f>
        <v>2.9</v>
      </c>
      <c r="P19" s="78" t="n">
        <v>3</v>
      </c>
      <c r="Q19" s="78" t="s">
        <v>325</v>
      </c>
      <c r="R19" s="78" t="n">
        <v>5</v>
      </c>
      <c r="S19" s="78" t="s">
        <v>324</v>
      </c>
      <c r="T19" s="78" t="n">
        <v>5</v>
      </c>
      <c r="U19" s="78" t="s">
        <v>324</v>
      </c>
      <c r="V19" s="78" t="n">
        <v>1</v>
      </c>
      <c r="W19" s="78" t="s">
        <v>324</v>
      </c>
      <c r="X19" s="81" t="n">
        <f aca="false">IF(COUNT(P19,R19,T19,V19)=0,"",P19*0.08+R19*0.06+T19*0.03+V19*0.08)</f>
        <v>0.77</v>
      </c>
      <c r="Y19" s="78" t="n">
        <v>4</v>
      </c>
      <c r="Z19" s="78" t="s">
        <v>323</v>
      </c>
      <c r="AA19" s="78" t="n">
        <v>4</v>
      </c>
      <c r="AB19" s="78" t="s">
        <v>323</v>
      </c>
      <c r="AC19" s="78" t="n">
        <v>4</v>
      </c>
      <c r="AD19" s="78" t="s">
        <v>323</v>
      </c>
      <c r="AE19" s="81" t="n">
        <f aca="false">IF(COUNT(Y19,AA19,AC19)=0,"",Y19*0.02+AA19*0.02+AC19*0.01)</f>
        <v>0.2</v>
      </c>
      <c r="AF19" s="67" t="n">
        <f aca="false">IF(OR(O19="",X19="",AE19=""),"",(O19+X19+AE19)*20)</f>
        <v>77.4</v>
      </c>
      <c r="AG19" s="63" t="str">
        <f aca="false">IF(AF19="","",IF(AF19&gt;=80,"STRONG BUY",IF(AF19&gt;=65,"BUY",IF(AF19&gt;=50,"WATCH LIST",IF(AF19&gt;=35,"AVOID","PASS")))))</f>
        <v>BUY</v>
      </c>
      <c r="AH19" s="63" t="str">
        <f aca="false">IF(N19="","",IF(N19&lt;3,"FAIL","OK"))</f>
        <v>OK</v>
      </c>
      <c r="AI19" s="63" t="str">
        <f aca="false">IF(COUNT(D19:L19)=0,"",IF(COUNTIF(D19:L19,1)&gt;0,"REVIEW","OK"))</f>
        <v>OK</v>
      </c>
      <c r="AJ19" s="63" t="str">
        <f aca="false">IF(COUNT(D19:L19)=0,"",IF(COUNTIF(D19:L19,"&lt;=2")&gt;=2,"AVOID","OK"))</f>
        <v>OK</v>
      </c>
      <c r="AK19" s="63" t="str">
        <f aca="false">IF(COUNTA(E19:M19)=0,"",IF(COUNTIF(E19:M19,"L")&gt;=2,"CAP AT BUY","OK"))</f>
        <v>OK</v>
      </c>
      <c r="AL19" s="82" t="s">
        <v>334</v>
      </c>
      <c r="AM19" s="78" t="s">
        <v>346</v>
      </c>
      <c r="AN19" s="78"/>
      <c r="AO19" s="63"/>
      <c r="AP19" s="78" t="str">
        <f aca="false">IF(OR(AN19="",AO19=""),"",IF(AN19&gt;AO19,"OK","LOW CONF"))</f>
        <v/>
      </c>
      <c r="AQ19" s="78"/>
      <c r="AR19" s="63"/>
      <c r="AS19" s="83" t="str">
        <f aca="false">IF(OR(AQ19="",AR19=""),"",IF(AQ19&lt;AR19,"Decreased",IF(AQ19&gt;AR19,"Increased","Flat")))</f>
        <v/>
      </c>
    </row>
    <row r="20" customFormat="false" ht="15" hidden="false" customHeight="true" outlineLevel="0" collapsed="false">
      <c r="A20" s="34" t="s">
        <v>119</v>
      </c>
      <c r="B20" s="78" t="s">
        <v>120</v>
      </c>
      <c r="C20" s="79" t="n">
        <v>46245</v>
      </c>
      <c r="D20" s="78" t="n">
        <v>4</v>
      </c>
      <c r="E20" s="78" t="s">
        <v>324</v>
      </c>
      <c r="F20" s="78" t="n">
        <v>5</v>
      </c>
      <c r="G20" s="78" t="s">
        <v>324</v>
      </c>
      <c r="H20" s="78" t="n">
        <v>5</v>
      </c>
      <c r="I20" s="78" t="s">
        <v>324</v>
      </c>
      <c r="J20" s="78" t="n">
        <v>4</v>
      </c>
      <c r="K20" s="78" t="s">
        <v>323</v>
      </c>
      <c r="L20" s="78" t="n">
        <v>5</v>
      </c>
      <c r="M20" s="78" t="s">
        <v>324</v>
      </c>
      <c r="N20" s="80" t="n">
        <f aca="false">IF(COUNT(D20,F20,H20,J20,L20)=0,"",(D20*0.2+F20*0.15+H20*0.15+J20*0.1+L20*0.1)/0.7)</f>
        <v>4.57142857142857</v>
      </c>
      <c r="O20" s="81" t="n">
        <f aca="false">IF(COUNT(D20,F20,H20,J20,L20)=0,"",D20*0.2+F20*0.15+H20*0.15+J20*0.1+L20*0.1)</f>
        <v>3.2</v>
      </c>
      <c r="P20" s="78" t="n">
        <v>4</v>
      </c>
      <c r="Q20" s="78" t="s">
        <v>323</v>
      </c>
      <c r="R20" s="78" t="n">
        <v>5</v>
      </c>
      <c r="S20" s="78" t="s">
        <v>324</v>
      </c>
      <c r="T20" s="78" t="n">
        <v>3</v>
      </c>
      <c r="U20" s="78" t="s">
        <v>323</v>
      </c>
      <c r="V20" s="78" t="n">
        <v>3</v>
      </c>
      <c r="W20" s="78" t="s">
        <v>323</v>
      </c>
      <c r="X20" s="81" t="n">
        <f aca="false">IF(COUNT(P20,R20,T20,V20)=0,"",P20*0.08+R20*0.06+T20*0.03+V20*0.08)</f>
        <v>0.95</v>
      </c>
      <c r="Y20" s="78" t="n">
        <v>3</v>
      </c>
      <c r="Z20" s="78" t="s">
        <v>323</v>
      </c>
      <c r="AA20" s="78" t="n">
        <v>4</v>
      </c>
      <c r="AB20" s="78" t="s">
        <v>323</v>
      </c>
      <c r="AC20" s="78" t="n">
        <v>3</v>
      </c>
      <c r="AD20" s="78" t="s">
        <v>325</v>
      </c>
      <c r="AE20" s="81" t="n">
        <f aca="false">IF(COUNT(Y20,AA20,AC20)=0,"",Y20*0.02+AA20*0.02+AC20*0.01)</f>
        <v>0.17</v>
      </c>
      <c r="AF20" s="67" t="n">
        <f aca="false">IF(OR(O20="",X20="",AE20=""),"",(O20+X20+AE20)*20)</f>
        <v>86.4</v>
      </c>
      <c r="AG20" s="63" t="str">
        <f aca="false">IF(AF20="","",IF(AF20&gt;=80,"STRONG BUY",IF(AF20&gt;=65,"BUY",IF(AF20&gt;=50,"WATCH LIST",IF(AF20&gt;=35,"AVOID","PASS")))))</f>
        <v>STRONG BUY</v>
      </c>
      <c r="AH20" s="63" t="str">
        <f aca="false">IF(N20="","",IF(N20&lt;3,"FAIL","OK"))</f>
        <v>OK</v>
      </c>
      <c r="AI20" s="63" t="str">
        <f aca="false">IF(COUNT(D20:L20)=0,"",IF(COUNTIF(D20:L20,1)&gt;0,"REVIEW","OK"))</f>
        <v>OK</v>
      </c>
      <c r="AJ20" s="63" t="str">
        <f aca="false">IF(COUNT(D20:L20)=0,"",IF(COUNTIF(D20:L20,"&lt;=2")&gt;=2,"AVOID","OK"))</f>
        <v>OK</v>
      </c>
      <c r="AK20" s="63" t="str">
        <f aca="false">IF(COUNTA(E20:M20)=0,"",IF(COUNTIF(E20:M20,"L")&gt;=2,"CAP AT BUY","OK"))</f>
        <v>OK</v>
      </c>
      <c r="AL20" s="82" t="s">
        <v>347</v>
      </c>
      <c r="AM20" s="78" t="s">
        <v>348</v>
      </c>
      <c r="AN20" s="78"/>
      <c r="AO20" s="63"/>
      <c r="AP20" s="78" t="str">
        <f aca="false">IF(OR(AN20="",AO20=""),"",IF(AN20&gt;AO20,"OK","LOW CONF"))</f>
        <v/>
      </c>
      <c r="AQ20" s="78"/>
      <c r="AR20" s="63"/>
      <c r="AS20" s="83" t="str">
        <f aca="false">IF(OR(AQ20="",AR20=""),"",IF(AQ20&lt;AR20,"Decreased",IF(AQ20&gt;AR20,"Increased","Flat")))</f>
        <v/>
      </c>
    </row>
    <row r="21" customFormat="false" ht="15" hidden="true" customHeight="true" outlineLevel="1" collapsed="false">
      <c r="A21" s="34" t="s">
        <v>250</v>
      </c>
      <c r="B21" s="78" t="s">
        <v>349</v>
      </c>
      <c r="C21" s="79" t="n">
        <v>46245</v>
      </c>
      <c r="D21" s="78" t="n">
        <v>1</v>
      </c>
      <c r="E21" s="78" t="s">
        <v>324</v>
      </c>
      <c r="F21" s="78" t="n">
        <v>3</v>
      </c>
      <c r="G21" s="78" t="s">
        <v>323</v>
      </c>
      <c r="H21" s="78" t="n">
        <v>4</v>
      </c>
      <c r="I21" s="78" t="s">
        <v>323</v>
      </c>
      <c r="J21" s="78" t="n">
        <v>4</v>
      </c>
      <c r="K21" s="78" t="s">
        <v>323</v>
      </c>
      <c r="L21" s="78" t="n">
        <v>1</v>
      </c>
      <c r="M21" s="78" t="s">
        <v>324</v>
      </c>
      <c r="N21" s="80" t="n">
        <f aca="false">IF(COUNT(D21,F21,H21,J21,L21)=0,"",(D21*0.2+F21*0.15+H21*0.15+J21*0.1+L21*0.1)/0.7)</f>
        <v>2.5</v>
      </c>
      <c r="O21" s="81" t="n">
        <f aca="false">IF(COUNT(D21,F21,H21,J21,L21)=0,"",D21*0.2+F21*0.15+H21*0.15+J21*0.1+L21*0.1)</f>
        <v>1.75</v>
      </c>
      <c r="P21" s="78"/>
      <c r="Q21" s="78"/>
      <c r="R21" s="78"/>
      <c r="S21" s="78"/>
      <c r="T21" s="78"/>
      <c r="U21" s="78"/>
      <c r="V21" s="78"/>
      <c r="W21" s="78"/>
      <c r="X21" s="81" t="str">
        <f aca="false">IF(COUNT(P21,R21,T21,V21)=0,"",P21*0.08+R21*0.06+T21*0.03+V21*0.08)</f>
        <v/>
      </c>
      <c r="Y21" s="78"/>
      <c r="Z21" s="78"/>
      <c r="AA21" s="78"/>
      <c r="AB21" s="78"/>
      <c r="AC21" s="78"/>
      <c r="AD21" s="78"/>
      <c r="AE21" s="81" t="str">
        <f aca="false">IF(COUNT(Y21,AA21,AC21)=0,"",Y21*0.02+AA21*0.02+AC21*0.01)</f>
        <v/>
      </c>
      <c r="AF21" s="67" t="str">
        <f aca="false">IF(OR(O21="",X21="",AE21=""),"",(O21+X21+AE21)*20)</f>
        <v/>
      </c>
      <c r="AG21" s="63" t="str">
        <f aca="false">IF(AF21="","",IF(AF21&gt;=80,"STRONG BUY",IF(AF21&gt;=65,"BUY",IF(AF21&gt;=50,"WATCH LIST",IF(AF21&gt;=35,"AVOID","PASS")))))</f>
        <v/>
      </c>
      <c r="AH21" s="63" t="str">
        <f aca="false">IF(N21="","",IF(N21&lt;3,"FAIL","OK"))</f>
        <v>FAIL</v>
      </c>
      <c r="AI21" s="63" t="str">
        <f aca="false">IF(COUNT(D21:L21)=0,"",IF(COUNTIF(D21:L21,1)&gt;0,"REVIEW","OK"))</f>
        <v>REVIEW</v>
      </c>
      <c r="AJ21" s="63" t="str">
        <f aca="false">IF(COUNT(D21:L21)=0,"",IF(COUNTIF(D21:L21,"&lt;=2")&gt;=2,"AVOID","OK"))</f>
        <v>AVOID</v>
      </c>
      <c r="AK21" s="63" t="str">
        <f aca="false">IF(COUNTA(E21:M21)=0,"",IF(COUNTIF(E21:M21,"L")&gt;=2,"CAP AT BUY","OK"))</f>
        <v>OK</v>
      </c>
      <c r="AL21" s="82" t="s">
        <v>350</v>
      </c>
      <c r="AM21" s="78" t="s">
        <v>351</v>
      </c>
      <c r="AN21" s="78"/>
      <c r="AO21" s="63"/>
      <c r="AP21" s="78" t="str">
        <f aca="false">IF(OR(AN21="",AO21=""),"",IF(AN21&gt;AO21,"OK","LOW CONF"))</f>
        <v/>
      </c>
      <c r="AQ21" s="78"/>
      <c r="AR21" s="63"/>
      <c r="AS21" s="83" t="str">
        <f aca="false">IF(OR(AQ21="",AR21=""),"",IF(AQ21&lt;AR21,"Decreased",IF(AQ21&gt;AR21,"Increased","Flat")))</f>
        <v/>
      </c>
    </row>
    <row r="22" customFormat="false" ht="15" hidden="true" customHeight="true" outlineLevel="1" collapsed="false">
      <c r="A22" s="34" t="s">
        <v>229</v>
      </c>
      <c r="B22" s="78" t="s">
        <v>352</v>
      </c>
      <c r="C22" s="79" t="n">
        <v>46245</v>
      </c>
      <c r="D22" s="78" t="n">
        <v>1</v>
      </c>
      <c r="E22" s="78" t="s">
        <v>324</v>
      </c>
      <c r="F22" s="78" t="n">
        <v>1</v>
      </c>
      <c r="G22" s="78" t="s">
        <v>324</v>
      </c>
      <c r="H22" s="78" t="n">
        <v>2</v>
      </c>
      <c r="I22" s="78" t="s">
        <v>323</v>
      </c>
      <c r="J22" s="78" t="n">
        <v>1</v>
      </c>
      <c r="K22" s="78" t="s">
        <v>324</v>
      </c>
      <c r="L22" s="78" t="n">
        <v>1</v>
      </c>
      <c r="M22" s="78" t="s">
        <v>324</v>
      </c>
      <c r="N22" s="80" t="n">
        <f aca="false">IF(COUNT(D22,F22,H22,J22,L22)=0,"",(D22*0.2+F22*0.15+H22*0.15+J22*0.1+L22*0.1)/0.7)</f>
        <v>1.21428571428571</v>
      </c>
      <c r="O22" s="81" t="n">
        <f aca="false">IF(COUNT(D22,F22,H22,J22,L22)=0,"",D22*0.2+F22*0.15+H22*0.15+J22*0.1+L22*0.1)</f>
        <v>0.85</v>
      </c>
      <c r="P22" s="78"/>
      <c r="Q22" s="78"/>
      <c r="R22" s="78"/>
      <c r="S22" s="78"/>
      <c r="T22" s="78"/>
      <c r="U22" s="78"/>
      <c r="V22" s="78"/>
      <c r="W22" s="78"/>
      <c r="X22" s="81" t="str">
        <f aca="false">IF(COUNT(P22,R22,T22,V22)=0,"",P22*0.08+R22*0.06+T22*0.03+V22*0.08)</f>
        <v/>
      </c>
      <c r="Y22" s="78"/>
      <c r="Z22" s="78"/>
      <c r="AA22" s="78"/>
      <c r="AB22" s="78"/>
      <c r="AC22" s="78"/>
      <c r="AD22" s="78"/>
      <c r="AE22" s="81" t="str">
        <f aca="false">IF(COUNT(Y22,AA22,AC22)=0,"",Y22*0.02+AA22*0.02+AC22*0.01)</f>
        <v/>
      </c>
      <c r="AF22" s="67" t="str">
        <f aca="false">IF(OR(O22="",X22="",AE22=""),"",(O22+X22+AE22)*20)</f>
        <v/>
      </c>
      <c r="AG22" s="63" t="str">
        <f aca="false">IF(AF22="","",IF(AF22&gt;=80,"STRONG BUY",IF(AF22&gt;=65,"BUY",IF(AF22&gt;=50,"WATCH LIST",IF(AF22&gt;=35,"AVOID","PASS")))))</f>
        <v/>
      </c>
      <c r="AH22" s="63" t="str">
        <f aca="false">IF(N22="","",IF(N22&lt;3,"FAIL","OK"))</f>
        <v>FAIL</v>
      </c>
      <c r="AI22" s="63" t="str">
        <f aca="false">IF(COUNT(D22:L22)=0,"",IF(COUNTIF(D22:L22,1)&gt;0,"REVIEW","OK"))</f>
        <v>REVIEW</v>
      </c>
      <c r="AJ22" s="63" t="str">
        <f aca="false">IF(COUNT(D22:L22)=0,"",IF(COUNTIF(D22:L22,"&lt;=2")&gt;=2,"AVOID","OK"))</f>
        <v>AVOID</v>
      </c>
      <c r="AK22" s="63" t="str">
        <f aca="false">IF(COUNTA(E22:M22)=0,"",IF(COUNTIF(E22:M22,"L")&gt;=2,"CAP AT BUY","OK"))</f>
        <v>OK</v>
      </c>
      <c r="AL22" s="82" t="s">
        <v>353</v>
      </c>
      <c r="AM22" s="78" t="s">
        <v>354</v>
      </c>
      <c r="AN22" s="78"/>
      <c r="AO22" s="63"/>
      <c r="AP22" s="78" t="str">
        <f aca="false">IF(OR(AN22="",AO22=""),"",IF(AN22&gt;AO22,"OK","LOW CONF"))</f>
        <v/>
      </c>
      <c r="AQ22" s="78"/>
      <c r="AR22" s="63"/>
      <c r="AS22" s="83" t="str">
        <f aca="false">IF(OR(AQ22="",AR22=""),"",IF(AQ22&lt;AR22,"Decreased",IF(AQ22&gt;AR22,"Increased","Flat")))</f>
        <v/>
      </c>
    </row>
    <row r="23" customFormat="false" ht="15" hidden="false" customHeight="true" outlineLevel="0" collapsed="false">
      <c r="A23" s="34" t="s">
        <v>236</v>
      </c>
      <c r="B23" s="78" t="s">
        <v>355</v>
      </c>
      <c r="C23" s="79" t="n">
        <v>46245</v>
      </c>
      <c r="D23" s="78" t="n">
        <v>4</v>
      </c>
      <c r="E23" s="78" t="s">
        <v>323</v>
      </c>
      <c r="F23" s="78" t="n">
        <v>4</v>
      </c>
      <c r="G23" s="78" t="s">
        <v>323</v>
      </c>
      <c r="H23" s="78" t="n">
        <v>4</v>
      </c>
      <c r="I23" s="78" t="s">
        <v>323</v>
      </c>
      <c r="J23" s="78" t="n">
        <v>4</v>
      </c>
      <c r="K23" s="78" t="s">
        <v>323</v>
      </c>
      <c r="L23" s="78" t="n">
        <v>4</v>
      </c>
      <c r="M23" s="78" t="s">
        <v>323</v>
      </c>
      <c r="N23" s="80" t="n">
        <f aca="false">IF(COUNT(D23,F23,H23,J23,L23)=0,"",(D23*0.2+F23*0.15+H23*0.15+J23*0.1+L23*0.1)/0.7)</f>
        <v>4</v>
      </c>
      <c r="O23" s="81" t="n">
        <f aca="false">IF(COUNT(D23,F23,H23,J23,L23)=0,"",D23*0.2+F23*0.15+H23*0.15+J23*0.1+L23*0.1)</f>
        <v>2.8</v>
      </c>
      <c r="P23" s="78"/>
      <c r="Q23" s="78"/>
      <c r="R23" s="78"/>
      <c r="S23" s="78"/>
      <c r="T23" s="78"/>
      <c r="U23" s="78"/>
      <c r="V23" s="78"/>
      <c r="W23" s="78"/>
      <c r="X23" s="81" t="str">
        <f aca="false">IF(COUNT(P23,R23,T23,V23)=0,"",P23*0.08+R23*0.06+T23*0.03+V23*0.08)</f>
        <v/>
      </c>
      <c r="Y23" s="78"/>
      <c r="Z23" s="78"/>
      <c r="AA23" s="78"/>
      <c r="AB23" s="78"/>
      <c r="AC23" s="78"/>
      <c r="AD23" s="78"/>
      <c r="AE23" s="81" t="str">
        <f aca="false">IF(COUNT(Y23,AA23,AC23)=0,"",Y23*0.02+AA23*0.02+AC23*0.01)</f>
        <v/>
      </c>
      <c r="AF23" s="67" t="str">
        <f aca="false">IF(OR(O23="",X23="",AE23=""),"",(O23+X23+AE23)*20)</f>
        <v/>
      </c>
      <c r="AG23" s="63" t="str">
        <f aca="false">IF(AF23="","",IF(AF23&gt;=80,"STRONG BUY",IF(AF23&gt;=65,"BUY",IF(AF23&gt;=50,"WATCH LIST",IF(AF23&gt;=35,"AVOID","PASS")))))</f>
        <v/>
      </c>
      <c r="AH23" s="63" t="str">
        <f aca="false">IF(N23="","",IF(N23&lt;3,"FAIL","OK"))</f>
        <v>OK</v>
      </c>
      <c r="AI23" s="63" t="str">
        <f aca="false">IF(COUNT(D23:L23)=0,"",IF(COUNTIF(D23:L23,1)&gt;0,"REVIEW","OK"))</f>
        <v>OK</v>
      </c>
      <c r="AJ23" s="63" t="str">
        <f aca="false">IF(COUNT(D23:L23)=0,"",IF(COUNTIF(D23:L23,"&lt;=2")&gt;=2,"AVOID","OK"))</f>
        <v>OK</v>
      </c>
      <c r="AK23" s="63" t="str">
        <f aca="false">IF(COUNTA(E23:M23)=0,"",IF(COUNTIF(E23:M23,"L")&gt;=2,"CAP AT BUY","OK"))</f>
        <v>OK</v>
      </c>
      <c r="AL23" s="82" t="s">
        <v>353</v>
      </c>
      <c r="AM23" s="78" t="s">
        <v>356</v>
      </c>
      <c r="AN23" s="78"/>
      <c r="AO23" s="63"/>
      <c r="AP23" s="78" t="str">
        <f aca="false">IF(OR(AN23="",AO23=""),"",IF(AN23&gt;AO23,"OK","LOW CONF"))</f>
        <v/>
      </c>
      <c r="AQ23" s="78"/>
      <c r="AR23" s="63"/>
      <c r="AS23" s="83" t="str">
        <f aca="false">IF(OR(AQ23="",AR23=""),"",IF(AQ23&lt;AR23,"Decreased",IF(AQ23&gt;AR23,"Increased","Flat")))</f>
        <v/>
      </c>
    </row>
    <row r="24" customFormat="false" ht="15" hidden="true" customHeight="true" outlineLevel="1" collapsed="false">
      <c r="A24" s="34" t="s">
        <v>246</v>
      </c>
      <c r="B24" s="78" t="s">
        <v>357</v>
      </c>
      <c r="C24" s="79" t="n">
        <v>46245</v>
      </c>
      <c r="D24" s="78" t="n">
        <v>2</v>
      </c>
      <c r="E24" s="78" t="s">
        <v>325</v>
      </c>
      <c r="F24" s="78" t="n">
        <v>2</v>
      </c>
      <c r="G24" s="78" t="s">
        <v>323</v>
      </c>
      <c r="H24" s="78" t="n">
        <v>3</v>
      </c>
      <c r="I24" s="78" t="s">
        <v>323</v>
      </c>
      <c r="J24" s="78" t="n">
        <v>2</v>
      </c>
      <c r="K24" s="78" t="s">
        <v>323</v>
      </c>
      <c r="L24" s="78" t="n">
        <v>1</v>
      </c>
      <c r="M24" s="78" t="s">
        <v>324</v>
      </c>
      <c r="N24" s="80" t="n">
        <f aca="false">IF(COUNT(D24,F24,H24,J24,L24)=0,"",(D24*0.2+F24*0.15+H24*0.15+J24*0.1+L24*0.1)/0.7)</f>
        <v>2.07142857142857</v>
      </c>
      <c r="O24" s="81" t="n">
        <f aca="false">IF(COUNT(D24,F24,H24,J24,L24)=0,"",D24*0.2+F24*0.15+H24*0.15+J24*0.1+L24*0.1)</f>
        <v>1.45</v>
      </c>
      <c r="P24" s="78"/>
      <c r="Q24" s="78"/>
      <c r="R24" s="78"/>
      <c r="S24" s="78"/>
      <c r="T24" s="78"/>
      <c r="U24" s="78"/>
      <c r="V24" s="78"/>
      <c r="W24" s="78"/>
      <c r="X24" s="81" t="str">
        <f aca="false">IF(COUNT(P24,R24,T24,V24)=0,"",P24*0.08+R24*0.06+T24*0.03+V24*0.08)</f>
        <v/>
      </c>
      <c r="Y24" s="78"/>
      <c r="Z24" s="78"/>
      <c r="AA24" s="78"/>
      <c r="AB24" s="78"/>
      <c r="AC24" s="78"/>
      <c r="AD24" s="78"/>
      <c r="AE24" s="81" t="str">
        <f aca="false">IF(COUNT(Y24,AA24,AC24)=0,"",Y24*0.02+AA24*0.02+AC24*0.01)</f>
        <v/>
      </c>
      <c r="AF24" s="67" t="str">
        <f aca="false">IF(OR(O24="",X24="",AE24=""),"",(O24+X24+AE24)*20)</f>
        <v/>
      </c>
      <c r="AG24" s="63" t="str">
        <f aca="false">IF(AF24="","",IF(AF24&gt;=80,"STRONG BUY",IF(AF24&gt;=65,"BUY",IF(AF24&gt;=50,"WATCH LIST",IF(AF24&gt;=35,"AVOID","PASS")))))</f>
        <v/>
      </c>
      <c r="AH24" s="63" t="str">
        <f aca="false">IF(N24="","",IF(N24&lt;3,"FAIL","OK"))</f>
        <v>FAIL</v>
      </c>
      <c r="AI24" s="63" t="str">
        <f aca="false">IF(COUNT(D24:L24)=0,"",IF(COUNTIF(D24:L24,1)&gt;0,"REVIEW","OK"))</f>
        <v>REVIEW</v>
      </c>
      <c r="AJ24" s="63" t="str">
        <f aca="false">IF(COUNT(D24:L24)=0,"",IF(COUNTIF(D24:L24,"&lt;=2")&gt;=2,"AVOID","OK"))</f>
        <v>AVOID</v>
      </c>
      <c r="AK24" s="63" t="str">
        <f aca="false">IF(COUNTA(E24:M24)=0,"",IF(COUNTIF(E24:M24,"L")&gt;=2,"CAP AT BUY","OK"))</f>
        <v>OK</v>
      </c>
      <c r="AL24" s="82" t="s">
        <v>353</v>
      </c>
      <c r="AM24" s="78" t="s">
        <v>358</v>
      </c>
      <c r="AN24" s="78"/>
      <c r="AO24" s="63"/>
      <c r="AP24" s="78" t="str">
        <f aca="false">IF(OR(AN24="",AO24=""),"",IF(AN24&gt;AO24,"OK","LOW CONF"))</f>
        <v/>
      </c>
      <c r="AQ24" s="78"/>
      <c r="AR24" s="63"/>
      <c r="AS24" s="83" t="str">
        <f aca="false">IF(OR(AQ24="",AR24=""),"",IF(AQ24&lt;AR24,"Decreased",IF(AQ24&gt;AR24,"Increased","Flat")))</f>
        <v/>
      </c>
    </row>
    <row r="25" customFormat="false" ht="15" hidden="true" customHeight="true" outlineLevel="1" collapsed="false">
      <c r="A25" s="34" t="s">
        <v>256</v>
      </c>
      <c r="B25" s="78" t="s">
        <v>359</v>
      </c>
      <c r="C25" s="79" t="n">
        <v>46245</v>
      </c>
      <c r="D25" s="78" t="n">
        <v>3</v>
      </c>
      <c r="E25" s="78" t="s">
        <v>323</v>
      </c>
      <c r="F25" s="78" t="n">
        <v>2</v>
      </c>
      <c r="G25" s="78" t="s">
        <v>324</v>
      </c>
      <c r="H25" s="78" t="n">
        <v>3</v>
      </c>
      <c r="I25" s="78" t="s">
        <v>323</v>
      </c>
      <c r="J25" s="78" t="n">
        <v>3</v>
      </c>
      <c r="K25" s="78" t="s">
        <v>323</v>
      </c>
      <c r="L25" s="78" t="n">
        <v>2</v>
      </c>
      <c r="M25" s="78" t="s">
        <v>324</v>
      </c>
      <c r="N25" s="80" t="n">
        <f aca="false">IF(COUNT(D25,F25,H25,J25,L25)=0,"",(D25*0.2+F25*0.15+H25*0.15+J25*0.1+L25*0.1)/0.7)</f>
        <v>2.64285714285714</v>
      </c>
      <c r="O25" s="81" t="n">
        <f aca="false">IF(COUNT(D25,F25,H25,J25,L25)=0,"",D25*0.2+F25*0.15+H25*0.15+J25*0.1+L25*0.1)</f>
        <v>1.85</v>
      </c>
      <c r="P25" s="78"/>
      <c r="Q25" s="78"/>
      <c r="R25" s="78"/>
      <c r="S25" s="78"/>
      <c r="T25" s="78"/>
      <c r="U25" s="78"/>
      <c r="V25" s="78"/>
      <c r="W25" s="78"/>
      <c r="X25" s="81" t="str">
        <f aca="false">IF(COUNT(P25,R25,T25,V25)=0,"",P25*0.08+R25*0.06+T25*0.03+V25*0.08)</f>
        <v/>
      </c>
      <c r="Y25" s="78"/>
      <c r="Z25" s="78"/>
      <c r="AA25" s="78"/>
      <c r="AB25" s="78"/>
      <c r="AC25" s="78"/>
      <c r="AD25" s="78"/>
      <c r="AE25" s="81" t="str">
        <f aca="false">IF(COUNT(Y25,AA25,AC25)=0,"",Y25*0.02+AA25*0.02+AC25*0.01)</f>
        <v/>
      </c>
      <c r="AF25" s="67" t="str">
        <f aca="false">IF(OR(O25="",X25="",AE25=""),"",(O25+X25+AE25)*20)</f>
        <v/>
      </c>
      <c r="AG25" s="63" t="str">
        <f aca="false">IF(AF25="","",IF(AF25&gt;=80,"STRONG BUY",IF(AF25&gt;=65,"BUY",IF(AF25&gt;=50,"WATCH LIST",IF(AF25&gt;=35,"AVOID","PASS")))))</f>
        <v/>
      </c>
      <c r="AH25" s="63" t="str">
        <f aca="false">IF(N25="","",IF(N25&lt;3,"FAIL","OK"))</f>
        <v>FAIL</v>
      </c>
      <c r="AI25" s="63" t="str">
        <f aca="false">IF(COUNT(D25:L25)=0,"",IF(COUNTIF(D25:L25,1)&gt;0,"REVIEW","OK"))</f>
        <v>OK</v>
      </c>
      <c r="AJ25" s="63" t="str">
        <f aca="false">IF(COUNT(D25:L25)=0,"",IF(COUNTIF(D25:L25,"&lt;=2")&gt;=2,"AVOID","OK"))</f>
        <v>AVOID</v>
      </c>
      <c r="AK25" s="63" t="str">
        <f aca="false">IF(COUNTA(E25:M25)=0,"",IF(COUNTIF(E25:M25,"L")&gt;=2,"CAP AT BUY","OK"))</f>
        <v>OK</v>
      </c>
      <c r="AL25" s="82" t="s">
        <v>353</v>
      </c>
      <c r="AM25" s="78" t="s">
        <v>358</v>
      </c>
      <c r="AN25" s="78"/>
      <c r="AO25" s="63"/>
      <c r="AP25" s="78" t="str">
        <f aca="false">IF(OR(AN25="",AO25=""),"",IF(AN25&gt;AO25,"OK","LOW CONF"))</f>
        <v/>
      </c>
      <c r="AQ25" s="78"/>
      <c r="AR25" s="63"/>
      <c r="AS25" s="83" t="str">
        <f aca="false">IF(OR(AQ25="",AR25=""),"",IF(AQ25&lt;AR25,"Decreased",IF(AQ25&gt;AR25,"Increased","Flat")))</f>
        <v/>
      </c>
    </row>
    <row r="26" customFormat="false" ht="15" hidden="true" customHeight="true" outlineLevel="1" collapsed="false">
      <c r="A26" s="34" t="s">
        <v>224</v>
      </c>
      <c r="B26" s="78" t="s">
        <v>360</v>
      </c>
      <c r="C26" s="79" t="n">
        <v>46245</v>
      </c>
      <c r="D26" s="78" t="n">
        <v>2</v>
      </c>
      <c r="E26" s="78" t="s">
        <v>323</v>
      </c>
      <c r="F26" s="78" t="n">
        <v>1</v>
      </c>
      <c r="G26" s="78" t="s">
        <v>324</v>
      </c>
      <c r="H26" s="78" t="n">
        <v>2</v>
      </c>
      <c r="I26" s="78" t="s">
        <v>323</v>
      </c>
      <c r="J26" s="78" t="n">
        <v>2</v>
      </c>
      <c r="K26" s="78" t="s">
        <v>323</v>
      </c>
      <c r="L26" s="78" t="n">
        <v>2</v>
      </c>
      <c r="M26" s="78" t="s">
        <v>323</v>
      </c>
      <c r="N26" s="80" t="n">
        <f aca="false">IF(COUNT(D26,F26,H26,J26,L26)=0,"",(D26*0.2+F26*0.15+H26*0.15+J26*0.1+L26*0.1)/0.7)</f>
        <v>1.78571428571429</v>
      </c>
      <c r="O26" s="81" t="n">
        <f aca="false">IF(COUNT(D26,F26,H26,J26,L26)=0,"",D26*0.2+F26*0.15+H26*0.15+J26*0.1+L26*0.1)</f>
        <v>1.25</v>
      </c>
      <c r="P26" s="78"/>
      <c r="Q26" s="78"/>
      <c r="R26" s="78"/>
      <c r="S26" s="78"/>
      <c r="T26" s="78"/>
      <c r="U26" s="78"/>
      <c r="V26" s="78"/>
      <c r="W26" s="78"/>
      <c r="X26" s="81" t="str">
        <f aca="false">IF(COUNT(P26,R26,T26,V26)=0,"",P26*0.08+R26*0.06+T26*0.03+V26*0.08)</f>
        <v/>
      </c>
      <c r="Y26" s="78"/>
      <c r="Z26" s="78"/>
      <c r="AA26" s="78"/>
      <c r="AB26" s="78"/>
      <c r="AC26" s="78"/>
      <c r="AD26" s="78"/>
      <c r="AE26" s="81" t="str">
        <f aca="false">IF(COUNT(Y26,AA26,AC26)=0,"",Y26*0.02+AA26*0.02+AC26*0.01)</f>
        <v/>
      </c>
      <c r="AF26" s="67" t="str">
        <f aca="false">IF(OR(O26="",X26="",AE26=""),"",(O26+X26+AE26)*20)</f>
        <v/>
      </c>
      <c r="AG26" s="63" t="str">
        <f aca="false">IF(AF26="","",IF(AF26&gt;=80,"STRONG BUY",IF(AF26&gt;=65,"BUY",IF(AF26&gt;=50,"WATCH LIST",IF(AF26&gt;=35,"AVOID","PASS")))))</f>
        <v/>
      </c>
      <c r="AH26" s="63" t="str">
        <f aca="false">IF(N26="","",IF(N26&lt;3,"FAIL","OK"))</f>
        <v>FAIL</v>
      </c>
      <c r="AI26" s="63" t="str">
        <f aca="false">IF(COUNT(D26:L26)=0,"",IF(COUNTIF(D26:L26,1)&gt;0,"REVIEW","OK"))</f>
        <v>REVIEW</v>
      </c>
      <c r="AJ26" s="63" t="str">
        <f aca="false">IF(COUNT(D26:L26)=0,"",IF(COUNTIF(D26:L26,"&lt;=2")&gt;=2,"AVOID","OK"))</f>
        <v>AVOID</v>
      </c>
      <c r="AK26" s="63" t="str">
        <f aca="false">IF(COUNTA(E26:M26)=0,"",IF(COUNTIF(E26:M26,"L")&gt;=2,"CAP AT BUY","OK"))</f>
        <v>OK</v>
      </c>
      <c r="AL26" s="82" t="s">
        <v>361</v>
      </c>
      <c r="AM26" s="78" t="s">
        <v>362</v>
      </c>
      <c r="AN26" s="78"/>
      <c r="AO26" s="63"/>
      <c r="AP26" s="78" t="str">
        <f aca="false">IF(OR(AN26="",AO26=""),"",IF(AN26&gt;AO26,"OK","LOW CONF"))</f>
        <v/>
      </c>
      <c r="AQ26" s="78"/>
      <c r="AR26" s="63"/>
      <c r="AS26" s="83" t="str">
        <f aca="false">IF(OR(AQ26="",AR26=""),"",IF(AQ26&lt;AR26,"Decreased",IF(AQ26&gt;AR26,"Increased","Flat")))</f>
        <v/>
      </c>
    </row>
    <row r="27" customFormat="false" ht="15" hidden="true" customHeight="true" outlineLevel="1" collapsed="false">
      <c r="A27" s="34" t="s">
        <v>225</v>
      </c>
      <c r="B27" s="78" t="s">
        <v>363</v>
      </c>
      <c r="C27" s="79" t="n">
        <v>46245</v>
      </c>
      <c r="D27" s="78" t="n">
        <v>2</v>
      </c>
      <c r="E27" s="78" t="s">
        <v>324</v>
      </c>
      <c r="F27" s="78" t="n">
        <v>2</v>
      </c>
      <c r="G27" s="78" t="s">
        <v>323</v>
      </c>
      <c r="H27" s="78" t="n">
        <v>2</v>
      </c>
      <c r="I27" s="78" t="s">
        <v>323</v>
      </c>
      <c r="J27" s="78" t="n">
        <v>2</v>
      </c>
      <c r="K27" s="78" t="s">
        <v>323</v>
      </c>
      <c r="L27" s="78" t="n">
        <v>1</v>
      </c>
      <c r="M27" s="78" t="s">
        <v>324</v>
      </c>
      <c r="N27" s="80" t="n">
        <f aca="false">IF(COUNT(D27,F27,H27,J27,L27)=0,"",(D27*0.2+F27*0.15+H27*0.15+J27*0.1+L27*0.1)/0.7)</f>
        <v>1.85714285714286</v>
      </c>
      <c r="O27" s="81" t="n">
        <f aca="false">IF(COUNT(D27,F27,H27,J27,L27)=0,"",D27*0.2+F27*0.15+H27*0.15+J27*0.1+L27*0.1)</f>
        <v>1.3</v>
      </c>
      <c r="P27" s="78"/>
      <c r="Q27" s="78"/>
      <c r="R27" s="78"/>
      <c r="S27" s="78"/>
      <c r="T27" s="78"/>
      <c r="U27" s="78"/>
      <c r="V27" s="78"/>
      <c r="W27" s="78"/>
      <c r="X27" s="81" t="str">
        <f aca="false">IF(COUNT(P27,R27,T27,V27)=0,"",P27*0.08+R27*0.06+T27*0.03+V27*0.08)</f>
        <v/>
      </c>
      <c r="Y27" s="78"/>
      <c r="Z27" s="78"/>
      <c r="AA27" s="78"/>
      <c r="AB27" s="78"/>
      <c r="AC27" s="78"/>
      <c r="AD27" s="78"/>
      <c r="AE27" s="81" t="str">
        <f aca="false">IF(COUNT(Y27,AA27,AC27)=0,"",Y27*0.02+AA27*0.02+AC27*0.01)</f>
        <v/>
      </c>
      <c r="AF27" s="67" t="str">
        <f aca="false">IF(OR(O27="",X27="",AE27=""),"",(O27+X27+AE27)*20)</f>
        <v/>
      </c>
      <c r="AG27" s="63" t="str">
        <f aca="false">IF(AF27="","",IF(AF27&gt;=80,"STRONG BUY",IF(AF27&gt;=65,"BUY",IF(AF27&gt;=50,"WATCH LIST",IF(AF27&gt;=35,"AVOID","PASS")))))</f>
        <v/>
      </c>
      <c r="AH27" s="63" t="str">
        <f aca="false">IF(N27="","",IF(N27&lt;3,"FAIL","OK"))</f>
        <v>FAIL</v>
      </c>
      <c r="AI27" s="63" t="str">
        <f aca="false">IF(COUNT(D27:L27)=0,"",IF(COUNTIF(D27:L27,1)&gt;0,"REVIEW","OK"))</f>
        <v>REVIEW</v>
      </c>
      <c r="AJ27" s="63" t="str">
        <f aca="false">IF(COUNT(D27:L27)=0,"",IF(COUNTIF(D27:L27,"&lt;=2")&gt;=2,"AVOID","OK"))</f>
        <v>AVOID</v>
      </c>
      <c r="AK27" s="63" t="str">
        <f aca="false">IF(COUNTA(E27:M27)=0,"",IF(COUNTIF(E27:M27,"L")&gt;=2,"CAP AT BUY","OK"))</f>
        <v>OK</v>
      </c>
      <c r="AL27" s="82" t="s">
        <v>361</v>
      </c>
      <c r="AM27" s="78" t="s">
        <v>364</v>
      </c>
      <c r="AN27" s="78"/>
      <c r="AO27" s="63"/>
      <c r="AP27" s="78" t="str">
        <f aca="false">IF(OR(AN27="",AO27=""),"",IF(AN27&gt;AO27,"OK","LOW CONF"))</f>
        <v/>
      </c>
      <c r="AQ27" s="78"/>
      <c r="AR27" s="63"/>
      <c r="AS27" s="83" t="str">
        <f aca="false">IF(OR(AQ27="",AR27=""),"",IF(AQ27&lt;AR27,"Decreased",IF(AQ27&gt;AR27,"Increased","Flat")))</f>
        <v/>
      </c>
    </row>
    <row r="28" customFormat="false" ht="15" hidden="false" customHeight="true" outlineLevel="0" collapsed="false">
      <c r="A28" s="34" t="s">
        <v>248</v>
      </c>
      <c r="B28" s="78" t="s">
        <v>365</v>
      </c>
      <c r="C28" s="84" t="n">
        <v>46245</v>
      </c>
      <c r="D28" s="78" t="n">
        <v>4</v>
      </c>
      <c r="E28" s="78" t="s">
        <v>324</v>
      </c>
      <c r="F28" s="78" t="n">
        <v>4</v>
      </c>
      <c r="G28" s="78" t="s">
        <v>324</v>
      </c>
      <c r="H28" s="78" t="n">
        <v>5</v>
      </c>
      <c r="I28" s="78" t="s">
        <v>324</v>
      </c>
      <c r="J28" s="78" t="n">
        <v>5</v>
      </c>
      <c r="K28" s="78" t="s">
        <v>324</v>
      </c>
      <c r="L28" s="78" t="n">
        <v>5</v>
      </c>
      <c r="M28" s="78" t="s">
        <v>324</v>
      </c>
      <c r="N28" s="80" t="n">
        <f aca="false">IF(COUNT(D28,F28,H28,J28,L28)=0,"",(D28*0.2+F28*0.15+H28*0.15+J28*0.1+L28*0.1)/0.7)</f>
        <v>4.5</v>
      </c>
      <c r="O28" s="63" t="n">
        <f aca="false">IF(COUNT(D28,F28,H28,J28,L28)=0,"",D28*0.2+F28*0.15+H28*0.15+J28*0.1+L28*0.1)</f>
        <v>3.15</v>
      </c>
      <c r="P28" s="78"/>
      <c r="Q28" s="78"/>
      <c r="R28" s="78"/>
      <c r="S28" s="78"/>
      <c r="T28" s="78"/>
      <c r="U28" s="78"/>
      <c r="V28" s="78"/>
      <c r="W28" s="78"/>
      <c r="X28" s="37" t="str">
        <f aca="false">IF(COUNT(P28,R28,T28,V28)=0,"",P28*0.08+R28*0.06+T28*0.03+V28*0.08)</f>
        <v/>
      </c>
      <c r="Y28" s="78"/>
      <c r="Z28" s="78"/>
      <c r="AA28" s="78"/>
      <c r="AB28" s="78"/>
      <c r="AC28" s="78"/>
      <c r="AD28" s="78"/>
      <c r="AE28" s="37" t="str">
        <f aca="false">IF(COUNT(Y28,AA28,AC28)=0,"",Y28*0.02+AA28*0.02+AC28*0.01)</f>
        <v/>
      </c>
      <c r="AF28" s="63" t="str">
        <f aca="false">IF(OR(O28="",X28="",AE28=""),"",(O28+X28+AE28)*20)</f>
        <v/>
      </c>
      <c r="AG28" s="63" t="str">
        <f aca="false">IF(AF28="","",IF(AF28&gt;=80,"STRONG BUY",IF(AF28&gt;=65,"BUY",IF(AF28&gt;=50,"WATCH LIST",IF(AF28&gt;=35,"AVOID","PASS")))))</f>
        <v/>
      </c>
      <c r="AH28" s="63" t="str">
        <f aca="false">IF(N28="","",IF(N28&lt;3,"FAIL","OK"))</f>
        <v>OK</v>
      </c>
      <c r="AI28" s="63" t="str">
        <f aca="false">IF(COUNT(D28:L28)=0,"",IF(COUNTIF(D28:L28,1)&gt;0,"REVIEW","OK"))</f>
        <v>OK</v>
      </c>
      <c r="AJ28" s="63" t="str">
        <f aca="false">IF(COUNT(D28:L28)=0,"",IF(COUNTIF(D28:L28,"&lt;=2")&gt;=2,"AVOID","OK"))</f>
        <v>OK</v>
      </c>
      <c r="AK28" s="63" t="str">
        <f aca="false">IF(COUNTA(E28:M28)=0,"",IF(COUNTIF(E28:M28,"L")&gt;=2,"CAP AT BUY","OK"))</f>
        <v>OK</v>
      </c>
      <c r="AL28" s="85" t="s">
        <v>361</v>
      </c>
      <c r="AM28" s="78" t="s">
        <v>366</v>
      </c>
      <c r="AN28" s="78"/>
      <c r="AO28" s="63"/>
      <c r="AP28" s="78" t="str">
        <f aca="false">IF(OR(AN28="",AO28=""),"",IF(AN28&gt;AO28,"OK","LOW CONF"))</f>
        <v/>
      </c>
      <c r="AQ28" s="78"/>
      <c r="AR28" s="63"/>
      <c r="AS28" s="86" t="str">
        <f aca="false">IF(OR(AQ28="",AR28=""),"",IF(AQ28&lt;AR28,"Decreased",IF(AQ28&gt;AR28,"Increased","Flat")))</f>
        <v/>
      </c>
    </row>
    <row r="29" customFormat="false" ht="15" hidden="true" customHeight="true" outlineLevel="1" collapsed="false">
      <c r="A29" s="34" t="s">
        <v>230</v>
      </c>
      <c r="B29" s="78" t="s">
        <v>367</v>
      </c>
      <c r="C29" s="84" t="n">
        <v>46245</v>
      </c>
      <c r="D29" s="78" t="n">
        <v>2</v>
      </c>
      <c r="E29" s="78" t="s">
        <v>323</v>
      </c>
      <c r="F29" s="78" t="n">
        <v>2</v>
      </c>
      <c r="G29" s="78" t="s">
        <v>323</v>
      </c>
      <c r="H29" s="78" t="n">
        <v>3</v>
      </c>
      <c r="I29" s="78" t="s">
        <v>323</v>
      </c>
      <c r="J29" s="78" t="n">
        <v>3</v>
      </c>
      <c r="K29" s="78" t="s">
        <v>323</v>
      </c>
      <c r="L29" s="78" t="n">
        <v>2</v>
      </c>
      <c r="M29" s="78" t="s">
        <v>324</v>
      </c>
      <c r="N29" s="80" t="n">
        <f aca="false">IF(COUNT(D29,F29,H29,J29,L29)=0,"",(D29*0.2+F29*0.15+H29*0.15+J29*0.1+L29*0.1)/0.7)</f>
        <v>2.35714285714286</v>
      </c>
      <c r="O29" s="63" t="n">
        <f aca="false">IF(COUNT(D29,F29,H29,J29,L29)=0,"",D29*0.2+F29*0.15+H29*0.15+J29*0.1+L29*0.1)</f>
        <v>1.65</v>
      </c>
      <c r="P29" s="78"/>
      <c r="Q29" s="78"/>
      <c r="R29" s="78"/>
      <c r="S29" s="78"/>
      <c r="T29" s="78"/>
      <c r="U29" s="78"/>
      <c r="V29" s="78"/>
      <c r="W29" s="78"/>
      <c r="X29" s="37" t="str">
        <f aca="false">IF(COUNT(P29,R29,T29,V29)=0,"",P29*0.08+R29*0.06+T29*0.03+V29*0.08)</f>
        <v/>
      </c>
      <c r="Y29" s="78"/>
      <c r="Z29" s="78"/>
      <c r="AA29" s="78"/>
      <c r="AB29" s="78"/>
      <c r="AC29" s="78"/>
      <c r="AD29" s="78"/>
      <c r="AE29" s="37" t="str">
        <f aca="false">IF(COUNT(Y29,AA29,AC29)=0,"",Y29*0.02+AA29*0.02+AC29*0.01)</f>
        <v/>
      </c>
      <c r="AF29" s="63" t="str">
        <f aca="false">IF(OR(O29="",X29="",AE29=""),"",(O29+X29+AE29)*20)</f>
        <v/>
      </c>
      <c r="AG29" s="63" t="str">
        <f aca="false">IF(AF29="","",IF(AF29&gt;=80,"STRONG BUY",IF(AF29&gt;=65,"BUY",IF(AF29&gt;=50,"WATCH LIST",IF(AF29&gt;=35,"AVOID","PASS")))))</f>
        <v/>
      </c>
      <c r="AH29" s="63" t="str">
        <f aca="false">IF(N29="","",IF(N29&lt;3,"FAIL","OK"))</f>
        <v>FAIL</v>
      </c>
      <c r="AI29" s="63" t="str">
        <f aca="false">IF(COUNT(D29:L29)=0,"",IF(COUNTIF(D29:L29,1)&gt;0,"REVIEW","OK"))</f>
        <v>OK</v>
      </c>
      <c r="AJ29" s="63" t="str">
        <f aca="false">IF(COUNT(D29:L29)=0,"",IF(COUNTIF(D29:L29,"&lt;=2")&gt;=2,"AVOID","OK"))</f>
        <v>AVOID</v>
      </c>
      <c r="AK29" s="63" t="str">
        <f aca="false">IF(COUNTA(E29:M29)=0,"",IF(COUNTIF(E29:M29,"L")&gt;=2,"CAP AT BUY","OK"))</f>
        <v>OK</v>
      </c>
      <c r="AL29" s="85" t="s">
        <v>334</v>
      </c>
      <c r="AM29" s="78" t="s">
        <v>368</v>
      </c>
      <c r="AN29" s="78"/>
      <c r="AO29" s="63"/>
      <c r="AP29" s="78" t="str">
        <f aca="false">IF(OR(AN29="",AO29=""),"",IF(AN29&gt;AO29,"OK","LOW CONF"))</f>
        <v/>
      </c>
      <c r="AQ29" s="78"/>
      <c r="AR29" s="63"/>
      <c r="AS29" s="86" t="str">
        <f aca="false">IF(OR(AQ29="",AR29=""),"",IF(AQ29&lt;AR29,"Decreased",IF(AQ29&gt;AR29,"Increased","Flat")))</f>
        <v/>
      </c>
    </row>
    <row r="30" customFormat="false" ht="15" hidden="true" customHeight="true" outlineLevel="1" collapsed="false">
      <c r="A30" s="34" t="s">
        <v>234</v>
      </c>
      <c r="B30" s="78" t="s">
        <v>369</v>
      </c>
      <c r="C30" s="84" t="n">
        <v>46245</v>
      </c>
      <c r="D30" s="78" t="n">
        <v>2</v>
      </c>
      <c r="E30" s="78" t="s">
        <v>323</v>
      </c>
      <c r="F30" s="78" t="n">
        <v>1</v>
      </c>
      <c r="G30" s="78" t="s">
        <v>324</v>
      </c>
      <c r="H30" s="78" t="n">
        <v>3</v>
      </c>
      <c r="I30" s="78" t="s">
        <v>323</v>
      </c>
      <c r="J30" s="78" t="n">
        <v>2</v>
      </c>
      <c r="K30" s="78" t="s">
        <v>323</v>
      </c>
      <c r="L30" s="78" t="n">
        <v>3</v>
      </c>
      <c r="M30" s="78" t="s">
        <v>323</v>
      </c>
      <c r="N30" s="80" t="n">
        <f aca="false">IF(COUNT(D30,F30,H30,J30,L30)=0,"",(D30*0.2+F30*0.15+H30*0.15+J30*0.1+L30*0.1)/0.7)</f>
        <v>2.14285714285714</v>
      </c>
      <c r="O30" s="63" t="n">
        <f aca="false">IF(COUNT(D30,F30,H30,J30,L30)=0,"",D30*0.2+F30*0.15+H30*0.15+J30*0.1+L30*0.1)</f>
        <v>1.5</v>
      </c>
      <c r="P30" s="78"/>
      <c r="Q30" s="78"/>
      <c r="R30" s="78"/>
      <c r="S30" s="78"/>
      <c r="T30" s="78"/>
      <c r="U30" s="78"/>
      <c r="V30" s="78"/>
      <c r="W30" s="78"/>
      <c r="X30" s="37" t="str">
        <f aca="false">IF(COUNT(P30,R30,T30,V30)=0,"",P30*0.08+R30*0.06+T30*0.03+V30*0.08)</f>
        <v/>
      </c>
      <c r="Y30" s="78"/>
      <c r="Z30" s="78"/>
      <c r="AA30" s="78"/>
      <c r="AB30" s="78"/>
      <c r="AC30" s="78"/>
      <c r="AD30" s="78"/>
      <c r="AE30" s="37" t="str">
        <f aca="false">IF(COUNT(Y30,AA30,AC30)=0,"",Y30*0.02+AA30*0.02+AC30*0.01)</f>
        <v/>
      </c>
      <c r="AF30" s="63" t="str">
        <f aca="false">IF(OR(O30="",X30="",AE30=""),"",(O30+X30+AE30)*20)</f>
        <v/>
      </c>
      <c r="AG30" s="63" t="str">
        <f aca="false">IF(AF30="","",IF(AF30&gt;=80,"STRONG BUY",IF(AF30&gt;=65,"BUY",IF(AF30&gt;=50,"WATCH LIST",IF(AF30&gt;=35,"AVOID","PASS")))))</f>
        <v/>
      </c>
      <c r="AH30" s="63" t="str">
        <f aca="false">IF(N30="","",IF(N30&lt;3,"FAIL","OK"))</f>
        <v>FAIL</v>
      </c>
      <c r="AI30" s="63" t="str">
        <f aca="false">IF(COUNT(D30:L30)=0,"",IF(COUNTIF(D30:L30,1)&gt;0,"REVIEW","OK"))</f>
        <v>REVIEW</v>
      </c>
      <c r="AJ30" s="63" t="str">
        <f aca="false">IF(COUNT(D30:L30)=0,"",IF(COUNTIF(D30:L30,"&lt;=2")&gt;=2,"AVOID","OK"))</f>
        <v>AVOID</v>
      </c>
      <c r="AK30" s="63" t="str">
        <f aca="false">IF(COUNTA(E30:M30)=0,"",IF(COUNTIF(E30:M30,"L")&gt;=2,"CAP AT BUY","OK"))</f>
        <v>OK</v>
      </c>
      <c r="AL30" s="85" t="s">
        <v>334</v>
      </c>
      <c r="AM30" s="78" t="s">
        <v>370</v>
      </c>
      <c r="AN30" s="78"/>
      <c r="AO30" s="63"/>
      <c r="AP30" s="78" t="str">
        <f aca="false">IF(OR(AN30="",AO30=""),"",IF(AN30&gt;AO30,"OK","LOW CONF"))</f>
        <v/>
      </c>
      <c r="AQ30" s="78"/>
      <c r="AR30" s="63"/>
      <c r="AS30" s="86" t="str">
        <f aca="false">IF(OR(AQ30="",AR30=""),"",IF(AQ30&lt;AR30,"Decreased",IF(AQ30&gt;AR30,"Increased","Flat")))</f>
        <v/>
      </c>
    </row>
    <row r="31" customFormat="false" ht="15" hidden="true" customHeight="true" outlineLevel="1" collapsed="false">
      <c r="A31" s="34" t="s">
        <v>245</v>
      </c>
      <c r="B31" s="78" t="s">
        <v>371</v>
      </c>
      <c r="C31" s="84" t="n">
        <v>46245</v>
      </c>
      <c r="D31" s="78" t="n">
        <v>1</v>
      </c>
      <c r="E31" s="78" t="s">
        <v>324</v>
      </c>
      <c r="F31" s="78" t="n">
        <v>2</v>
      </c>
      <c r="G31" s="78" t="s">
        <v>323</v>
      </c>
      <c r="H31" s="78" t="n">
        <v>3</v>
      </c>
      <c r="I31" s="78" t="s">
        <v>323</v>
      </c>
      <c r="J31" s="78" t="n">
        <v>3</v>
      </c>
      <c r="K31" s="78" t="s">
        <v>323</v>
      </c>
      <c r="L31" s="78" t="n">
        <v>1</v>
      </c>
      <c r="M31" s="78" t="s">
        <v>324</v>
      </c>
      <c r="N31" s="80" t="n">
        <f aca="false">IF(COUNT(D31,F31,H31,J31,L31)=0,"",(D31*0.2+F31*0.15+H31*0.15+J31*0.1+L31*0.1)/0.7)</f>
        <v>1.92857142857143</v>
      </c>
      <c r="O31" s="63" t="n">
        <f aca="false">IF(COUNT(D31,F31,H31,J31,L31)=0,"",D31*0.2+F31*0.15+H31*0.15+J31*0.1+L31*0.1)</f>
        <v>1.35</v>
      </c>
      <c r="P31" s="78"/>
      <c r="Q31" s="78"/>
      <c r="R31" s="78"/>
      <c r="S31" s="78"/>
      <c r="T31" s="78"/>
      <c r="U31" s="78"/>
      <c r="V31" s="78"/>
      <c r="W31" s="78"/>
      <c r="X31" s="37" t="str">
        <f aca="false">IF(COUNT(P31,R31,T31,V31)=0,"",P31*0.08+R31*0.06+T31*0.03+V31*0.08)</f>
        <v/>
      </c>
      <c r="Y31" s="78"/>
      <c r="Z31" s="78"/>
      <c r="AA31" s="78"/>
      <c r="AB31" s="78"/>
      <c r="AC31" s="78"/>
      <c r="AD31" s="78"/>
      <c r="AE31" s="37" t="str">
        <f aca="false">IF(COUNT(Y31,AA31,AC31)=0,"",Y31*0.02+AA31*0.02+AC31*0.01)</f>
        <v/>
      </c>
      <c r="AF31" s="63" t="str">
        <f aca="false">IF(OR(O31="",X31="",AE31=""),"",(O31+X31+AE31)*20)</f>
        <v/>
      </c>
      <c r="AG31" s="63" t="str">
        <f aca="false">IF(AF31="","",IF(AF31&gt;=80,"STRONG BUY",IF(AF31&gt;=65,"BUY",IF(AF31&gt;=50,"WATCH LIST",IF(AF31&gt;=35,"AVOID","PASS")))))</f>
        <v/>
      </c>
      <c r="AH31" s="63" t="str">
        <f aca="false">IF(N31="","",IF(N31&lt;3,"FAIL","OK"))</f>
        <v>FAIL</v>
      </c>
      <c r="AI31" s="63" t="str">
        <f aca="false">IF(COUNT(D31:L31)=0,"",IF(COUNTIF(D31:L31,1)&gt;0,"REVIEW","OK"))</f>
        <v>REVIEW</v>
      </c>
      <c r="AJ31" s="63" t="str">
        <f aca="false">IF(COUNT(D31:L31)=0,"",IF(COUNTIF(D31:L31,"&lt;=2")&gt;=2,"AVOID","OK"))</f>
        <v>AVOID</v>
      </c>
      <c r="AK31" s="63" t="str">
        <f aca="false">IF(COUNTA(E31:M31)=0,"",IF(COUNTIF(E31:M31,"L")&gt;=2,"CAP AT BUY","OK"))</f>
        <v>OK</v>
      </c>
      <c r="AL31" s="85" t="s">
        <v>334</v>
      </c>
      <c r="AM31" s="78" t="s">
        <v>372</v>
      </c>
      <c r="AN31" s="78"/>
      <c r="AO31" s="63"/>
      <c r="AP31" s="78" t="str">
        <f aca="false">IF(OR(AN31="",AO31=""),"",IF(AN31&gt;AO31,"OK","LOW CONF"))</f>
        <v/>
      </c>
      <c r="AQ31" s="78"/>
      <c r="AR31" s="63"/>
      <c r="AS31" s="86" t="str">
        <f aca="false">IF(OR(AQ31="",AR31=""),"",IF(AQ31&lt;AR31,"Decreased",IF(AQ31&gt;AR31,"Increased","Flat")))</f>
        <v/>
      </c>
    </row>
    <row r="32" customFormat="false" ht="15" hidden="false" customHeight="true" outlineLevel="0" collapsed="false">
      <c r="A32" s="34" t="s">
        <v>260</v>
      </c>
      <c r="B32" s="78" t="s">
        <v>373</v>
      </c>
      <c r="C32" s="84" t="n">
        <v>46245</v>
      </c>
      <c r="D32" s="78" t="n">
        <v>4</v>
      </c>
      <c r="E32" s="78" t="s">
        <v>323</v>
      </c>
      <c r="F32" s="78" t="n">
        <v>4</v>
      </c>
      <c r="G32" s="78" t="s">
        <v>324</v>
      </c>
      <c r="H32" s="78" t="n">
        <v>5</v>
      </c>
      <c r="I32" s="78" t="s">
        <v>324</v>
      </c>
      <c r="J32" s="78" t="n">
        <v>4</v>
      </c>
      <c r="K32" s="78" t="s">
        <v>323</v>
      </c>
      <c r="L32" s="78" t="n">
        <v>4</v>
      </c>
      <c r="M32" s="78" t="s">
        <v>324</v>
      </c>
      <c r="N32" s="80" t="n">
        <f aca="false">IF(COUNT(D32,F32,H32,J32,L32)=0,"",(D32*0.2+F32*0.15+H32*0.15+J32*0.1+L32*0.1)/0.7)</f>
        <v>4.21428571428571</v>
      </c>
      <c r="O32" s="63" t="n">
        <f aca="false">IF(COUNT(D32,F32,H32,J32,L32)=0,"",D32*0.2+F32*0.15+H32*0.15+J32*0.1+L32*0.1)</f>
        <v>2.95</v>
      </c>
      <c r="P32" s="78"/>
      <c r="Q32" s="78"/>
      <c r="R32" s="78"/>
      <c r="S32" s="78"/>
      <c r="T32" s="78"/>
      <c r="U32" s="78"/>
      <c r="V32" s="78"/>
      <c r="W32" s="78"/>
      <c r="X32" s="37" t="str">
        <f aca="false">IF(COUNT(P32,R32,T32,V32)=0,"",P32*0.08+R32*0.06+T32*0.03+V32*0.08)</f>
        <v/>
      </c>
      <c r="Y32" s="78"/>
      <c r="Z32" s="78"/>
      <c r="AA32" s="78"/>
      <c r="AB32" s="78"/>
      <c r="AC32" s="78"/>
      <c r="AD32" s="78"/>
      <c r="AE32" s="37" t="str">
        <f aca="false">IF(COUNT(Y32,AA32,AC32)=0,"",Y32*0.02+AA32*0.02+AC32*0.01)</f>
        <v/>
      </c>
      <c r="AF32" s="63" t="str">
        <f aca="false">IF(OR(O32="",X32="",AE32=""),"",(O32+X32+AE32)*20)</f>
        <v/>
      </c>
      <c r="AG32" s="63" t="str">
        <f aca="false">IF(AF32="","",IF(AF32&gt;=80,"STRONG BUY",IF(AF32&gt;=65,"BUY",IF(AF32&gt;=50,"WATCH LIST",IF(AF32&gt;=35,"AVOID","PASS")))))</f>
        <v/>
      </c>
      <c r="AH32" s="63" t="str">
        <f aca="false">IF(N32="","",IF(N32&lt;3,"FAIL","OK"))</f>
        <v>OK</v>
      </c>
      <c r="AI32" s="63" t="str">
        <f aca="false">IF(COUNT(D32:L32)=0,"",IF(COUNTIF(D32:L32,1)&gt;0,"REVIEW","OK"))</f>
        <v>OK</v>
      </c>
      <c r="AJ32" s="63" t="str">
        <f aca="false">IF(COUNT(D32:L32)=0,"",IF(COUNTIF(D32:L32,"&lt;=2")&gt;=2,"AVOID","OK"))</f>
        <v>OK</v>
      </c>
      <c r="AK32" s="63" t="str">
        <f aca="false">IF(COUNTA(E32:M32)=0,"",IF(COUNTIF(E32:M32,"L")&gt;=2,"CAP AT BUY","OK"))</f>
        <v>OK</v>
      </c>
      <c r="AL32" s="85" t="s">
        <v>334</v>
      </c>
      <c r="AM32" s="78" t="s">
        <v>370</v>
      </c>
      <c r="AN32" s="78"/>
      <c r="AO32" s="63"/>
      <c r="AP32" s="78" t="str">
        <f aca="false">IF(OR(AN32="",AO32=""),"",IF(AN32&gt;AO32,"OK","LOW CONF"))</f>
        <v/>
      </c>
      <c r="AQ32" s="78"/>
      <c r="AR32" s="63"/>
      <c r="AS32" s="86" t="str">
        <f aca="false">IF(OR(AQ32="",AR32=""),"",IF(AQ32&lt;AR32,"Decreased",IF(AQ32&gt;AR32,"Increased","Flat")))</f>
        <v/>
      </c>
    </row>
    <row r="33" customFormat="false" ht="15" hidden="false" customHeight="true" outlineLevel="0" collapsed="false">
      <c r="A33" s="34" t="s">
        <v>226</v>
      </c>
      <c r="B33" s="78" t="s">
        <v>374</v>
      </c>
      <c r="C33" s="84" t="n">
        <v>46245</v>
      </c>
      <c r="D33" s="78" t="n">
        <v>4</v>
      </c>
      <c r="E33" s="78" t="s">
        <v>324</v>
      </c>
      <c r="F33" s="78" t="n">
        <v>4</v>
      </c>
      <c r="G33" s="78" t="s">
        <v>324</v>
      </c>
      <c r="H33" s="78" t="n">
        <v>4</v>
      </c>
      <c r="I33" s="78" t="s">
        <v>324</v>
      </c>
      <c r="J33" s="78" t="n">
        <v>3</v>
      </c>
      <c r="K33" s="78" t="s">
        <v>323</v>
      </c>
      <c r="L33" s="78" t="n">
        <v>3</v>
      </c>
      <c r="M33" s="78" t="s">
        <v>324</v>
      </c>
      <c r="N33" s="80" t="n">
        <f aca="false">IF(COUNT(D33,F33,H33,J33,L33)=0,"",(D33*0.2+F33*0.15+H33*0.15+J33*0.1+L33*0.1)/0.7)</f>
        <v>3.71428571428571</v>
      </c>
      <c r="O33" s="63" t="n">
        <f aca="false">IF(COUNT(D33,F33,H33,J33,L33)=0,"",D33*0.2+F33*0.15+H33*0.15+J33*0.1+L33*0.1)</f>
        <v>2.6</v>
      </c>
      <c r="P33" s="78"/>
      <c r="Q33" s="78"/>
      <c r="R33" s="78"/>
      <c r="S33" s="78"/>
      <c r="T33" s="78"/>
      <c r="U33" s="78"/>
      <c r="V33" s="78"/>
      <c r="W33" s="78"/>
      <c r="X33" s="37" t="str">
        <f aca="false">IF(COUNT(P33,R33,T33,V33)=0,"",P33*0.08+R33*0.06+T33*0.03+V33*0.08)</f>
        <v/>
      </c>
      <c r="Y33" s="78"/>
      <c r="Z33" s="78"/>
      <c r="AA33" s="78"/>
      <c r="AB33" s="78"/>
      <c r="AC33" s="78"/>
      <c r="AD33" s="78"/>
      <c r="AE33" s="37" t="str">
        <f aca="false">IF(COUNT(Y33,AA33,AC33)=0,"",Y33*0.02+AA33*0.02+AC33*0.01)</f>
        <v/>
      </c>
      <c r="AF33" s="63" t="str">
        <f aca="false">IF(OR(O33="",X33="",AE33=""),"",(O33+X33+AE33)*20)</f>
        <v/>
      </c>
      <c r="AG33" s="63" t="str">
        <f aca="false">IF(AF33="","",IF(AF33&gt;=80,"STRONG BUY",IF(AF33&gt;=65,"BUY",IF(AF33&gt;=50,"WATCH LIST",IF(AF33&gt;=35,"AVOID","PASS")))))</f>
        <v/>
      </c>
      <c r="AH33" s="63" t="str">
        <f aca="false">IF(N33="","",IF(N33&lt;3,"FAIL","OK"))</f>
        <v>OK</v>
      </c>
      <c r="AI33" s="63" t="str">
        <f aca="false">IF(COUNT(D33:L33)=0,"",IF(COUNTIF(D33:L33,1)&gt;0,"REVIEW","OK"))</f>
        <v>OK</v>
      </c>
      <c r="AJ33" s="63" t="str">
        <f aca="false">IF(COUNT(D33:L33)=0,"",IF(COUNTIF(D33:L33,"&lt;=2")&gt;=2,"AVOID","OK"))</f>
        <v>OK</v>
      </c>
      <c r="AK33" s="63" t="str">
        <f aca="false">IF(COUNTA(E33:M33)=0,"",IF(COUNTIF(E33:M33,"L")&gt;=2,"CAP AT BUY","OK"))</f>
        <v>OK</v>
      </c>
      <c r="AL33" s="85" t="s">
        <v>336</v>
      </c>
      <c r="AM33" s="78" t="s">
        <v>375</v>
      </c>
      <c r="AN33" s="78"/>
      <c r="AO33" s="63"/>
      <c r="AP33" s="78" t="str">
        <f aca="false">IF(OR(AN33="",AO33=""),"",IF(AN33&gt;AO33,"OK","LOW CONF"))</f>
        <v/>
      </c>
      <c r="AQ33" s="78"/>
      <c r="AR33" s="63"/>
      <c r="AS33" s="86" t="str">
        <f aca="false">IF(OR(AQ33="",AR33=""),"",IF(AQ33&lt;AR33,"Decreased",IF(AQ33&gt;AR33,"Increased","Flat")))</f>
        <v/>
      </c>
    </row>
    <row r="34" customFormat="false" ht="15" hidden="false" customHeight="true" outlineLevel="0" collapsed="false">
      <c r="A34" s="34" t="s">
        <v>233</v>
      </c>
      <c r="B34" s="78" t="s">
        <v>376</v>
      </c>
      <c r="C34" s="84" t="n">
        <v>46245</v>
      </c>
      <c r="D34" s="78" t="n">
        <v>5</v>
      </c>
      <c r="E34" s="78" t="s">
        <v>324</v>
      </c>
      <c r="F34" s="78" t="n">
        <v>5</v>
      </c>
      <c r="G34" s="78" t="s">
        <v>324</v>
      </c>
      <c r="H34" s="78" t="n">
        <v>5</v>
      </c>
      <c r="I34" s="78" t="s">
        <v>324</v>
      </c>
      <c r="J34" s="78" t="n">
        <v>4</v>
      </c>
      <c r="K34" s="78" t="s">
        <v>324</v>
      </c>
      <c r="L34" s="78" t="n">
        <v>5</v>
      </c>
      <c r="M34" s="78" t="s">
        <v>324</v>
      </c>
      <c r="N34" s="80" t="n">
        <f aca="false">IF(COUNT(D34,F34,H34,J34,L34)=0,"",(D34*0.2+F34*0.15+H34*0.15+J34*0.1+L34*0.1)/0.7)</f>
        <v>4.85714285714286</v>
      </c>
      <c r="O34" s="63" t="n">
        <f aca="false">IF(COUNT(D34,F34,H34,J34,L34)=0,"",D34*0.2+F34*0.15+H34*0.15+J34*0.1+L34*0.1)</f>
        <v>3.4</v>
      </c>
      <c r="P34" s="78"/>
      <c r="Q34" s="78"/>
      <c r="R34" s="78"/>
      <c r="S34" s="78"/>
      <c r="T34" s="78"/>
      <c r="U34" s="78"/>
      <c r="V34" s="78"/>
      <c r="W34" s="78"/>
      <c r="X34" s="37" t="str">
        <f aca="false">IF(COUNT(P34,R34,T34,V34)=0,"",P34*0.08+R34*0.06+T34*0.03+V34*0.08)</f>
        <v/>
      </c>
      <c r="Y34" s="78"/>
      <c r="Z34" s="78"/>
      <c r="AA34" s="78"/>
      <c r="AB34" s="78"/>
      <c r="AC34" s="78"/>
      <c r="AD34" s="78"/>
      <c r="AE34" s="37" t="str">
        <f aca="false">IF(COUNT(Y34,AA34,AC34)=0,"",Y34*0.02+AA34*0.02+AC34*0.01)</f>
        <v/>
      </c>
      <c r="AF34" s="63" t="str">
        <f aca="false">IF(OR(O34="",X34="",AE34=""),"",(O34+X34+AE34)*20)</f>
        <v/>
      </c>
      <c r="AG34" s="63" t="str">
        <f aca="false">IF(AF34="","",IF(AF34&gt;=80,"STRONG BUY",IF(AF34&gt;=65,"BUY",IF(AF34&gt;=50,"WATCH LIST",IF(AF34&gt;=35,"AVOID","PASS")))))</f>
        <v/>
      </c>
      <c r="AH34" s="63" t="str">
        <f aca="false">IF(N34="","",IF(N34&lt;3,"FAIL","OK"))</f>
        <v>OK</v>
      </c>
      <c r="AI34" s="63" t="str">
        <f aca="false">IF(COUNT(D34:L34)=0,"",IF(COUNTIF(D34:L34,1)&gt;0,"REVIEW","OK"))</f>
        <v>OK</v>
      </c>
      <c r="AJ34" s="63" t="str">
        <f aca="false">IF(COUNT(D34:L34)=0,"",IF(COUNTIF(D34:L34,"&lt;=2")&gt;=2,"AVOID","OK"))</f>
        <v>OK</v>
      </c>
      <c r="AK34" s="63" t="str">
        <f aca="false">IF(COUNTA(E34:M34)=0,"",IF(COUNTIF(E34:M34,"L")&gt;=2,"CAP AT BUY","OK"))</f>
        <v>OK</v>
      </c>
      <c r="AL34" s="85" t="s">
        <v>336</v>
      </c>
      <c r="AM34" s="78" t="s">
        <v>375</v>
      </c>
      <c r="AN34" s="78"/>
      <c r="AO34" s="63"/>
      <c r="AP34" s="78" t="str">
        <f aca="false">IF(OR(AN34="",AO34=""),"",IF(AN34&gt;AO34,"OK","LOW CONF"))</f>
        <v/>
      </c>
      <c r="AQ34" s="78"/>
      <c r="AR34" s="63"/>
      <c r="AS34" s="86" t="str">
        <f aca="false">IF(OR(AQ34="",AR34=""),"",IF(AQ34&lt;AR34,"Decreased",IF(AQ34&gt;AR34,"Increased","Flat")))</f>
        <v/>
      </c>
    </row>
    <row r="35" customFormat="false" ht="15" hidden="true" customHeight="true" outlineLevel="1" collapsed="false">
      <c r="A35" s="34" t="s">
        <v>264</v>
      </c>
      <c r="B35" s="78" t="s">
        <v>377</v>
      </c>
      <c r="C35" s="84" t="n">
        <v>46245</v>
      </c>
      <c r="D35" s="78" t="n">
        <v>1</v>
      </c>
      <c r="E35" s="78" t="s">
        <v>324</v>
      </c>
      <c r="F35" s="78" t="n">
        <v>1</v>
      </c>
      <c r="G35" s="78" t="s">
        <v>324</v>
      </c>
      <c r="H35" s="78" t="n">
        <v>2</v>
      </c>
      <c r="I35" s="78" t="s">
        <v>323</v>
      </c>
      <c r="J35" s="78" t="n">
        <v>2</v>
      </c>
      <c r="K35" s="78" t="s">
        <v>323</v>
      </c>
      <c r="L35" s="78" t="n">
        <v>1</v>
      </c>
      <c r="M35" s="78" t="s">
        <v>324</v>
      </c>
      <c r="N35" s="80" t="n">
        <f aca="false">IF(COUNT(D35,F35,H35,J35,L35)=0,"",(D35*0.2+F35*0.15+H35*0.15+J35*0.1+L35*0.1)/0.7)</f>
        <v>1.35714285714286</v>
      </c>
      <c r="O35" s="63" t="n">
        <f aca="false">IF(COUNT(D35,F35,H35,J35,L35)=0,"",D35*0.2+F35*0.15+H35*0.15+J35*0.1+L35*0.1)</f>
        <v>0.95</v>
      </c>
      <c r="P35" s="78"/>
      <c r="Q35" s="78"/>
      <c r="R35" s="78"/>
      <c r="S35" s="78"/>
      <c r="T35" s="78"/>
      <c r="U35" s="78"/>
      <c r="V35" s="78"/>
      <c r="W35" s="78"/>
      <c r="X35" s="37" t="str">
        <f aca="false">IF(COUNT(P35,R35,T35,V35)=0,"",P35*0.08+R35*0.06+T35*0.03+V35*0.08)</f>
        <v/>
      </c>
      <c r="Y35" s="78"/>
      <c r="Z35" s="78"/>
      <c r="AA35" s="78"/>
      <c r="AB35" s="78"/>
      <c r="AC35" s="78"/>
      <c r="AD35" s="78"/>
      <c r="AE35" s="37" t="str">
        <f aca="false">IF(COUNT(Y35,AA35,AC35)=0,"",Y35*0.02+AA35*0.02+AC35*0.01)</f>
        <v/>
      </c>
      <c r="AF35" s="63" t="str">
        <f aca="false">IF(OR(O35="",X35="",AE35=""),"",(O35+X35+AE35)*20)</f>
        <v/>
      </c>
      <c r="AG35" s="63" t="str">
        <f aca="false">IF(AF35="","",IF(AF35&gt;=80,"STRONG BUY",IF(AF35&gt;=65,"BUY",IF(AF35&gt;=50,"WATCH LIST",IF(AF35&gt;=35,"AVOID","PASS")))))</f>
        <v/>
      </c>
      <c r="AH35" s="63" t="str">
        <f aca="false">IF(N35="","",IF(N35&lt;3,"FAIL","OK"))</f>
        <v>FAIL</v>
      </c>
      <c r="AI35" s="63" t="str">
        <f aca="false">IF(COUNT(D35:L35)=0,"",IF(COUNTIF(D35:L35,1)&gt;0,"REVIEW","OK"))</f>
        <v>REVIEW</v>
      </c>
      <c r="AJ35" s="63" t="str">
        <f aca="false">IF(COUNT(D35:L35)=0,"",IF(COUNTIF(D35:L35,"&lt;=2")&gt;=2,"AVOID","OK"))</f>
        <v>AVOID</v>
      </c>
      <c r="AK35" s="63" t="str">
        <f aca="false">IF(COUNTA(E35:M35)=0,"",IF(COUNTIF(E35:M35,"L")&gt;=2,"CAP AT BUY","OK"))</f>
        <v>OK</v>
      </c>
      <c r="AL35" s="85" t="s">
        <v>336</v>
      </c>
      <c r="AM35" s="78" t="s">
        <v>375</v>
      </c>
      <c r="AN35" s="78"/>
      <c r="AO35" s="63"/>
      <c r="AP35" s="78" t="str">
        <f aca="false">IF(OR(AN35="",AO35=""),"",IF(AN35&gt;AO35,"OK","LOW CONF"))</f>
        <v/>
      </c>
      <c r="AQ35" s="78"/>
      <c r="AR35" s="63"/>
      <c r="AS35" s="86" t="str">
        <f aca="false">IF(OR(AQ35="",AR35=""),"",IF(AQ35&lt;AR35,"Decreased",IF(AQ35&gt;AR35,"Increased","Flat")))</f>
        <v/>
      </c>
    </row>
    <row r="36" customFormat="false" ht="15" hidden="false" customHeight="true" outlineLevel="0" collapsed="false">
      <c r="A36" s="34" t="s">
        <v>270</v>
      </c>
      <c r="B36" s="78" t="s">
        <v>378</v>
      </c>
      <c r="C36" s="84" t="n">
        <v>46245</v>
      </c>
      <c r="D36" s="78" t="n">
        <v>5</v>
      </c>
      <c r="E36" s="78" t="s">
        <v>324</v>
      </c>
      <c r="F36" s="78" t="n">
        <v>4</v>
      </c>
      <c r="G36" s="78" t="s">
        <v>324</v>
      </c>
      <c r="H36" s="78" t="n">
        <v>4</v>
      </c>
      <c r="I36" s="78" t="s">
        <v>323</v>
      </c>
      <c r="J36" s="78" t="n">
        <v>4</v>
      </c>
      <c r="K36" s="78" t="s">
        <v>324</v>
      </c>
      <c r="L36" s="78" t="n">
        <v>4</v>
      </c>
      <c r="M36" s="78" t="s">
        <v>324</v>
      </c>
      <c r="N36" s="80" t="n">
        <f aca="false">IF(COUNT(D36,F36,H36,J36,L36)=0,"",(D36*0.2+F36*0.15+H36*0.15+J36*0.1+L36*0.1)/0.7)</f>
        <v>4.28571428571429</v>
      </c>
      <c r="O36" s="63" t="n">
        <f aca="false">IF(COUNT(D36,F36,H36,J36,L36)=0,"",D36*0.2+F36*0.15+H36*0.15+J36*0.1+L36*0.1)</f>
        <v>3</v>
      </c>
      <c r="P36" s="78"/>
      <c r="Q36" s="78"/>
      <c r="R36" s="78"/>
      <c r="S36" s="78"/>
      <c r="T36" s="78"/>
      <c r="U36" s="78"/>
      <c r="V36" s="78"/>
      <c r="W36" s="78"/>
      <c r="X36" s="37" t="str">
        <f aca="false">IF(COUNT(P36,R36,T36,V36)=0,"",P36*0.08+R36*0.06+T36*0.03+V36*0.08)</f>
        <v/>
      </c>
      <c r="Y36" s="78"/>
      <c r="Z36" s="78"/>
      <c r="AA36" s="78"/>
      <c r="AB36" s="78"/>
      <c r="AC36" s="78"/>
      <c r="AD36" s="78"/>
      <c r="AE36" s="37" t="str">
        <f aca="false">IF(COUNT(Y36,AA36,AC36)=0,"",Y36*0.02+AA36*0.02+AC36*0.01)</f>
        <v/>
      </c>
      <c r="AF36" s="63" t="str">
        <f aca="false">IF(OR(O36="",X36="",AE36=""),"",(O36+X36+AE36)*20)</f>
        <v/>
      </c>
      <c r="AG36" s="63" t="str">
        <f aca="false">IF(AF36="","",IF(AF36&gt;=80,"STRONG BUY",IF(AF36&gt;=65,"BUY",IF(AF36&gt;=50,"WATCH LIST",IF(AF36&gt;=35,"AVOID","PASS")))))</f>
        <v/>
      </c>
      <c r="AH36" s="63" t="str">
        <f aca="false">IF(N36="","",IF(N36&lt;3,"FAIL","OK"))</f>
        <v>OK</v>
      </c>
      <c r="AI36" s="63" t="str">
        <f aca="false">IF(COUNT(D36:L36)=0,"",IF(COUNTIF(D36:L36,1)&gt;0,"REVIEW","OK"))</f>
        <v>OK</v>
      </c>
      <c r="AJ36" s="63" t="str">
        <f aca="false">IF(COUNT(D36:L36)=0,"",IF(COUNTIF(D36:L36,"&lt;=2")&gt;=2,"AVOID","OK"))</f>
        <v>OK</v>
      </c>
      <c r="AK36" s="63" t="str">
        <f aca="false">IF(COUNTA(E36:M36)=0,"",IF(COUNTIF(E36:M36,"L")&gt;=2,"CAP AT BUY","OK"))</f>
        <v>OK</v>
      </c>
      <c r="AL36" s="85" t="s">
        <v>336</v>
      </c>
      <c r="AM36" s="78" t="s">
        <v>375</v>
      </c>
      <c r="AN36" s="78"/>
      <c r="AO36" s="63"/>
      <c r="AP36" s="78" t="str">
        <f aca="false">IF(OR(AN36="",AO36=""),"",IF(AN36&gt;AO36,"OK","LOW CONF"))</f>
        <v/>
      </c>
      <c r="AQ36" s="78"/>
      <c r="AR36" s="63"/>
      <c r="AS36" s="86" t="str">
        <f aca="false">IF(OR(AQ36="",AR36=""),"",IF(AQ36&lt;AR36,"Decreased",IF(AQ36&gt;AR36,"Increased","Flat")))</f>
        <v/>
      </c>
    </row>
    <row r="37" customFormat="false" ht="15" hidden="true" customHeight="true" outlineLevel="1" collapsed="false">
      <c r="A37" s="34" t="s">
        <v>253</v>
      </c>
      <c r="B37" s="78" t="s">
        <v>379</v>
      </c>
      <c r="C37" s="84" t="n">
        <v>46246</v>
      </c>
      <c r="D37" s="78" t="n">
        <v>1</v>
      </c>
      <c r="E37" s="78" t="s">
        <v>324</v>
      </c>
      <c r="F37" s="78" t="n">
        <v>1</v>
      </c>
      <c r="G37" s="78" t="s">
        <v>324</v>
      </c>
      <c r="H37" s="78" t="n">
        <v>3</v>
      </c>
      <c r="I37" s="78" t="s">
        <v>323</v>
      </c>
      <c r="J37" s="78" t="n">
        <v>2</v>
      </c>
      <c r="K37" s="78" t="s">
        <v>323</v>
      </c>
      <c r="L37" s="78" t="n">
        <v>1</v>
      </c>
      <c r="M37" s="78" t="s">
        <v>324</v>
      </c>
      <c r="N37" s="80" t="n">
        <f aca="false">IF(COUNT(D37,F37,H37,J37,L37)=0,"",(D37*0.2+F37*0.15+H37*0.15+J37*0.1+L37*0.1)/0.7)</f>
        <v>1.57142857142857</v>
      </c>
      <c r="O37" s="63" t="n">
        <f aca="false">IF(COUNT(D37,F37,H37,J37,L37)=0,"",D37*0.2+F37*0.15+H37*0.15+J37*0.1+L37*0.1)</f>
        <v>1.1</v>
      </c>
      <c r="P37" s="78"/>
      <c r="Q37" s="78"/>
      <c r="R37" s="78"/>
      <c r="S37" s="78"/>
      <c r="T37" s="78"/>
      <c r="U37" s="78"/>
      <c r="V37" s="78"/>
      <c r="W37" s="78"/>
      <c r="X37" s="37" t="str">
        <f aca="false">IF(COUNT(P37,R37,T37,V37)=0,"",P37*0.08+R37*0.06+T37*0.03+V37*0.08)</f>
        <v/>
      </c>
      <c r="Y37" s="78"/>
      <c r="Z37" s="78"/>
      <c r="AA37" s="78"/>
      <c r="AB37" s="78"/>
      <c r="AC37" s="78"/>
      <c r="AD37" s="78"/>
      <c r="AE37" s="37" t="str">
        <f aca="false">IF(COUNT(Y37,AA37,AC37)=0,"",Y37*0.02+AA37*0.02+AC37*0.01)</f>
        <v/>
      </c>
      <c r="AF37" s="63" t="str">
        <f aca="false">IF(OR(O37="",X37="",AE37=""),"",(O37+X37+AE37)*20)</f>
        <v/>
      </c>
      <c r="AG37" s="63" t="str">
        <f aca="false">IF(AF37="","",IF(AF37&gt;=80,"STRONG BUY",IF(AF37&gt;=65,"BUY",IF(AF37&gt;=50,"WATCH LIST",IF(AF37&gt;=35,"AVOID","PASS")))))</f>
        <v/>
      </c>
      <c r="AH37" s="63" t="str">
        <f aca="false">IF(N37="","",IF(N37&lt;3,"FAIL","OK"))</f>
        <v>FAIL</v>
      </c>
      <c r="AI37" s="63" t="str">
        <f aca="false">IF(COUNT(D37:L37)=0,"",IF(COUNTIF(D37:L37,1)&gt;0,"REVIEW","OK"))</f>
        <v>REVIEW</v>
      </c>
      <c r="AJ37" s="63" t="str">
        <f aca="false">IF(COUNT(D37:L37)=0,"",IF(COUNTIF(D37:L37,"&lt;=2")&gt;=2,"AVOID","OK"))</f>
        <v>AVOID</v>
      </c>
      <c r="AK37" s="63" t="str">
        <f aca="false">IF(COUNTA(E37:M37)=0,"",IF(COUNTIF(E37:M37,"L")&gt;=2,"CAP AT BUY","OK"))</f>
        <v>OK</v>
      </c>
      <c r="AL37" s="85" t="s">
        <v>336</v>
      </c>
      <c r="AM37" s="78" t="s">
        <v>337</v>
      </c>
      <c r="AN37" s="78"/>
      <c r="AO37" s="63"/>
      <c r="AP37" s="78" t="str">
        <f aca="false">IF(OR(AN37="",AO37=""),"",IF(AN37&gt;AO37,"OK","LOW CONF"))</f>
        <v/>
      </c>
      <c r="AQ37" s="78"/>
      <c r="AR37" s="63"/>
      <c r="AS37" s="86" t="str">
        <f aca="false">IF(OR(AQ37="",AR37=""),"",IF(AQ37&lt;AR37,"Decreased",IF(AQ37&gt;AR37,"Increased","Flat")))</f>
        <v/>
      </c>
    </row>
    <row r="38" customFormat="false" ht="15" hidden="true" customHeight="true" outlineLevel="1" collapsed="false">
      <c r="A38" s="34" t="s">
        <v>268</v>
      </c>
      <c r="B38" s="78" t="s">
        <v>380</v>
      </c>
      <c r="C38" s="84" t="n">
        <v>46246</v>
      </c>
      <c r="D38" s="78" t="n">
        <v>3</v>
      </c>
      <c r="E38" s="78" t="s">
        <v>323</v>
      </c>
      <c r="F38" s="78" t="n">
        <v>3</v>
      </c>
      <c r="G38" s="78" t="s">
        <v>323</v>
      </c>
      <c r="H38" s="78" t="n">
        <v>3</v>
      </c>
      <c r="I38" s="78" t="s">
        <v>323</v>
      </c>
      <c r="J38" s="78" t="n">
        <v>2</v>
      </c>
      <c r="K38" s="78" t="s">
        <v>323</v>
      </c>
      <c r="L38" s="78" t="n">
        <v>3</v>
      </c>
      <c r="M38" s="78" t="s">
        <v>323</v>
      </c>
      <c r="N38" s="80" t="n">
        <f aca="false">IF(COUNT(D38,F38,H38,J38,L38)=0,"",(D38*0.2+F38*0.15+H38*0.15+J38*0.1+L38*0.1)/0.7)</f>
        <v>2.85714285714286</v>
      </c>
      <c r="O38" s="63" t="n">
        <f aca="false">IF(COUNT(D38,F38,H38,J38,L38)=0,"",D38*0.2+F38*0.15+H38*0.15+J38*0.1+L38*0.1)</f>
        <v>2</v>
      </c>
      <c r="P38" s="78"/>
      <c r="Q38" s="78"/>
      <c r="R38" s="78"/>
      <c r="S38" s="78"/>
      <c r="T38" s="78"/>
      <c r="U38" s="78"/>
      <c r="V38" s="78"/>
      <c r="W38" s="78"/>
      <c r="X38" s="37" t="str">
        <f aca="false">IF(COUNT(P38,R38,T38,V38)=0,"",P38*0.08+R38*0.06+T38*0.03+V38*0.08)</f>
        <v/>
      </c>
      <c r="Y38" s="78"/>
      <c r="Z38" s="78"/>
      <c r="AA38" s="78"/>
      <c r="AB38" s="78"/>
      <c r="AC38" s="78"/>
      <c r="AD38" s="78"/>
      <c r="AE38" s="37" t="str">
        <f aca="false">IF(COUNT(Y38,AA38,AC38)=0,"",Y38*0.02+AA38*0.02+AC38*0.01)</f>
        <v/>
      </c>
      <c r="AF38" s="63" t="str">
        <f aca="false">IF(OR(O38="",X38="",AE38=""),"",(O38+X38+AE38)*20)</f>
        <v/>
      </c>
      <c r="AG38" s="63" t="str">
        <f aca="false">IF(AF38="","",IF(AF38&gt;=80,"STRONG BUY",IF(AF38&gt;=65,"BUY",IF(AF38&gt;=50,"WATCH LIST",IF(AF38&gt;=35,"AVOID","PASS")))))</f>
        <v/>
      </c>
      <c r="AH38" s="63" t="str">
        <f aca="false">IF(N38="","",IF(N38&lt;3,"FAIL","OK"))</f>
        <v>FAIL</v>
      </c>
      <c r="AI38" s="63" t="str">
        <f aca="false">IF(COUNT(D38:L38)=0,"",IF(COUNTIF(D38:L38,1)&gt;0,"REVIEW","OK"))</f>
        <v>OK</v>
      </c>
      <c r="AJ38" s="63" t="str">
        <f aca="false">IF(COUNT(D38:L38)=0,"",IF(COUNTIF(D38:L38,"&lt;=2")&gt;=2,"AVOID","OK"))</f>
        <v>OK</v>
      </c>
      <c r="AK38" s="63" t="str">
        <f aca="false">IF(COUNTA(E38:M38)=0,"",IF(COUNTIF(E38:M38,"L")&gt;=2,"CAP AT BUY","OK"))</f>
        <v>OK</v>
      </c>
      <c r="AL38" s="85" t="s">
        <v>336</v>
      </c>
      <c r="AM38" s="78" t="s">
        <v>381</v>
      </c>
      <c r="AN38" s="78"/>
      <c r="AO38" s="63"/>
      <c r="AP38" s="78" t="str">
        <f aca="false">IF(OR(AN38="",AO38=""),"",IF(AN38&gt;AO38,"OK","LOW CONF"))</f>
        <v/>
      </c>
      <c r="AQ38" s="78"/>
      <c r="AR38" s="63"/>
      <c r="AS38" s="86" t="str">
        <f aca="false">IF(OR(AQ38="",AR38=""),"",IF(AQ38&lt;AR38,"Decreased",IF(AQ38&gt;AR38,"Increased","Flat")))</f>
        <v/>
      </c>
    </row>
    <row r="39" customFormat="false" ht="15" hidden="true" customHeight="true" outlineLevel="1" collapsed="false">
      <c r="A39" s="34" t="s">
        <v>244</v>
      </c>
      <c r="B39" s="78" t="s">
        <v>382</v>
      </c>
      <c r="C39" s="84" t="n">
        <v>46246</v>
      </c>
      <c r="D39" s="78" t="n">
        <v>2</v>
      </c>
      <c r="E39" s="78" t="s">
        <v>325</v>
      </c>
      <c r="F39" s="78" t="n">
        <v>4</v>
      </c>
      <c r="G39" s="78" t="s">
        <v>324</v>
      </c>
      <c r="H39" s="78" t="n">
        <v>3</v>
      </c>
      <c r="I39" s="78" t="s">
        <v>323</v>
      </c>
      <c r="J39" s="78" t="n">
        <v>2</v>
      </c>
      <c r="K39" s="78" t="s">
        <v>323</v>
      </c>
      <c r="L39" s="78" t="n">
        <v>1</v>
      </c>
      <c r="M39" s="78" t="s">
        <v>324</v>
      </c>
      <c r="N39" s="80" t="n">
        <f aca="false">IF(COUNT(D39,F39,H39,J39,L39)=0,"",(D39*0.2+F39*0.15+H39*0.15+J39*0.1+L39*0.1)/0.7)</f>
        <v>2.5</v>
      </c>
      <c r="O39" s="63" t="n">
        <f aca="false">IF(COUNT(D39,F39,H39,J39,L39)=0,"",D39*0.2+F39*0.15+H39*0.15+J39*0.1+L39*0.1)</f>
        <v>1.75</v>
      </c>
      <c r="P39" s="78"/>
      <c r="Q39" s="78"/>
      <c r="R39" s="78"/>
      <c r="S39" s="78"/>
      <c r="T39" s="78"/>
      <c r="U39" s="78"/>
      <c r="V39" s="78"/>
      <c r="W39" s="78"/>
      <c r="X39" s="37" t="str">
        <f aca="false">IF(COUNT(P39,R39,T39,V39)=0,"",P39*0.08+R39*0.06+T39*0.03+V39*0.08)</f>
        <v/>
      </c>
      <c r="Y39" s="78"/>
      <c r="Z39" s="78"/>
      <c r="AA39" s="78"/>
      <c r="AB39" s="78"/>
      <c r="AC39" s="78"/>
      <c r="AD39" s="78"/>
      <c r="AE39" s="37" t="str">
        <f aca="false">IF(COUNT(Y39,AA39,AC39)=0,"",Y39*0.02+AA39*0.02+AC39*0.01)</f>
        <v/>
      </c>
      <c r="AF39" s="63" t="str">
        <f aca="false">IF(OR(O39="",X39="",AE39=""),"",(O39+X39+AE39)*20)</f>
        <v/>
      </c>
      <c r="AG39" s="63" t="str">
        <f aca="false">IF(AF39="","",IF(AF39&gt;=80,"STRONG BUY",IF(AF39&gt;=65,"BUY",IF(AF39&gt;=50,"WATCH LIST",IF(AF39&gt;=35,"AVOID","PASS")))))</f>
        <v/>
      </c>
      <c r="AH39" s="63" t="str">
        <f aca="false">IF(N39="","",IF(N39&lt;3,"FAIL","OK"))</f>
        <v>FAIL</v>
      </c>
      <c r="AI39" s="63" t="str">
        <f aca="false">IF(COUNT(D39:L39)=0,"",IF(COUNTIF(D39:L39,1)&gt;0,"REVIEW","OK"))</f>
        <v>REVIEW</v>
      </c>
      <c r="AJ39" s="63" t="str">
        <f aca="false">IF(COUNT(D39:L39)=0,"",IF(COUNTIF(D39:L39,"&lt;=2")&gt;=2,"AVOID","OK"))</f>
        <v>AVOID</v>
      </c>
      <c r="AK39" s="63" t="str">
        <f aca="false">IF(COUNTA(E39:M39)=0,"",IF(COUNTIF(E39:M39,"L")&gt;=2,"CAP AT BUY","OK"))</f>
        <v>OK</v>
      </c>
      <c r="AL39" s="85" t="s">
        <v>336</v>
      </c>
      <c r="AM39" s="78" t="s">
        <v>381</v>
      </c>
      <c r="AN39" s="78"/>
      <c r="AO39" s="63"/>
      <c r="AP39" s="78" t="str">
        <f aca="false">IF(OR(AN39="",AO39=""),"",IF(AN39&gt;AO39,"OK","LOW CONF"))</f>
        <v/>
      </c>
      <c r="AQ39" s="78"/>
      <c r="AR39" s="63"/>
      <c r="AS39" s="86" t="str">
        <f aca="false">IF(OR(AQ39="",AR39=""),"",IF(AQ39&lt;AR39,"Decreased",IF(AQ39&gt;AR39,"Increased","Flat")))</f>
        <v/>
      </c>
    </row>
    <row r="40" customFormat="false" ht="15" hidden="true" customHeight="true" outlineLevel="1" collapsed="false">
      <c r="A40" s="34" t="s">
        <v>220</v>
      </c>
      <c r="B40" s="78" t="s">
        <v>383</v>
      </c>
      <c r="C40" s="84" t="n">
        <v>46246</v>
      </c>
      <c r="D40" s="78" t="n">
        <v>1</v>
      </c>
      <c r="E40" s="78" t="s">
        <v>324</v>
      </c>
      <c r="F40" s="78" t="n">
        <v>1</v>
      </c>
      <c r="G40" s="78" t="s">
        <v>324</v>
      </c>
      <c r="H40" s="78" t="n">
        <v>2</v>
      </c>
      <c r="I40" s="78" t="s">
        <v>323</v>
      </c>
      <c r="J40" s="78" t="n">
        <v>2</v>
      </c>
      <c r="K40" s="78" t="s">
        <v>323</v>
      </c>
      <c r="L40" s="78" t="n">
        <v>1</v>
      </c>
      <c r="M40" s="78" t="s">
        <v>324</v>
      </c>
      <c r="N40" s="80" t="n">
        <f aca="false">IF(COUNT(D40,F40,H40,J40,L40)=0,"",(D40*0.2+F40*0.15+H40*0.15+J40*0.1+L40*0.1)/0.7)</f>
        <v>1.35714285714286</v>
      </c>
      <c r="O40" s="63" t="n">
        <f aca="false">IF(COUNT(D40,F40,H40,J40,L40)=0,"",D40*0.2+F40*0.15+H40*0.15+J40*0.1+L40*0.1)</f>
        <v>0.95</v>
      </c>
      <c r="P40" s="78"/>
      <c r="Q40" s="78"/>
      <c r="R40" s="78"/>
      <c r="S40" s="78"/>
      <c r="T40" s="78"/>
      <c r="U40" s="78"/>
      <c r="V40" s="78"/>
      <c r="W40" s="78"/>
      <c r="X40" s="37" t="str">
        <f aca="false">IF(COUNT(P40,R40,T40,V40)=0,"",P40*0.08+R40*0.06+T40*0.03+V40*0.08)</f>
        <v/>
      </c>
      <c r="Y40" s="78"/>
      <c r="Z40" s="78"/>
      <c r="AA40" s="78"/>
      <c r="AB40" s="78"/>
      <c r="AC40" s="78"/>
      <c r="AD40" s="78"/>
      <c r="AE40" s="37" t="str">
        <f aca="false">IF(COUNT(Y40,AA40,AC40)=0,"",Y40*0.02+AA40*0.02+AC40*0.01)</f>
        <v/>
      </c>
      <c r="AF40" s="63" t="str">
        <f aca="false">IF(OR(O40="",X40="",AE40=""),"",(O40+X40+AE40)*20)</f>
        <v/>
      </c>
      <c r="AG40" s="63" t="str">
        <f aca="false">IF(AF40="","",IF(AF40&gt;=80,"STRONG BUY",IF(AF40&gt;=65,"BUY",IF(AF40&gt;=50,"WATCH LIST",IF(AF40&gt;=35,"AVOID","PASS")))))</f>
        <v/>
      </c>
      <c r="AH40" s="63" t="str">
        <f aca="false">IF(N40="","",IF(N40&lt;3,"FAIL","OK"))</f>
        <v>FAIL</v>
      </c>
      <c r="AI40" s="63" t="str">
        <f aca="false">IF(COUNT(D40:L40)=0,"",IF(COUNTIF(D40:L40,1)&gt;0,"REVIEW","OK"))</f>
        <v>REVIEW</v>
      </c>
      <c r="AJ40" s="63" t="str">
        <f aca="false">IF(COUNT(D40:L40)=0,"",IF(COUNTIF(D40:L40,"&lt;=2")&gt;=2,"AVOID","OK"))</f>
        <v>AVOID</v>
      </c>
      <c r="AK40" s="63" t="str">
        <f aca="false">IF(COUNTA(E40:M40)=0,"",IF(COUNTIF(E40:M40,"L")&gt;=2,"CAP AT BUY","OK"))</f>
        <v>OK</v>
      </c>
      <c r="AL40" s="85" t="s">
        <v>336</v>
      </c>
      <c r="AM40" s="78" t="s">
        <v>384</v>
      </c>
      <c r="AN40" s="78"/>
      <c r="AO40" s="63"/>
      <c r="AP40" s="78" t="str">
        <f aca="false">IF(OR(AN40="",AO40=""),"",IF(AN40&gt;AO40,"OK","LOW CONF"))</f>
        <v/>
      </c>
      <c r="AQ40" s="78"/>
      <c r="AR40" s="63"/>
      <c r="AS40" s="86" t="str">
        <f aca="false">IF(OR(AQ40="",AR40=""),"",IF(AQ40&lt;AR40,"Decreased",IF(AQ40&gt;AR40,"Increased","Flat")))</f>
        <v/>
      </c>
    </row>
    <row r="41" customFormat="false" ht="15" hidden="true" customHeight="true" outlineLevel="1" collapsed="false">
      <c r="A41" s="34" t="s">
        <v>222</v>
      </c>
      <c r="B41" s="78" t="s">
        <v>385</v>
      </c>
      <c r="C41" s="84" t="n">
        <v>46246</v>
      </c>
      <c r="D41" s="78" t="n">
        <v>2</v>
      </c>
      <c r="E41" s="78" t="s">
        <v>323</v>
      </c>
      <c r="F41" s="78" t="n">
        <v>3</v>
      </c>
      <c r="G41" s="78" t="s">
        <v>324</v>
      </c>
      <c r="H41" s="78" t="n">
        <v>4</v>
      </c>
      <c r="I41" s="78" t="s">
        <v>323</v>
      </c>
      <c r="J41" s="78" t="n">
        <v>3</v>
      </c>
      <c r="K41" s="78" t="s">
        <v>323</v>
      </c>
      <c r="L41" s="78" t="n">
        <v>2</v>
      </c>
      <c r="M41" s="78" t="s">
        <v>324</v>
      </c>
      <c r="N41" s="80" t="n">
        <f aca="false">IF(COUNT(D41,F41,H41,J41,L41)=0,"",(D41*0.2+F41*0.15+H41*0.15+J41*0.1+L41*0.1)/0.7)</f>
        <v>2.78571428571429</v>
      </c>
      <c r="O41" s="63" t="n">
        <f aca="false">IF(COUNT(D41,F41,H41,J41,L41)=0,"",D41*0.2+F41*0.15+H41*0.15+J41*0.1+L41*0.1)</f>
        <v>1.95</v>
      </c>
      <c r="P41" s="78"/>
      <c r="Q41" s="78"/>
      <c r="R41" s="78"/>
      <c r="S41" s="78"/>
      <c r="T41" s="78"/>
      <c r="U41" s="78"/>
      <c r="V41" s="78"/>
      <c r="W41" s="78"/>
      <c r="X41" s="37" t="str">
        <f aca="false">IF(COUNT(P41,R41,T41,V41)=0,"",P41*0.08+R41*0.06+T41*0.03+V41*0.08)</f>
        <v/>
      </c>
      <c r="Y41" s="78"/>
      <c r="Z41" s="78"/>
      <c r="AA41" s="78"/>
      <c r="AB41" s="78"/>
      <c r="AC41" s="78"/>
      <c r="AD41" s="78"/>
      <c r="AE41" s="37" t="str">
        <f aca="false">IF(COUNT(Y41,AA41,AC41)=0,"",Y41*0.02+AA41*0.02+AC41*0.01)</f>
        <v/>
      </c>
      <c r="AF41" s="63" t="str">
        <f aca="false">IF(OR(O41="",X41="",AE41=""),"",(O41+X41+AE41)*20)</f>
        <v/>
      </c>
      <c r="AG41" s="63" t="str">
        <f aca="false">IF(AF41="","",IF(AF41&gt;=80,"STRONG BUY",IF(AF41&gt;=65,"BUY",IF(AF41&gt;=50,"WATCH LIST",IF(AF41&gt;=35,"AVOID","PASS")))))</f>
        <v/>
      </c>
      <c r="AH41" s="63" t="str">
        <f aca="false">IF(N41="","",IF(N41&lt;3,"FAIL","OK"))</f>
        <v>FAIL</v>
      </c>
      <c r="AI41" s="63" t="str">
        <f aca="false">IF(COUNT(D41:L41)=0,"",IF(COUNTIF(D41:L41,1)&gt;0,"REVIEW","OK"))</f>
        <v>OK</v>
      </c>
      <c r="AJ41" s="63" t="str">
        <f aca="false">IF(COUNT(D41:L41)=0,"",IF(COUNTIF(D41:L41,"&lt;=2")&gt;=2,"AVOID","OK"))</f>
        <v>AVOID</v>
      </c>
      <c r="AK41" s="63" t="str">
        <f aca="false">IF(COUNTA(E41:M41)=0,"",IF(COUNTIF(E41:M41,"L")&gt;=2,"CAP AT BUY","OK"))</f>
        <v>OK</v>
      </c>
      <c r="AL41" s="85" t="s">
        <v>336</v>
      </c>
      <c r="AM41" s="78" t="s">
        <v>386</v>
      </c>
      <c r="AN41" s="78"/>
      <c r="AO41" s="63"/>
      <c r="AP41" s="78" t="str">
        <f aca="false">IF(OR(AN41="",AO41=""),"",IF(AN41&gt;AO41,"OK","LOW CONF"))</f>
        <v/>
      </c>
      <c r="AQ41" s="78"/>
      <c r="AR41" s="63"/>
      <c r="AS41" s="86" t="str">
        <f aca="false">IF(OR(AQ41="",AR41=""),"",IF(AQ41&lt;AR41,"Decreased",IF(AQ41&gt;AR41,"Increased","Flat")))</f>
        <v/>
      </c>
    </row>
    <row r="42" customFormat="false" ht="15" hidden="false" customHeight="true" outlineLevel="0" collapsed="false">
      <c r="A42" s="34" t="s">
        <v>240</v>
      </c>
      <c r="B42" s="78" t="s">
        <v>387</v>
      </c>
      <c r="C42" s="84" t="n">
        <v>46246</v>
      </c>
      <c r="D42" s="78" t="n">
        <v>4</v>
      </c>
      <c r="E42" s="78" t="s">
        <v>324</v>
      </c>
      <c r="F42" s="78" t="n">
        <v>3</v>
      </c>
      <c r="G42" s="78" t="s">
        <v>324</v>
      </c>
      <c r="H42" s="78" t="n">
        <v>3</v>
      </c>
      <c r="I42" s="78" t="s">
        <v>323</v>
      </c>
      <c r="J42" s="78" t="n">
        <v>3</v>
      </c>
      <c r="K42" s="78" t="s">
        <v>323</v>
      </c>
      <c r="L42" s="78" t="n">
        <v>4</v>
      </c>
      <c r="M42" s="78" t="s">
        <v>324</v>
      </c>
      <c r="N42" s="80" t="n">
        <f aca="false">IF(COUNT(D42,F42,H42,J42,L42)=0,"",(D42*0.2+F42*0.15+H42*0.15+J42*0.1+L42*0.1)/0.7)</f>
        <v>3.42857142857143</v>
      </c>
      <c r="O42" s="63" t="n">
        <f aca="false">IF(COUNT(D42,F42,H42,J42,L42)=0,"",D42*0.2+F42*0.15+H42*0.15+J42*0.1+L42*0.1)</f>
        <v>2.4</v>
      </c>
      <c r="P42" s="78"/>
      <c r="Q42" s="78"/>
      <c r="R42" s="78"/>
      <c r="S42" s="78"/>
      <c r="T42" s="78"/>
      <c r="U42" s="78"/>
      <c r="V42" s="78"/>
      <c r="W42" s="78"/>
      <c r="X42" s="37" t="str">
        <f aca="false">IF(COUNT(P42,R42,T42,V42)=0,"",P42*0.08+R42*0.06+T42*0.03+V42*0.08)</f>
        <v/>
      </c>
      <c r="Y42" s="78"/>
      <c r="Z42" s="78"/>
      <c r="AA42" s="78"/>
      <c r="AB42" s="78"/>
      <c r="AC42" s="78"/>
      <c r="AD42" s="78"/>
      <c r="AE42" s="37" t="str">
        <f aca="false">IF(COUNT(Y42,AA42,AC42)=0,"",Y42*0.02+AA42*0.02+AC42*0.01)</f>
        <v/>
      </c>
      <c r="AF42" s="63" t="str">
        <f aca="false">IF(OR(O42="",X42="",AE42=""),"",(O42+X42+AE42)*20)</f>
        <v/>
      </c>
      <c r="AG42" s="63" t="str">
        <f aca="false">IF(AF42="","",IF(AF42&gt;=80,"STRONG BUY",IF(AF42&gt;=65,"BUY",IF(AF42&gt;=50,"WATCH LIST",IF(AF42&gt;=35,"AVOID","PASS")))))</f>
        <v/>
      </c>
      <c r="AH42" s="63" t="str">
        <f aca="false">IF(N42="","",IF(N42&lt;3,"FAIL","OK"))</f>
        <v>OK</v>
      </c>
      <c r="AI42" s="63" t="str">
        <f aca="false">IF(COUNT(D42:L42)=0,"",IF(COUNTIF(D42:L42,1)&gt;0,"REVIEW","OK"))</f>
        <v>OK</v>
      </c>
      <c r="AJ42" s="63" t="str">
        <f aca="false">IF(COUNT(D42:L42)=0,"",IF(COUNTIF(D42:L42,"&lt;=2")&gt;=2,"AVOID","OK"))</f>
        <v>OK</v>
      </c>
      <c r="AK42" s="63" t="str">
        <f aca="false">IF(COUNTA(E42:M42)=0,"",IF(COUNTIF(E42:M42,"L")&gt;=2,"CAP AT BUY","OK"))</f>
        <v>OK</v>
      </c>
      <c r="AL42" s="85" t="s">
        <v>336</v>
      </c>
      <c r="AM42" s="78" t="s">
        <v>386</v>
      </c>
      <c r="AN42" s="78"/>
      <c r="AO42" s="63"/>
      <c r="AP42" s="78" t="str">
        <f aca="false">IF(OR(AN42="",AO42=""),"",IF(AN42&gt;AO42,"OK","LOW CONF"))</f>
        <v/>
      </c>
      <c r="AQ42" s="78"/>
      <c r="AR42" s="63"/>
      <c r="AS42" s="86" t="str">
        <f aca="false">IF(OR(AQ42="",AR42=""),"",IF(AQ42&lt;AR42,"Decreased",IF(AQ42&gt;AR42,"Increased","Flat")))</f>
        <v/>
      </c>
    </row>
    <row r="43" customFormat="false" ht="15" hidden="false" customHeight="true" outlineLevel="0" collapsed="false">
      <c r="A43" s="34" t="s">
        <v>242</v>
      </c>
      <c r="B43" s="78" t="s">
        <v>388</v>
      </c>
      <c r="C43" s="84" t="n">
        <v>46247</v>
      </c>
      <c r="D43" s="78" t="n">
        <v>3</v>
      </c>
      <c r="E43" s="78" t="s">
        <v>323</v>
      </c>
      <c r="F43" s="78" t="n">
        <v>5</v>
      </c>
      <c r="G43" s="78" t="s">
        <v>323</v>
      </c>
      <c r="H43" s="78" t="n">
        <v>5</v>
      </c>
      <c r="I43" s="78" t="s">
        <v>323</v>
      </c>
      <c r="J43" s="78" t="n">
        <v>4</v>
      </c>
      <c r="K43" s="78" t="s">
        <v>323</v>
      </c>
      <c r="L43" s="78" t="n">
        <v>2</v>
      </c>
      <c r="M43" s="78" t="s">
        <v>323</v>
      </c>
      <c r="N43" s="80" t="n">
        <f aca="false">IF(COUNT(D43,F43,H43,J43,L43)=0,"",(D43*0.2+F43*0.15+H43*0.15+J43*0.1+L43*0.1)/0.7)</f>
        <v>3.85714285714286</v>
      </c>
      <c r="O43" s="63" t="n">
        <f aca="false">IF(COUNT(D43,F43,H43,J43,L43)=0,"",D43*0.2+F43*0.15+H43*0.15+J43*0.1+L43*0.1)</f>
        <v>2.7</v>
      </c>
      <c r="P43" s="78"/>
      <c r="Q43" s="78"/>
      <c r="R43" s="78"/>
      <c r="S43" s="78"/>
      <c r="T43" s="78"/>
      <c r="U43" s="78"/>
      <c r="V43" s="78"/>
      <c r="W43" s="78"/>
      <c r="X43" s="37" t="str">
        <f aca="false">IF(COUNT(P43,R43,T43,V43)=0,"",P43*0.08+R43*0.06+T43*0.03+V43*0.08)</f>
        <v/>
      </c>
      <c r="Y43" s="78"/>
      <c r="Z43" s="78"/>
      <c r="AA43" s="78" t="n">
        <v>4</v>
      </c>
      <c r="AB43" s="78" t="s">
        <v>323</v>
      </c>
      <c r="AC43" s="78"/>
      <c r="AD43" s="78"/>
      <c r="AE43" s="37" t="n">
        <f aca="false">IF(COUNT(Y43,AA43,AC43)=0,"",Y43*0.02+AA43*0.02+AC43*0.01)</f>
        <v>0.08</v>
      </c>
      <c r="AF43" s="63" t="str">
        <f aca="false">IF(OR(O43="",X43="",AE43=""),"",(O43+X43+AE43)*20)</f>
        <v/>
      </c>
      <c r="AG43" s="63" t="str">
        <f aca="false">IF(AF43="","",IF(AF43&gt;=80,"STRONG BUY",IF(AF43&gt;=65,"BUY",IF(AF43&gt;=50,"WATCH LIST",IF(AF43&gt;=35,"AVOID","PASS")))))</f>
        <v/>
      </c>
      <c r="AH43" s="63" t="str">
        <f aca="false">IF(N43="","",IF(N43&lt;3,"FAIL","OK"))</f>
        <v>OK</v>
      </c>
      <c r="AI43" s="63" t="str">
        <f aca="false">IF(COUNT(D43:L43)=0,"",IF(COUNTIF(D43:L43,1)&gt;0,"REVIEW","OK"))</f>
        <v>OK</v>
      </c>
      <c r="AJ43" s="63" t="str">
        <f aca="false">IF(COUNT(D43:L43)=0,"",IF(COUNTIF(D43:L43,"&lt;=2")&gt;=2,"AVOID","OK"))</f>
        <v>OK</v>
      </c>
      <c r="AK43" s="63" t="str">
        <f aca="false">IF(COUNTA(E43:M43)=0,"",IF(COUNTIF(E43:M43,"L")&gt;=2,"CAP AT BUY","OK"))</f>
        <v>OK</v>
      </c>
      <c r="AL43" s="85" t="s">
        <v>343</v>
      </c>
      <c r="AM43" s="78" t="s">
        <v>389</v>
      </c>
      <c r="AN43" s="78"/>
      <c r="AO43" s="63"/>
      <c r="AP43" s="78" t="str">
        <f aca="false">IF(OR(AN43="",AO43=""),"",IF(AN43&gt;AO43,"OK","LOW CONF"))</f>
        <v/>
      </c>
      <c r="AQ43" s="78"/>
      <c r="AR43" s="63"/>
      <c r="AS43" s="86" t="str">
        <f aca="false">IF(OR(AQ43="",AR43=""),"",IF(AQ43&lt;AR43,"Decreased",IF(AQ43&gt;AR43,"Increased","Flat")))</f>
        <v/>
      </c>
    </row>
    <row r="44" customFormat="false" ht="15" hidden="false" customHeight="true" outlineLevel="0" collapsed="false">
      <c r="A44" s="34" t="s">
        <v>262</v>
      </c>
      <c r="B44" s="78" t="s">
        <v>390</v>
      </c>
      <c r="C44" s="84" t="n">
        <v>46247</v>
      </c>
      <c r="D44" s="78" t="n">
        <v>4</v>
      </c>
      <c r="E44" s="78" t="s">
        <v>323</v>
      </c>
      <c r="F44" s="78" t="n">
        <v>3</v>
      </c>
      <c r="G44" s="78" t="s">
        <v>323</v>
      </c>
      <c r="H44" s="78" t="n">
        <v>3</v>
      </c>
      <c r="I44" s="78" t="s">
        <v>323</v>
      </c>
      <c r="J44" s="78" t="n">
        <v>2</v>
      </c>
      <c r="K44" s="78" t="s">
        <v>323</v>
      </c>
      <c r="L44" s="78" t="n">
        <v>4</v>
      </c>
      <c r="M44" s="78" t="s">
        <v>323</v>
      </c>
      <c r="N44" s="80" t="n">
        <f aca="false">IF(COUNT(D44,F44,H44,J44,L44)=0,"",(D44*0.2+F44*0.15+H44*0.15+J44*0.1+L44*0.1)/0.7)</f>
        <v>3.28571428571429</v>
      </c>
      <c r="O44" s="63" t="n">
        <f aca="false">IF(COUNT(D44,F44,H44,J44,L44)=0,"",D44*0.2+F44*0.15+H44*0.15+J44*0.1+L44*0.1)</f>
        <v>2.3</v>
      </c>
      <c r="P44" s="78"/>
      <c r="Q44" s="78"/>
      <c r="R44" s="78"/>
      <c r="S44" s="78"/>
      <c r="T44" s="78"/>
      <c r="U44" s="78"/>
      <c r="V44" s="78"/>
      <c r="W44" s="78"/>
      <c r="X44" s="37" t="str">
        <f aca="false">IF(COUNT(P44,R44,T44,V44)=0,"",P44*0.08+R44*0.06+T44*0.03+V44*0.08)</f>
        <v/>
      </c>
      <c r="Y44" s="78"/>
      <c r="Z44" s="78"/>
      <c r="AA44" s="78" t="n">
        <v>4</v>
      </c>
      <c r="AB44" s="78" t="s">
        <v>323</v>
      </c>
      <c r="AC44" s="78"/>
      <c r="AD44" s="78"/>
      <c r="AE44" s="37" t="n">
        <f aca="false">IF(COUNT(Y44,AA44,AC44)=0,"",Y44*0.02+AA44*0.02+AC44*0.01)</f>
        <v>0.08</v>
      </c>
      <c r="AF44" s="63" t="str">
        <f aca="false">IF(OR(O44="",X44="",AE44=""),"",(O44+X44+AE44)*20)</f>
        <v/>
      </c>
      <c r="AG44" s="63" t="str">
        <f aca="false">IF(AF44="","",IF(AF44&gt;=80,"STRONG BUY",IF(AF44&gt;=65,"BUY",IF(AF44&gt;=50,"WATCH LIST",IF(AF44&gt;=35,"AVOID","PASS")))))</f>
        <v/>
      </c>
      <c r="AH44" s="63" t="str">
        <f aca="false">IF(N44="","",IF(N44&lt;3,"FAIL","OK"))</f>
        <v>OK</v>
      </c>
      <c r="AI44" s="63" t="str">
        <f aca="false">IF(COUNT(D44:L44)=0,"",IF(COUNTIF(D44:L44,1)&gt;0,"REVIEW","OK"))</f>
        <v>OK</v>
      </c>
      <c r="AJ44" s="63" t="str">
        <f aca="false">IF(COUNT(D44:L44)=0,"",IF(COUNTIF(D44:L44,"&lt;=2")&gt;=2,"AVOID","OK"))</f>
        <v>OK</v>
      </c>
      <c r="AK44" s="63" t="str">
        <f aca="false">IF(COUNTA(E44:M44)=0,"",IF(COUNTIF(E44:M44,"L")&gt;=2,"CAP AT BUY","OK"))</f>
        <v>OK</v>
      </c>
      <c r="AL44" s="85" t="s">
        <v>343</v>
      </c>
      <c r="AM44" s="78" t="s">
        <v>391</v>
      </c>
      <c r="AN44" s="78"/>
      <c r="AO44" s="63"/>
      <c r="AP44" s="78" t="str">
        <f aca="false">IF(OR(AN44="",AO44=""),"",IF(AN44&gt;AO44,"OK","LOW CONF"))</f>
        <v/>
      </c>
      <c r="AQ44" s="78"/>
      <c r="AR44" s="63"/>
      <c r="AS44" s="86" t="str">
        <f aca="false">IF(OR(AQ44="",AR44=""),"",IF(AQ44&lt;AR44,"Decreased",IF(AQ44&gt;AR44,"Increased","Flat")))</f>
        <v/>
      </c>
    </row>
    <row r="45" customFormat="false" ht="15" hidden="false" customHeight="true" outlineLevel="0" collapsed="false">
      <c r="A45" s="34" t="s">
        <v>238</v>
      </c>
      <c r="B45" s="78" t="s">
        <v>392</v>
      </c>
      <c r="C45" s="84" t="n">
        <v>46247</v>
      </c>
      <c r="D45" s="78" t="n">
        <v>4</v>
      </c>
      <c r="E45" s="78" t="s">
        <v>323</v>
      </c>
      <c r="F45" s="78" t="n">
        <v>3</v>
      </c>
      <c r="G45" s="78" t="s">
        <v>323</v>
      </c>
      <c r="H45" s="78" t="n">
        <v>4</v>
      </c>
      <c r="I45" s="78" t="s">
        <v>323</v>
      </c>
      <c r="J45" s="78" t="n">
        <v>3</v>
      </c>
      <c r="K45" s="78" t="s">
        <v>323</v>
      </c>
      <c r="L45" s="78" t="n">
        <v>3</v>
      </c>
      <c r="M45" s="78" t="s">
        <v>323</v>
      </c>
      <c r="N45" s="80" t="n">
        <f aca="false">IF(COUNT(D45,F45,H45,J45,L45)=0,"",(D45*0.2+F45*0.15+H45*0.15+J45*0.1+L45*0.1)/0.7)</f>
        <v>3.5</v>
      </c>
      <c r="O45" s="63" t="n">
        <f aca="false">IF(COUNT(D45,F45,H45,J45,L45)=0,"",D45*0.2+F45*0.15+H45*0.15+J45*0.1+L45*0.1)</f>
        <v>2.45</v>
      </c>
      <c r="P45" s="78"/>
      <c r="Q45" s="78"/>
      <c r="R45" s="78"/>
      <c r="S45" s="78"/>
      <c r="T45" s="78"/>
      <c r="U45" s="78"/>
      <c r="V45" s="78"/>
      <c r="W45" s="78"/>
      <c r="X45" s="37" t="str">
        <f aca="false">IF(COUNT(P45,R45,T45,V45)=0,"",P45*0.08+R45*0.06+T45*0.03+V45*0.08)</f>
        <v/>
      </c>
      <c r="Y45" s="78"/>
      <c r="Z45" s="78"/>
      <c r="AA45" s="78" t="n">
        <v>4</v>
      </c>
      <c r="AB45" s="78" t="s">
        <v>323</v>
      </c>
      <c r="AC45" s="78"/>
      <c r="AD45" s="78"/>
      <c r="AE45" s="37" t="n">
        <f aca="false">IF(COUNT(Y45,AA45,AC45)=0,"",Y45*0.02+AA45*0.02+AC45*0.01)</f>
        <v>0.08</v>
      </c>
      <c r="AF45" s="63" t="str">
        <f aca="false">IF(OR(O45="",X45="",AE45=""),"",(O45+X45+AE45)*20)</f>
        <v/>
      </c>
      <c r="AG45" s="63" t="str">
        <f aca="false">IF(AF45="","",IF(AF45&gt;=80,"STRONG BUY",IF(AF45&gt;=65,"BUY",IF(AF45&gt;=50,"WATCH LIST",IF(AF45&gt;=35,"AVOID","PASS")))))</f>
        <v/>
      </c>
      <c r="AH45" s="63" t="str">
        <f aca="false">IF(N45="","",IF(N45&lt;3,"FAIL","OK"))</f>
        <v>OK</v>
      </c>
      <c r="AI45" s="63" t="str">
        <f aca="false">IF(COUNT(D45:L45)=0,"",IF(COUNTIF(D45:L45,1)&gt;0,"REVIEW","OK"))</f>
        <v>OK</v>
      </c>
      <c r="AJ45" s="63" t="str">
        <f aca="false">IF(COUNT(D45:L45)=0,"",IF(COUNTIF(D45:L45,"&lt;=2")&gt;=2,"AVOID","OK"))</f>
        <v>OK</v>
      </c>
      <c r="AK45" s="63" t="str">
        <f aca="false">IF(COUNTA(E45:M45)=0,"",IF(COUNTIF(E45:M45,"L")&gt;=2,"CAP AT BUY","OK"))</f>
        <v>OK</v>
      </c>
      <c r="AL45" s="85" t="s">
        <v>343</v>
      </c>
      <c r="AM45" s="78" t="s">
        <v>391</v>
      </c>
      <c r="AN45" s="78"/>
      <c r="AO45" s="63"/>
      <c r="AP45" s="78" t="str">
        <f aca="false">IF(OR(AN45="",AO45=""),"",IF(AN45&gt;AO45,"OK","LOW CONF"))</f>
        <v/>
      </c>
      <c r="AQ45" s="78"/>
      <c r="AR45" s="63"/>
      <c r="AS45" s="86" t="str">
        <f aca="false">IF(OR(AQ45="",AR45=""),"",IF(AQ45&lt;AR45,"Decreased",IF(AQ45&gt;AR45,"Increased","Flat")))</f>
        <v/>
      </c>
    </row>
    <row r="46" customFormat="false" ht="15" hidden="true" customHeight="true" outlineLevel="1" collapsed="false">
      <c r="A46" s="34" t="s">
        <v>231</v>
      </c>
      <c r="B46" s="78" t="s">
        <v>393</v>
      </c>
      <c r="C46" s="84" t="n">
        <v>46258</v>
      </c>
      <c r="D46" s="78" t="n">
        <v>4</v>
      </c>
      <c r="E46" s="78" t="s">
        <v>323</v>
      </c>
      <c r="F46" s="78" t="n">
        <v>2</v>
      </c>
      <c r="G46" s="78" t="s">
        <v>323</v>
      </c>
      <c r="H46" s="78" t="n">
        <v>3</v>
      </c>
      <c r="I46" s="78" t="s">
        <v>323</v>
      </c>
      <c r="J46" s="78" t="n">
        <v>2</v>
      </c>
      <c r="K46" s="78" t="s">
        <v>323</v>
      </c>
      <c r="L46" s="78" t="n">
        <v>3</v>
      </c>
      <c r="M46" s="78" t="s">
        <v>323</v>
      </c>
      <c r="N46" s="80" t="n">
        <f aca="false">IF(COUNT(D46,F46,H46,J46,L46)=0,"",(D46*0.2+F46*0.15+H46*0.15+J46*0.1+L46*0.1)/0.7)</f>
        <v>2.92857142857143</v>
      </c>
      <c r="O46" s="63" t="n">
        <f aca="false">IF(COUNT(D46,F46,H46,J46,L46)=0,"",D46*0.2+F46*0.15+H46*0.15+J46*0.1+L46*0.1)</f>
        <v>2.05</v>
      </c>
      <c r="P46" s="78"/>
      <c r="Q46" s="78"/>
      <c r="R46" s="78"/>
      <c r="S46" s="78"/>
      <c r="T46" s="78"/>
      <c r="U46" s="78"/>
      <c r="V46" s="78"/>
      <c r="W46" s="78"/>
      <c r="X46" s="37" t="str">
        <f aca="false">IF(COUNT(P46,R46,T46,V46)=0,"",P46*0.08+R46*0.06+T46*0.03+V46*0.08)</f>
        <v/>
      </c>
      <c r="Y46" s="78"/>
      <c r="Z46" s="78"/>
      <c r="AA46" s="78"/>
      <c r="AB46" s="78"/>
      <c r="AC46" s="78"/>
      <c r="AD46" s="78"/>
      <c r="AE46" s="37" t="str">
        <f aca="false">IF(COUNT(Y46,AA46,AC46)=0,"",Y46*0.02+AA46*0.02+AC46*0.01)</f>
        <v/>
      </c>
      <c r="AF46" s="63" t="str">
        <f aca="false">IF(OR(O46="",X46="",AE46=""),"",(O46+X46+AE46)*20)</f>
        <v/>
      </c>
      <c r="AG46" s="63" t="str">
        <f aca="false">IF(AF46="","",IF(AF46&gt;=80,"STRONG BUY",IF(AF46&gt;=65,"BUY",IF(AF46&gt;=50,"WATCH LIST",IF(AF46&gt;=35,"AVOID","PASS")))))</f>
        <v/>
      </c>
      <c r="AH46" s="63" t="str">
        <f aca="false">IF(N46="","",IF(N46&lt;3,"FAIL","OK"))</f>
        <v>FAIL</v>
      </c>
      <c r="AI46" s="63" t="str">
        <f aca="false">IF(COUNT(D46:L46)=0,"",IF(COUNTIF(D46:L46,1)&gt;0,"REVIEW","OK"))</f>
        <v>OK</v>
      </c>
      <c r="AJ46" s="63" t="str">
        <f aca="false">IF(COUNT(D46:L46)=0,"",IF(COUNTIF(D46:L46,"&lt;=2")&gt;=2,"AVOID","OK"))</f>
        <v>AVOID</v>
      </c>
      <c r="AK46" s="63" t="str">
        <f aca="false">IF(COUNTA(E46:M46)=0,"",IF(COUNTIF(E46:M46,"L")&gt;=2,"CAP AT BUY","OK"))</f>
        <v>OK</v>
      </c>
      <c r="AL46" s="85" t="s">
        <v>394</v>
      </c>
      <c r="AM46" s="78" t="s">
        <v>395</v>
      </c>
      <c r="AN46" s="78"/>
      <c r="AO46" s="63"/>
      <c r="AP46" s="78" t="str">
        <f aca="false">IF(OR(AN46="",AO46=""),"",IF(AN46&gt;AO46,"OK","LOW CONF"))</f>
        <v/>
      </c>
      <c r="AQ46" s="78"/>
      <c r="AR46" s="63"/>
      <c r="AS46" s="86" t="str">
        <f aca="false">IF(OR(AQ46="",AR46=""),"",IF(AQ46&lt;AR46,"Decreased",IF(AQ46&gt;AR46,"Increased","Flat")))</f>
        <v/>
      </c>
    </row>
    <row r="47" customFormat="false" ht="15" hidden="false" customHeight="true" outlineLevel="0" collapsed="false">
      <c r="A47" s="34" t="s">
        <v>251</v>
      </c>
      <c r="B47" s="78" t="s">
        <v>396</v>
      </c>
      <c r="C47" s="84" t="n">
        <v>46258</v>
      </c>
      <c r="D47" s="78" t="n">
        <v>4</v>
      </c>
      <c r="E47" s="78" t="s">
        <v>323</v>
      </c>
      <c r="F47" s="78" t="n">
        <v>4</v>
      </c>
      <c r="G47" s="78" t="s">
        <v>323</v>
      </c>
      <c r="H47" s="78" t="n">
        <v>5</v>
      </c>
      <c r="I47" s="78" t="s">
        <v>323</v>
      </c>
      <c r="J47" s="78" t="n">
        <v>4</v>
      </c>
      <c r="K47" s="78" t="s">
        <v>323</v>
      </c>
      <c r="L47" s="78" t="n">
        <v>4</v>
      </c>
      <c r="M47" s="78" t="s">
        <v>323</v>
      </c>
      <c r="N47" s="80" t="n">
        <f aca="false">IF(COUNT(D47,F47,H47,J47,L47)=0,"",(D47*0.2+F47*0.15+H47*0.15+J47*0.1+L47*0.1)/0.7)</f>
        <v>4.21428571428571</v>
      </c>
      <c r="O47" s="63" t="n">
        <f aca="false">IF(COUNT(D47,F47,H47,J47,L47)=0,"",D47*0.2+F47*0.15+H47*0.15+J47*0.1+L47*0.1)</f>
        <v>2.95</v>
      </c>
      <c r="P47" s="78"/>
      <c r="Q47" s="78"/>
      <c r="R47" s="78"/>
      <c r="S47" s="78"/>
      <c r="T47" s="78"/>
      <c r="U47" s="78"/>
      <c r="V47" s="78"/>
      <c r="W47" s="78"/>
      <c r="X47" s="37" t="str">
        <f aca="false">IF(COUNT(P47,R47,T47,V47)=0,"",P47*0.08+R47*0.06+T47*0.03+V47*0.08)</f>
        <v/>
      </c>
      <c r="Y47" s="78"/>
      <c r="Z47" s="78"/>
      <c r="AA47" s="78"/>
      <c r="AB47" s="78"/>
      <c r="AC47" s="78"/>
      <c r="AD47" s="78"/>
      <c r="AE47" s="37" t="str">
        <f aca="false">IF(COUNT(Y47,AA47,AC47)=0,"",Y47*0.02+AA47*0.02+AC47*0.01)</f>
        <v/>
      </c>
      <c r="AF47" s="63" t="str">
        <f aca="false">IF(OR(O47="",X47="",AE47=""),"",(O47+X47+AE47)*20)</f>
        <v/>
      </c>
      <c r="AG47" s="63" t="str">
        <f aca="false">IF(AF47="","",IF(AF47&gt;=80,"STRONG BUY",IF(AF47&gt;=65,"BUY",IF(AF47&gt;=50,"WATCH LIST",IF(AF47&gt;=35,"AVOID","PASS")))))</f>
        <v/>
      </c>
      <c r="AH47" s="63" t="str">
        <f aca="false">IF(N47="","",IF(N47&lt;3,"FAIL","OK"))</f>
        <v>OK</v>
      </c>
      <c r="AI47" s="63" t="str">
        <f aca="false">IF(COUNT(D47:L47)=0,"",IF(COUNTIF(D47:L47,1)&gt;0,"REVIEW","OK"))</f>
        <v>OK</v>
      </c>
      <c r="AJ47" s="63" t="str">
        <f aca="false">IF(COUNT(D47:L47)=0,"",IF(COUNTIF(D47:L47,"&lt;=2")&gt;=2,"AVOID","OK"))</f>
        <v>OK</v>
      </c>
      <c r="AK47" s="63" t="str">
        <f aca="false">IF(COUNTA(E47:M47)=0,"",IF(COUNTIF(E47:M47,"L")&gt;=2,"CAP AT BUY","OK"))</f>
        <v>OK</v>
      </c>
      <c r="AL47" s="85" t="s">
        <v>394</v>
      </c>
      <c r="AM47" s="78" t="s">
        <v>395</v>
      </c>
      <c r="AN47" s="78"/>
      <c r="AO47" s="63"/>
      <c r="AP47" s="78" t="str">
        <f aca="false">IF(OR(AN47="",AO47=""),"",IF(AN47&gt;AO47,"OK","LOW CONF"))</f>
        <v/>
      </c>
      <c r="AQ47" s="78"/>
      <c r="AR47" s="63"/>
      <c r="AS47" s="86" t="str">
        <f aca="false">IF(OR(AQ47="",AR47=""),"",IF(AQ47&lt;AR47,"Decreased",IF(AQ47&gt;AR47,"Increased","Flat")))</f>
        <v/>
      </c>
    </row>
    <row r="48" customFormat="false" ht="15" hidden="false" customHeight="true" outlineLevel="0" collapsed="false">
      <c r="A48" s="34"/>
      <c r="B48" s="78"/>
      <c r="C48" s="78"/>
      <c r="D48" s="78"/>
      <c r="E48" s="78"/>
      <c r="F48" s="78"/>
      <c r="G48" s="78"/>
      <c r="H48" s="78"/>
      <c r="I48" s="78"/>
      <c r="J48" s="78"/>
      <c r="K48" s="78"/>
      <c r="L48" s="78"/>
      <c r="M48" s="78"/>
      <c r="N48" s="80" t="str">
        <f aca="false">IF(COUNT(D48,F48,H48,J48,L48)=0,"",(D48*0.2+F48*0.15+H48*0.15+J48*0.1+L48*0.1)/0.7)</f>
        <v/>
      </c>
      <c r="O48" s="63" t="str">
        <f aca="false">IF(COUNT(D48,F48,H48,J48,L48)=0,"",D48*0.2+F48*0.15+H48*0.15+J48*0.1+L48*0.1)</f>
        <v/>
      </c>
      <c r="P48" s="78"/>
      <c r="Q48" s="78"/>
      <c r="R48" s="78"/>
      <c r="S48" s="78"/>
      <c r="T48" s="78"/>
      <c r="U48" s="78"/>
      <c r="V48" s="78"/>
      <c r="W48" s="78"/>
      <c r="X48" s="37" t="str">
        <f aca="false">IF(COUNT(P48,R48,T48,V48)=0,"",P48*0.08+R48*0.06+T48*0.03+V48*0.08)</f>
        <v/>
      </c>
      <c r="Y48" s="78"/>
      <c r="Z48" s="78"/>
      <c r="AA48" s="78"/>
      <c r="AB48" s="78"/>
      <c r="AC48" s="78"/>
      <c r="AD48" s="78"/>
      <c r="AE48" s="37" t="str">
        <f aca="false">IF(COUNT(Y48,AA48,AC48)=0,"",Y48*0.02+AA48*0.02+AC48*0.01)</f>
        <v/>
      </c>
      <c r="AF48" s="63" t="str">
        <f aca="false">IF(OR(O48="",X48="",AE48=""),"",(O48+X48+AE48)*20)</f>
        <v/>
      </c>
      <c r="AG48" s="63" t="str">
        <f aca="false">IF(AF48="","",IF(AF48&gt;=80,"STRONG BUY",IF(AF48&gt;=65,"BUY",IF(AF48&gt;=50,"WATCH LIST",IF(AF48&gt;=35,"AVOID","PASS")))))</f>
        <v/>
      </c>
      <c r="AH48" s="63" t="str">
        <f aca="false">IF(N48="","",IF(N48&lt;3,"FAIL","OK"))</f>
        <v/>
      </c>
      <c r="AI48" s="63" t="str">
        <f aca="false">IF(COUNT(D48:L48)=0,"",IF(COUNTIF(D48:L48,1)&gt;0,"REVIEW","OK"))</f>
        <v/>
      </c>
      <c r="AJ48" s="63" t="str">
        <f aca="false">IF(COUNT(D48:L48)=0,"",IF(COUNTIF(D48:L48,"&lt;=2")&gt;=2,"AVOID","OK"))</f>
        <v/>
      </c>
      <c r="AK48" s="63" t="str">
        <f aca="false">IF(COUNTA(E48:M48)=0,"",IF(COUNTIF(E48:M48,"L")&gt;=2,"CAP AT BUY","OK"))</f>
        <v/>
      </c>
      <c r="AL48" s="85"/>
      <c r="AM48" s="78"/>
      <c r="AN48" s="78"/>
      <c r="AO48" s="63"/>
      <c r="AP48" s="78" t="str">
        <f aca="false">IF(OR(AN48="",AO48=""),"",IF(AN48&gt;AO48,"OK","LOW CONF"))</f>
        <v/>
      </c>
      <c r="AQ48" s="78"/>
      <c r="AR48" s="63"/>
      <c r="AS48" s="86" t="str">
        <f aca="false">IF(OR(AQ48="",AR48=""),"",IF(AQ48&lt;AR48,"Decreased",IF(AQ48&gt;AR48,"Increased","Flat")))</f>
        <v/>
      </c>
    </row>
    <row r="49" customFormat="false" ht="15" hidden="false" customHeight="true" outlineLevel="0" collapsed="false">
      <c r="A49" s="34"/>
      <c r="B49" s="78"/>
      <c r="C49" s="78"/>
      <c r="D49" s="78"/>
      <c r="E49" s="78"/>
      <c r="F49" s="78"/>
      <c r="G49" s="78"/>
      <c r="H49" s="78"/>
      <c r="I49" s="78"/>
      <c r="J49" s="78"/>
      <c r="K49" s="78"/>
      <c r="L49" s="78"/>
      <c r="M49" s="78"/>
      <c r="N49" s="80" t="str">
        <f aca="false">IF(COUNT(D49,F49,H49,J49,L49)=0,"",(D49*0.2+F49*0.15+H49*0.15+J49*0.1+L49*0.1)/0.7)</f>
        <v/>
      </c>
      <c r="O49" s="63" t="str">
        <f aca="false">IF(COUNT(D49,F49,H49,J49,L49)=0,"",D49*0.2+F49*0.15+H49*0.15+J49*0.1+L49*0.1)</f>
        <v/>
      </c>
      <c r="P49" s="78"/>
      <c r="Q49" s="78"/>
      <c r="R49" s="78"/>
      <c r="S49" s="78"/>
      <c r="T49" s="78"/>
      <c r="U49" s="78"/>
      <c r="V49" s="78"/>
      <c r="W49" s="78"/>
      <c r="X49" s="37" t="str">
        <f aca="false">IF(COUNT(P49,R49,T49,V49)=0,"",P49*0.08+R49*0.06+T49*0.03+V49*0.08)</f>
        <v/>
      </c>
      <c r="Y49" s="78"/>
      <c r="Z49" s="78"/>
      <c r="AA49" s="78"/>
      <c r="AB49" s="78"/>
      <c r="AC49" s="78"/>
      <c r="AD49" s="78"/>
      <c r="AE49" s="37" t="str">
        <f aca="false">IF(COUNT(Y49,AA49,AC49)=0,"",Y49*0.02+AA49*0.02+AC49*0.01)</f>
        <v/>
      </c>
      <c r="AF49" s="63" t="str">
        <f aca="false">IF(OR(O49="",X49="",AE49=""),"",(O49+X49+AE49)*20)</f>
        <v/>
      </c>
      <c r="AG49" s="63" t="str">
        <f aca="false">IF(AF49="","",IF(AF49&gt;=80,"STRONG BUY",IF(AF49&gt;=65,"BUY",IF(AF49&gt;=50,"WATCH LIST",IF(AF49&gt;=35,"AVOID","PASS")))))</f>
        <v/>
      </c>
      <c r="AH49" s="63" t="str">
        <f aca="false">IF(N49="","",IF(N49&lt;3,"FAIL","OK"))</f>
        <v/>
      </c>
      <c r="AI49" s="63" t="str">
        <f aca="false">IF(COUNT(D49:L49)=0,"",IF(COUNTIF(D49:L49,1)&gt;0,"REVIEW","OK"))</f>
        <v/>
      </c>
      <c r="AJ49" s="63" t="str">
        <f aca="false">IF(COUNT(D49:L49)=0,"",IF(COUNTIF(D49:L49,"&lt;=2")&gt;=2,"AVOID","OK"))</f>
        <v/>
      </c>
      <c r="AK49" s="63" t="str">
        <f aca="false">IF(COUNTA(E49:M49)=0,"",IF(COUNTIF(E49:M49,"L")&gt;=2,"CAP AT BUY","OK"))</f>
        <v/>
      </c>
      <c r="AL49" s="85"/>
      <c r="AM49" s="78"/>
      <c r="AN49" s="78"/>
      <c r="AO49" s="63"/>
      <c r="AP49" s="78" t="str">
        <f aca="false">IF(OR(AN49="",AO49=""),"",IF(AN49&gt;AO49,"OK","LOW CONF"))</f>
        <v/>
      </c>
      <c r="AQ49" s="78"/>
      <c r="AR49" s="63"/>
      <c r="AS49" s="86" t="str">
        <f aca="false">IF(OR(AQ49="",AR49=""),"",IF(AQ49&lt;AR49,"Decreased",IF(AQ49&gt;AR49,"Increased","Flat")))</f>
        <v/>
      </c>
    </row>
    <row r="50" customFormat="false" ht="15" hidden="false" customHeight="true" outlineLevel="0" collapsed="false">
      <c r="A50" s="34"/>
      <c r="B50" s="78"/>
      <c r="C50" s="78"/>
      <c r="D50" s="78"/>
      <c r="E50" s="78"/>
      <c r="F50" s="78"/>
      <c r="G50" s="78"/>
      <c r="H50" s="78"/>
      <c r="I50" s="78"/>
      <c r="J50" s="78"/>
      <c r="K50" s="78"/>
      <c r="L50" s="78"/>
      <c r="M50" s="78"/>
      <c r="N50" s="80" t="str">
        <f aca="false">IF(COUNT(D50,F50,H50,J50,L50)=0,"",(D50*0.2+F50*0.15+H50*0.15+J50*0.1+L50*0.1)/0.7)</f>
        <v/>
      </c>
      <c r="O50" s="63" t="str">
        <f aca="false">IF(COUNT(D50,F50,H50,J50,L50)=0,"",D50*0.2+F50*0.15+H50*0.15+J50*0.1+L50*0.1)</f>
        <v/>
      </c>
      <c r="P50" s="78"/>
      <c r="Q50" s="78"/>
      <c r="R50" s="78"/>
      <c r="S50" s="78"/>
      <c r="T50" s="78"/>
      <c r="U50" s="78"/>
      <c r="V50" s="78"/>
      <c r="W50" s="78"/>
      <c r="X50" s="37" t="str">
        <f aca="false">IF(COUNT(P50,R50,T50,V50)=0,"",P50*0.08+R50*0.06+T50*0.03+V50*0.08)</f>
        <v/>
      </c>
      <c r="Y50" s="78"/>
      <c r="Z50" s="78"/>
      <c r="AA50" s="78"/>
      <c r="AB50" s="78"/>
      <c r="AC50" s="78"/>
      <c r="AD50" s="78"/>
      <c r="AE50" s="37" t="str">
        <f aca="false">IF(COUNT(Y50,AA50,AC50)=0,"",Y50*0.02+AA50*0.02+AC50*0.01)</f>
        <v/>
      </c>
      <c r="AF50" s="63" t="str">
        <f aca="false">IF(OR(O50="",X50="",AE50=""),"",(O50+X50+AE50)*20)</f>
        <v/>
      </c>
      <c r="AG50" s="63" t="str">
        <f aca="false">IF(AF50="","",IF(AF50&gt;=80,"STRONG BUY",IF(AF50&gt;=65,"BUY",IF(AF50&gt;=50,"WATCH LIST",IF(AF50&gt;=35,"AVOID","PASS")))))</f>
        <v/>
      </c>
      <c r="AH50" s="63" t="str">
        <f aca="false">IF(N50="","",IF(N50&lt;3,"FAIL","OK"))</f>
        <v/>
      </c>
      <c r="AI50" s="63" t="str">
        <f aca="false">IF(COUNT(D50:L50)=0,"",IF(COUNTIF(D50:L50,1)&gt;0,"REVIEW","OK"))</f>
        <v/>
      </c>
      <c r="AJ50" s="63" t="str">
        <f aca="false">IF(COUNT(D50:L50)=0,"",IF(COUNTIF(D50:L50,"&lt;=2")&gt;=2,"AVOID","OK"))</f>
        <v/>
      </c>
      <c r="AK50" s="63" t="str">
        <f aca="false">IF(COUNTA(E50:M50)=0,"",IF(COUNTIF(E50:M50,"L")&gt;=2,"CAP AT BUY","OK"))</f>
        <v/>
      </c>
      <c r="AL50" s="85"/>
      <c r="AM50" s="78"/>
      <c r="AN50" s="78"/>
      <c r="AO50" s="63"/>
      <c r="AP50" s="78" t="str">
        <f aca="false">IF(OR(AN50="",AO50=""),"",IF(AN50&gt;AO50,"OK","LOW CONF"))</f>
        <v/>
      </c>
      <c r="AQ50" s="78"/>
      <c r="AR50" s="63"/>
      <c r="AS50" s="86" t="str">
        <f aca="false">IF(OR(AQ50="",AR50=""),"",IF(AQ50&lt;AR50,"Decreased",IF(AQ50&gt;AR50,"Increased","Flat")))</f>
        <v/>
      </c>
    </row>
    <row r="51" customFormat="false" ht="15" hidden="false" customHeight="true" outlineLevel="0" collapsed="false">
      <c r="A51" s="34"/>
      <c r="B51" s="78"/>
      <c r="C51" s="78"/>
      <c r="D51" s="78"/>
      <c r="E51" s="78"/>
      <c r="F51" s="78"/>
      <c r="G51" s="78"/>
      <c r="H51" s="78"/>
      <c r="I51" s="78"/>
      <c r="J51" s="78"/>
      <c r="K51" s="78"/>
      <c r="L51" s="78"/>
      <c r="M51" s="78"/>
      <c r="N51" s="80" t="str">
        <f aca="false">IF(COUNT(D51,F51,H51,J51,L51)=0,"",(D51*0.2+F51*0.15+H51*0.15+J51*0.1+L51*0.1)/0.7)</f>
        <v/>
      </c>
      <c r="O51" s="63" t="str">
        <f aca="false">IF(COUNT(D51,F51,H51,J51,L51)=0,"",D51*0.2+F51*0.15+H51*0.15+J51*0.1+L51*0.1)</f>
        <v/>
      </c>
      <c r="P51" s="78"/>
      <c r="Q51" s="78"/>
      <c r="R51" s="78"/>
      <c r="S51" s="78"/>
      <c r="T51" s="78"/>
      <c r="U51" s="78"/>
      <c r="V51" s="78"/>
      <c r="W51" s="78"/>
      <c r="X51" s="37" t="str">
        <f aca="false">IF(COUNT(P51,R51,T51,V51)=0,"",P51*0.08+R51*0.06+T51*0.03+V51*0.08)</f>
        <v/>
      </c>
      <c r="Y51" s="78"/>
      <c r="Z51" s="78"/>
      <c r="AA51" s="78"/>
      <c r="AB51" s="78"/>
      <c r="AC51" s="78"/>
      <c r="AD51" s="78"/>
      <c r="AE51" s="37" t="str">
        <f aca="false">IF(COUNT(Y51,AA51,AC51)=0,"",Y51*0.02+AA51*0.02+AC51*0.01)</f>
        <v/>
      </c>
      <c r="AF51" s="63" t="str">
        <f aca="false">IF(OR(O51="",X51="",AE51=""),"",(O51+X51+AE51)*20)</f>
        <v/>
      </c>
      <c r="AG51" s="63" t="str">
        <f aca="false">IF(AF51="","",IF(AF51&gt;=80,"STRONG BUY",IF(AF51&gt;=65,"BUY",IF(AF51&gt;=50,"WATCH LIST",IF(AF51&gt;=35,"AVOID","PASS")))))</f>
        <v/>
      </c>
      <c r="AH51" s="63" t="str">
        <f aca="false">IF(N51="","",IF(N51&lt;3,"FAIL","OK"))</f>
        <v/>
      </c>
      <c r="AI51" s="63" t="str">
        <f aca="false">IF(COUNT(D51:L51)=0,"",IF(COUNTIF(D51:L51,1)&gt;0,"REVIEW","OK"))</f>
        <v/>
      </c>
      <c r="AJ51" s="63" t="str">
        <f aca="false">IF(COUNT(D51:L51)=0,"",IF(COUNTIF(D51:L51,"&lt;=2")&gt;=2,"AVOID","OK"))</f>
        <v/>
      </c>
      <c r="AK51" s="63" t="str">
        <f aca="false">IF(COUNTA(E51:M51)=0,"",IF(COUNTIF(E51:M51,"L")&gt;=2,"CAP AT BUY","OK"))</f>
        <v/>
      </c>
      <c r="AL51" s="85"/>
      <c r="AM51" s="78"/>
      <c r="AN51" s="78"/>
      <c r="AO51" s="63"/>
      <c r="AP51" s="78" t="str">
        <f aca="false">IF(OR(AN51="",AO51=""),"",IF(AN51&gt;AO51,"OK","LOW CONF"))</f>
        <v/>
      </c>
      <c r="AQ51" s="78"/>
      <c r="AR51" s="63"/>
      <c r="AS51" s="86" t="str">
        <f aca="false">IF(OR(AQ51="",AR51=""),"",IF(AQ51&lt;AR51,"Decreased",IF(AQ51&gt;AR51,"Increased","Flat")))</f>
        <v/>
      </c>
    </row>
    <row r="52" customFormat="false" ht="15" hidden="false" customHeight="true" outlineLevel="0" collapsed="false">
      <c r="A52" s="34"/>
      <c r="B52" s="78"/>
      <c r="C52" s="78"/>
      <c r="D52" s="78"/>
      <c r="E52" s="78"/>
      <c r="F52" s="78"/>
      <c r="G52" s="78"/>
      <c r="H52" s="78"/>
      <c r="I52" s="78"/>
      <c r="J52" s="78"/>
      <c r="K52" s="78"/>
      <c r="L52" s="78"/>
      <c r="M52" s="78"/>
      <c r="N52" s="80" t="str">
        <f aca="false">IF(COUNT(D52,F52,H52,J52,L52)=0,"",(D52*0.2+F52*0.15+H52*0.15+J52*0.1+L52*0.1)/0.7)</f>
        <v/>
      </c>
      <c r="O52" s="63" t="str">
        <f aca="false">IF(COUNT(D52,F52,H52,J52,L52)=0,"",D52*0.2+F52*0.15+H52*0.15+J52*0.1+L52*0.1)</f>
        <v/>
      </c>
      <c r="P52" s="78"/>
      <c r="Q52" s="78"/>
      <c r="R52" s="78"/>
      <c r="S52" s="78"/>
      <c r="T52" s="78"/>
      <c r="U52" s="78"/>
      <c r="V52" s="78"/>
      <c r="W52" s="78"/>
      <c r="X52" s="37" t="str">
        <f aca="false">IF(COUNT(P52,R52,T52,V52)=0,"",P52*0.08+R52*0.06+T52*0.03+V52*0.08)</f>
        <v/>
      </c>
      <c r="Y52" s="78"/>
      <c r="Z52" s="78"/>
      <c r="AA52" s="78"/>
      <c r="AB52" s="78"/>
      <c r="AC52" s="78"/>
      <c r="AD52" s="78"/>
      <c r="AE52" s="37" t="str">
        <f aca="false">IF(COUNT(Y52,AA52,AC52)=0,"",Y52*0.02+AA52*0.02+AC52*0.01)</f>
        <v/>
      </c>
      <c r="AF52" s="63" t="str">
        <f aca="false">IF(OR(O52="",X52="",AE52=""),"",(O52+X52+AE52)*20)</f>
        <v/>
      </c>
      <c r="AG52" s="63" t="str">
        <f aca="false">IF(AF52="","",IF(AF52&gt;=80,"STRONG BUY",IF(AF52&gt;=65,"BUY",IF(AF52&gt;=50,"WATCH LIST",IF(AF52&gt;=35,"AVOID","PASS")))))</f>
        <v/>
      </c>
      <c r="AH52" s="63" t="str">
        <f aca="false">IF(N52="","",IF(N52&lt;3,"FAIL","OK"))</f>
        <v/>
      </c>
      <c r="AI52" s="63" t="str">
        <f aca="false">IF(COUNT(D52:L52)=0,"",IF(COUNTIF(D52:L52,1)&gt;0,"REVIEW","OK"))</f>
        <v/>
      </c>
      <c r="AJ52" s="63" t="str">
        <f aca="false">IF(COUNT(D52:L52)=0,"",IF(COUNTIF(D52:L52,"&lt;=2")&gt;=2,"AVOID","OK"))</f>
        <v/>
      </c>
      <c r="AK52" s="63" t="str">
        <f aca="false">IF(COUNTA(E52:M52)=0,"",IF(COUNTIF(E52:M52,"L")&gt;=2,"CAP AT BUY","OK"))</f>
        <v/>
      </c>
      <c r="AL52" s="85"/>
      <c r="AM52" s="78"/>
      <c r="AN52" s="78"/>
      <c r="AO52" s="63"/>
      <c r="AP52" s="78" t="str">
        <f aca="false">IF(OR(AN52="",AO52=""),"",IF(AN52&gt;AO52,"OK","LOW CONF"))</f>
        <v/>
      </c>
      <c r="AQ52" s="78"/>
      <c r="AR52" s="63"/>
      <c r="AS52" s="86" t="str">
        <f aca="false">IF(OR(AQ52="",AR52=""),"",IF(AQ52&lt;AR52,"Decreased",IF(AQ52&gt;AR52,"Increased","Flat")))</f>
        <v/>
      </c>
    </row>
    <row r="53" customFormat="false" ht="15" hidden="false" customHeight="true" outlineLevel="0" collapsed="false">
      <c r="A53" s="34"/>
      <c r="B53" s="78"/>
      <c r="C53" s="78"/>
      <c r="D53" s="78"/>
      <c r="E53" s="78"/>
      <c r="F53" s="78"/>
      <c r="G53" s="78"/>
      <c r="H53" s="78"/>
      <c r="I53" s="78"/>
      <c r="J53" s="78"/>
      <c r="K53" s="78"/>
      <c r="L53" s="78"/>
      <c r="M53" s="78"/>
      <c r="N53" s="80" t="str">
        <f aca="false">IF(COUNT(D53,F53,H53,J53,L53)=0,"",(D53*0.2+F53*0.15+H53*0.15+J53*0.1+L53*0.1)/0.7)</f>
        <v/>
      </c>
      <c r="O53" s="63" t="str">
        <f aca="false">IF(COUNT(D53,F53,H53,J53,L53)=0,"",D53*0.2+F53*0.15+H53*0.15+J53*0.1+L53*0.1)</f>
        <v/>
      </c>
      <c r="P53" s="78"/>
      <c r="Q53" s="78"/>
      <c r="R53" s="78"/>
      <c r="S53" s="78"/>
      <c r="T53" s="78"/>
      <c r="U53" s="78"/>
      <c r="V53" s="78"/>
      <c r="W53" s="78"/>
      <c r="X53" s="37" t="str">
        <f aca="false">IF(COUNT(P53,R53,T53,V53)=0,"",P53*0.08+R53*0.06+T53*0.03+V53*0.08)</f>
        <v/>
      </c>
      <c r="Y53" s="78"/>
      <c r="Z53" s="78"/>
      <c r="AA53" s="78"/>
      <c r="AB53" s="78"/>
      <c r="AC53" s="78"/>
      <c r="AD53" s="78"/>
      <c r="AE53" s="37" t="str">
        <f aca="false">IF(COUNT(Y53,AA53,AC53)=0,"",Y53*0.02+AA53*0.02+AC53*0.01)</f>
        <v/>
      </c>
      <c r="AF53" s="63" t="str">
        <f aca="false">IF(OR(O53="",X53="",AE53=""),"",(O53+X53+AE53)*20)</f>
        <v/>
      </c>
      <c r="AG53" s="63" t="str">
        <f aca="false">IF(AF53="","",IF(AF53&gt;=80,"STRONG BUY",IF(AF53&gt;=65,"BUY",IF(AF53&gt;=50,"WATCH LIST",IF(AF53&gt;=35,"AVOID","PASS")))))</f>
        <v/>
      </c>
      <c r="AH53" s="63" t="str">
        <f aca="false">IF(N53="","",IF(N53&lt;3,"FAIL","OK"))</f>
        <v/>
      </c>
      <c r="AI53" s="63" t="str">
        <f aca="false">IF(COUNT(D53:L53)=0,"",IF(COUNTIF(D53:L53,1)&gt;0,"REVIEW","OK"))</f>
        <v/>
      </c>
      <c r="AJ53" s="63" t="str">
        <f aca="false">IF(COUNT(D53:L53)=0,"",IF(COUNTIF(D53:L53,"&lt;=2")&gt;=2,"AVOID","OK"))</f>
        <v/>
      </c>
      <c r="AK53" s="63" t="str">
        <f aca="false">IF(COUNTA(E53:M53)=0,"",IF(COUNTIF(E53:M53,"L")&gt;=2,"CAP AT BUY","OK"))</f>
        <v/>
      </c>
      <c r="AL53" s="85"/>
      <c r="AM53" s="78"/>
      <c r="AN53" s="78"/>
      <c r="AO53" s="63"/>
      <c r="AP53" s="78" t="str">
        <f aca="false">IF(OR(AN53="",AO53=""),"",IF(AN53&gt;AO53,"OK","LOW CONF"))</f>
        <v/>
      </c>
      <c r="AQ53" s="78"/>
      <c r="AR53" s="63"/>
      <c r="AS53" s="86" t="str">
        <f aca="false">IF(OR(AQ53="",AR53=""),"",IF(AQ53&lt;AR53,"Decreased",IF(AQ53&gt;AR53,"Increased","Flat")))</f>
        <v/>
      </c>
    </row>
    <row r="54" customFormat="false" ht="15" hidden="false" customHeight="true" outlineLevel="0" collapsed="false">
      <c r="A54" s="34"/>
      <c r="B54" s="78"/>
      <c r="C54" s="78"/>
      <c r="D54" s="78"/>
      <c r="E54" s="78"/>
      <c r="F54" s="78"/>
      <c r="G54" s="78"/>
      <c r="H54" s="78"/>
      <c r="I54" s="78"/>
      <c r="J54" s="78"/>
      <c r="K54" s="78"/>
      <c r="L54" s="78"/>
      <c r="M54" s="78"/>
      <c r="N54" s="80" t="str">
        <f aca="false">IF(COUNT(D54,F54,H54,J54,L54)=0,"",(D54*0.2+F54*0.15+H54*0.15+J54*0.1+L54*0.1)/0.7)</f>
        <v/>
      </c>
      <c r="O54" s="63" t="str">
        <f aca="false">IF(COUNT(D54,F54,H54,J54,L54)=0,"",D54*0.2+F54*0.15+H54*0.15+J54*0.1+L54*0.1)</f>
        <v/>
      </c>
      <c r="P54" s="78"/>
      <c r="Q54" s="78"/>
      <c r="R54" s="78"/>
      <c r="S54" s="78"/>
      <c r="T54" s="78"/>
      <c r="U54" s="78"/>
      <c r="V54" s="78"/>
      <c r="W54" s="78"/>
      <c r="X54" s="37" t="str">
        <f aca="false">IF(COUNT(P54,R54,T54,V54)=0,"",P54*0.08+R54*0.06+T54*0.03+V54*0.08)</f>
        <v/>
      </c>
      <c r="Y54" s="78"/>
      <c r="Z54" s="78"/>
      <c r="AA54" s="78"/>
      <c r="AB54" s="78"/>
      <c r="AC54" s="78"/>
      <c r="AD54" s="78"/>
      <c r="AE54" s="37" t="str">
        <f aca="false">IF(COUNT(Y54,AA54,AC54)=0,"",Y54*0.02+AA54*0.02+AC54*0.01)</f>
        <v/>
      </c>
      <c r="AF54" s="63" t="str">
        <f aca="false">IF(OR(O54="",X54="",AE54=""),"",(O54+X54+AE54)*20)</f>
        <v/>
      </c>
      <c r="AG54" s="63" t="str">
        <f aca="false">IF(AF54="","",IF(AF54&gt;=80,"STRONG BUY",IF(AF54&gt;=65,"BUY",IF(AF54&gt;=50,"WATCH LIST",IF(AF54&gt;=35,"AVOID","PASS")))))</f>
        <v/>
      </c>
      <c r="AH54" s="63" t="str">
        <f aca="false">IF(N54="","",IF(N54&lt;3,"FAIL","OK"))</f>
        <v/>
      </c>
      <c r="AI54" s="63" t="str">
        <f aca="false">IF(COUNT(D54:L54)=0,"",IF(COUNTIF(D54:L54,1)&gt;0,"REVIEW","OK"))</f>
        <v/>
      </c>
      <c r="AJ54" s="63" t="str">
        <f aca="false">IF(COUNT(D54:L54)=0,"",IF(COUNTIF(D54:L54,"&lt;=2")&gt;=2,"AVOID","OK"))</f>
        <v/>
      </c>
      <c r="AK54" s="63" t="str">
        <f aca="false">IF(COUNTA(E54:M54)=0,"",IF(COUNTIF(E54:M54,"L")&gt;=2,"CAP AT BUY","OK"))</f>
        <v/>
      </c>
      <c r="AL54" s="85"/>
      <c r="AM54" s="78"/>
      <c r="AN54" s="78"/>
      <c r="AO54" s="63"/>
      <c r="AP54" s="78" t="str">
        <f aca="false">IF(OR(AN54="",AO54=""),"",IF(AN54&gt;AO54,"OK","LOW CONF"))</f>
        <v/>
      </c>
      <c r="AQ54" s="78"/>
      <c r="AR54" s="63"/>
      <c r="AS54" s="86" t="str">
        <f aca="false">IF(OR(AQ54="",AR54=""),"",IF(AQ54&lt;AR54,"Decreased",IF(AQ54&gt;AR54,"Increased","Flat")))</f>
        <v/>
      </c>
    </row>
    <row r="55" customFormat="false" ht="15" hidden="false" customHeight="true" outlineLevel="0" collapsed="false">
      <c r="A55" s="34"/>
      <c r="B55" s="78"/>
      <c r="C55" s="78"/>
      <c r="D55" s="78"/>
      <c r="E55" s="78"/>
      <c r="F55" s="78"/>
      <c r="G55" s="78"/>
      <c r="H55" s="78"/>
      <c r="I55" s="78"/>
      <c r="J55" s="78"/>
      <c r="K55" s="78"/>
      <c r="L55" s="78"/>
      <c r="M55" s="78"/>
      <c r="N55" s="80" t="str">
        <f aca="false">IF(COUNT(D55,F55,H55,J55,L55)=0,"",(D55*0.2+F55*0.15+H55*0.15+J55*0.1+L55*0.1)/0.7)</f>
        <v/>
      </c>
      <c r="O55" s="63" t="str">
        <f aca="false">IF(COUNT(D55,F55,H55,J55,L55)=0,"",D55*0.2+F55*0.15+H55*0.15+J55*0.1+L55*0.1)</f>
        <v/>
      </c>
      <c r="P55" s="78"/>
      <c r="Q55" s="78"/>
      <c r="R55" s="78"/>
      <c r="S55" s="78"/>
      <c r="T55" s="78"/>
      <c r="U55" s="78"/>
      <c r="V55" s="78"/>
      <c r="W55" s="78"/>
      <c r="X55" s="37" t="str">
        <f aca="false">IF(COUNT(P55,R55,T55,V55)=0,"",P55*0.08+R55*0.06+T55*0.03+V55*0.08)</f>
        <v/>
      </c>
      <c r="Y55" s="78"/>
      <c r="Z55" s="78"/>
      <c r="AA55" s="78"/>
      <c r="AB55" s="78"/>
      <c r="AC55" s="78"/>
      <c r="AD55" s="78"/>
      <c r="AE55" s="37" t="str">
        <f aca="false">IF(COUNT(Y55,AA55,AC55)=0,"",Y55*0.02+AA55*0.02+AC55*0.01)</f>
        <v/>
      </c>
      <c r="AF55" s="63" t="str">
        <f aca="false">IF(OR(O55="",X55="",AE55=""),"",(O55+X55+AE55)*20)</f>
        <v/>
      </c>
      <c r="AG55" s="63" t="str">
        <f aca="false">IF(AF55="","",IF(AF55&gt;=80,"STRONG BUY",IF(AF55&gt;=65,"BUY",IF(AF55&gt;=50,"WATCH LIST",IF(AF55&gt;=35,"AVOID","PASS")))))</f>
        <v/>
      </c>
      <c r="AH55" s="63" t="str">
        <f aca="false">IF(N55="","",IF(N55&lt;3,"FAIL","OK"))</f>
        <v/>
      </c>
      <c r="AI55" s="63" t="str">
        <f aca="false">IF(COUNT(D55:L55)=0,"",IF(COUNTIF(D55:L55,1)&gt;0,"REVIEW","OK"))</f>
        <v/>
      </c>
      <c r="AJ55" s="63" t="str">
        <f aca="false">IF(COUNT(D55:L55)=0,"",IF(COUNTIF(D55:L55,"&lt;=2")&gt;=2,"AVOID","OK"))</f>
        <v/>
      </c>
      <c r="AK55" s="63" t="str">
        <f aca="false">IF(COUNTA(E55:M55)=0,"",IF(COUNTIF(E55:M55,"L")&gt;=2,"CAP AT BUY","OK"))</f>
        <v/>
      </c>
      <c r="AL55" s="85"/>
      <c r="AM55" s="78"/>
      <c r="AN55" s="78"/>
      <c r="AO55" s="63"/>
      <c r="AP55" s="78" t="str">
        <f aca="false">IF(OR(AN55="",AO55=""),"",IF(AN55&gt;AO55,"OK","LOW CONF"))</f>
        <v/>
      </c>
      <c r="AQ55" s="78"/>
      <c r="AR55" s="63"/>
      <c r="AS55" s="86" t="str">
        <f aca="false">IF(OR(AQ55="",AR55=""),"",IF(AQ55&lt;AR55,"Decreased",IF(AQ55&gt;AR55,"Increased","Flat")))</f>
        <v/>
      </c>
    </row>
    <row r="56" customFormat="false" ht="15" hidden="false" customHeight="true" outlineLevel="0" collapsed="false">
      <c r="A56" s="34"/>
      <c r="B56" s="78"/>
      <c r="C56" s="78"/>
      <c r="D56" s="78"/>
      <c r="E56" s="78"/>
      <c r="F56" s="78"/>
      <c r="G56" s="78"/>
      <c r="H56" s="78"/>
      <c r="I56" s="78"/>
      <c r="J56" s="78"/>
      <c r="K56" s="78"/>
      <c r="L56" s="78"/>
      <c r="M56" s="78"/>
      <c r="N56" s="80" t="str">
        <f aca="false">IF(COUNT(D56,F56,H56,J56,L56)=0,"",(D56*0.2+F56*0.15+H56*0.15+J56*0.1+L56*0.1)/0.7)</f>
        <v/>
      </c>
      <c r="O56" s="63" t="str">
        <f aca="false">IF(COUNT(D56,F56,H56,J56,L56)=0,"",D56*0.2+F56*0.15+H56*0.15+J56*0.1+L56*0.1)</f>
        <v/>
      </c>
      <c r="P56" s="78"/>
      <c r="Q56" s="78"/>
      <c r="R56" s="78"/>
      <c r="S56" s="78"/>
      <c r="T56" s="78"/>
      <c r="U56" s="78"/>
      <c r="V56" s="78"/>
      <c r="W56" s="78"/>
      <c r="X56" s="37" t="str">
        <f aca="false">IF(COUNT(P56,R56,T56,V56)=0,"",P56*0.08+R56*0.06+T56*0.03+V56*0.08)</f>
        <v/>
      </c>
      <c r="Y56" s="78"/>
      <c r="Z56" s="78"/>
      <c r="AA56" s="78"/>
      <c r="AB56" s="78"/>
      <c r="AC56" s="78"/>
      <c r="AD56" s="78"/>
      <c r="AE56" s="37" t="str">
        <f aca="false">IF(COUNT(Y56,AA56,AC56)=0,"",Y56*0.02+AA56*0.02+AC56*0.01)</f>
        <v/>
      </c>
      <c r="AF56" s="63" t="str">
        <f aca="false">IF(OR(O56="",X56="",AE56=""),"",(O56+X56+AE56)*20)</f>
        <v/>
      </c>
      <c r="AG56" s="63" t="str">
        <f aca="false">IF(AF56="","",IF(AF56&gt;=80,"STRONG BUY",IF(AF56&gt;=65,"BUY",IF(AF56&gt;=50,"WATCH LIST",IF(AF56&gt;=35,"AVOID","PASS")))))</f>
        <v/>
      </c>
      <c r="AH56" s="63" t="str">
        <f aca="false">IF(N56="","",IF(N56&lt;3,"FAIL","OK"))</f>
        <v/>
      </c>
      <c r="AI56" s="63" t="str">
        <f aca="false">IF(COUNT(D56:L56)=0,"",IF(COUNTIF(D56:L56,1)&gt;0,"REVIEW","OK"))</f>
        <v/>
      </c>
      <c r="AJ56" s="63" t="str">
        <f aca="false">IF(COUNT(D56:L56)=0,"",IF(COUNTIF(D56:L56,"&lt;=2")&gt;=2,"AVOID","OK"))</f>
        <v/>
      </c>
      <c r="AK56" s="63" t="str">
        <f aca="false">IF(COUNTA(E56:M56)=0,"",IF(COUNTIF(E56:M56,"L")&gt;=2,"CAP AT BUY","OK"))</f>
        <v/>
      </c>
      <c r="AL56" s="85"/>
      <c r="AM56" s="78"/>
      <c r="AN56" s="78"/>
      <c r="AO56" s="63"/>
      <c r="AP56" s="78" t="str">
        <f aca="false">IF(OR(AN56="",AO56=""),"",IF(AN56&gt;AO56,"OK","LOW CONF"))</f>
        <v/>
      </c>
      <c r="AQ56" s="78"/>
      <c r="AR56" s="63"/>
      <c r="AS56" s="86" t="str">
        <f aca="false">IF(OR(AQ56="",AR56=""),"",IF(AQ56&lt;AR56,"Decreased",IF(AQ56&gt;AR56,"Increased","Flat")))</f>
        <v/>
      </c>
    </row>
    <row r="57" customFormat="false" ht="15" hidden="false" customHeight="true" outlineLevel="0" collapsed="false">
      <c r="A57" s="34"/>
      <c r="B57" s="78"/>
      <c r="C57" s="78"/>
      <c r="D57" s="78"/>
      <c r="E57" s="78"/>
      <c r="F57" s="78"/>
      <c r="G57" s="78"/>
      <c r="H57" s="78"/>
      <c r="I57" s="78"/>
      <c r="J57" s="78"/>
      <c r="K57" s="78"/>
      <c r="L57" s="78"/>
      <c r="M57" s="78"/>
      <c r="N57" s="80" t="str">
        <f aca="false">IF(COUNT(D57,F57,H57,J57,L57)=0,"",(D57*0.2+F57*0.15+H57*0.15+J57*0.1+L57*0.1)/0.7)</f>
        <v/>
      </c>
      <c r="O57" s="63" t="str">
        <f aca="false">IF(COUNT(D57,F57,H57,J57,L57)=0,"",D57*0.2+F57*0.15+H57*0.15+J57*0.1+L57*0.1)</f>
        <v/>
      </c>
      <c r="P57" s="78"/>
      <c r="Q57" s="78"/>
      <c r="R57" s="78"/>
      <c r="S57" s="78"/>
      <c r="T57" s="78"/>
      <c r="U57" s="78"/>
      <c r="V57" s="78"/>
      <c r="W57" s="78"/>
      <c r="X57" s="37" t="str">
        <f aca="false">IF(COUNT(P57,R57,T57,V57)=0,"",P57*0.08+R57*0.06+T57*0.03+V57*0.08)</f>
        <v/>
      </c>
      <c r="Y57" s="78"/>
      <c r="Z57" s="78"/>
      <c r="AA57" s="78"/>
      <c r="AB57" s="78"/>
      <c r="AC57" s="78"/>
      <c r="AD57" s="78"/>
      <c r="AE57" s="37" t="str">
        <f aca="false">IF(COUNT(Y57,AA57,AC57)=0,"",Y57*0.02+AA57*0.02+AC57*0.01)</f>
        <v/>
      </c>
      <c r="AF57" s="63" t="str">
        <f aca="false">IF(OR(O57="",X57="",AE57=""),"",(O57+X57+AE57)*20)</f>
        <v/>
      </c>
      <c r="AG57" s="63" t="str">
        <f aca="false">IF(AF57="","",IF(AF57&gt;=80,"STRONG BUY",IF(AF57&gt;=65,"BUY",IF(AF57&gt;=50,"WATCH LIST",IF(AF57&gt;=35,"AVOID","PASS")))))</f>
        <v/>
      </c>
      <c r="AH57" s="63" t="str">
        <f aca="false">IF(N57="","",IF(N57&lt;3,"FAIL","OK"))</f>
        <v/>
      </c>
      <c r="AI57" s="63" t="str">
        <f aca="false">IF(COUNT(D57:L57)=0,"",IF(COUNTIF(D57:L57,1)&gt;0,"REVIEW","OK"))</f>
        <v/>
      </c>
      <c r="AJ57" s="63" t="str">
        <f aca="false">IF(COUNT(D57:L57)=0,"",IF(COUNTIF(D57:L57,"&lt;=2")&gt;=2,"AVOID","OK"))</f>
        <v/>
      </c>
      <c r="AK57" s="63" t="str">
        <f aca="false">IF(COUNTA(E57:M57)=0,"",IF(COUNTIF(E57:M57,"L")&gt;=2,"CAP AT BUY","OK"))</f>
        <v/>
      </c>
      <c r="AL57" s="85"/>
      <c r="AM57" s="78"/>
      <c r="AN57" s="78"/>
      <c r="AO57" s="63"/>
      <c r="AP57" s="78" t="str">
        <f aca="false">IF(OR(AN57="",AO57=""),"",IF(AN57&gt;AO57,"OK","LOW CONF"))</f>
        <v/>
      </c>
      <c r="AQ57" s="78"/>
      <c r="AR57" s="63"/>
      <c r="AS57" s="86" t="str">
        <f aca="false">IF(OR(AQ57="",AR57=""),"",IF(AQ57&lt;AR57,"Decreased",IF(AQ57&gt;AR57,"Increased","Flat")))</f>
        <v/>
      </c>
    </row>
    <row r="58" customFormat="false" ht="15" hidden="false" customHeight="true" outlineLevel="0" collapsed="false">
      <c r="A58" s="34"/>
      <c r="B58" s="78"/>
      <c r="C58" s="78"/>
      <c r="D58" s="78"/>
      <c r="E58" s="78"/>
      <c r="F58" s="78"/>
      <c r="G58" s="78"/>
      <c r="H58" s="78"/>
      <c r="I58" s="78"/>
      <c r="J58" s="78"/>
      <c r="K58" s="78"/>
      <c r="L58" s="78"/>
      <c r="M58" s="78"/>
      <c r="N58" s="80" t="str">
        <f aca="false">IF(COUNT(D58,F58,H58,J58,L58)=0,"",(D58*0.2+F58*0.15+H58*0.15+J58*0.1+L58*0.1)/0.7)</f>
        <v/>
      </c>
      <c r="O58" s="63" t="str">
        <f aca="false">IF(COUNT(D58,F58,H58,J58,L58)=0,"",D58*0.2+F58*0.15+H58*0.15+J58*0.1+L58*0.1)</f>
        <v/>
      </c>
      <c r="P58" s="78"/>
      <c r="Q58" s="78"/>
      <c r="R58" s="78"/>
      <c r="S58" s="78"/>
      <c r="T58" s="78"/>
      <c r="U58" s="78"/>
      <c r="V58" s="78"/>
      <c r="W58" s="78"/>
      <c r="X58" s="37" t="str">
        <f aca="false">IF(COUNT(P58,R58,T58,V58)=0,"",P58*0.08+R58*0.06+T58*0.03+V58*0.08)</f>
        <v/>
      </c>
      <c r="Y58" s="78"/>
      <c r="Z58" s="78"/>
      <c r="AA58" s="78"/>
      <c r="AB58" s="78"/>
      <c r="AC58" s="78"/>
      <c r="AD58" s="78"/>
      <c r="AE58" s="37" t="str">
        <f aca="false">IF(COUNT(Y58,AA58,AC58)=0,"",Y58*0.02+AA58*0.02+AC58*0.01)</f>
        <v/>
      </c>
      <c r="AF58" s="63" t="str">
        <f aca="false">IF(OR(O58="",X58="",AE58=""),"",(O58+X58+AE58)*20)</f>
        <v/>
      </c>
      <c r="AG58" s="63" t="str">
        <f aca="false">IF(AF58="","",IF(AF58&gt;=80,"STRONG BUY",IF(AF58&gt;=65,"BUY",IF(AF58&gt;=50,"WATCH LIST",IF(AF58&gt;=35,"AVOID","PASS")))))</f>
        <v/>
      </c>
      <c r="AH58" s="63" t="str">
        <f aca="false">IF(N58="","",IF(N58&lt;3,"FAIL","OK"))</f>
        <v/>
      </c>
      <c r="AI58" s="63" t="str">
        <f aca="false">IF(COUNT(D58:L58)=0,"",IF(COUNTIF(D58:L58,1)&gt;0,"REVIEW","OK"))</f>
        <v/>
      </c>
      <c r="AJ58" s="63" t="str">
        <f aca="false">IF(COUNT(D58:L58)=0,"",IF(COUNTIF(D58:L58,"&lt;=2")&gt;=2,"AVOID","OK"))</f>
        <v/>
      </c>
      <c r="AK58" s="63" t="str">
        <f aca="false">IF(COUNTA(E58:M58)=0,"",IF(COUNTIF(E58:M58,"L")&gt;=2,"CAP AT BUY","OK"))</f>
        <v/>
      </c>
      <c r="AL58" s="85"/>
      <c r="AM58" s="78"/>
      <c r="AN58" s="78"/>
      <c r="AO58" s="63"/>
      <c r="AP58" s="78" t="str">
        <f aca="false">IF(OR(AN58="",AO58=""),"",IF(AN58&gt;AO58,"OK","LOW CONF"))</f>
        <v/>
      </c>
      <c r="AQ58" s="78"/>
      <c r="AR58" s="63"/>
      <c r="AS58" s="86" t="str">
        <f aca="false">IF(OR(AQ58="",AR58=""),"",IF(AQ58&lt;AR58,"Decreased",IF(AQ58&gt;AR58,"Increased","Flat")))</f>
        <v/>
      </c>
    </row>
    <row r="59" customFormat="false" ht="15" hidden="false" customHeight="true" outlineLevel="0" collapsed="false">
      <c r="A59" s="34"/>
      <c r="B59" s="78"/>
      <c r="C59" s="78"/>
      <c r="D59" s="78"/>
      <c r="E59" s="78"/>
      <c r="F59" s="78"/>
      <c r="G59" s="78"/>
      <c r="H59" s="78"/>
      <c r="I59" s="78"/>
      <c r="J59" s="78"/>
      <c r="K59" s="78"/>
      <c r="L59" s="78"/>
      <c r="M59" s="78"/>
      <c r="N59" s="80" t="str">
        <f aca="false">IF(COUNT(D59,F59,H59,J59,L59)=0,"",(D59*0.2+F59*0.15+H59*0.15+J59*0.1+L59*0.1)/0.7)</f>
        <v/>
      </c>
      <c r="O59" s="63" t="str">
        <f aca="false">IF(COUNT(D59,F59,H59,J59,L59)=0,"",D59*0.2+F59*0.15+H59*0.15+J59*0.1+L59*0.1)</f>
        <v/>
      </c>
      <c r="P59" s="78"/>
      <c r="Q59" s="78"/>
      <c r="R59" s="78"/>
      <c r="S59" s="78"/>
      <c r="T59" s="78"/>
      <c r="U59" s="78"/>
      <c r="V59" s="78"/>
      <c r="W59" s="78"/>
      <c r="X59" s="37" t="str">
        <f aca="false">IF(COUNT(P59,R59,T59,V59)=0,"",P59*0.08+R59*0.06+T59*0.03+V59*0.08)</f>
        <v/>
      </c>
      <c r="Y59" s="78"/>
      <c r="Z59" s="78"/>
      <c r="AA59" s="78"/>
      <c r="AB59" s="78"/>
      <c r="AC59" s="78"/>
      <c r="AD59" s="78"/>
      <c r="AE59" s="37" t="str">
        <f aca="false">IF(COUNT(Y59,AA59,AC59)=0,"",Y59*0.02+AA59*0.02+AC59*0.01)</f>
        <v/>
      </c>
      <c r="AF59" s="63" t="str">
        <f aca="false">IF(OR(O59="",X59="",AE59=""),"",(O59+X59+AE59)*20)</f>
        <v/>
      </c>
      <c r="AG59" s="63" t="str">
        <f aca="false">IF(AF59="","",IF(AF59&gt;=80,"STRONG BUY",IF(AF59&gt;=65,"BUY",IF(AF59&gt;=50,"WATCH LIST",IF(AF59&gt;=35,"AVOID","PASS")))))</f>
        <v/>
      </c>
      <c r="AH59" s="63" t="str">
        <f aca="false">IF(N59="","",IF(N59&lt;3,"FAIL","OK"))</f>
        <v/>
      </c>
      <c r="AI59" s="63" t="str">
        <f aca="false">IF(COUNT(D59:L59)=0,"",IF(COUNTIF(D59:L59,1)&gt;0,"REVIEW","OK"))</f>
        <v/>
      </c>
      <c r="AJ59" s="63" t="str">
        <f aca="false">IF(COUNT(D59:L59)=0,"",IF(COUNTIF(D59:L59,"&lt;=2")&gt;=2,"AVOID","OK"))</f>
        <v/>
      </c>
      <c r="AK59" s="63" t="str">
        <f aca="false">IF(COUNTA(E59:M59)=0,"",IF(COUNTIF(E59:M59,"L")&gt;=2,"CAP AT BUY","OK"))</f>
        <v/>
      </c>
      <c r="AL59" s="85"/>
      <c r="AM59" s="78"/>
      <c r="AN59" s="78"/>
      <c r="AO59" s="63"/>
      <c r="AP59" s="78" t="str">
        <f aca="false">IF(OR(AN59="",AO59=""),"",IF(AN59&gt;AO59,"OK","LOW CONF"))</f>
        <v/>
      </c>
      <c r="AQ59" s="78"/>
      <c r="AR59" s="63"/>
      <c r="AS59" s="86" t="str">
        <f aca="false">IF(OR(AQ59="",AR59=""),"",IF(AQ59&lt;AR59,"Decreased",IF(AQ59&gt;AR59,"Increased","Flat")))</f>
        <v/>
      </c>
    </row>
    <row r="60" customFormat="false" ht="15" hidden="false" customHeight="true" outlineLevel="0" collapsed="false">
      <c r="A60" s="34"/>
      <c r="B60" s="78"/>
      <c r="C60" s="78"/>
      <c r="D60" s="78"/>
      <c r="E60" s="78"/>
      <c r="F60" s="78"/>
      <c r="G60" s="78"/>
      <c r="H60" s="78"/>
      <c r="I60" s="78"/>
      <c r="J60" s="78"/>
      <c r="K60" s="78"/>
      <c r="L60" s="78"/>
      <c r="M60" s="78"/>
      <c r="N60" s="80" t="str">
        <f aca="false">IF(COUNT(D60,F60,H60,J60,L60)=0,"",(D60*0.2+F60*0.15+H60*0.15+J60*0.1+L60*0.1)/0.7)</f>
        <v/>
      </c>
      <c r="O60" s="63" t="str">
        <f aca="false">IF(COUNT(D60,F60,H60,J60,L60)=0,"",D60*0.2+F60*0.15+H60*0.15+J60*0.1+L60*0.1)</f>
        <v/>
      </c>
      <c r="P60" s="78"/>
      <c r="Q60" s="78"/>
      <c r="R60" s="78"/>
      <c r="S60" s="78"/>
      <c r="T60" s="78"/>
      <c r="U60" s="78"/>
      <c r="V60" s="78"/>
      <c r="W60" s="78"/>
      <c r="X60" s="37" t="str">
        <f aca="false">IF(COUNT(P60,R60,T60,V60)=0,"",P60*0.08+R60*0.06+T60*0.03+V60*0.08)</f>
        <v/>
      </c>
      <c r="Y60" s="78"/>
      <c r="Z60" s="78"/>
      <c r="AA60" s="78"/>
      <c r="AB60" s="78"/>
      <c r="AC60" s="78"/>
      <c r="AD60" s="78"/>
      <c r="AE60" s="37" t="str">
        <f aca="false">IF(COUNT(Y60,AA60,AC60)=0,"",Y60*0.02+AA60*0.02+AC60*0.01)</f>
        <v/>
      </c>
      <c r="AF60" s="63" t="str">
        <f aca="false">IF(OR(O60="",X60="",AE60=""),"",(O60+X60+AE60)*20)</f>
        <v/>
      </c>
      <c r="AG60" s="63" t="str">
        <f aca="false">IF(AF60="","",IF(AF60&gt;=80,"STRONG BUY",IF(AF60&gt;=65,"BUY",IF(AF60&gt;=50,"WATCH LIST",IF(AF60&gt;=35,"AVOID","PASS")))))</f>
        <v/>
      </c>
      <c r="AH60" s="63" t="str">
        <f aca="false">IF(N60="","",IF(N60&lt;3,"FAIL","OK"))</f>
        <v/>
      </c>
      <c r="AI60" s="63" t="str">
        <f aca="false">IF(COUNT(D60:L60)=0,"",IF(COUNTIF(D60:L60,1)&gt;0,"REVIEW","OK"))</f>
        <v/>
      </c>
      <c r="AJ60" s="63" t="str">
        <f aca="false">IF(COUNT(D60:L60)=0,"",IF(COUNTIF(D60:L60,"&lt;=2")&gt;=2,"AVOID","OK"))</f>
        <v/>
      </c>
      <c r="AK60" s="63" t="str">
        <f aca="false">IF(COUNTA(E60:M60)=0,"",IF(COUNTIF(E60:M60,"L")&gt;=2,"CAP AT BUY","OK"))</f>
        <v/>
      </c>
      <c r="AL60" s="85"/>
      <c r="AM60" s="78"/>
      <c r="AN60" s="78"/>
      <c r="AO60" s="63"/>
      <c r="AP60" s="78" t="str">
        <f aca="false">IF(OR(AN60="",AO60=""),"",IF(AN60&gt;AO60,"OK","LOW CONF"))</f>
        <v/>
      </c>
      <c r="AQ60" s="78"/>
      <c r="AR60" s="63"/>
      <c r="AS60" s="86" t="str">
        <f aca="false">IF(OR(AQ60="",AR60=""),"",IF(AQ60&lt;AR60,"Decreased",IF(AQ60&gt;AR60,"Increased","Flat")))</f>
        <v/>
      </c>
    </row>
    <row r="62" customFormat="false" ht="15.75" hidden="false" customHeight="true" outlineLevel="0" collapsed="false">
      <c r="A62" s="68" t="n">
        <f aca="false">SUBTOTAL(103,A3:A60)</f>
        <v>26</v>
      </c>
      <c r="B62" s="87" t="s">
        <v>284</v>
      </c>
    </row>
  </sheetData>
  <mergeCells count="6">
    <mergeCell ref="D1:O1"/>
    <mergeCell ref="P1:X1"/>
    <mergeCell ref="Y1:AE1"/>
    <mergeCell ref="AH1:AK1"/>
    <mergeCell ref="AL1:AM1"/>
    <mergeCell ref="AN1:AS1"/>
  </mergeCells>
  <conditionalFormatting sqref="AG3:AG60">
    <cfRule type="cellIs" priority="2" operator="equal" aboveAverage="0" equalAverage="0" bottom="0" percent="0" rank="0" text="" dxfId="13">
      <formula>"STRONG BUY"</formula>
    </cfRule>
    <cfRule type="cellIs" priority="3" operator="equal" aboveAverage="0" equalAverage="0" bottom="0" percent="0" rank="0" text="" dxfId="14">
      <formula>"BUY"</formula>
    </cfRule>
    <cfRule type="cellIs" priority="4" operator="equal" aboveAverage="0" equalAverage="0" bottom="0" percent="0" rank="0" text="" dxfId="15">
      <formula>"WATCH LIST"</formula>
    </cfRule>
    <cfRule type="cellIs" priority="5" operator="equal" aboveAverage="0" equalAverage="0" bottom="0" percent="0" rank="0" text="" dxfId="16">
      <formula>"AVOID"</formula>
    </cfRule>
    <cfRule type="cellIs" priority="6" operator="equal" aboveAverage="0" equalAverage="0" bottom="0" percent="0" rank="0" text="" dxfId="0">
      <formula>"PASS"</formula>
    </cfRule>
  </conditionalFormatting>
  <conditionalFormatting sqref="AH3:AH60">
    <cfRule type="cellIs" priority="7" operator="equal" aboveAverage="0" equalAverage="0" bottom="0" percent="0" rank="0" text="" dxfId="0">
      <formula>"FAIL"</formula>
    </cfRule>
    <cfRule type="cellIs" priority="8" operator="equal" aboveAverage="0" equalAverage="0" bottom="0" percent="0" rank="0" text="" dxfId="17">
      <formula>"OK"</formula>
    </cfRule>
  </conditionalFormatting>
  <conditionalFormatting sqref="AJ3:AJ60">
    <cfRule type="cellIs" priority="9" operator="equal" aboveAverage="0" equalAverage="0" bottom="0" percent="0" rank="0" text="" dxfId="0">
      <formula>"AVOID"</formula>
    </cfRule>
    <cfRule type="cellIs" priority="10" operator="equal" aboveAverage="0" equalAverage="0" bottom="0" percent="0" rank="0" text="" dxfId="17">
      <formula>"OK"</formula>
    </cfRule>
  </conditionalFormatting>
  <conditionalFormatting sqref="AI3:AI60">
    <cfRule type="cellIs" priority="11" operator="equal" aboveAverage="0" equalAverage="0" bottom="0" percent="0" rank="0" text="" dxfId="15">
      <formula>"REVIEW"</formula>
    </cfRule>
  </conditionalFormatting>
  <conditionalFormatting sqref="AK3:AK60">
    <cfRule type="cellIs" priority="12" operator="equal" aboveAverage="0" equalAverage="0" bottom="0" percent="0" rank="0" text="" dxfId="15">
      <formula>"CAP AT BUY"</formula>
    </cfRule>
  </conditionalFormatting>
  <conditionalFormatting sqref="N3:N60">
    <cfRule type="cellIs" priority="13" operator="greaterThanOrEqual" aboveAverage="0" equalAverage="0" bottom="0" percent="0" rank="0" text="" dxfId="17">
      <formula>3</formula>
    </cfRule>
  </conditionalFormatting>
  <conditionalFormatting sqref="AP3:AP60">
    <cfRule type="cellIs" priority="14" operator="equal" aboveAverage="0" equalAverage="0" bottom="0" percent="0" rank="0" text="" dxfId="15">
      <formula>"LOW CONF"</formula>
    </cfRule>
    <cfRule type="cellIs" priority="15" operator="equal" aboveAverage="0" equalAverage="0" bottom="0" percent="0" rank="0" text="" dxfId="17">
      <formula>"OK"</formula>
    </cfRule>
  </conditionalFormatting>
  <conditionalFormatting sqref="AS3:AS60">
    <cfRule type="cellIs" priority="16" operator="equal" aboveAverage="0" equalAverage="0" bottom="0" percent="0" rank="0" text="" dxfId="15">
      <formula>"Increased"</formula>
    </cfRule>
    <cfRule type="cellIs" priority="17" operator="equal" aboveAverage="0" equalAverage="0" bottom="0" percent="0" rank="0" text="" dxfId="17">
      <formula>"Decreased"</formula>
    </cfRule>
  </conditionalFormatting>
  <dataValidations count="2">
    <dataValidation allowBlank="true" errorStyle="stop" operator="between" showDropDown="false" showErrorMessage="false" showInputMessage="false" sqref="D3:D60 F3:F60 H3:H60 J3:J60 L3:L60 P3:P60 R3:R60 T3:T60 V3:V60 Y3:Y60 AA3:AA60 AC3:AC60" type="list">
      <formula1>"1,2,3,4,5"</formula1>
      <formula2>0</formula2>
    </dataValidation>
    <dataValidation allowBlank="true" errorStyle="stop" operator="between" showDropDown="false" showErrorMessage="false" showInputMessage="false" sqref="E3:E60 G3:G60 I3:I60 K3:K60 M3:M60 Q3:Q60 S3:S60 U3:U60 W3:W60 Z3:Z60 AB3:AB60 AD3:AD60" type="list">
      <formula1>"H,M,L"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 topLeftCell="C15" activePane="bottomRight" state="frozen"/>
      <selection pane="topLeft" activeCell="A1" activeCellId="0" sqref="A1"/>
      <selection pane="topRight" activeCell="C1" activeCellId="0" sqref="C1"/>
      <selection pane="bottomLeft" activeCell="A15" activeCellId="0" sqref="A15"/>
      <selection pane="bottomRight" activeCell="A52" activeCellId="0" sqref="A52"/>
    </sheetView>
  </sheetViews>
  <sheetFormatPr defaultColWidth="8.66796875" defaultRowHeight="15" customHeight="false" zeroHeight="false" outlineLevelRow="1" outlineLevelCol="0"/>
  <cols>
    <col collapsed="false" customWidth="true" hidden="false" outlineLevel="0" max="1" min="1" style="1" width="8"/>
    <col collapsed="false" customWidth="true" hidden="false" outlineLevel="0" max="2" min="2" style="1" width="16"/>
    <col collapsed="false" customWidth="true" hidden="false" outlineLevel="0" max="5" min="3" style="1" width="9"/>
    <col collapsed="false" customWidth="true" hidden="false" outlineLevel="0" max="7" min="6" style="1" width="12.5"/>
    <col collapsed="false" customWidth="true" hidden="false" outlineLevel="0" max="8" min="8" style="1" width="11.33"/>
    <col collapsed="false" customWidth="true" hidden="false" outlineLevel="0" max="9" min="9" style="1" width="10"/>
    <col collapsed="false" customWidth="true" hidden="false" outlineLevel="0" max="10" min="10" style="1" width="9"/>
    <col collapsed="false" customWidth="true" hidden="false" outlineLevel="0" max="11" min="11" style="1" width="10"/>
    <col collapsed="false" customWidth="true" hidden="false" outlineLevel="0" max="14" min="12" style="1" width="9"/>
    <col collapsed="false" customWidth="true" hidden="false" outlineLevel="0" max="15" min="15" style="1" width="10"/>
    <col collapsed="false" customWidth="true" hidden="false" outlineLevel="0" max="17" min="16" style="1" width="11"/>
    <col collapsed="false" customWidth="true" hidden="false" outlineLevel="0" max="18" min="18" style="1" width="28"/>
  </cols>
  <sheetData>
    <row r="1" customFormat="false" ht="25.5" hidden="false" customHeight="true" outlineLevel="0" collapsed="false">
      <c r="A1" s="88" t="s">
        <v>397</v>
      </c>
      <c r="B1" s="88"/>
      <c r="C1" s="88"/>
      <c r="D1" s="88"/>
      <c r="E1" s="88"/>
      <c r="F1" s="88"/>
      <c r="G1" s="88"/>
      <c r="H1" s="88"/>
      <c r="I1" s="88"/>
      <c r="J1" s="88"/>
      <c r="K1" s="88"/>
      <c r="L1" s="88"/>
      <c r="M1" s="88"/>
      <c r="N1" s="88"/>
      <c r="O1" s="88"/>
      <c r="P1" s="88"/>
      <c r="Q1" s="88"/>
      <c r="R1" s="88"/>
    </row>
    <row r="2" customFormat="false" ht="57" hidden="false" customHeight="true" outlineLevel="0" collapsed="false">
      <c r="A2" s="32" t="s">
        <v>82</v>
      </c>
      <c r="B2" s="89" t="s">
        <v>274</v>
      </c>
      <c r="C2" s="89" t="s">
        <v>398</v>
      </c>
      <c r="D2" s="89" t="s">
        <v>399</v>
      </c>
      <c r="E2" s="89" t="s">
        <v>400</v>
      </c>
      <c r="F2" s="89" t="s">
        <v>401</v>
      </c>
      <c r="G2" s="89" t="s">
        <v>402</v>
      </c>
      <c r="H2" s="89" t="s">
        <v>403</v>
      </c>
      <c r="I2" s="89" t="s">
        <v>404</v>
      </c>
      <c r="J2" s="89" t="s">
        <v>405</v>
      </c>
      <c r="K2" s="89" t="s">
        <v>406</v>
      </c>
      <c r="L2" s="89" t="s">
        <v>407</v>
      </c>
      <c r="M2" s="89" t="s">
        <v>408</v>
      </c>
      <c r="N2" s="89" t="s">
        <v>409</v>
      </c>
      <c r="O2" s="89" t="s">
        <v>410</v>
      </c>
      <c r="P2" s="89" t="s">
        <v>411</v>
      </c>
      <c r="Q2" s="89" t="s">
        <v>412</v>
      </c>
      <c r="R2" s="62" t="s">
        <v>413</v>
      </c>
    </row>
    <row r="3" customFormat="false" ht="15" hidden="false" customHeight="true" outlineLevel="0" collapsed="false">
      <c r="A3" s="63" t="str">
        <f aca="false">IF(Scoring!A3="","",Scoring!A3)</f>
        <v>MU</v>
      </c>
      <c r="B3" s="90" t="str">
        <f aca="false">IF(Scoring!B3="","",Scoring!B3)</f>
        <v>Micron Technology</v>
      </c>
      <c r="C3" s="43" t="str">
        <f aca="false">IF(Scoring!AG3="","",IF(OR(Scoring!AG3="STRONG BUY",Scoring!AG3="BUY"),"PASS","FAIL"))</f>
        <v>PASS</v>
      </c>
      <c r="D3" s="43" t="str">
        <f aca="false">IF(Scoring!AH3="","",IF(Scoring!AH3="OK","PASS","FAIL"))</f>
        <v>PASS</v>
      </c>
      <c r="E3" s="43" t="str">
        <f aca="false">IF(Scoring!AI3="","",IF(Scoring!AI3="OK","PASS","FAIL — mandatory review required"))</f>
        <v>PASS</v>
      </c>
      <c r="F3" s="35"/>
      <c r="G3" s="35"/>
      <c r="H3" s="43" t="str">
        <f aca="false">IF(OR(F3="",G3=""),"",IF(AND(F3="Y",G3="Y"),"Standard initial size","50% of normal initial size + 90-day technical review"))</f>
        <v/>
      </c>
      <c r="I3" s="35"/>
      <c r="J3" s="35"/>
      <c r="K3" s="43" t="str">
        <f aca="false">IF(I3="","",IF(I3="N","PASS",IF(J3="Y","PASS — risk documented in thesis","FAIL — undocumented binary risk")))</f>
        <v/>
      </c>
      <c r="L3" s="43" t="str">
        <f aca="false">IF('Implied-Return Calculator'!T4="","",'Implied-Return Calculator'!T4)</f>
        <v/>
      </c>
      <c r="M3" s="43" t="str">
        <f aca="false">IF('Implied-Return Calculator'!U4="","",'Implied-Return Calculator'!U4)</f>
        <v/>
      </c>
      <c r="N3" s="91"/>
      <c r="O3" s="92"/>
      <c r="P3" s="43" t="str">
        <f aca="false">IF(OR(N3="",O3=""),"",IF(N3&lt;=50,"PASS — within ceiling",IF(AND(O3&gt;0.3,L3="PASS"),"PASS — growth+bear case exception met","FAIL — exceeds 50x, exception not met")))</f>
        <v/>
      </c>
      <c r="Q3" s="43" t="str">
        <f aca="false">IF(OR(C3="",D3="",E3="",K3="",L3="",M3="",P3=""),"",IF(AND(C3="PASS",D3="PASS",LEFT(E3,4)="PASS",LEFT(K3,4)="PASS",L3="PASS",M3="OK",LEFT(P3,4)="PASS",'Implied-Return Calculator'!S4="PASS"),"YES","NO — see failing rule(s)"))</f>
        <v/>
      </c>
      <c r="R3" s="43" t="str">
        <f aca="false">IF(Q3="","",IF(Q3="YES","Initiate: "&amp;H3,"DO NOT ENTER — resolve failing Entry Rule(s) above first"))</f>
        <v/>
      </c>
    </row>
    <row r="4" customFormat="false" ht="15" hidden="false" customHeight="true" outlineLevel="0" collapsed="false">
      <c r="A4" s="63" t="str">
        <f aca="false">IF(Scoring!A4="","",Scoring!A4)</f>
        <v>AVGO</v>
      </c>
      <c r="B4" s="90" t="str">
        <f aca="false">IF(Scoring!B4="","",Scoring!B4)</f>
        <v>Broadcom Inc.</v>
      </c>
      <c r="C4" s="43" t="str">
        <f aca="false">IF(Scoring!AG4="","",IF(OR(Scoring!AG4="STRONG BUY",Scoring!AG4="BUY"),"PASS","FAIL"))</f>
        <v>PASS</v>
      </c>
      <c r="D4" s="43" t="str">
        <f aca="false">IF(Scoring!AH4="","",IF(Scoring!AH4="OK","PASS","FAIL"))</f>
        <v>PASS</v>
      </c>
      <c r="E4" s="43" t="str">
        <f aca="false">IF(Scoring!AI4="","",IF(Scoring!AI4="OK","PASS","FAIL — mandatory review required"))</f>
        <v>PASS</v>
      </c>
      <c r="F4" s="35"/>
      <c r="G4" s="35"/>
      <c r="H4" s="43" t="str">
        <f aca="false">IF(OR(F4="",G4=""),"",IF(AND(F4="Y",G4="Y"),"Standard initial size","50% of normal initial size + 90-day technical review"))</f>
        <v/>
      </c>
      <c r="I4" s="35"/>
      <c r="J4" s="35"/>
      <c r="K4" s="43" t="str">
        <f aca="false">IF(I4="","",IF(I4="N","PASS",IF(J4="Y","PASS — risk documented in thesis","FAIL — undocumented binary risk")))</f>
        <v/>
      </c>
      <c r="L4" s="43" t="str">
        <f aca="false">IF('Implied-Return Calculator'!T5="","",'Implied-Return Calculator'!T5)</f>
        <v/>
      </c>
      <c r="M4" s="43" t="str">
        <f aca="false">IF('Implied-Return Calculator'!U5="","",'Implied-Return Calculator'!U5)</f>
        <v/>
      </c>
      <c r="N4" s="91"/>
      <c r="O4" s="92"/>
      <c r="P4" s="43" t="str">
        <f aca="false">IF(OR(N4="",O4=""),"",IF(N4&lt;=50,"PASS — within ceiling",IF(AND(O4&gt;0.3,L4="PASS"),"PASS — growth+bear case exception met","FAIL — exceeds 50x, exception not met")))</f>
        <v/>
      </c>
      <c r="Q4" s="43" t="str">
        <f aca="false">IF(OR(C4="",D4="",E4="",K4="",L4="",M4="",P4=""),"",IF(AND(C4="PASS",D4="PASS",LEFT(E4,4)="PASS",LEFT(K4,4)="PASS",L4="PASS",M4="OK",LEFT(P4,4)="PASS",'Implied-Return Calculator'!S5="PASS"),"YES","NO — see failing rule(s)"))</f>
        <v/>
      </c>
      <c r="R4" s="43" t="str">
        <f aca="false">IF(Q4="","",IF(Q4="YES","Initiate: "&amp;H4,"DO NOT ENTER — resolve failing Entry Rule(s) above first"))</f>
        <v/>
      </c>
    </row>
    <row r="5" customFormat="false" ht="15" hidden="false" customHeight="true" outlineLevel="0" collapsed="false">
      <c r="A5" s="63" t="str">
        <f aca="false">IF(Scoring!A5="","",Scoring!A5)</f>
        <v>PLTR</v>
      </c>
      <c r="B5" s="90" t="str">
        <f aca="false">IF(Scoring!B5="","",Scoring!B5)</f>
        <v>Palantir Technologies</v>
      </c>
      <c r="C5" s="43" t="str">
        <f aca="false">IF(Scoring!AG5="","",IF(OR(Scoring!AG5="STRONG BUY",Scoring!AG5="BUY"),"PASS","FAIL"))</f>
        <v>PASS</v>
      </c>
      <c r="D5" s="43" t="str">
        <f aca="false">IF(Scoring!AH5="","",IF(Scoring!AH5="OK","PASS","FAIL"))</f>
        <v>PASS</v>
      </c>
      <c r="E5" s="43" t="str">
        <f aca="false">IF(Scoring!AI5="","",IF(Scoring!AI5="OK","PASS","FAIL — mandatory review required"))</f>
        <v>PASS</v>
      </c>
      <c r="F5" s="35"/>
      <c r="G5" s="35"/>
      <c r="H5" s="43" t="str">
        <f aca="false">IF(OR(F5="",G5=""),"",IF(AND(F5="Y",G5="Y"),"Standard initial size","50% of normal initial size + 90-day technical review"))</f>
        <v/>
      </c>
      <c r="I5" s="35"/>
      <c r="J5" s="35"/>
      <c r="K5" s="43" t="str">
        <f aca="false">IF(I5="","",IF(I5="N","PASS",IF(J5="Y","PASS — risk documented in thesis","FAIL — undocumented binary risk")))</f>
        <v/>
      </c>
      <c r="L5" s="43" t="str">
        <f aca="false">IF('Implied-Return Calculator'!T6="","",'Implied-Return Calculator'!T6)</f>
        <v/>
      </c>
      <c r="M5" s="43" t="str">
        <f aca="false">IF('Implied-Return Calculator'!U6="","",'Implied-Return Calculator'!U6)</f>
        <v/>
      </c>
      <c r="N5" s="91"/>
      <c r="O5" s="92"/>
      <c r="P5" s="43" t="str">
        <f aca="false">IF(OR(N5="",O5=""),"",IF(N5&lt;=50,"PASS — within ceiling",IF(AND(O5&gt;0.3,L5="PASS"),"PASS — growth+bear case exception met","FAIL — exceeds 50x, exception not met")))</f>
        <v/>
      </c>
      <c r="Q5" s="43" t="str">
        <f aca="false">IF(OR(C5="",D5="",E5="",K5="",L5="",M5="",P5=""),"",IF(AND(C5="PASS",D5="PASS",LEFT(E5,4)="PASS",LEFT(K5,4)="PASS",L5="PASS",M5="OK",LEFT(P5,4)="PASS",'Implied-Return Calculator'!S6="PASS"),"YES","NO — see failing rule(s)"))</f>
        <v/>
      </c>
      <c r="R5" s="43" t="str">
        <f aca="false">IF(Q5="","",IF(Q5="YES","Initiate: "&amp;H5,"DO NOT ENTER — resolve failing Entry Rule(s) above first"))</f>
        <v/>
      </c>
    </row>
    <row r="6" customFormat="false" ht="15" hidden="false" customHeight="true" outlineLevel="0" collapsed="false">
      <c r="A6" s="63" t="str">
        <f aca="false">IF(Scoring!A6="","",Scoring!A6)</f>
        <v>NVDA</v>
      </c>
      <c r="B6" s="90" t="str">
        <f aca="false">IF(Scoring!B6="","",Scoring!B6)</f>
        <v>NVIDIA Corporation</v>
      </c>
      <c r="C6" s="43" t="str">
        <f aca="false">IF(Scoring!AG6="","",IF(OR(Scoring!AG6="STRONG BUY",Scoring!AG6="BUY"),"PASS","FAIL"))</f>
        <v>PASS</v>
      </c>
      <c r="D6" s="43" t="str">
        <f aca="false">IF(Scoring!AH6="","",IF(Scoring!AH6="OK","PASS","FAIL"))</f>
        <v>PASS</v>
      </c>
      <c r="E6" s="43" t="str">
        <f aca="false">IF(Scoring!AI6="","",IF(Scoring!AI6="OK","PASS","FAIL — mandatory review required"))</f>
        <v>PASS</v>
      </c>
      <c r="F6" s="35"/>
      <c r="G6" s="35"/>
      <c r="H6" s="43" t="str">
        <f aca="false">IF(OR(F6="",G6=""),"",IF(AND(F6="Y",G6="Y"),"Standard initial size","50% of normal initial size + 90-day technical review"))</f>
        <v/>
      </c>
      <c r="I6" s="35"/>
      <c r="J6" s="35"/>
      <c r="K6" s="43" t="str">
        <f aca="false">IF(I6="","",IF(I6="N","PASS",IF(J6="Y","PASS — risk documented in thesis","FAIL — undocumented binary risk")))</f>
        <v/>
      </c>
      <c r="L6" s="43" t="str">
        <f aca="false">IF('Implied-Return Calculator'!T7="","",'Implied-Return Calculator'!T7)</f>
        <v/>
      </c>
      <c r="M6" s="43" t="str">
        <f aca="false">IF('Implied-Return Calculator'!U7="","",'Implied-Return Calculator'!U7)</f>
        <v/>
      </c>
      <c r="N6" s="91"/>
      <c r="O6" s="92"/>
      <c r="P6" s="43" t="str">
        <f aca="false">IF(OR(N6="",O6=""),"",IF(N6&lt;=50,"PASS — within ceiling",IF(AND(O6&gt;0.3,L6="PASS"),"PASS — growth+bear case exception met","FAIL — exceeds 50x, exception not met")))</f>
        <v/>
      </c>
      <c r="Q6" s="43" t="str">
        <f aca="false">IF(OR(C6="",D6="",E6="",K6="",L6="",M6="",P6=""),"",IF(AND(C6="PASS",D6="PASS",LEFT(E6,4)="PASS",LEFT(K6,4)="PASS",L6="PASS",M6="OK",LEFT(P6,4)="PASS",'Implied-Return Calculator'!S7="PASS"),"YES","NO — see failing rule(s)"))</f>
        <v/>
      </c>
      <c r="R6" s="43" t="str">
        <f aca="false">IF(Q6="","",IF(Q6="YES","Initiate: "&amp;H6,"DO NOT ENTER — resolve failing Entry Rule(s) above first"))</f>
        <v/>
      </c>
    </row>
    <row r="7" customFormat="false" ht="15" hidden="false" customHeight="true" outlineLevel="0" collapsed="false">
      <c r="A7" s="63" t="str">
        <f aca="false">IF(Scoring!A7="","",Scoring!A7)</f>
        <v>VRTX</v>
      </c>
      <c r="B7" s="90" t="str">
        <f aca="false">IF(Scoring!B7="","",Scoring!B7)</f>
        <v>Vertex Pharmaceuticals</v>
      </c>
      <c r="C7" s="43" t="str">
        <f aca="false">IF(Scoring!AG7="","",IF(OR(Scoring!AG7="STRONG BUY",Scoring!AG7="BUY"),"PASS","FAIL"))</f>
        <v>PASS</v>
      </c>
      <c r="D7" s="43" t="str">
        <f aca="false">IF(Scoring!AH7="","",IF(Scoring!AH7="OK","PASS","FAIL"))</f>
        <v>PASS</v>
      </c>
      <c r="E7" s="43" t="str">
        <f aca="false">IF(Scoring!AI7="","",IF(Scoring!AI7="OK","PASS","FAIL — mandatory review required"))</f>
        <v>PASS</v>
      </c>
      <c r="F7" s="35"/>
      <c r="G7" s="35"/>
      <c r="H7" s="43" t="str">
        <f aca="false">IF(OR(F7="",G7=""),"",IF(AND(F7="Y",G7="Y"),"Standard initial size","50% of normal initial size + 90-day technical review"))</f>
        <v/>
      </c>
      <c r="I7" s="35"/>
      <c r="J7" s="35"/>
      <c r="K7" s="43" t="str">
        <f aca="false">IF(I7="","",IF(I7="N","PASS",IF(J7="Y","PASS — risk documented in thesis","FAIL — undocumented binary risk")))</f>
        <v/>
      </c>
      <c r="L7" s="43" t="str">
        <f aca="false">IF('Implied-Return Calculator'!T8="","",'Implied-Return Calculator'!T8)</f>
        <v/>
      </c>
      <c r="M7" s="43" t="str">
        <f aca="false">IF('Implied-Return Calculator'!U8="","",'Implied-Return Calculator'!U8)</f>
        <v/>
      </c>
      <c r="N7" s="91"/>
      <c r="O7" s="92"/>
      <c r="P7" s="43" t="str">
        <f aca="false">IF(OR(N7="",O7=""),"",IF(N7&lt;=50,"PASS — within ceiling",IF(AND(O7&gt;0.3,L7="PASS"),"PASS — growth+bear case exception met","FAIL — exceeds 50x, exception not met")))</f>
        <v/>
      </c>
      <c r="Q7" s="43" t="str">
        <f aca="false">IF(OR(C7="",D7="",E7="",K7="",L7="",M7="",P7=""),"",IF(AND(C7="PASS",D7="PASS",LEFT(E7,4)="PASS",LEFT(K7,4)="PASS",L7="PASS",M7="OK",LEFT(P7,4)="PASS",'Implied-Return Calculator'!S8="PASS"),"YES","NO — see failing rule(s)"))</f>
        <v/>
      </c>
      <c r="R7" s="43" t="str">
        <f aca="false">IF(Q7="","",IF(Q7="YES","Initiate: "&amp;H7,"DO NOT ENTER — resolve failing Entry Rule(s) above first"))</f>
        <v/>
      </c>
    </row>
    <row r="8" customFormat="false" ht="15" hidden="false" customHeight="true" outlineLevel="0" collapsed="false">
      <c r="A8" s="63" t="str">
        <f aca="false">IF(Scoring!A8="","",Scoring!A8)</f>
        <v>PLD</v>
      </c>
      <c r="B8" s="90" t="str">
        <f aca="false">IF(Scoring!B8="","",Scoring!B8)</f>
        <v>Prologis Inc. (REIT-adapted)</v>
      </c>
      <c r="C8" s="43" t="str">
        <f aca="false">IF(Scoring!AG8="","",IF(OR(Scoring!AG8="STRONG BUY",Scoring!AG8="BUY"),"PASS","FAIL"))</f>
        <v>PASS</v>
      </c>
      <c r="D8" s="43" t="str">
        <f aca="false">IF(Scoring!AH8="","",IF(Scoring!AH8="OK","PASS","FAIL"))</f>
        <v>PASS</v>
      </c>
      <c r="E8" s="43" t="str">
        <f aca="false">IF(Scoring!AI8="","",IF(Scoring!AI8="OK","PASS","FAIL — mandatory review required"))</f>
        <v>PASS</v>
      </c>
      <c r="F8" s="35"/>
      <c r="G8" s="35"/>
      <c r="H8" s="43" t="str">
        <f aca="false">IF(OR(F8="",G8=""),"",IF(AND(F8="Y",G8="Y"),"Standard initial size","50% of normal initial size + 90-day technical review"))</f>
        <v/>
      </c>
      <c r="I8" s="35"/>
      <c r="J8" s="35"/>
      <c r="K8" s="43" t="str">
        <f aca="false">IF(I8="","",IF(I8="N","PASS",IF(J8="Y","PASS — risk documented in thesis","FAIL — undocumented binary risk")))</f>
        <v/>
      </c>
      <c r="L8" s="43" t="str">
        <f aca="false">IF('Implied-Return Calculator'!T9="","",'Implied-Return Calculator'!T9)</f>
        <v/>
      </c>
      <c r="M8" s="43" t="str">
        <f aca="false">IF('Implied-Return Calculator'!U9="","",'Implied-Return Calculator'!U9)</f>
        <v/>
      </c>
      <c r="N8" s="91"/>
      <c r="O8" s="92"/>
      <c r="P8" s="43" t="str">
        <f aca="false">IF(OR(N8="",O8=""),"",IF(N8&lt;=50,"PASS — within ceiling",IF(AND(O8&gt;0.3,L8="PASS"),"PASS — growth+bear case exception met","FAIL — exceeds 50x, exception not met")))</f>
        <v/>
      </c>
      <c r="Q8" s="43" t="str">
        <f aca="false">IF(OR(C8="",D8="",E8="",K8="",L8="",M8="",P8=""),"",IF(AND(C8="PASS",D8="PASS",LEFT(E8,4)="PASS",LEFT(K8,4)="PASS",L8="PASS",M8="OK",LEFT(P8,4)="PASS",'Implied-Return Calculator'!S9="PASS"),"YES","NO — see failing rule(s)"))</f>
        <v/>
      </c>
      <c r="R8" s="43" t="str">
        <f aca="false">IF(Q8="","",IF(Q8="YES","Initiate: "&amp;H8,"DO NOT ENTER — resolve failing Entry Rule(s) above first"))</f>
        <v/>
      </c>
    </row>
    <row r="9" customFormat="false" ht="15" hidden="true" customHeight="true" outlineLevel="1" collapsed="false">
      <c r="A9" s="63" t="str">
        <f aca="false">IF(Scoring!A9="","",Scoring!A9)</f>
        <v>SFM</v>
      </c>
      <c r="B9" s="90" t="str">
        <f aca="false">IF(Scoring!B9="","",Scoring!B9)</f>
        <v>Sprouts Farmers Market</v>
      </c>
      <c r="C9" s="43" t="str">
        <f aca="false">IF(Scoring!AG9="","",IF(OR(Scoring!AG9="STRONG BUY",Scoring!AG9="BUY"),"PASS","FAIL"))</f>
        <v/>
      </c>
      <c r="D9" s="43" t="str">
        <f aca="false">IF(Scoring!AH9="","",IF(Scoring!AH9="OK","PASS","FAIL"))</f>
        <v>FAIL</v>
      </c>
      <c r="E9" s="43" t="str">
        <f aca="false">IF(Scoring!AI9="","",IF(Scoring!AI9="OK","PASS","FAIL — mandatory review required"))</f>
        <v>FAIL — mandatory review required</v>
      </c>
      <c r="F9" s="35"/>
      <c r="G9" s="35"/>
      <c r="H9" s="43" t="str">
        <f aca="false">IF(OR(F9="",G9=""),"",IF(AND(F9="Y",G9="Y"),"Standard initial size","50% of normal initial size + 90-day technical review"))</f>
        <v/>
      </c>
      <c r="I9" s="35"/>
      <c r="J9" s="35"/>
      <c r="K9" s="43" t="str">
        <f aca="false">IF(I9="","",IF(I9="N","PASS",IF(J9="Y","PASS — risk documented in thesis","FAIL — undocumented binary risk")))</f>
        <v/>
      </c>
      <c r="L9" s="43" t="str">
        <f aca="false">IF('Implied-Return Calculator'!T10="","",'Implied-Return Calculator'!T10)</f>
        <v/>
      </c>
      <c r="M9" s="43" t="str">
        <f aca="false">IF('Implied-Return Calculator'!U10="","",'Implied-Return Calculator'!U10)</f>
        <v/>
      </c>
      <c r="N9" s="91"/>
      <c r="O9" s="92"/>
      <c r="P9" s="43" t="str">
        <f aca="false">IF(OR(N9="",O9=""),"",IF(N9&lt;=50,"PASS — within ceiling",IF(AND(O9&gt;0.3,L9="PASS"),"PASS — growth+bear case exception met","FAIL — exceeds 50x, exception not met")))</f>
        <v/>
      </c>
      <c r="Q9" s="43" t="str">
        <f aca="false">IF(OR(C9="",D9="",E9="",K9="",L9="",M9="",P9=""),"",IF(AND(C9="PASS",D9="PASS",LEFT(E9,4)="PASS",LEFT(K9,4)="PASS",L9="PASS",M9="OK",LEFT(P9,4)="PASS",'Implied-Return Calculator'!S10="PASS"),"YES","NO — see failing rule(s)"))</f>
        <v/>
      </c>
      <c r="R9" s="43" t="str">
        <f aca="false">IF(Q9="","",IF(Q9="YES","Initiate: "&amp;H9,"DO NOT ENTER — resolve failing Entry Rule(s) above first"))</f>
        <v/>
      </c>
    </row>
    <row r="10" customFormat="false" ht="15" hidden="true" customHeight="true" outlineLevel="1" collapsed="false">
      <c r="A10" s="63" t="str">
        <f aca="false">IF(Scoring!A10="","",Scoring!A10)</f>
        <v>ONON</v>
      </c>
      <c r="B10" s="90" t="str">
        <f aca="false">IF(Scoring!B10="","",Scoring!B10)</f>
        <v>On Holding AG</v>
      </c>
      <c r="C10" s="43" t="str">
        <f aca="false">IF(Scoring!AG10="","",IF(OR(Scoring!AG10="STRONG BUY",Scoring!AG10="BUY"),"PASS","FAIL"))</f>
        <v/>
      </c>
      <c r="D10" s="43" t="str">
        <f aca="false">IF(Scoring!AH10="","",IF(Scoring!AH10="OK","PASS","FAIL"))</f>
        <v>FAIL</v>
      </c>
      <c r="E10" s="43" t="str">
        <f aca="false">IF(Scoring!AI10="","",IF(Scoring!AI10="OK","PASS","FAIL — mandatory review required"))</f>
        <v>PASS</v>
      </c>
      <c r="F10" s="35"/>
      <c r="G10" s="35"/>
      <c r="H10" s="43" t="str">
        <f aca="false">IF(OR(F10="",G10=""),"",IF(AND(F10="Y",G10="Y"),"Standard initial size","50% of normal initial size + 90-day technical review"))</f>
        <v/>
      </c>
      <c r="I10" s="35"/>
      <c r="J10" s="35"/>
      <c r="K10" s="43" t="str">
        <f aca="false">IF(I10="","",IF(I10="N","PASS",IF(J10="Y","PASS — risk documented in thesis","FAIL — undocumented binary risk")))</f>
        <v/>
      </c>
      <c r="L10" s="43" t="str">
        <f aca="false">IF('Implied-Return Calculator'!T11="","",'Implied-Return Calculator'!T11)</f>
        <v/>
      </c>
      <c r="M10" s="43" t="str">
        <f aca="false">IF('Implied-Return Calculator'!U11="","",'Implied-Return Calculator'!U11)</f>
        <v/>
      </c>
      <c r="N10" s="91"/>
      <c r="O10" s="92"/>
      <c r="P10" s="43" t="str">
        <f aca="false">IF(OR(N10="",O10=""),"",IF(N10&lt;=50,"PASS — within ceiling",IF(AND(O10&gt;0.3,L10="PASS"),"PASS — growth+bear case exception met","FAIL — exceeds 50x, exception not met")))</f>
        <v/>
      </c>
      <c r="Q10" s="43" t="str">
        <f aca="false">IF(OR(C10="",D10="",E10="",K10="",L10="",M10="",P10=""),"",IF(AND(C10="PASS",D10="PASS",LEFT(E10,4)="PASS",LEFT(K10,4)="PASS",L10="PASS",M10="OK",LEFT(P10,4)="PASS",'Implied-Return Calculator'!S11="PASS"),"YES","NO — see failing rule(s)"))</f>
        <v/>
      </c>
      <c r="R10" s="43" t="str">
        <f aca="false">IF(Q10="","",IF(Q10="YES","Initiate: "&amp;H10,"DO NOT ENTER — resolve failing Entry Rule(s) above first"))</f>
        <v/>
      </c>
    </row>
    <row r="11" customFormat="false" ht="15" hidden="true" customHeight="true" outlineLevel="1" collapsed="false">
      <c r="A11" s="63" t="str">
        <f aca="false">IF(Scoring!A11="","",Scoring!A11)</f>
        <v>TSLA</v>
      </c>
      <c r="B11" s="90" t="str">
        <f aca="false">IF(Scoring!B11="","",Scoring!B11)</f>
        <v>Tesla Inc.</v>
      </c>
      <c r="C11" s="43" t="str">
        <f aca="false">IF(Scoring!AG11="","",IF(OR(Scoring!AG11="STRONG BUY",Scoring!AG11="BUY"),"PASS","FAIL"))</f>
        <v/>
      </c>
      <c r="D11" s="43" t="str">
        <f aca="false">IF(Scoring!AH11="","",IF(Scoring!AH11="OK","PASS","FAIL"))</f>
        <v>FAIL</v>
      </c>
      <c r="E11" s="43" t="str">
        <f aca="false">IF(Scoring!AI11="","",IF(Scoring!AI11="OK","PASS","FAIL — mandatory review required"))</f>
        <v>FAIL — mandatory review required</v>
      </c>
      <c r="F11" s="35"/>
      <c r="G11" s="35"/>
      <c r="H11" s="43" t="str">
        <f aca="false">IF(OR(F11="",G11=""),"",IF(AND(F11="Y",G11="Y"),"Standard initial size","50% of normal initial size + 90-day technical review"))</f>
        <v/>
      </c>
      <c r="I11" s="35"/>
      <c r="J11" s="35"/>
      <c r="K11" s="43" t="str">
        <f aca="false">IF(I11="","",IF(I11="N","PASS",IF(J11="Y","PASS — risk documented in thesis","FAIL — undocumented binary risk")))</f>
        <v/>
      </c>
      <c r="L11" s="43" t="str">
        <f aca="false">IF('Implied-Return Calculator'!T12="","",'Implied-Return Calculator'!T12)</f>
        <v/>
      </c>
      <c r="M11" s="43" t="str">
        <f aca="false">IF('Implied-Return Calculator'!U12="","",'Implied-Return Calculator'!U12)</f>
        <v/>
      </c>
      <c r="N11" s="91"/>
      <c r="O11" s="92"/>
      <c r="P11" s="43" t="str">
        <f aca="false">IF(OR(N11="",O11=""),"",IF(N11&lt;=50,"PASS — within ceiling",IF(AND(O11&gt;0.3,L11="PASS"),"PASS — growth+bear case exception met","FAIL — exceeds 50x, exception not met")))</f>
        <v/>
      </c>
      <c r="Q11" s="43" t="str">
        <f aca="false">IF(OR(C11="",D11="",E11="",K11="",L11="",M11="",P11=""),"",IF(AND(C11="PASS",D11="PASS",LEFT(E11,4)="PASS",LEFT(K11,4)="PASS",L11="PASS",M11="OK",LEFT(P11,4)="PASS",'Implied-Return Calculator'!S12="PASS"),"YES","NO — see failing rule(s)"))</f>
        <v/>
      </c>
      <c r="R11" s="43" t="str">
        <f aca="false">IF(Q11="","",IF(Q11="YES","Initiate: "&amp;H11,"DO NOT ENTER — resolve failing Entry Rule(s) above first"))</f>
        <v/>
      </c>
    </row>
    <row r="12" customFormat="false" ht="15" hidden="false" customHeight="true" outlineLevel="0" collapsed="false">
      <c r="A12" s="63" t="str">
        <f aca="false">IF(Scoring!A12="","",Scoring!A12)</f>
        <v>ADBE</v>
      </c>
      <c r="B12" s="90" t="str">
        <f aca="false">IF(Scoring!B12="","",Scoring!B12)</f>
        <v>Adobe Inc.</v>
      </c>
      <c r="C12" s="43" t="str">
        <f aca="false">IF(Scoring!AG12="","",IF(OR(Scoring!AG12="STRONG BUY",Scoring!AG12="BUY"),"PASS","FAIL"))</f>
        <v>PASS</v>
      </c>
      <c r="D12" s="43" t="str">
        <f aca="false">IF(Scoring!AH12="","",IF(Scoring!AH12="OK","PASS","FAIL"))</f>
        <v>PASS</v>
      </c>
      <c r="E12" s="43" t="str">
        <f aca="false">IF(Scoring!AI12="","",IF(Scoring!AI12="OK","PASS","FAIL — mandatory review required"))</f>
        <v>PASS</v>
      </c>
      <c r="F12" s="35"/>
      <c r="G12" s="35"/>
      <c r="H12" s="43" t="str">
        <f aca="false">IF(OR(F12="",G12=""),"",IF(AND(F12="Y",G12="Y"),"Standard initial size","50% of normal initial size + 90-day technical review"))</f>
        <v/>
      </c>
      <c r="I12" s="35"/>
      <c r="J12" s="35"/>
      <c r="K12" s="43" t="str">
        <f aca="false">IF(I12="","",IF(I12="N","PASS",IF(J12="Y","PASS — risk documented in thesis","FAIL — undocumented binary risk")))</f>
        <v/>
      </c>
      <c r="L12" s="43" t="str">
        <f aca="false">IF('Implied-Return Calculator'!T13="","",'Implied-Return Calculator'!T13)</f>
        <v/>
      </c>
      <c r="M12" s="43" t="str">
        <f aca="false">IF('Implied-Return Calculator'!U13="","",'Implied-Return Calculator'!U13)</f>
        <v/>
      </c>
      <c r="N12" s="91"/>
      <c r="O12" s="92"/>
      <c r="P12" s="43" t="str">
        <f aca="false">IF(OR(N12="",O12=""),"",IF(N12&lt;=50,"PASS — within ceiling",IF(AND(O12&gt;0.3,L12="PASS"),"PASS — growth+bear case exception met","FAIL — exceeds 50x, exception not met")))</f>
        <v/>
      </c>
      <c r="Q12" s="43" t="str">
        <f aca="false">IF(OR(C12="",D12="",E12="",K12="",L12="",M12="",P12=""),"",IF(AND(C12="PASS",D12="PASS",LEFT(E12,4)="PASS",LEFT(K12,4)="PASS",L12="PASS",M12="OK",LEFT(P12,4)="PASS",'Implied-Return Calculator'!S13="PASS"),"YES","NO — see failing rule(s)"))</f>
        <v/>
      </c>
      <c r="R12" s="43" t="str">
        <f aca="false">IF(Q12="","",IF(Q12="YES","Initiate: "&amp;H12,"DO NOT ENTER — resolve failing Entry Rule(s) above first"))</f>
        <v/>
      </c>
    </row>
    <row r="13" customFormat="false" ht="15" hidden="false" customHeight="true" outlineLevel="0" collapsed="false">
      <c r="A13" s="63" t="str">
        <f aca="false">IF(Scoring!A13="","",Scoring!A13)</f>
        <v>ANET</v>
      </c>
      <c r="B13" s="90" t="str">
        <f aca="false">IF(Scoring!B13="","",Scoring!B13)</f>
        <v>Arista Networks</v>
      </c>
      <c r="C13" s="43" t="str">
        <f aca="false">IF(Scoring!AG13="","",IF(OR(Scoring!AG13="STRONG BUY",Scoring!AG13="BUY"),"PASS","FAIL"))</f>
        <v>PASS</v>
      </c>
      <c r="D13" s="43" t="str">
        <f aca="false">IF(Scoring!AH13="","",IF(Scoring!AH13="OK","PASS","FAIL"))</f>
        <v>PASS</v>
      </c>
      <c r="E13" s="43" t="str">
        <f aca="false">IF(Scoring!AI13="","",IF(Scoring!AI13="OK","PASS","FAIL — mandatory review required"))</f>
        <v>PASS</v>
      </c>
      <c r="F13" s="35"/>
      <c r="G13" s="35"/>
      <c r="H13" s="43" t="str">
        <f aca="false">IF(OR(F13="",G13=""),"",IF(AND(F13="Y",G13="Y"),"Standard initial size","50% of normal initial size + 90-day technical review"))</f>
        <v/>
      </c>
      <c r="I13" s="35"/>
      <c r="J13" s="35"/>
      <c r="K13" s="43" t="str">
        <f aca="false">IF(I13="","",IF(I13="N","PASS",IF(J13="Y","PASS — risk documented in thesis","FAIL — undocumented binary risk")))</f>
        <v/>
      </c>
      <c r="L13" s="43" t="str">
        <f aca="false">IF('Implied-Return Calculator'!T14="","",'Implied-Return Calculator'!T14)</f>
        <v/>
      </c>
      <c r="M13" s="43" t="str">
        <f aca="false">IF('Implied-Return Calculator'!U14="","",'Implied-Return Calculator'!U14)</f>
        <v/>
      </c>
      <c r="N13" s="91"/>
      <c r="O13" s="92"/>
      <c r="P13" s="43" t="str">
        <f aca="false">IF(OR(N13="",O13=""),"",IF(N13&lt;=50,"PASS — within ceiling",IF(AND(O13&gt;0.3,L13="PASS"),"PASS — growth+bear case exception met","FAIL — exceeds 50x, exception not met")))</f>
        <v/>
      </c>
      <c r="Q13" s="43" t="str">
        <f aca="false">IF(OR(C13="",D13="",E13="",K13="",L13="",M13="",P13=""),"",IF(AND(C13="PASS",D13="PASS",LEFT(E13,4)="PASS",LEFT(K13,4)="PASS",L13="PASS",M13="OK",LEFT(P13,4)="PASS",'Implied-Return Calculator'!S14="PASS"),"YES","NO — see failing rule(s)"))</f>
        <v/>
      </c>
      <c r="R13" s="43" t="str">
        <f aca="false">IF(Q13="","",IF(Q13="YES","Initiate: "&amp;H13,"DO NOT ENTER — resolve failing Entry Rule(s) above first"))</f>
        <v/>
      </c>
    </row>
    <row r="14" customFormat="false" ht="15" hidden="false" customHeight="true" outlineLevel="0" collapsed="false">
      <c r="A14" s="63" t="str">
        <f aca="false">IF(Scoring!A14="","",Scoring!A14)</f>
        <v>ASML</v>
      </c>
      <c r="B14" s="90" t="str">
        <f aca="false">IF(Scoring!B14="","",Scoring!B14)</f>
        <v>ASML Holding</v>
      </c>
      <c r="C14" s="43" t="str">
        <f aca="false">IF(Scoring!AG14="","",IF(OR(Scoring!AG14="STRONG BUY",Scoring!AG14="BUY"),"PASS","FAIL"))</f>
        <v>PASS</v>
      </c>
      <c r="D14" s="43" t="str">
        <f aca="false">IF(Scoring!AH14="","",IF(Scoring!AH14="OK","PASS","FAIL"))</f>
        <v>PASS</v>
      </c>
      <c r="E14" s="43" t="str">
        <f aca="false">IF(Scoring!AI14="","",IF(Scoring!AI14="OK","PASS","FAIL — mandatory review required"))</f>
        <v>PASS</v>
      </c>
      <c r="F14" s="35"/>
      <c r="G14" s="35"/>
      <c r="H14" s="43" t="str">
        <f aca="false">IF(OR(F14="",G14=""),"",IF(AND(F14="Y",G14="Y"),"Standard initial size","50% of normal initial size + 90-day technical review"))</f>
        <v/>
      </c>
      <c r="I14" s="35"/>
      <c r="J14" s="35"/>
      <c r="K14" s="43" t="str">
        <f aca="false">IF(I14="","",IF(I14="N","PASS",IF(J14="Y","PASS — risk documented in thesis","FAIL — undocumented binary risk")))</f>
        <v/>
      </c>
      <c r="L14" s="43" t="str">
        <f aca="false">IF('Implied-Return Calculator'!T15="","",'Implied-Return Calculator'!T15)</f>
        <v/>
      </c>
      <c r="M14" s="43" t="str">
        <f aca="false">IF('Implied-Return Calculator'!U15="","",'Implied-Return Calculator'!U15)</f>
        <v/>
      </c>
      <c r="N14" s="91"/>
      <c r="O14" s="92"/>
      <c r="P14" s="43" t="str">
        <f aca="false">IF(OR(N14="",O14=""),"",IF(N14&lt;=50,"PASS — within ceiling",IF(AND(O14&gt;0.3,L14="PASS"),"PASS — growth+bear case exception met","FAIL — exceeds 50x, exception not met")))</f>
        <v/>
      </c>
      <c r="Q14" s="43" t="str">
        <f aca="false">IF(OR(C14="",D14="",E14="",K14="",L14="",M14="",P14=""),"",IF(AND(C14="PASS",D14="PASS",LEFT(E14,4)="PASS",LEFT(K14,4)="PASS",L14="PASS",M14="OK",LEFT(P14,4)="PASS",'Implied-Return Calculator'!S15="PASS"),"YES","NO — see failing rule(s)"))</f>
        <v/>
      </c>
      <c r="R14" s="43" t="str">
        <f aca="false">IF(Q14="","",IF(Q14="YES","Initiate: "&amp;H14,"DO NOT ENTER — resolve failing Entry Rule(s) above first"))</f>
        <v/>
      </c>
    </row>
    <row r="15" customFormat="false" ht="15" hidden="false" customHeight="true" outlineLevel="0" collapsed="false">
      <c r="A15" s="63" t="str">
        <f aca="false">IF(Scoring!A15="","",Scoring!A15)</f>
        <v>CRWD</v>
      </c>
      <c r="B15" s="90" t="str">
        <f aca="false">IF(Scoring!B15="","",Scoring!B15)</f>
        <v>CrowdStrike Holdings</v>
      </c>
      <c r="C15" s="43" t="str">
        <f aca="false">IF(Scoring!AG15="","",IF(OR(Scoring!AG15="STRONG BUY",Scoring!AG15="BUY"),"PASS","FAIL"))</f>
        <v>PASS</v>
      </c>
      <c r="D15" s="43" t="str">
        <f aca="false">IF(Scoring!AH15="","",IF(Scoring!AH15="OK","PASS","FAIL"))</f>
        <v>PASS</v>
      </c>
      <c r="E15" s="43" t="str">
        <f aca="false">IF(Scoring!AI15="","",IF(Scoring!AI15="OK","PASS","FAIL — mandatory review required"))</f>
        <v>PASS</v>
      </c>
      <c r="F15" s="35"/>
      <c r="G15" s="35"/>
      <c r="H15" s="43" t="str">
        <f aca="false">IF(OR(F15="",G15=""),"",IF(AND(F15="Y",G15="Y"),"Standard initial size","50% of normal initial size + 90-day technical review"))</f>
        <v/>
      </c>
      <c r="I15" s="35"/>
      <c r="J15" s="35"/>
      <c r="K15" s="43" t="str">
        <f aca="false">IF(I15="","",IF(I15="N","PASS",IF(J15="Y","PASS — risk documented in thesis","FAIL — undocumented binary risk")))</f>
        <v/>
      </c>
      <c r="L15" s="43" t="str">
        <f aca="false">IF('Implied-Return Calculator'!T16="","",'Implied-Return Calculator'!T16)</f>
        <v/>
      </c>
      <c r="M15" s="43" t="str">
        <f aca="false">IF('Implied-Return Calculator'!U16="","",'Implied-Return Calculator'!U16)</f>
        <v/>
      </c>
      <c r="N15" s="91"/>
      <c r="O15" s="92"/>
      <c r="P15" s="43" t="str">
        <f aca="false">IF(OR(N15="",O15=""),"",IF(N15&lt;=50,"PASS — within ceiling",IF(AND(O15&gt;0.3,L15="PASS"),"PASS — growth+bear case exception met","FAIL — exceeds 50x, exception not met")))</f>
        <v/>
      </c>
      <c r="Q15" s="43" t="str">
        <f aca="false">IF(OR(C15="",D15="",E15="",K15="",L15="",M15="",P15=""),"",IF(AND(C15="PASS",D15="PASS",LEFT(E15,4)="PASS",LEFT(K15,4)="PASS",L15="PASS",M15="OK",LEFT(P15,4)="PASS",'Implied-Return Calculator'!S16="PASS"),"YES","NO — see failing rule(s)"))</f>
        <v/>
      </c>
      <c r="R15" s="43" t="str">
        <f aca="false">IF(Q15="","",IF(Q15="YES","Initiate: "&amp;H15,"DO NOT ENTER — resolve failing Entry Rule(s) above first"))</f>
        <v/>
      </c>
    </row>
    <row r="16" customFormat="false" ht="15" hidden="false" customHeight="true" outlineLevel="0" collapsed="false">
      <c r="A16" s="63" t="str">
        <f aca="false">IF(Scoring!A16="","",Scoring!A16)</f>
        <v>KLAC</v>
      </c>
      <c r="B16" s="90" t="str">
        <f aca="false">IF(Scoring!B16="","",Scoring!B16)</f>
        <v>KLA Corporation</v>
      </c>
      <c r="C16" s="43" t="str">
        <f aca="false">IF(Scoring!AG16="","",IF(OR(Scoring!AG16="STRONG BUY",Scoring!AG16="BUY"),"PASS","FAIL"))</f>
        <v>PASS</v>
      </c>
      <c r="D16" s="43" t="str">
        <f aca="false">IF(Scoring!AH16="","",IF(Scoring!AH16="OK","PASS","FAIL"))</f>
        <v>PASS</v>
      </c>
      <c r="E16" s="43" t="str">
        <f aca="false">IF(Scoring!AI16="","",IF(Scoring!AI16="OK","PASS","FAIL — mandatory review required"))</f>
        <v>PASS</v>
      </c>
      <c r="F16" s="35"/>
      <c r="G16" s="35"/>
      <c r="H16" s="43" t="str">
        <f aca="false">IF(OR(F16="",G16=""),"",IF(AND(F16="Y",G16="Y"),"Standard initial size","50% of normal initial size + 90-day technical review"))</f>
        <v/>
      </c>
      <c r="I16" s="35"/>
      <c r="J16" s="35"/>
      <c r="K16" s="43" t="str">
        <f aca="false">IF(I16="","",IF(I16="N","PASS",IF(J16="Y","PASS — risk documented in thesis","FAIL — undocumented binary risk")))</f>
        <v/>
      </c>
      <c r="L16" s="43" t="str">
        <f aca="false">IF('Implied-Return Calculator'!T17="","",'Implied-Return Calculator'!T17)</f>
        <v/>
      </c>
      <c r="M16" s="43" t="str">
        <f aca="false">IF('Implied-Return Calculator'!U17="","",'Implied-Return Calculator'!U17)</f>
        <v/>
      </c>
      <c r="N16" s="91"/>
      <c r="O16" s="92"/>
      <c r="P16" s="43" t="str">
        <f aca="false">IF(OR(N16="",O16=""),"",IF(N16&lt;=50,"PASS — within ceiling",IF(AND(O16&gt;0.3,L16="PASS"),"PASS — growth+bear case exception met","FAIL — exceeds 50x, exception not met")))</f>
        <v/>
      </c>
      <c r="Q16" s="43" t="str">
        <f aca="false">IF(OR(C16="",D16="",E16="",K16="",L16="",M16="",P16=""),"",IF(AND(C16="PASS",D16="PASS",LEFT(E16,4)="PASS",LEFT(K16,4)="PASS",L16="PASS",M16="OK",LEFT(P16,4)="PASS",'Implied-Return Calculator'!S17="PASS"),"YES","NO — see failing rule(s)"))</f>
        <v/>
      </c>
      <c r="R16" s="43" t="str">
        <f aca="false">IF(Q16="","",IF(Q16="YES","Initiate: "&amp;H16,"DO NOT ENTER — resolve failing Entry Rule(s) above first"))</f>
        <v/>
      </c>
    </row>
    <row r="17" customFormat="false" ht="15" hidden="false" customHeight="true" outlineLevel="0" collapsed="false">
      <c r="A17" s="63" t="str">
        <f aca="false">IF(Scoring!A17="","",Scoring!A17)</f>
        <v>TSM</v>
      </c>
      <c r="B17" s="90" t="str">
        <f aca="false">IF(Scoring!B17="","",Scoring!B17)</f>
        <v>Taiwan Semiconductor Mfg.</v>
      </c>
      <c r="C17" s="43" t="str">
        <f aca="false">IF(Scoring!AG17="","",IF(OR(Scoring!AG17="STRONG BUY",Scoring!AG17="BUY"),"PASS","FAIL"))</f>
        <v>PASS</v>
      </c>
      <c r="D17" s="43" t="str">
        <f aca="false">IF(Scoring!AH17="","",IF(Scoring!AH17="OK","PASS","FAIL"))</f>
        <v>PASS</v>
      </c>
      <c r="E17" s="43" t="str">
        <f aca="false">IF(Scoring!AI17="","",IF(Scoring!AI17="OK","PASS","FAIL — mandatory review required"))</f>
        <v>PASS</v>
      </c>
      <c r="F17" s="35"/>
      <c r="G17" s="35"/>
      <c r="H17" s="43" t="str">
        <f aca="false">IF(OR(F17="",G17=""),"",IF(AND(F17="Y",G17="Y"),"Standard initial size","50% of normal initial size + 90-day technical review"))</f>
        <v/>
      </c>
      <c r="I17" s="35"/>
      <c r="J17" s="35"/>
      <c r="K17" s="43" t="str">
        <f aca="false">IF(I17="","",IF(I17="N","PASS",IF(J17="Y","PASS — risk documented in thesis","FAIL — undocumented binary risk")))</f>
        <v/>
      </c>
      <c r="L17" s="43" t="str">
        <f aca="false">IF('Implied-Return Calculator'!T18="","",'Implied-Return Calculator'!T18)</f>
        <v/>
      </c>
      <c r="M17" s="43" t="str">
        <f aca="false">IF('Implied-Return Calculator'!U18="","",'Implied-Return Calculator'!U18)</f>
        <v/>
      </c>
      <c r="N17" s="91"/>
      <c r="O17" s="92"/>
      <c r="P17" s="43" t="str">
        <f aca="false">IF(OR(N17="",O17=""),"",IF(N17&lt;=50,"PASS — within ceiling",IF(AND(O17&gt;0.3,L17="PASS"),"PASS — growth+bear case exception met","FAIL — exceeds 50x, exception not met")))</f>
        <v/>
      </c>
      <c r="Q17" s="43" t="str">
        <f aca="false">IF(OR(C17="",D17="",E17="",K17="",L17="",M17="",P17=""),"",IF(AND(C17="PASS",D17="PASS",LEFT(E17,4)="PASS",LEFT(K17,4)="PASS",L17="PASS",M17="OK",LEFT(P17,4)="PASS",'Implied-Return Calculator'!S18="PASS"),"YES","NO — see failing rule(s)"))</f>
        <v/>
      </c>
      <c r="R17" s="43" t="str">
        <f aca="false">IF(Q17="","",IF(Q17="YES","Initiate: "&amp;H17,"DO NOT ENTER — resolve failing Entry Rule(s) above first"))</f>
        <v/>
      </c>
    </row>
    <row r="18" customFormat="false" ht="15" hidden="false" customHeight="true" outlineLevel="0" collapsed="false">
      <c r="A18" s="63" t="str">
        <f aca="false">IF(Scoring!A18="","",Scoring!A18)</f>
        <v>VRT</v>
      </c>
      <c r="B18" s="90" t="str">
        <f aca="false">IF(Scoring!B18="","",Scoring!B18)</f>
        <v>Vertiv Holdings</v>
      </c>
      <c r="C18" s="43" t="str">
        <f aca="false">IF(Scoring!AG18="","",IF(OR(Scoring!AG18="STRONG BUY",Scoring!AG18="BUY"),"PASS","FAIL"))</f>
        <v>PASS</v>
      </c>
      <c r="D18" s="43" t="str">
        <f aca="false">IF(Scoring!AH18="","",IF(Scoring!AH18="OK","PASS","FAIL"))</f>
        <v>PASS</v>
      </c>
      <c r="E18" s="43" t="str">
        <f aca="false">IF(Scoring!AI18="","",IF(Scoring!AI18="OK","PASS","FAIL — mandatory review required"))</f>
        <v>PASS</v>
      </c>
      <c r="F18" s="35"/>
      <c r="G18" s="35"/>
      <c r="H18" s="43" t="str">
        <f aca="false">IF(OR(F18="",G18=""),"",IF(AND(F18="Y",G18="Y"),"Standard initial size","50% of normal initial size + 90-day technical review"))</f>
        <v/>
      </c>
      <c r="I18" s="35"/>
      <c r="J18" s="35"/>
      <c r="K18" s="43" t="str">
        <f aca="false">IF(I18="","",IF(I18="N","PASS",IF(J18="Y","PASS — risk documented in thesis","FAIL — undocumented binary risk")))</f>
        <v/>
      </c>
      <c r="L18" s="43" t="str">
        <f aca="false">IF('Implied-Return Calculator'!T19="","",'Implied-Return Calculator'!T19)</f>
        <v/>
      </c>
      <c r="M18" s="43" t="str">
        <f aca="false">IF('Implied-Return Calculator'!U19="","",'Implied-Return Calculator'!U19)</f>
        <v/>
      </c>
      <c r="N18" s="91"/>
      <c r="O18" s="92"/>
      <c r="P18" s="43" t="str">
        <f aca="false">IF(OR(N18="",O18=""),"",IF(N18&lt;=50,"PASS — within ceiling",IF(AND(O18&gt;0.3,L18="PASS"),"PASS — growth+bear case exception met","FAIL — exceeds 50x, exception not met")))</f>
        <v/>
      </c>
      <c r="Q18" s="43" t="str">
        <f aca="false">IF(OR(C18="",D18="",E18="",K18="",L18="",M18="",P18=""),"",IF(AND(C18="PASS",D18="PASS",LEFT(E18,4)="PASS",LEFT(K18,4)="PASS",L18="PASS",M18="OK",LEFT(P18,4)="PASS",'Implied-Return Calculator'!S19="PASS"),"YES","NO — see failing rule(s)"))</f>
        <v/>
      </c>
      <c r="R18" s="43" t="str">
        <f aca="false">IF(Q18="","",IF(Q18="YES","Initiate: "&amp;H18,"DO NOT ENTER — resolve failing Entry Rule(s) above first"))</f>
        <v/>
      </c>
    </row>
    <row r="19" customFormat="false" ht="15" hidden="false" customHeight="true" outlineLevel="0" collapsed="false">
      <c r="A19" s="63" t="str">
        <f aca="false">IF(Scoring!A19="","",Scoring!A19)</f>
        <v>COST</v>
      </c>
      <c r="B19" s="90" t="str">
        <f aca="false">IF(Scoring!B19="","",Scoring!B19)</f>
        <v>Costco Wholesale Corp.</v>
      </c>
      <c r="C19" s="43" t="str">
        <f aca="false">IF(Scoring!AG19="","",IF(OR(Scoring!AG19="STRONG BUY",Scoring!AG19="BUY"),"PASS","FAIL"))</f>
        <v>PASS</v>
      </c>
      <c r="D19" s="43" t="str">
        <f aca="false">IF(Scoring!AH19="","",IF(Scoring!AH19="OK","PASS","FAIL"))</f>
        <v>PASS</v>
      </c>
      <c r="E19" s="43" t="str">
        <f aca="false">IF(Scoring!AI19="","",IF(Scoring!AI19="OK","PASS","FAIL — mandatory review required"))</f>
        <v>PASS</v>
      </c>
      <c r="F19" s="35" t="s">
        <v>209</v>
      </c>
      <c r="G19" s="35" t="s">
        <v>209</v>
      </c>
      <c r="H19" s="43" t="str">
        <f aca="false">IF(OR(F19="",G19=""),"",IF(AND(F19="Y",G19="Y"),"Standard initial size","50% of normal initial size + 90-day technical review"))</f>
        <v>Standard initial size</v>
      </c>
      <c r="I19" s="35" t="s">
        <v>208</v>
      </c>
      <c r="J19" s="35"/>
      <c r="K19" s="43" t="str">
        <f aca="false">IF(I19="","",IF(I19="N","PASS",IF(J19="Y","PASS — risk documented in thesis","FAIL — undocumented binary risk")))</f>
        <v>PASS</v>
      </c>
      <c r="L19" s="43" t="str">
        <f aca="false">IF('Implied-Return Calculator'!T20="","",'Implied-Return Calculator'!T20)</f>
        <v>PASS</v>
      </c>
      <c r="M19" s="43" t="str">
        <f aca="false">IF('Implied-Return Calculator'!U20="","",'Implied-Return Calculator'!U20)</f>
        <v>OK</v>
      </c>
      <c r="N19" s="91" t="n">
        <v>61.48</v>
      </c>
      <c r="O19" s="92" t="n">
        <v>0.07</v>
      </c>
      <c r="P19" s="43" t="str">
        <f aca="false">IF(OR(N19="",O19=""),"",IF(N19&lt;=50,"PASS — within ceiling",IF(AND(O19&gt;0.3,L19="PASS"),"PASS — growth+bear case exception met","FAIL — exceeds 50x, exception not met")))</f>
        <v>FAIL — exceeds 50x, exception not met</v>
      </c>
      <c r="Q19" s="43" t="str">
        <f aca="false">IF(OR(C19="",D19="",E19="",K19="",L19="",M19="",P19=""),"",IF(AND(C19="PASS",D19="PASS",LEFT(E19,4)="PASS",LEFT(K19,4)="PASS",L19="PASS",M19="OK",LEFT(P19,4)="PASS",'Implied-Return Calculator'!S20="PASS"),"YES","NO — see failing rule(s)"))</f>
        <v>NO — see failing rule(s)</v>
      </c>
      <c r="R19" s="43" t="str">
        <f aca="false">IF(Q19="","",IF(Q19="YES","Initiate: "&amp;H19,"DO NOT ENTER — resolve failing Entry Rule(s) above first"))</f>
        <v>DO NOT ENTER — resolve failing Entry Rule(s) above first</v>
      </c>
    </row>
    <row r="20" customFormat="false" ht="15" hidden="false" customHeight="true" outlineLevel="0" collapsed="false">
      <c r="A20" s="63" t="str">
        <f aca="false">IF(Scoring!A20="","",Scoring!A20)</f>
        <v>V</v>
      </c>
      <c r="B20" s="90" t="str">
        <f aca="false">IF(Scoring!B20="","",Scoring!B20)</f>
        <v>Visa Inc.</v>
      </c>
      <c r="C20" s="43" t="str">
        <f aca="false">IF(Scoring!AG20="","",IF(OR(Scoring!AG20="STRONG BUY",Scoring!AG20="BUY"),"PASS","FAIL"))</f>
        <v>PASS</v>
      </c>
      <c r="D20" s="43" t="str">
        <f aca="false">IF(Scoring!AH20="","",IF(Scoring!AH20="OK","PASS","FAIL"))</f>
        <v>PASS</v>
      </c>
      <c r="E20" s="43" t="str">
        <f aca="false">IF(Scoring!AI20="","",IF(Scoring!AI20="OK","PASS","FAIL — mandatory review required"))</f>
        <v>PASS</v>
      </c>
      <c r="F20" s="35" t="s">
        <v>209</v>
      </c>
      <c r="G20" s="35" t="s">
        <v>209</v>
      </c>
      <c r="H20" s="43" t="str">
        <f aca="false">IF(OR(F20="",G20=""),"",IF(AND(F20="Y",G20="Y"),"Standard initial size","50% of normal initial size + 90-day technical review"))</f>
        <v>Standard initial size</v>
      </c>
      <c r="I20" s="35" t="s">
        <v>209</v>
      </c>
      <c r="J20" s="35" t="s">
        <v>209</v>
      </c>
      <c r="K20" s="43" t="str">
        <f aca="false">IF(I20="","",IF(I20="N","PASS",IF(J20="Y","PASS — risk documented in thesis","FAIL — undocumented binary risk")))</f>
        <v>PASS — risk documented in thesis</v>
      </c>
      <c r="L20" s="43" t="str">
        <f aca="false">IF('Implied-Return Calculator'!T21="","",'Implied-Return Calculator'!T21)</f>
        <v>PASS</v>
      </c>
      <c r="M20" s="43" t="str">
        <f aca="false">IF('Implied-Return Calculator'!U21="","",'Implied-Return Calculator'!U21)</f>
        <v>OK</v>
      </c>
      <c r="N20" s="91" t="n">
        <v>34.36</v>
      </c>
      <c r="O20" s="92" t="n">
        <v>0.11</v>
      </c>
      <c r="P20" s="43" t="str">
        <f aca="false">IF(OR(N20="",O20=""),"",IF(N20&lt;=50,"PASS — within ceiling",IF(AND(O20&gt;0.3,L20="PASS"),"PASS — growth+bear case exception met","FAIL — exceeds 50x, exception not met")))</f>
        <v>PASS — within ceiling</v>
      </c>
      <c r="Q20" s="43" t="str">
        <f aca="false">IF(OR(C20="",D20="",E20="",K20="",L20="",M20="",P20=""),"",IF(AND(C20="PASS",D20="PASS",LEFT(E20,4)="PASS",LEFT(K20,4)="PASS",L20="PASS",M20="OK",LEFT(P20,4)="PASS",'Implied-Return Calculator'!S21="PASS"),"YES","NO — see failing rule(s)"))</f>
        <v>YES</v>
      </c>
      <c r="R20" s="43" t="str">
        <f aca="false">IF(Q20="","",IF(Q20="YES","Initiate: "&amp;H20,"DO NOT ENTER — resolve failing Entry Rule(s) above first"))</f>
        <v>Initiate: Standard initial size</v>
      </c>
    </row>
    <row r="21" customFormat="false" ht="15" hidden="true" customHeight="true" outlineLevel="1" collapsed="false">
      <c r="A21" s="63" t="str">
        <f aca="false">IF(Scoring!A21="","",Scoring!A21)</f>
        <v>NEE</v>
      </c>
      <c r="B21" s="90" t="str">
        <f aca="false">IF(Scoring!B21="","",Scoring!B21)</f>
        <v>NextEra Energy Inc.</v>
      </c>
      <c r="C21" s="43" t="str">
        <f aca="false">IF(Scoring!AG21="","",IF(OR(Scoring!AG21="STRONG BUY",Scoring!AG21="BUY"),"PASS","FAIL"))</f>
        <v/>
      </c>
      <c r="D21" s="43" t="str">
        <f aca="false">IF(Scoring!AH21="","",IF(Scoring!AH21="OK","PASS","FAIL"))</f>
        <v>FAIL</v>
      </c>
      <c r="E21" s="43" t="str">
        <f aca="false">IF(Scoring!AI21="","",IF(Scoring!AI21="OK","PASS","FAIL — mandatory review required"))</f>
        <v>FAIL — mandatory review required</v>
      </c>
      <c r="F21" s="35"/>
      <c r="G21" s="35"/>
      <c r="H21" s="43" t="str">
        <f aca="false">IF(OR(F21="",G21=""),"",IF(AND(F21="Y",G21="Y"),"Standard initial size","50% of normal initial size + 90-day technical review"))</f>
        <v/>
      </c>
      <c r="I21" s="35"/>
      <c r="J21" s="35"/>
      <c r="K21" s="43" t="str">
        <f aca="false">IF(I21="","",IF(I21="N","PASS",IF(J21="Y","PASS — risk documented in thesis","FAIL — undocumented binary risk")))</f>
        <v/>
      </c>
      <c r="L21" s="43" t="str">
        <f aca="false">IF('Implied-Return Calculator'!T22="","",'Implied-Return Calculator'!T22)</f>
        <v/>
      </c>
      <c r="M21" s="43" t="str">
        <f aca="false">IF('Implied-Return Calculator'!U22="","",'Implied-Return Calculator'!U22)</f>
        <v/>
      </c>
      <c r="N21" s="91"/>
      <c r="O21" s="92"/>
      <c r="P21" s="43" t="str">
        <f aca="false">IF(OR(N21="",O21=""),"",IF(N21&lt;=50,"PASS — within ceiling",IF(AND(O21&gt;0.3,L21="PASS"),"PASS — growth+bear case exception met","FAIL — exceeds 50x, exception not met")))</f>
        <v/>
      </c>
      <c r="Q21" s="43" t="str">
        <f aca="false">IF(OR(C21="",D21="",E21="",K21="",L21="",M21="",P21=""),"",IF(AND(C21="PASS",D21="PASS",LEFT(E21,4)="PASS",LEFT(K21,4)="PASS",L21="PASS",M21="OK",LEFT(P21,4)="PASS",'Implied-Return Calculator'!S22="PASS"),"YES","NO — see failing rule(s)"))</f>
        <v/>
      </c>
      <c r="R21" s="43" t="str">
        <f aca="false">IF(Q21="","",IF(Q21="YES","Initiate: "&amp;H21,"DO NOT ENTER — resolve failing Entry Rule(s) above first"))</f>
        <v/>
      </c>
    </row>
    <row r="22" customFormat="false" ht="15" hidden="true" customHeight="true" outlineLevel="1" collapsed="false">
      <c r="A22" s="63" t="str">
        <f aca="false">IF(Scoring!A22="","",Scoring!A22)</f>
        <v>CRK</v>
      </c>
      <c r="B22" s="90" t="str">
        <f aca="false">IF(Scoring!B22="","",Scoring!B22)</f>
        <v>Comstock Resources Inc.</v>
      </c>
      <c r="C22" s="43" t="str">
        <f aca="false">IF(Scoring!AG22="","",IF(OR(Scoring!AG22="STRONG BUY",Scoring!AG22="BUY"),"PASS","FAIL"))</f>
        <v/>
      </c>
      <c r="D22" s="43" t="str">
        <f aca="false">IF(Scoring!AH22="","",IF(Scoring!AH22="OK","PASS","FAIL"))</f>
        <v>FAIL</v>
      </c>
      <c r="E22" s="43" t="str">
        <f aca="false">IF(Scoring!AI22="","",IF(Scoring!AI22="OK","PASS","FAIL — mandatory review required"))</f>
        <v>FAIL — mandatory review required</v>
      </c>
      <c r="F22" s="35"/>
      <c r="G22" s="35"/>
      <c r="H22" s="43" t="str">
        <f aca="false">IF(OR(F22="",G22=""),"",IF(AND(F22="Y",G22="Y"),"Standard initial size","50% of normal initial size + 90-day technical review"))</f>
        <v/>
      </c>
      <c r="I22" s="35"/>
      <c r="J22" s="35"/>
      <c r="K22" s="43" t="str">
        <f aca="false">IF(I22="","",IF(I22="N","PASS",IF(J22="Y","PASS — risk documented in thesis","FAIL — undocumented binary risk")))</f>
        <v/>
      </c>
      <c r="L22" s="43" t="str">
        <f aca="false">IF('Implied-Return Calculator'!T23="","",'Implied-Return Calculator'!T23)</f>
        <v/>
      </c>
      <c r="M22" s="43" t="str">
        <f aca="false">IF('Implied-Return Calculator'!U23="","",'Implied-Return Calculator'!U23)</f>
        <v/>
      </c>
      <c r="N22" s="91"/>
      <c r="O22" s="92"/>
      <c r="P22" s="43" t="str">
        <f aca="false">IF(OR(N22="",O22=""),"",IF(N22&lt;=50,"PASS — within ceiling",IF(AND(O22&gt;0.3,L22="PASS"),"PASS — growth+bear case exception met","FAIL — exceeds 50x, exception not met")))</f>
        <v/>
      </c>
      <c r="Q22" s="43" t="str">
        <f aca="false">IF(OR(C22="",D22="",E22="",K22="",L22="",M22="",P22=""),"",IF(AND(C22="PASS",D22="PASS",LEFT(E22,4)="PASS",LEFT(K22,4)="PASS",L22="PASS",M22="OK",LEFT(P22,4)="PASS",'Implied-Return Calculator'!S23="PASS"),"YES","NO — see failing rule(s)"))</f>
        <v/>
      </c>
      <c r="R22" s="43" t="str">
        <f aca="false">IF(Q22="","",IF(Q22="YES","Initiate: "&amp;H22,"DO NOT ENTER — resolve failing Entry Rule(s) above first"))</f>
        <v/>
      </c>
    </row>
    <row r="23" customFormat="false" ht="15" hidden="false" customHeight="true" outlineLevel="0" collapsed="false">
      <c r="A23" s="63" t="str">
        <f aca="false">IF(Scoring!A23="","",Scoring!A23)</f>
        <v>ET</v>
      </c>
      <c r="B23" s="90" t="str">
        <f aca="false">IF(Scoring!B23="","",Scoring!B23)</f>
        <v>Energy Transfer LP</v>
      </c>
      <c r="C23" s="43" t="str">
        <f aca="false">IF(Scoring!AG23="","",IF(OR(Scoring!AG23="STRONG BUY",Scoring!AG23="BUY"),"PASS","FAIL"))</f>
        <v/>
      </c>
      <c r="D23" s="43" t="str">
        <f aca="false">IF(Scoring!AH23="","",IF(Scoring!AH23="OK","PASS","FAIL"))</f>
        <v>PASS</v>
      </c>
      <c r="E23" s="43" t="str">
        <f aca="false">IF(Scoring!AI23="","",IF(Scoring!AI23="OK","PASS","FAIL — mandatory review required"))</f>
        <v>PASS</v>
      </c>
      <c r="F23" s="35"/>
      <c r="G23" s="35"/>
      <c r="H23" s="43" t="str">
        <f aca="false">IF(OR(F23="",G23=""),"",IF(AND(F23="Y",G23="Y"),"Standard initial size","50% of normal initial size + 90-day technical review"))</f>
        <v/>
      </c>
      <c r="I23" s="35"/>
      <c r="J23" s="35"/>
      <c r="K23" s="43" t="str">
        <f aca="false">IF(I23="","",IF(I23="N","PASS",IF(J23="Y","PASS — risk documented in thesis","FAIL — undocumented binary risk")))</f>
        <v/>
      </c>
      <c r="L23" s="43" t="str">
        <f aca="false">IF('Implied-Return Calculator'!T24="","",'Implied-Return Calculator'!T24)</f>
        <v/>
      </c>
      <c r="M23" s="43" t="str">
        <f aca="false">IF('Implied-Return Calculator'!U24="","",'Implied-Return Calculator'!U24)</f>
        <v/>
      </c>
      <c r="N23" s="91"/>
      <c r="O23" s="92"/>
      <c r="P23" s="43" t="str">
        <f aca="false">IF(OR(N23="",O23=""),"",IF(N23&lt;=50,"PASS — within ceiling",IF(AND(O23&gt;0.3,L23="PASS"),"PASS — growth+bear case exception met","FAIL — exceeds 50x, exception not met")))</f>
        <v/>
      </c>
      <c r="Q23" s="43" t="str">
        <f aca="false">IF(OR(C23="",D23="",E23="",K23="",L23="",M23="",P23=""),"",IF(AND(C23="PASS",D23="PASS",LEFT(E23,4)="PASS",LEFT(K23,4)="PASS",L23="PASS",M23="OK",LEFT(P23,4)="PASS",'Implied-Return Calculator'!S24="PASS"),"YES","NO — see failing rule(s)"))</f>
        <v/>
      </c>
      <c r="R23" s="43" t="str">
        <f aca="false">IF(Q23="","",IF(Q23="YES","Initiate: "&amp;H23,"DO NOT ENTER — resolve failing Entry Rule(s) above first"))</f>
        <v/>
      </c>
    </row>
    <row r="24" customFormat="false" ht="15" hidden="true" customHeight="true" outlineLevel="1" collapsed="false">
      <c r="A24" s="63" t="str">
        <f aca="false">IF(Scoring!A24="","",Scoring!A24)</f>
        <v>LBRT</v>
      </c>
      <c r="B24" s="90" t="str">
        <f aca="false">IF(Scoring!B24="","",Scoring!B24)</f>
        <v>Liberty Energy Inc.</v>
      </c>
      <c r="C24" s="43" t="str">
        <f aca="false">IF(Scoring!AG24="","",IF(OR(Scoring!AG24="STRONG BUY",Scoring!AG24="BUY"),"PASS","FAIL"))</f>
        <v/>
      </c>
      <c r="D24" s="43" t="str">
        <f aca="false">IF(Scoring!AH24="","",IF(Scoring!AH24="OK","PASS","FAIL"))</f>
        <v>FAIL</v>
      </c>
      <c r="E24" s="43" t="str">
        <f aca="false">IF(Scoring!AI24="","",IF(Scoring!AI24="OK","PASS","FAIL — mandatory review required"))</f>
        <v>FAIL — mandatory review required</v>
      </c>
      <c r="F24" s="35"/>
      <c r="G24" s="35"/>
      <c r="H24" s="43" t="str">
        <f aca="false">IF(OR(F24="",G24=""),"",IF(AND(F24="Y",G24="Y"),"Standard initial size","50% of normal initial size + 90-day technical review"))</f>
        <v/>
      </c>
      <c r="I24" s="35"/>
      <c r="J24" s="35"/>
      <c r="K24" s="43" t="str">
        <f aca="false">IF(I24="","",IF(I24="N","PASS",IF(J24="Y","PASS — risk documented in thesis","FAIL — undocumented binary risk")))</f>
        <v/>
      </c>
      <c r="L24" s="43" t="str">
        <f aca="false">IF('Implied-Return Calculator'!T25="","",'Implied-Return Calculator'!T25)</f>
        <v/>
      </c>
      <c r="M24" s="43" t="str">
        <f aca="false">IF('Implied-Return Calculator'!U25="","",'Implied-Return Calculator'!U25)</f>
        <v/>
      </c>
      <c r="N24" s="91"/>
      <c r="O24" s="92"/>
      <c r="P24" s="43" t="str">
        <f aca="false">IF(OR(N24="",O24=""),"",IF(N24&lt;=50,"PASS — within ceiling",IF(AND(O24&gt;0.3,L24="PASS"),"PASS — growth+bear case exception met","FAIL — exceeds 50x, exception not met")))</f>
        <v/>
      </c>
      <c r="Q24" s="43" t="str">
        <f aca="false">IF(OR(C24="",D24="",E24="",K24="",L24="",M24="",P24=""),"",IF(AND(C24="PASS",D24="PASS",LEFT(E24,4)="PASS",LEFT(K24,4)="PASS",L24="PASS",M24="OK",LEFT(P24,4)="PASS",'Implied-Return Calculator'!S25="PASS"),"YES","NO — see failing rule(s)"))</f>
        <v/>
      </c>
      <c r="R24" s="43" t="str">
        <f aca="false">IF(Q24="","",IF(Q24="YES","Initiate: "&amp;H24,"DO NOT ENTER — resolve failing Entry Rule(s) above first"))</f>
        <v/>
      </c>
    </row>
    <row r="25" customFormat="false" ht="15" hidden="true" customHeight="true" outlineLevel="1" collapsed="false">
      <c r="A25" s="63" t="str">
        <f aca="false">IF(Scoring!A25="","",Scoring!A25)</f>
        <v>NOV</v>
      </c>
      <c r="B25" s="90" t="str">
        <f aca="false">IF(Scoring!B25="","",Scoring!B25)</f>
        <v>NOV Inc.</v>
      </c>
      <c r="C25" s="43" t="str">
        <f aca="false">IF(Scoring!AG25="","",IF(OR(Scoring!AG25="STRONG BUY",Scoring!AG25="BUY"),"PASS","FAIL"))</f>
        <v/>
      </c>
      <c r="D25" s="43" t="str">
        <f aca="false">IF(Scoring!AH25="","",IF(Scoring!AH25="OK","PASS","FAIL"))</f>
        <v>FAIL</v>
      </c>
      <c r="E25" s="43" t="str">
        <f aca="false">IF(Scoring!AI25="","",IF(Scoring!AI25="OK","PASS","FAIL — mandatory review required"))</f>
        <v>PASS</v>
      </c>
      <c r="F25" s="35"/>
      <c r="G25" s="35"/>
      <c r="H25" s="43" t="str">
        <f aca="false">IF(OR(F25="",G25=""),"",IF(AND(F25="Y",G25="Y"),"Standard initial size","50% of normal initial size + 90-day technical review"))</f>
        <v/>
      </c>
      <c r="I25" s="35"/>
      <c r="J25" s="35"/>
      <c r="K25" s="43" t="str">
        <f aca="false">IF(I25="","",IF(I25="N","PASS",IF(J25="Y","PASS — risk documented in thesis","FAIL — undocumented binary risk")))</f>
        <v/>
      </c>
      <c r="L25" s="43" t="str">
        <f aca="false">IF('Implied-Return Calculator'!T26="","",'Implied-Return Calculator'!T26)</f>
        <v/>
      </c>
      <c r="M25" s="43" t="str">
        <f aca="false">IF('Implied-Return Calculator'!U26="","",'Implied-Return Calculator'!U26)</f>
        <v/>
      </c>
      <c r="N25" s="91"/>
      <c r="O25" s="92"/>
      <c r="P25" s="43" t="str">
        <f aca="false">IF(OR(N25="",O25=""),"",IF(N25&lt;=50,"PASS — within ceiling",IF(AND(O25&gt;0.3,L25="PASS"),"PASS — growth+bear case exception met","FAIL — exceeds 50x, exception not met")))</f>
        <v/>
      </c>
      <c r="Q25" s="43" t="str">
        <f aca="false">IF(OR(C25="",D25="",E25="",K25="",L25="",M25="",P25=""),"",IF(AND(C25="PASS",D25="PASS",LEFT(E25,4)="PASS",LEFT(K25,4)="PASS",L25="PASS",M25="OK",LEFT(P25,4)="PASS",'Implied-Return Calculator'!S26="PASS"),"YES","NO — see failing rule(s)"))</f>
        <v/>
      </c>
      <c r="R25" s="43" t="str">
        <f aca="false">IF(Q25="","",IF(Q25="YES","Initiate: "&amp;H25,"DO NOT ENTER — resolve failing Entry Rule(s) above first"))</f>
        <v/>
      </c>
    </row>
    <row r="26" customFormat="false" ht="15" hidden="true" customHeight="true" outlineLevel="1" collapsed="false">
      <c r="A26" s="63" t="str">
        <f aca="false">IF(Scoring!A26="","",Scoring!A26)</f>
        <v>CE</v>
      </c>
      <c r="B26" s="90" t="str">
        <f aca="false">IF(Scoring!B26="","",Scoring!B26)</f>
        <v>Celanese Corp.</v>
      </c>
      <c r="C26" s="43" t="str">
        <f aca="false">IF(Scoring!AG26="","",IF(OR(Scoring!AG26="STRONG BUY",Scoring!AG26="BUY"),"PASS","FAIL"))</f>
        <v/>
      </c>
      <c r="D26" s="43" t="str">
        <f aca="false">IF(Scoring!AH26="","",IF(Scoring!AH26="OK","PASS","FAIL"))</f>
        <v>FAIL</v>
      </c>
      <c r="E26" s="43" t="str">
        <f aca="false">IF(Scoring!AI26="","",IF(Scoring!AI26="OK","PASS","FAIL — mandatory review required"))</f>
        <v>FAIL — mandatory review required</v>
      </c>
      <c r="F26" s="35"/>
      <c r="G26" s="35"/>
      <c r="H26" s="43" t="str">
        <f aca="false">IF(OR(F26="",G26=""),"",IF(AND(F26="Y",G26="Y"),"Standard initial size","50% of normal initial size + 90-day technical review"))</f>
        <v/>
      </c>
      <c r="I26" s="35"/>
      <c r="J26" s="35"/>
      <c r="K26" s="43" t="str">
        <f aca="false">IF(I26="","",IF(I26="N","PASS",IF(J26="Y","PASS — risk documented in thesis","FAIL — undocumented binary risk")))</f>
        <v/>
      </c>
      <c r="L26" s="43" t="str">
        <f aca="false">IF('Implied-Return Calculator'!T27="","",'Implied-Return Calculator'!T27)</f>
        <v/>
      </c>
      <c r="M26" s="43" t="str">
        <f aca="false">IF('Implied-Return Calculator'!U27="","",'Implied-Return Calculator'!U27)</f>
        <v/>
      </c>
      <c r="N26" s="91"/>
      <c r="O26" s="92"/>
      <c r="P26" s="43" t="str">
        <f aca="false">IF(OR(N26="",O26=""),"",IF(N26&lt;=50,"PASS — within ceiling",IF(AND(O26&gt;0.3,L26="PASS"),"PASS — growth+bear case exception met","FAIL — exceeds 50x, exception not met")))</f>
        <v/>
      </c>
      <c r="Q26" s="43" t="str">
        <f aca="false">IF(OR(C26="",D26="",E26="",K26="",L26="",M26="",P26=""),"",IF(AND(C26="PASS",D26="PASS",LEFT(E26,4)="PASS",LEFT(K26,4)="PASS",L26="PASS",M26="OK",LEFT(P26,4)="PASS",'Implied-Return Calculator'!S27="PASS"),"YES","NO — see failing rule(s)"))</f>
        <v/>
      </c>
      <c r="R26" s="43" t="str">
        <f aca="false">IF(Q26="","",IF(Q26="YES","Initiate: "&amp;H26,"DO NOT ENTER — resolve failing Entry Rule(s) above first"))</f>
        <v/>
      </c>
    </row>
    <row r="27" customFormat="false" ht="15" hidden="true" customHeight="true" outlineLevel="1" collapsed="false">
      <c r="A27" s="63" t="str">
        <f aca="false">IF(Scoring!A27="","",Scoring!A27)</f>
        <v>CLF</v>
      </c>
      <c r="B27" s="90" t="str">
        <f aca="false">IF(Scoring!B27="","",Scoring!B27)</f>
        <v>Cleveland-Cliffs Inc.</v>
      </c>
      <c r="C27" s="43" t="str">
        <f aca="false">IF(Scoring!AG27="","",IF(OR(Scoring!AG27="STRONG BUY",Scoring!AG27="BUY"),"PASS","FAIL"))</f>
        <v/>
      </c>
      <c r="D27" s="43" t="str">
        <f aca="false">IF(Scoring!AH27="","",IF(Scoring!AH27="OK","PASS","FAIL"))</f>
        <v>FAIL</v>
      </c>
      <c r="E27" s="43" t="str">
        <f aca="false">IF(Scoring!AI27="","",IF(Scoring!AI27="OK","PASS","FAIL — mandatory review required"))</f>
        <v>FAIL — mandatory review required</v>
      </c>
      <c r="F27" s="35"/>
      <c r="G27" s="35"/>
      <c r="H27" s="43" t="str">
        <f aca="false">IF(OR(F27="",G27=""),"",IF(AND(F27="Y",G27="Y"),"Standard initial size","50% of normal initial size + 90-day technical review"))</f>
        <v/>
      </c>
      <c r="I27" s="35"/>
      <c r="J27" s="35"/>
      <c r="K27" s="43" t="str">
        <f aca="false">IF(I27="","",IF(I27="N","PASS",IF(J27="Y","PASS — risk documented in thesis","FAIL — undocumented binary risk")))</f>
        <v/>
      </c>
      <c r="L27" s="43" t="str">
        <f aca="false">IF('Implied-Return Calculator'!T28="","",'Implied-Return Calculator'!T28)</f>
        <v/>
      </c>
      <c r="M27" s="43" t="str">
        <f aca="false">IF('Implied-Return Calculator'!U28="","",'Implied-Return Calculator'!U28)</f>
        <v/>
      </c>
      <c r="N27" s="91"/>
      <c r="O27" s="92"/>
      <c r="P27" s="43" t="str">
        <f aca="false">IF(OR(N27="",O27=""),"",IF(N27&lt;=50,"PASS — within ceiling",IF(AND(O27&gt;0.3,L27="PASS"),"PASS — growth+bear case exception met","FAIL — exceeds 50x, exception not met")))</f>
        <v/>
      </c>
      <c r="Q27" s="43" t="str">
        <f aca="false">IF(OR(C27="",D27="",E27="",K27="",L27="",M27="",P27=""),"",IF(AND(C27="PASS",D27="PASS",LEFT(E27,4)="PASS",LEFT(K27,4)="PASS",L27="PASS",M27="OK",LEFT(P27,4)="PASS",'Implied-Return Calculator'!S28="PASS"),"YES","NO — see failing rule(s)"))</f>
        <v/>
      </c>
      <c r="R27" s="43" t="str">
        <f aca="false">IF(Q27="","",IF(Q27="YES","Initiate: "&amp;H27,"DO NOT ENTER — resolve failing Entry Rule(s) above first"))</f>
        <v/>
      </c>
    </row>
    <row r="28" customFormat="false" ht="15" hidden="false" customHeight="true" outlineLevel="0" collapsed="false">
      <c r="A28" s="63" t="str">
        <f aca="false">IF(Scoring!A28="","",Scoring!A28)</f>
        <v>LIN</v>
      </c>
      <c r="B28" s="90" t="str">
        <f aca="false">IF(Scoring!B28="","",Scoring!B28)</f>
        <v>Linde plc</v>
      </c>
      <c r="C28" s="43" t="str">
        <f aca="false">IF(Scoring!AG28="","",IF(OR(Scoring!AG28="STRONG BUY",Scoring!AG28="BUY"),"PASS","FAIL"))</f>
        <v/>
      </c>
      <c r="D28" s="43" t="str">
        <f aca="false">IF(Scoring!AH28="","",IF(Scoring!AH28="OK","PASS","FAIL"))</f>
        <v>PASS</v>
      </c>
      <c r="E28" s="43" t="str">
        <f aca="false">IF(Scoring!AI28="","",IF(Scoring!AI28="OK","PASS","FAIL — mandatory review required"))</f>
        <v>PASS</v>
      </c>
      <c r="F28" s="35"/>
      <c r="G28" s="35"/>
      <c r="H28" s="43" t="str">
        <f aca="false">IF(OR(F28="",G28=""),"",IF(AND(F28="Y",G28="Y"),"Standard initial size","50% of normal initial size + 90-day technical review"))</f>
        <v/>
      </c>
      <c r="I28" s="35"/>
      <c r="J28" s="35"/>
      <c r="K28" s="43" t="str">
        <f aca="false">IF(I28="","",IF(I28="N","PASS",IF(J28="Y","PASS — risk documented in thesis","FAIL — undocumented binary risk")))</f>
        <v/>
      </c>
      <c r="L28" s="43" t="str">
        <f aca="false">IF('Implied-Return Calculator'!T29="","",'Implied-Return Calculator'!T29)</f>
        <v/>
      </c>
      <c r="M28" s="43" t="str">
        <f aca="false">IF('Implied-Return Calculator'!U29="","",'Implied-Return Calculator'!U29)</f>
        <v/>
      </c>
      <c r="N28" s="91"/>
      <c r="O28" s="92"/>
      <c r="P28" s="43" t="str">
        <f aca="false">IF(OR(N28="",O28=""),"",IF(N28&lt;=50,"PASS — within ceiling",IF(AND(O28&gt;0.3,L28="PASS"),"PASS — growth+bear case exception met","FAIL — exceeds 50x, exception not met")))</f>
        <v/>
      </c>
      <c r="Q28" s="43" t="str">
        <f aca="false">IF(OR(C28="",D28="",E28="",K28="",L28="",M28="",P28=""),"",IF(AND(C28="PASS",D28="PASS",LEFT(E28,4)="PASS",LEFT(K28,4)="PASS",L28="PASS",M28="OK",LEFT(P28,4)="PASS",'Implied-Return Calculator'!S29="PASS"),"YES","NO — see failing rule(s)"))</f>
        <v/>
      </c>
      <c r="R28" s="43" t="str">
        <f aca="false">IF(Q28="","",IF(Q28="YES","Initiate: "&amp;H28,"DO NOT ENTER — resolve failing Entry Rule(s) above first"))</f>
        <v/>
      </c>
    </row>
    <row r="29" customFormat="false" ht="15" hidden="true" customHeight="true" outlineLevel="1" collapsed="false">
      <c r="A29" s="63" t="str">
        <f aca="false">IF(Scoring!A29="","",Scoring!A29)</f>
        <v>DEO</v>
      </c>
      <c r="B29" s="90" t="str">
        <f aca="false">IF(Scoring!B29="","",Scoring!B29)</f>
        <v>Diageo plc</v>
      </c>
      <c r="C29" s="43" t="str">
        <f aca="false">IF(Scoring!AG29="","",IF(OR(Scoring!AG29="STRONG BUY",Scoring!AG29="BUY"),"PASS","FAIL"))</f>
        <v/>
      </c>
      <c r="D29" s="43" t="str">
        <f aca="false">IF(Scoring!AH29="","",IF(Scoring!AH29="OK","PASS","FAIL"))</f>
        <v>FAIL</v>
      </c>
      <c r="E29" s="43" t="str">
        <f aca="false">IF(Scoring!AI29="","",IF(Scoring!AI29="OK","PASS","FAIL — mandatory review required"))</f>
        <v>PASS</v>
      </c>
      <c r="F29" s="35"/>
      <c r="G29" s="35"/>
      <c r="H29" s="43" t="str">
        <f aca="false">IF(OR(F29="",G29=""),"",IF(AND(F29="Y",G29="Y"),"Standard initial size","50% of normal initial size + 90-day technical review"))</f>
        <v/>
      </c>
      <c r="I29" s="35"/>
      <c r="J29" s="35"/>
      <c r="K29" s="43" t="str">
        <f aca="false">IF(I29="","",IF(I29="N","PASS",IF(J29="Y","PASS — risk documented in thesis","FAIL — undocumented binary risk")))</f>
        <v/>
      </c>
      <c r="L29" s="43" t="str">
        <f aca="false">IF('Implied-Return Calculator'!T30="","",'Implied-Return Calculator'!T30)</f>
        <v/>
      </c>
      <c r="M29" s="43" t="str">
        <f aca="false">IF('Implied-Return Calculator'!U30="","",'Implied-Return Calculator'!U30)</f>
        <v/>
      </c>
      <c r="N29" s="91"/>
      <c r="O29" s="92"/>
      <c r="P29" s="43" t="str">
        <f aca="false">IF(OR(N29="",O29=""),"",IF(N29&lt;=50,"PASS — within ceiling",IF(AND(O29&gt;0.3,L29="PASS"),"PASS — growth+bear case exception met","FAIL — exceeds 50x, exception not met")))</f>
        <v/>
      </c>
      <c r="Q29" s="43" t="str">
        <f aca="false">IF(OR(C29="",D29="",E29="",K29="",L29="",M29="",P29=""),"",IF(AND(C29="PASS",D29="PASS",LEFT(E29,4)="PASS",LEFT(K29,4)="PASS",L29="PASS",M29="OK",LEFT(P29,4)="PASS",'Implied-Return Calculator'!S30="PASS"),"YES","NO — see failing rule(s)"))</f>
        <v/>
      </c>
      <c r="R29" s="43" t="str">
        <f aca="false">IF(Q29="","",IF(Q29="YES","Initiate: "&amp;H29,"DO NOT ENTER — resolve failing Entry Rule(s) above first"))</f>
        <v/>
      </c>
    </row>
    <row r="30" customFormat="false" ht="15" hidden="true" customHeight="true" outlineLevel="1" collapsed="false">
      <c r="A30" s="63" t="str">
        <f aca="false">IF(Scoring!A30="","",Scoring!A30)</f>
        <v>EL</v>
      </c>
      <c r="B30" s="90" t="str">
        <f aca="false">IF(Scoring!B30="","",Scoring!B30)</f>
        <v>Estee Lauder Companies</v>
      </c>
      <c r="C30" s="43" t="str">
        <f aca="false">IF(Scoring!AG30="","",IF(OR(Scoring!AG30="STRONG BUY",Scoring!AG30="BUY"),"PASS","FAIL"))</f>
        <v/>
      </c>
      <c r="D30" s="43" t="str">
        <f aca="false">IF(Scoring!AH30="","",IF(Scoring!AH30="OK","PASS","FAIL"))</f>
        <v>FAIL</v>
      </c>
      <c r="E30" s="93" t="str">
        <f aca="false">IF(Scoring!AI30="","",IF(Scoring!AI30="OK","PASS","FAIL — mandatory review required"))</f>
        <v>FAIL — mandatory review required</v>
      </c>
      <c r="F30" s="35"/>
      <c r="G30" s="35"/>
      <c r="H30" s="43" t="str">
        <f aca="false">IF(OR(F30="",G30=""),"",IF(AND(F30="Y",G30="Y"),"Standard initial size","50% of normal initial size + 90-day technical review"))</f>
        <v/>
      </c>
      <c r="I30" s="35"/>
      <c r="J30" s="35"/>
      <c r="K30" s="43" t="str">
        <f aca="false">IF(I30="","",IF(I30="N","PASS",IF(J30="Y","PASS — risk documented in thesis","FAIL — undocumented binary risk")))</f>
        <v/>
      </c>
      <c r="L30" s="43" t="str">
        <f aca="false">IF('Implied-Return Calculator'!T31="","",'Implied-Return Calculator'!T31)</f>
        <v/>
      </c>
      <c r="M30" s="43" t="str">
        <f aca="false">IF('Implied-Return Calculator'!U31="","",'Implied-Return Calculator'!U31)</f>
        <v/>
      </c>
      <c r="N30" s="91"/>
      <c r="O30" s="92"/>
      <c r="P30" s="43" t="str">
        <f aca="false">IF(OR(N30="",O30=""),"",IF(N30&lt;=50,"PASS — within ceiling",IF(AND(O30&gt;0.3,L30="PASS"),"PASS — growth+bear case exception met","FAIL — exceeds 50x, exception not met")))</f>
        <v/>
      </c>
      <c r="Q30" s="43" t="str">
        <f aca="false">IF(OR(C30="",D30="",E30="",K30="",L30="",M30="",P30=""),"",IF(AND(C30="PASS",D30="PASS",LEFT(E30,4)="PASS",LEFT(K30,4)="PASS",L30="PASS",M30="OK",LEFT(P30,4)="PASS",'Implied-Return Calculator'!S31="PASS"),"YES","NO — see failing rule(s)"))</f>
        <v/>
      </c>
      <c r="R30" s="43" t="str">
        <f aca="false">IF(Q30="","",IF(Q30="YES","Initiate: "&amp;H30,"DO NOT ENTER — resolve failing Entry Rule(s) above first"))</f>
        <v/>
      </c>
    </row>
    <row r="31" customFormat="false" ht="15" hidden="true" customHeight="true" outlineLevel="1" collapsed="false">
      <c r="A31" s="63" t="str">
        <f aca="false">IF(Scoring!A31="","",Scoring!A31)</f>
        <v>HRL</v>
      </c>
      <c r="B31" s="90" t="str">
        <f aca="false">IF(Scoring!B31="","",Scoring!B31)</f>
        <v>Hormel Foods Corp.</v>
      </c>
      <c r="C31" s="43" t="str">
        <f aca="false">IF(Scoring!AG31="","",IF(OR(Scoring!AG31="STRONG BUY",Scoring!AG31="BUY"),"PASS","FAIL"))</f>
        <v/>
      </c>
      <c r="D31" s="43" t="str">
        <f aca="false">IF(Scoring!AH31="","",IF(Scoring!AH31="OK","PASS","FAIL"))</f>
        <v>FAIL</v>
      </c>
      <c r="E31" s="93" t="str">
        <f aca="false">IF(Scoring!AI31="","",IF(Scoring!AI31="OK","PASS","FAIL — mandatory review required"))</f>
        <v>FAIL — mandatory review required</v>
      </c>
      <c r="F31" s="35"/>
      <c r="G31" s="35"/>
      <c r="H31" s="43" t="str">
        <f aca="false">IF(OR(F31="",G31=""),"",IF(AND(F31="Y",G31="Y"),"Standard initial size","50% of normal initial size + 90-day technical review"))</f>
        <v/>
      </c>
      <c r="I31" s="35"/>
      <c r="J31" s="35"/>
      <c r="K31" s="43" t="str">
        <f aca="false">IF(I31="","",IF(I31="N","PASS",IF(J31="Y","PASS — risk documented in thesis","FAIL — undocumented binary risk")))</f>
        <v/>
      </c>
      <c r="L31" s="43" t="str">
        <f aca="false">IF('Implied-Return Calculator'!T32="","",'Implied-Return Calculator'!T32)</f>
        <v/>
      </c>
      <c r="M31" s="43" t="str">
        <f aca="false">IF('Implied-Return Calculator'!U32="","",'Implied-Return Calculator'!U32)</f>
        <v/>
      </c>
      <c r="N31" s="91"/>
      <c r="O31" s="92"/>
      <c r="P31" s="43" t="str">
        <f aca="false">IF(OR(N31="",O31=""),"",IF(N31&lt;=50,"PASS — within ceiling",IF(AND(O31&gt;0.3,L31="PASS"),"PASS — growth+bear case exception met","FAIL — exceeds 50x, exception not met")))</f>
        <v/>
      </c>
      <c r="Q31" s="43" t="str">
        <f aca="false">IF(OR(C31="",D31="",E31="",K31="",L31="",M31="",P31=""),"",IF(AND(C31="PASS",D31="PASS",LEFT(E31,4)="PASS",LEFT(K31,4)="PASS",L31="PASS",M31="OK",LEFT(P31,4)="PASS",'Implied-Return Calculator'!S32="PASS"),"YES","NO — see failing rule(s)"))</f>
        <v/>
      </c>
      <c r="R31" s="43" t="str">
        <f aca="false">IF(Q31="","",IF(Q31="YES","Initiate: "&amp;H31,"DO NOT ENTER — resolve failing Entry Rule(s) above first"))</f>
        <v/>
      </c>
    </row>
    <row r="32" customFormat="false" ht="15" hidden="false" customHeight="true" outlineLevel="0" collapsed="false">
      <c r="A32" s="63" t="str">
        <f aca="false">IF(Scoring!A32="","",Scoring!A32)</f>
        <v>PG</v>
      </c>
      <c r="B32" s="90" t="str">
        <f aca="false">IF(Scoring!B32="","",Scoring!B32)</f>
        <v>Procter &amp; Gamble Co.</v>
      </c>
      <c r="C32" s="43" t="str">
        <f aca="false">IF(Scoring!AG32="","",IF(OR(Scoring!AG32="STRONG BUY",Scoring!AG32="BUY"),"PASS","FAIL"))</f>
        <v/>
      </c>
      <c r="D32" s="43" t="str">
        <f aca="false">IF(Scoring!AH32="","",IF(Scoring!AH32="OK","PASS","FAIL"))</f>
        <v>PASS</v>
      </c>
      <c r="E32" s="43" t="str">
        <f aca="false">IF(Scoring!AI32="","",IF(Scoring!AI32="OK","PASS","FAIL — mandatory review required"))</f>
        <v>PASS</v>
      </c>
      <c r="F32" s="35"/>
      <c r="G32" s="35"/>
      <c r="H32" s="43" t="str">
        <f aca="false">IF(OR(F32="",G32=""),"",IF(AND(F32="Y",G32="Y"),"Standard initial size","50% of normal initial size + 90-day technical review"))</f>
        <v/>
      </c>
      <c r="I32" s="35"/>
      <c r="J32" s="35"/>
      <c r="K32" s="43" t="str">
        <f aca="false">IF(I32="","",IF(I32="N","PASS",IF(J32="Y","PASS — risk documented in thesis","FAIL — undocumented binary risk")))</f>
        <v/>
      </c>
      <c r="L32" s="43" t="str">
        <f aca="false">IF('Implied-Return Calculator'!T33="","",'Implied-Return Calculator'!T33)</f>
        <v/>
      </c>
      <c r="M32" s="43" t="str">
        <f aca="false">IF('Implied-Return Calculator'!U33="","",'Implied-Return Calculator'!U33)</f>
        <v/>
      </c>
      <c r="N32" s="91"/>
      <c r="O32" s="92"/>
      <c r="P32" s="43" t="str">
        <f aca="false">IF(OR(N32="",O32=""),"",IF(N32&lt;=50,"PASS — within ceiling",IF(AND(O32&gt;0.3,L32="PASS"),"PASS — growth+bear case exception met","FAIL — exceeds 50x, exception not met")))</f>
        <v/>
      </c>
      <c r="Q32" s="43" t="str">
        <f aca="false">IF(OR(C32="",D32="",E32="",K32="",L32="",M32="",P32=""),"",IF(AND(C32="PASS",D32="PASS",LEFT(E32,4)="PASS",LEFT(K32,4)="PASS",L32="PASS",M32="OK",LEFT(P32,4)="PASS",'Implied-Return Calculator'!S33="PASS"),"YES","NO — see failing rule(s)"))</f>
        <v/>
      </c>
      <c r="R32" s="43" t="str">
        <f aca="false">IF(Q32="","",IF(Q32="YES","Initiate: "&amp;H32,"DO NOT ENTER — resolve failing Entry Rule(s) above first"))</f>
        <v/>
      </c>
    </row>
    <row r="33" customFormat="false" ht="15" hidden="false" customHeight="true" outlineLevel="0" collapsed="false">
      <c r="A33" s="63" t="str">
        <f aca="false">IF(Scoring!A33="","",Scoring!A33)</f>
        <v>CMG</v>
      </c>
      <c r="B33" s="90" t="str">
        <f aca="false">IF(Scoring!B33="","",Scoring!B33)</f>
        <v>Chipotle Mexican Grill</v>
      </c>
      <c r="C33" s="43" t="str">
        <f aca="false">IF(Scoring!AG33="","",IF(OR(Scoring!AG33="STRONG BUY",Scoring!AG33="BUY"),"PASS","FAIL"))</f>
        <v/>
      </c>
      <c r="D33" s="43" t="str">
        <f aca="false">IF(Scoring!AH33="","",IF(Scoring!AH33="OK","PASS","FAIL"))</f>
        <v>PASS</v>
      </c>
      <c r="E33" s="43" t="str">
        <f aca="false">IF(Scoring!AI33="","",IF(Scoring!AI33="OK","PASS","FAIL — mandatory review required"))</f>
        <v>PASS</v>
      </c>
      <c r="F33" s="35"/>
      <c r="G33" s="35"/>
      <c r="H33" s="43" t="str">
        <f aca="false">IF(OR(F33="",G33=""),"",IF(AND(F33="Y",G33="Y"),"Standard initial size","50% of normal initial size + 90-day technical review"))</f>
        <v/>
      </c>
      <c r="I33" s="35"/>
      <c r="J33" s="35"/>
      <c r="K33" s="43" t="str">
        <f aca="false">IF(I33="","",IF(I33="N","PASS",IF(J33="Y","PASS — risk documented in thesis","FAIL — undocumented binary risk")))</f>
        <v/>
      </c>
      <c r="L33" s="43" t="str">
        <f aca="false">IF('Implied-Return Calculator'!T34="","",'Implied-Return Calculator'!T34)</f>
        <v/>
      </c>
      <c r="M33" s="43" t="str">
        <f aca="false">IF('Implied-Return Calculator'!U34="","",'Implied-Return Calculator'!U34)</f>
        <v/>
      </c>
      <c r="N33" s="91"/>
      <c r="O33" s="92"/>
      <c r="P33" s="43" t="str">
        <f aca="false">IF(OR(N33="",O33=""),"",IF(N33&lt;=50,"PASS — within ceiling",IF(AND(O33&gt;0.3,L33="PASS"),"PASS — growth+bear case exception met","FAIL — exceeds 50x, exception not met")))</f>
        <v/>
      </c>
      <c r="Q33" s="43" t="str">
        <f aca="false">IF(OR(C33="",D33="",E33="",K33="",L33="",M33="",P33=""),"",IF(AND(C33="PASS",D33="PASS",LEFT(E33,4)="PASS",LEFT(K33,4)="PASS",L33="PASS",M33="OK",LEFT(P33,4)="PASS",'Implied-Return Calculator'!S34="PASS"),"YES","NO — see failing rule(s)"))</f>
        <v/>
      </c>
      <c r="R33" s="43" t="str">
        <f aca="false">IF(Q33="","",IF(Q33="YES","Initiate: "&amp;H33,"DO NOT ENTER — resolve failing Entry Rule(s) above first"))</f>
        <v/>
      </c>
    </row>
    <row r="34" customFormat="false" ht="15" hidden="false" customHeight="true" outlineLevel="0" collapsed="false">
      <c r="A34" s="63" t="str">
        <f aca="false">IF(Scoring!A34="","",Scoring!A34)</f>
        <v>DPZ</v>
      </c>
      <c r="B34" s="90" t="str">
        <f aca="false">IF(Scoring!B34="","",Scoring!B34)</f>
        <v>Domino's Pizza Inc.</v>
      </c>
      <c r="C34" s="43" t="str">
        <f aca="false">IF(Scoring!AG34="","",IF(OR(Scoring!AG34="STRONG BUY",Scoring!AG34="BUY"),"PASS","FAIL"))</f>
        <v/>
      </c>
      <c r="D34" s="43" t="str">
        <f aca="false">IF(Scoring!AH34="","",IF(Scoring!AH34="OK","PASS","FAIL"))</f>
        <v>PASS</v>
      </c>
      <c r="E34" s="43" t="str">
        <f aca="false">IF(Scoring!AI34="","",IF(Scoring!AI34="OK","PASS","FAIL — mandatory review required"))</f>
        <v>PASS</v>
      </c>
      <c r="F34" s="35"/>
      <c r="G34" s="35"/>
      <c r="H34" s="43" t="str">
        <f aca="false">IF(OR(F34="",G34=""),"",IF(AND(F34="Y",G34="Y"),"Standard initial size","50% of normal initial size + 90-day technical review"))</f>
        <v/>
      </c>
      <c r="I34" s="35"/>
      <c r="J34" s="35"/>
      <c r="K34" s="43" t="str">
        <f aca="false">IF(I34="","",IF(I34="N","PASS",IF(J34="Y","PASS — risk documented in thesis","FAIL — undocumented binary risk")))</f>
        <v/>
      </c>
      <c r="L34" s="43" t="str">
        <f aca="false">IF('Implied-Return Calculator'!T35="","",'Implied-Return Calculator'!T35)</f>
        <v/>
      </c>
      <c r="M34" s="43" t="str">
        <f aca="false">IF('Implied-Return Calculator'!U35="","",'Implied-Return Calculator'!U35)</f>
        <v/>
      </c>
      <c r="N34" s="91"/>
      <c r="O34" s="92"/>
      <c r="P34" s="43" t="str">
        <f aca="false">IF(OR(N34="",O34=""),"",IF(N34&lt;=50,"PASS — within ceiling",IF(AND(O34&gt;0.3,L34="PASS"),"PASS — growth+bear case exception met","FAIL — exceeds 50x, exception not met")))</f>
        <v/>
      </c>
      <c r="Q34" s="43" t="str">
        <f aca="false">IF(OR(C34="",D34="",E34="",K34="",L34="",M34="",P34=""),"",IF(AND(C34="PASS",D34="PASS",LEFT(E34,4)="PASS",LEFT(K34,4)="PASS",L34="PASS",M34="OK",LEFT(P34,4)="PASS",'Implied-Return Calculator'!S35="PASS"),"YES","NO — see failing rule(s)"))</f>
        <v/>
      </c>
      <c r="R34" s="43" t="str">
        <f aca="false">IF(Q34="","",IF(Q34="YES","Initiate: "&amp;H34,"DO NOT ENTER — resolve failing Entry Rule(s) above first"))</f>
        <v/>
      </c>
    </row>
    <row r="35" customFormat="false" ht="15" hidden="true" customHeight="true" outlineLevel="1" collapsed="false">
      <c r="A35" s="63" t="str">
        <f aca="false">IF(Scoring!A35="","",Scoring!A35)</f>
        <v>PZZA</v>
      </c>
      <c r="B35" s="90" t="str">
        <f aca="false">IF(Scoring!B35="","",Scoring!B35)</f>
        <v>Papa John's Intl.</v>
      </c>
      <c r="C35" s="43" t="str">
        <f aca="false">IF(Scoring!AG35="","",IF(OR(Scoring!AG35="STRONG BUY",Scoring!AG35="BUY"),"PASS","FAIL"))</f>
        <v/>
      </c>
      <c r="D35" s="43" t="str">
        <f aca="false">IF(Scoring!AH35="","",IF(Scoring!AH35="OK","PASS","FAIL"))</f>
        <v>FAIL</v>
      </c>
      <c r="E35" s="93" t="str">
        <f aca="false">IF(Scoring!AI35="","",IF(Scoring!AI35="OK","PASS","FAIL — mandatory review required"))</f>
        <v>FAIL — mandatory review required</v>
      </c>
      <c r="F35" s="35"/>
      <c r="G35" s="35"/>
      <c r="H35" s="43" t="str">
        <f aca="false">IF(OR(F35="",G35=""),"",IF(AND(F35="Y",G35="Y"),"Standard initial size","50% of normal initial size + 90-day technical review"))</f>
        <v/>
      </c>
      <c r="I35" s="35"/>
      <c r="J35" s="35"/>
      <c r="K35" s="43" t="str">
        <f aca="false">IF(I35="","",IF(I35="N","PASS",IF(J35="Y","PASS — risk documented in thesis","FAIL — undocumented binary risk")))</f>
        <v/>
      </c>
      <c r="L35" s="43" t="str">
        <f aca="false">IF('Implied-Return Calculator'!T36="","",'Implied-Return Calculator'!T36)</f>
        <v/>
      </c>
      <c r="M35" s="43" t="str">
        <f aca="false">IF('Implied-Return Calculator'!U36="","",'Implied-Return Calculator'!U36)</f>
        <v/>
      </c>
      <c r="N35" s="91"/>
      <c r="O35" s="92"/>
      <c r="P35" s="43" t="str">
        <f aca="false">IF(OR(N35="",O35=""),"",IF(N35&lt;=50,"PASS — within ceiling",IF(AND(O35&gt;0.3,L35="PASS"),"PASS — growth+bear case exception met","FAIL — exceeds 50x, exception not met")))</f>
        <v/>
      </c>
      <c r="Q35" s="43" t="str">
        <f aca="false">IF(OR(C35="",D35="",E35="",K35="",L35="",M35="",P35=""),"",IF(AND(C35="PASS",D35="PASS",LEFT(E35,4)="PASS",LEFT(K35,4)="PASS",L35="PASS",M35="OK",LEFT(P35,4)="PASS",'Implied-Return Calculator'!S36="PASS"),"YES","NO — see failing rule(s)"))</f>
        <v/>
      </c>
      <c r="R35" s="43" t="str">
        <f aca="false">IF(Q35="","",IF(Q35="YES","Initiate: "&amp;H35,"DO NOT ENTER — resolve failing Entry Rule(s) above first"))</f>
        <v/>
      </c>
    </row>
    <row r="36" customFormat="false" ht="15" hidden="false" customHeight="true" outlineLevel="0" collapsed="false">
      <c r="A36" s="63" t="str">
        <f aca="false">IF(Scoring!A36="","",Scoring!A36)</f>
        <v>YUM</v>
      </c>
      <c r="B36" s="90" t="str">
        <f aca="false">IF(Scoring!B36="","",Scoring!B36)</f>
        <v>Yum! Brands Inc.</v>
      </c>
      <c r="C36" s="43" t="str">
        <f aca="false">IF(Scoring!AG36="","",IF(OR(Scoring!AG36="STRONG BUY",Scoring!AG36="BUY"),"PASS","FAIL"))</f>
        <v/>
      </c>
      <c r="D36" s="43" t="str">
        <f aca="false">IF(Scoring!AH36="","",IF(Scoring!AH36="OK","PASS","FAIL"))</f>
        <v>PASS</v>
      </c>
      <c r="E36" s="43" t="str">
        <f aca="false">IF(Scoring!AI36="","",IF(Scoring!AI36="OK","PASS","FAIL — mandatory review required"))</f>
        <v>PASS</v>
      </c>
      <c r="F36" s="35"/>
      <c r="G36" s="35"/>
      <c r="H36" s="43" t="str">
        <f aca="false">IF(OR(F36="",G36=""),"",IF(AND(F36="Y",G36="Y"),"Standard initial size","50% of normal initial size + 90-day technical review"))</f>
        <v/>
      </c>
      <c r="I36" s="35"/>
      <c r="J36" s="35"/>
      <c r="K36" s="43" t="str">
        <f aca="false">IF(I36="","",IF(I36="N","PASS",IF(J36="Y","PASS — risk documented in thesis","FAIL — undocumented binary risk")))</f>
        <v/>
      </c>
      <c r="L36" s="43" t="str">
        <f aca="false">IF('Implied-Return Calculator'!T37="","",'Implied-Return Calculator'!T37)</f>
        <v/>
      </c>
      <c r="M36" s="43" t="str">
        <f aca="false">IF('Implied-Return Calculator'!U37="","",'Implied-Return Calculator'!U37)</f>
        <v/>
      </c>
      <c r="N36" s="91"/>
      <c r="O36" s="92"/>
      <c r="P36" s="43" t="str">
        <f aca="false">IF(OR(N36="",O36=""),"",IF(N36&lt;=50,"PASS — within ceiling",IF(AND(O36&gt;0.3,L36="PASS"),"PASS — growth+bear case exception met","FAIL — exceeds 50x, exception not met")))</f>
        <v/>
      </c>
      <c r="Q36" s="43" t="str">
        <f aca="false">IF(OR(C36="",D36="",E36="",K36="",L36="",M36="",P36=""),"",IF(AND(C36="PASS",D36="PASS",LEFT(E36,4)="PASS",LEFT(K36,4)="PASS",L36="PASS",M36="OK",LEFT(P36,4)="PASS",'Implied-Return Calculator'!S37="PASS"),"YES","NO — see failing rule(s)"))</f>
        <v/>
      </c>
      <c r="R36" s="43" t="str">
        <f aca="false">IF(Q36="","",IF(Q36="YES","Initiate: "&amp;H36,"DO NOT ENTER — resolve failing Entry Rule(s) above first"))</f>
        <v/>
      </c>
    </row>
    <row r="37" customFormat="false" ht="15" hidden="true" customHeight="true" outlineLevel="1" collapsed="false">
      <c r="A37" s="63" t="str">
        <f aca="false">IF(Scoring!A37="","",Scoring!A37)</f>
        <v>NKE</v>
      </c>
      <c r="B37" s="90" t="str">
        <f aca="false">IF(Scoring!B37="","",Scoring!B37)</f>
        <v>Nike Inc.</v>
      </c>
      <c r="C37" s="43" t="str">
        <f aca="false">IF(Scoring!AG37="","",IF(OR(Scoring!AG37="STRONG BUY",Scoring!AG37="BUY"),"PASS","FAIL"))</f>
        <v/>
      </c>
      <c r="D37" s="43" t="str">
        <f aca="false">IF(Scoring!AH37="","",IF(Scoring!AH37="OK","PASS","FAIL"))</f>
        <v>FAIL</v>
      </c>
      <c r="E37" s="93" t="str">
        <f aca="false">IF(Scoring!AI37="","",IF(Scoring!AI37="OK","PASS","FAIL — mandatory review required"))</f>
        <v>FAIL — mandatory review required</v>
      </c>
      <c r="F37" s="35"/>
      <c r="G37" s="35"/>
      <c r="H37" s="43" t="str">
        <f aca="false">IF(OR(F37="",G37=""),"",IF(AND(F37="Y",G37="Y"),"Standard initial size","50% of normal initial size + 90-day technical review"))</f>
        <v/>
      </c>
      <c r="I37" s="35"/>
      <c r="J37" s="35"/>
      <c r="K37" s="43" t="str">
        <f aca="false">IF(I37="","",IF(I37="N","PASS",IF(J37="Y","PASS — risk documented in thesis","FAIL — undocumented binary risk")))</f>
        <v/>
      </c>
      <c r="L37" s="43" t="str">
        <f aca="false">IF('Implied-Return Calculator'!T38="","",'Implied-Return Calculator'!T38)</f>
        <v/>
      </c>
      <c r="M37" s="43" t="str">
        <f aca="false">IF('Implied-Return Calculator'!U38="","",'Implied-Return Calculator'!U38)</f>
        <v/>
      </c>
      <c r="N37" s="91"/>
      <c r="O37" s="92"/>
      <c r="P37" s="43" t="str">
        <f aca="false">IF(OR(N37="",O37=""),"",IF(N37&lt;=50,"PASS — within ceiling",IF(AND(O37&gt;0.3,L37="PASS"),"PASS — growth+bear case exception met","FAIL — exceeds 50x, exception not met")))</f>
        <v/>
      </c>
      <c r="Q37" s="43" t="str">
        <f aca="false">IF(OR(C37="",D37="",E37="",K37="",L37="",M37="",P37=""),"",IF(AND(C37="PASS",D37="PASS",LEFT(E37,4)="PASS",LEFT(K37,4)="PASS",L37="PASS",M37="OK",LEFT(P37,4)="PASS",'Implied-Return Calculator'!S38="PASS"),"YES","NO — see failing rule(s)"))</f>
        <v/>
      </c>
      <c r="R37" s="43" t="str">
        <f aca="false">IF(Q37="","",IF(Q37="YES","Initiate: "&amp;H37,"DO NOT ENTER — resolve failing Entry Rule(s) above first"))</f>
        <v/>
      </c>
    </row>
    <row r="38" customFormat="false" ht="15" hidden="true" customHeight="true" outlineLevel="1" collapsed="false">
      <c r="A38" s="63" t="str">
        <f aca="false">IF(Scoring!A38="","",Scoring!A38)</f>
        <v>VFC</v>
      </c>
      <c r="B38" s="90" t="str">
        <f aca="false">IF(Scoring!B38="","",Scoring!B38)</f>
        <v>V.F. Corporation</v>
      </c>
      <c r="C38" s="43" t="str">
        <f aca="false">IF(Scoring!AG38="","",IF(OR(Scoring!AG38="STRONG BUY",Scoring!AG38="BUY"),"PASS","FAIL"))</f>
        <v/>
      </c>
      <c r="D38" s="43" t="str">
        <f aca="false">IF(Scoring!AH38="","",IF(Scoring!AH38="OK","PASS","FAIL"))</f>
        <v>FAIL</v>
      </c>
      <c r="E38" s="43" t="str">
        <f aca="false">IF(Scoring!AI38="","",IF(Scoring!AI38="OK","PASS","FAIL — mandatory review required"))</f>
        <v>PASS</v>
      </c>
      <c r="F38" s="35"/>
      <c r="G38" s="35"/>
      <c r="H38" s="43" t="str">
        <f aca="false">IF(OR(F38="",G38=""),"",IF(AND(F38="Y",G38="Y"),"Standard initial size","50% of normal initial size + 90-day technical review"))</f>
        <v/>
      </c>
      <c r="I38" s="35"/>
      <c r="J38" s="35"/>
      <c r="K38" s="43" t="str">
        <f aca="false">IF(I38="","",IF(I38="N","PASS",IF(J38="Y","PASS — risk documented in thesis","FAIL — undocumented binary risk")))</f>
        <v/>
      </c>
      <c r="L38" s="43" t="str">
        <f aca="false">IF('Implied-Return Calculator'!T39="","",'Implied-Return Calculator'!T39)</f>
        <v/>
      </c>
      <c r="M38" s="43" t="str">
        <f aca="false">IF('Implied-Return Calculator'!U39="","",'Implied-Return Calculator'!U39)</f>
        <v/>
      </c>
      <c r="N38" s="91"/>
      <c r="O38" s="92"/>
      <c r="P38" s="43" t="str">
        <f aca="false">IF(OR(N38="",O38=""),"",IF(N38&lt;=50,"PASS — within ceiling",IF(AND(O38&gt;0.3,L38="PASS"),"PASS — growth+bear case exception met","FAIL — exceeds 50x, exception not met")))</f>
        <v/>
      </c>
      <c r="Q38" s="43" t="str">
        <f aca="false">IF(OR(C38="",D38="",E38="",K38="",L38="",M38="",P38=""),"",IF(AND(C38="PASS",D38="PASS",LEFT(E38,4)="PASS",LEFT(K38,4)="PASS",L38="PASS",M38="OK",LEFT(P38,4)="PASS",'Implied-Return Calculator'!S39="PASS"),"YES","NO — see failing rule(s)"))</f>
        <v/>
      </c>
      <c r="R38" s="43" t="str">
        <f aca="false">IF(Q38="","",IF(Q38="YES","Initiate: "&amp;H38,"DO NOT ENTER — resolve failing Entry Rule(s) above first"))</f>
        <v/>
      </c>
    </row>
    <row r="39" customFormat="false" ht="15" hidden="true" customHeight="true" outlineLevel="1" collapsed="false">
      <c r="A39" s="63" t="str">
        <f aca="false">IF(Scoring!A39="","",Scoring!A39)</f>
        <v>GOOS</v>
      </c>
      <c r="B39" s="90" t="str">
        <f aca="false">IF(Scoring!B39="","",Scoring!B39)</f>
        <v>Canada Goose Holdings</v>
      </c>
      <c r="C39" s="43" t="str">
        <f aca="false">IF(Scoring!AG39="","",IF(OR(Scoring!AG39="STRONG BUY",Scoring!AG39="BUY"),"PASS","FAIL"))</f>
        <v/>
      </c>
      <c r="D39" s="43" t="str">
        <f aca="false">IF(Scoring!AH39="","",IF(Scoring!AH39="OK","PASS","FAIL"))</f>
        <v>FAIL</v>
      </c>
      <c r="E39" s="93" t="str">
        <f aca="false">IF(Scoring!AI39="","",IF(Scoring!AI39="OK","PASS","FAIL — mandatory review required"))</f>
        <v>FAIL — mandatory review required</v>
      </c>
      <c r="F39" s="35"/>
      <c r="G39" s="35"/>
      <c r="H39" s="43" t="str">
        <f aca="false">IF(OR(F39="",G39=""),"",IF(AND(F39="Y",G39="Y"),"Standard initial size","50% of normal initial size + 90-day technical review"))</f>
        <v/>
      </c>
      <c r="I39" s="35"/>
      <c r="J39" s="35"/>
      <c r="K39" s="43" t="str">
        <f aca="false">IF(I39="","",IF(I39="N","PASS",IF(J39="Y","PASS — risk documented in thesis","FAIL — undocumented binary risk")))</f>
        <v/>
      </c>
      <c r="L39" s="43" t="str">
        <f aca="false">IF('Implied-Return Calculator'!T40="","",'Implied-Return Calculator'!T40)</f>
        <v/>
      </c>
      <c r="M39" s="43" t="str">
        <f aca="false">IF('Implied-Return Calculator'!U40="","",'Implied-Return Calculator'!U40)</f>
        <v/>
      </c>
      <c r="N39" s="91"/>
      <c r="O39" s="92"/>
      <c r="P39" s="43" t="str">
        <f aca="false">IF(OR(N39="",O39=""),"",IF(N39&lt;=50,"PASS — within ceiling",IF(AND(O39&gt;0.3,L39="PASS"),"PASS — growth+bear case exception met","FAIL — exceeds 50x, exception not met")))</f>
        <v/>
      </c>
      <c r="Q39" s="43" t="str">
        <f aca="false">IF(OR(C39="",D39="",E39="",K39="",L39="",M39="",P39=""),"",IF(AND(C39="PASS",D39="PASS",LEFT(E39,4)="PASS",LEFT(K39,4)="PASS",L39="PASS",M39="OK",LEFT(P39,4)="PASS",'Implied-Return Calculator'!S40="PASS"),"YES","NO — see failing rule(s)"))</f>
        <v/>
      </c>
      <c r="R39" s="43" t="str">
        <f aca="false">IF(Q39="","",IF(Q39="YES","Initiate: "&amp;H39,"DO NOT ENTER — resolve failing Entry Rule(s) above first"))</f>
        <v/>
      </c>
    </row>
    <row r="40" customFormat="false" ht="15" hidden="true" customHeight="true" outlineLevel="1" collapsed="false">
      <c r="A40" s="63" t="str">
        <f aca="false">IF(Scoring!A40="","",Scoring!A40)</f>
        <v>AAP</v>
      </c>
      <c r="B40" s="90" t="str">
        <f aca="false">IF(Scoring!B40="","",Scoring!B40)</f>
        <v>Advance Auto Parts Inc.</v>
      </c>
      <c r="C40" s="43" t="str">
        <f aca="false">IF(Scoring!AG40="","",IF(OR(Scoring!AG40="STRONG BUY",Scoring!AG40="BUY"),"PASS","FAIL"))</f>
        <v/>
      </c>
      <c r="D40" s="43" t="str">
        <f aca="false">IF(Scoring!AH40="","",IF(Scoring!AH40="OK","PASS","FAIL"))</f>
        <v>FAIL</v>
      </c>
      <c r="E40" s="93" t="str">
        <f aca="false">IF(Scoring!AI40="","",IF(Scoring!AI40="OK","PASS","FAIL — mandatory review required"))</f>
        <v>FAIL — mandatory review required</v>
      </c>
      <c r="F40" s="35"/>
      <c r="G40" s="35"/>
      <c r="H40" s="43" t="str">
        <f aca="false">IF(OR(F40="",G40=""),"",IF(AND(F40="Y",G40="Y"),"Standard initial size","50% of normal initial size + 90-day technical review"))</f>
        <v/>
      </c>
      <c r="I40" s="35"/>
      <c r="J40" s="35"/>
      <c r="K40" s="43" t="str">
        <f aca="false">IF(I40="","",IF(I40="N","PASS",IF(J40="Y","PASS — risk documented in thesis","FAIL — undocumented binary risk")))</f>
        <v/>
      </c>
      <c r="L40" s="43" t="str">
        <f aca="false">IF('Implied-Return Calculator'!T41="","",'Implied-Return Calculator'!T41)</f>
        <v/>
      </c>
      <c r="M40" s="43" t="str">
        <f aca="false">IF('Implied-Return Calculator'!U41="","",'Implied-Return Calculator'!U41)</f>
        <v/>
      </c>
      <c r="N40" s="91"/>
      <c r="O40" s="92"/>
      <c r="P40" s="43" t="str">
        <f aca="false">IF(OR(N40="",O40=""),"",IF(N40&lt;=50,"PASS — within ceiling",IF(AND(O40&gt;0.3,L40="PASS"),"PASS — growth+bear case exception met","FAIL — exceeds 50x, exception not met")))</f>
        <v/>
      </c>
      <c r="Q40" s="43" t="str">
        <f aca="false">IF(OR(C40="",D40="",E40="",K40="",L40="",M40="",P40=""),"",IF(AND(C40="PASS",D40="PASS",LEFT(E40,4)="PASS",LEFT(K40,4)="PASS",L40="PASS",M40="OK",LEFT(P40,4)="PASS",'Implied-Return Calculator'!S41="PASS"),"YES","NO — see failing rule(s)"))</f>
        <v/>
      </c>
      <c r="R40" s="43" t="str">
        <f aca="false">IF(Q40="","",IF(Q40="YES","Initiate: "&amp;H40,"DO NOT ENTER — resolve failing Entry Rule(s) above first"))</f>
        <v/>
      </c>
    </row>
    <row r="41" customFormat="false" ht="15" hidden="true" customHeight="true" outlineLevel="1" collapsed="false">
      <c r="A41" s="63" t="str">
        <f aca="false">IF(Scoring!A41="","",Scoring!A41)</f>
        <v>BABA</v>
      </c>
      <c r="B41" s="90" t="str">
        <f aca="false">IF(Scoring!B41="","",Scoring!B41)</f>
        <v>Alibaba Group Holding Ltd.</v>
      </c>
      <c r="C41" s="43" t="str">
        <f aca="false">IF(Scoring!AG41="","",IF(OR(Scoring!AG41="STRONG BUY",Scoring!AG41="BUY"),"PASS","FAIL"))</f>
        <v/>
      </c>
      <c r="D41" s="43" t="str">
        <f aca="false">IF(Scoring!AH41="","",IF(Scoring!AH41="OK","PASS","FAIL"))</f>
        <v>FAIL</v>
      </c>
      <c r="E41" s="43" t="str">
        <f aca="false">IF(Scoring!AI41="","",IF(Scoring!AI41="OK","PASS","FAIL — mandatory review required"))</f>
        <v>PASS</v>
      </c>
      <c r="F41" s="35"/>
      <c r="G41" s="35"/>
      <c r="H41" s="43" t="str">
        <f aca="false">IF(OR(F41="",G41=""),"",IF(AND(F41="Y",G41="Y"),"Standard initial size","50% of normal initial size + 90-day technical review"))</f>
        <v/>
      </c>
      <c r="I41" s="35"/>
      <c r="J41" s="35"/>
      <c r="K41" s="43" t="str">
        <f aca="false">IF(I41="","",IF(I41="N","PASS",IF(J41="Y","PASS — risk documented in thesis","FAIL — undocumented binary risk")))</f>
        <v/>
      </c>
      <c r="L41" s="43" t="str">
        <f aca="false">IF('Implied-Return Calculator'!T42="","",'Implied-Return Calculator'!T42)</f>
        <v/>
      </c>
      <c r="M41" s="43" t="str">
        <f aca="false">IF('Implied-Return Calculator'!U42="","",'Implied-Return Calculator'!U42)</f>
        <v/>
      </c>
      <c r="N41" s="91"/>
      <c r="O41" s="92"/>
      <c r="P41" s="43" t="str">
        <f aca="false">IF(OR(N41="",O41=""),"",IF(N41&lt;=50,"PASS — within ceiling",IF(AND(O41&gt;0.3,L41="PASS"),"PASS — growth+bear case exception met","FAIL — exceeds 50x, exception not met")))</f>
        <v/>
      </c>
      <c r="Q41" s="43" t="str">
        <f aca="false">IF(OR(C41="",D41="",E41="",K41="",L41="",M41="",P41=""),"",IF(AND(C41="PASS",D41="PASS",LEFT(E41,4)="PASS",LEFT(K41,4)="PASS",L41="PASS",M41="OK",LEFT(P41,4)="PASS",'Implied-Return Calculator'!S42="PASS"),"YES","NO — see failing rule(s)"))</f>
        <v/>
      </c>
      <c r="R41" s="43" t="str">
        <f aca="false">IF(Q41="","",IF(Q41="YES","Initiate: "&amp;H41,"DO NOT ENTER — resolve failing Entry Rule(s) above first"))</f>
        <v/>
      </c>
    </row>
    <row r="42" customFormat="false" ht="15" hidden="false" customHeight="true" outlineLevel="0" collapsed="false">
      <c r="A42" s="63" t="str">
        <f aca="false">IF(Scoring!A42="","",Scoring!A42)</f>
        <v>ETSY</v>
      </c>
      <c r="B42" s="90" t="str">
        <f aca="false">IF(Scoring!B42="","",Scoring!B42)</f>
        <v>Etsy Inc.</v>
      </c>
      <c r="C42" s="43" t="str">
        <f aca="false">IF(Scoring!AG42="","",IF(OR(Scoring!AG42="STRONG BUY",Scoring!AG42="BUY"),"PASS","FAIL"))</f>
        <v/>
      </c>
      <c r="D42" s="43" t="str">
        <f aca="false">IF(Scoring!AH42="","",IF(Scoring!AH42="OK","PASS","FAIL"))</f>
        <v>PASS</v>
      </c>
      <c r="E42" s="43" t="str">
        <f aca="false">IF(Scoring!AI42="","",IF(Scoring!AI42="OK","PASS","FAIL — mandatory review required"))</f>
        <v>PASS</v>
      </c>
      <c r="F42" s="35"/>
      <c r="G42" s="35"/>
      <c r="H42" s="43" t="str">
        <f aca="false">IF(OR(F42="",G42=""),"",IF(AND(F42="Y",G42="Y"),"Standard initial size","50% of normal initial size + 90-day technical review"))</f>
        <v/>
      </c>
      <c r="I42" s="35"/>
      <c r="J42" s="35"/>
      <c r="K42" s="43" t="str">
        <f aca="false">IF(I42="","",IF(I42="N","PASS",IF(J42="Y","PASS — risk documented in thesis","FAIL — undocumented binary risk")))</f>
        <v/>
      </c>
      <c r="L42" s="43" t="str">
        <f aca="false">IF('Implied-Return Calculator'!T43="","",'Implied-Return Calculator'!T43)</f>
        <v/>
      </c>
      <c r="M42" s="43" t="str">
        <f aca="false">IF('Implied-Return Calculator'!U43="","",'Implied-Return Calculator'!U43)</f>
        <v/>
      </c>
      <c r="N42" s="91"/>
      <c r="O42" s="92"/>
      <c r="P42" s="43" t="str">
        <f aca="false">IF(OR(N42="",O42=""),"",IF(N42&lt;=50,"PASS — within ceiling",IF(AND(O42&gt;0.3,L42="PASS"),"PASS — growth+bear case exception met","FAIL — exceeds 50x, exception not met")))</f>
        <v/>
      </c>
      <c r="Q42" s="43" t="str">
        <f aca="false">IF(OR(C42="",D42="",E42="",K42="",L42="",M42="",P42=""),"",IF(AND(C42="PASS",D42="PASS",LEFT(E42,4)="PASS",LEFT(K42,4)="PASS",L42="PASS",M42="OK",LEFT(P42,4)="PASS",'Implied-Return Calculator'!S43="PASS"),"YES","NO — see failing rule(s)"))</f>
        <v/>
      </c>
      <c r="R42" s="43" t="str">
        <f aca="false">IF(Q42="","",IF(Q42="YES","Initiate: "&amp;H42,"DO NOT ENTER — resolve failing Entry Rule(s) above first"))</f>
        <v/>
      </c>
    </row>
    <row r="43" customFormat="false" ht="15" hidden="false" customHeight="true" outlineLevel="0" collapsed="false">
      <c r="A43" s="63" t="str">
        <f aca="false">IF(Scoring!A43="","",Scoring!A43)</f>
        <v>GE</v>
      </c>
      <c r="B43" s="90" t="str">
        <f aca="false">IF(Scoring!B43="","",Scoring!B43)</f>
        <v>GE Aerospace</v>
      </c>
      <c r="C43" s="43" t="str">
        <f aca="false">IF(Scoring!AG43="","",IF(OR(Scoring!AG43="STRONG BUY",Scoring!AG43="BUY"),"PASS","FAIL"))</f>
        <v/>
      </c>
      <c r="D43" s="43" t="str">
        <f aca="false">IF(Scoring!AH43="","",IF(Scoring!AH43="OK","PASS","FAIL"))</f>
        <v>PASS</v>
      </c>
      <c r="E43" s="43" t="str">
        <f aca="false">IF(Scoring!AI43="","",IF(Scoring!AI43="OK","PASS","FAIL — mandatory review required"))</f>
        <v>PASS</v>
      </c>
      <c r="F43" s="35"/>
      <c r="G43" s="35"/>
      <c r="H43" s="43" t="str">
        <f aca="false">IF(OR(F43="",G43=""),"",IF(AND(F43="Y",G43="Y"),"Standard initial size","50% of normal initial size + 90-day technical review"))</f>
        <v/>
      </c>
      <c r="I43" s="35"/>
      <c r="J43" s="35"/>
      <c r="K43" s="43" t="str">
        <f aca="false">IF(I43="","",IF(I43="N","PASS",IF(J43="Y","PASS — risk documented in thesis","FAIL — undocumented binary risk")))</f>
        <v/>
      </c>
      <c r="L43" s="43" t="str">
        <f aca="false">IF('Implied-Return Calculator'!T44="","",'Implied-Return Calculator'!T44)</f>
        <v/>
      </c>
      <c r="M43" s="43" t="str">
        <f aca="false">IF('Implied-Return Calculator'!U44="","",'Implied-Return Calculator'!U44)</f>
        <v/>
      </c>
      <c r="N43" s="91"/>
      <c r="O43" s="92"/>
      <c r="P43" s="43" t="str">
        <f aca="false">IF(OR(N43="",O43=""),"",IF(N43&lt;=50,"PASS — within ceiling",IF(AND(O43&gt;0.3,L43="PASS"),"PASS — growth+bear case exception met","FAIL — exceeds 50x, exception not met")))</f>
        <v/>
      </c>
      <c r="Q43" s="43" t="str">
        <f aca="false">IF(OR(C43="",D43="",E43="",K43="",L43="",M43="",P43=""),"",IF(AND(C43="PASS",D43="PASS",LEFT(E43,4)="PASS",LEFT(K43,4)="PASS",L43="PASS",M43="OK",LEFT(P43,4)="PASS",'Implied-Return Calculator'!S44="PASS"),"YES","NO — see failing rule(s)"))</f>
        <v/>
      </c>
      <c r="R43" s="43" t="str">
        <f aca="false">IF(Q43="","",IF(Q43="YES","Initiate: "&amp;H43,"DO NOT ENTER — resolve failing Entry Rule(s) above first"))</f>
        <v/>
      </c>
    </row>
    <row r="44" customFormat="false" ht="15" hidden="false" customHeight="true" outlineLevel="0" collapsed="false">
      <c r="A44" s="63" t="str">
        <f aca="false">IF(Scoring!A44="","",Scoring!A44)</f>
        <v>PH</v>
      </c>
      <c r="B44" s="90" t="str">
        <f aca="false">IF(Scoring!B44="","",Scoring!B44)</f>
        <v>Parker-Hannifin Corporation</v>
      </c>
      <c r="C44" s="43" t="str">
        <f aca="false">IF(Scoring!AG44="","",IF(OR(Scoring!AG44="STRONG BUY",Scoring!AG44="BUY"),"PASS","FAIL"))</f>
        <v/>
      </c>
      <c r="D44" s="43" t="str">
        <f aca="false">IF(Scoring!AH44="","",IF(Scoring!AH44="OK","PASS","FAIL"))</f>
        <v>PASS</v>
      </c>
      <c r="E44" s="43" t="str">
        <f aca="false">IF(Scoring!AI44="","",IF(Scoring!AI44="OK","PASS","FAIL — mandatory review required"))</f>
        <v>PASS</v>
      </c>
      <c r="F44" s="35"/>
      <c r="G44" s="35"/>
      <c r="H44" s="43" t="str">
        <f aca="false">IF(OR(F44="",G44=""),"",IF(AND(F44="Y",G44="Y"),"Standard initial size","50% of normal initial size + 90-day technical review"))</f>
        <v/>
      </c>
      <c r="I44" s="35"/>
      <c r="J44" s="35"/>
      <c r="K44" s="43" t="str">
        <f aca="false">IF(I44="","",IF(I44="N","PASS",IF(J44="Y","PASS — risk documented in thesis","FAIL — undocumented binary risk")))</f>
        <v/>
      </c>
      <c r="L44" s="43" t="str">
        <f aca="false">IF('Implied-Return Calculator'!T45="","",'Implied-Return Calculator'!T45)</f>
        <v/>
      </c>
      <c r="M44" s="43" t="str">
        <f aca="false">IF('Implied-Return Calculator'!U45="","",'Implied-Return Calculator'!U45)</f>
        <v/>
      </c>
      <c r="N44" s="91"/>
      <c r="O44" s="92"/>
      <c r="P44" s="43" t="str">
        <f aca="false">IF(OR(N44="",O44=""),"",IF(N44&lt;=50,"PASS — within ceiling",IF(AND(O44&gt;0.3,L44="PASS"),"PASS — growth+bear case exception met","FAIL — exceeds 50x, exception not met")))</f>
        <v/>
      </c>
      <c r="Q44" s="43" t="str">
        <f aca="false">IF(OR(C44="",D44="",E44="",K44="",L44="",M44="",P44=""),"",IF(AND(C44="PASS",D44="PASS",LEFT(E44,4)="PASS",LEFT(K44,4)="PASS",L44="PASS",M44="OK",LEFT(P44,4)="PASS",'Implied-Return Calculator'!S45="PASS"),"YES","NO — see failing rule(s)"))</f>
        <v/>
      </c>
      <c r="R44" s="43" t="str">
        <f aca="false">IF(Q44="","",IF(Q44="YES","Initiate: "&amp;H44,"DO NOT ENTER — resolve failing Entry Rule(s) above first"))</f>
        <v/>
      </c>
    </row>
    <row r="45" customFormat="false" ht="15" hidden="false" customHeight="true" outlineLevel="0" collapsed="false">
      <c r="A45" s="63" t="str">
        <f aca="false">IF(Scoring!A45="","",Scoring!A45)</f>
        <v>ETN</v>
      </c>
      <c r="B45" s="90" t="str">
        <f aca="false">IF(Scoring!B45="","",Scoring!B45)</f>
        <v>Eaton Corporation plc</v>
      </c>
      <c r="C45" s="43" t="str">
        <f aca="false">IF(Scoring!AG45="","",IF(OR(Scoring!AG45="STRONG BUY",Scoring!AG45="BUY"),"PASS","FAIL"))</f>
        <v/>
      </c>
      <c r="D45" s="43" t="str">
        <f aca="false">IF(Scoring!AH45="","",IF(Scoring!AH45="OK","PASS","FAIL"))</f>
        <v>PASS</v>
      </c>
      <c r="E45" s="43" t="str">
        <f aca="false">IF(Scoring!AI45="","",IF(Scoring!AI45="OK","PASS","FAIL — mandatory review required"))</f>
        <v>PASS</v>
      </c>
      <c r="F45" s="35"/>
      <c r="G45" s="35"/>
      <c r="H45" s="43" t="str">
        <f aca="false">IF(OR(F45="",G45=""),"",IF(AND(F45="Y",G45="Y"),"Standard initial size","50% of normal initial size + 90-day technical review"))</f>
        <v/>
      </c>
      <c r="I45" s="35"/>
      <c r="J45" s="35"/>
      <c r="K45" s="43" t="str">
        <f aca="false">IF(I45="","",IF(I45="N","PASS",IF(J45="Y","PASS — risk documented in thesis","FAIL — undocumented binary risk")))</f>
        <v/>
      </c>
      <c r="L45" s="43" t="str">
        <f aca="false">IF('Implied-Return Calculator'!T46="","",'Implied-Return Calculator'!T46)</f>
        <v/>
      </c>
      <c r="M45" s="43" t="str">
        <f aca="false">IF('Implied-Return Calculator'!U46="","",'Implied-Return Calculator'!U46)</f>
        <v/>
      </c>
      <c r="N45" s="91"/>
      <c r="O45" s="92"/>
      <c r="P45" s="43" t="str">
        <f aca="false">IF(OR(N45="",O45=""),"",IF(N45&lt;=50,"PASS — within ceiling",IF(AND(O45&gt;0.3,L45="PASS"),"PASS — growth+bear case exception met","FAIL — exceeds 50x, exception not met")))</f>
        <v/>
      </c>
      <c r="Q45" s="43" t="str">
        <f aca="false">IF(OR(C45="",D45="",E45="",K45="",L45="",M45="",P45=""),"",IF(AND(C45="PASS",D45="PASS",LEFT(E45,4)="PASS",LEFT(K45,4)="PASS",L45="PASS",M45="OK",LEFT(P45,4)="PASS",'Implied-Return Calculator'!S46="PASS"),"YES","NO — see failing rule(s)"))</f>
        <v/>
      </c>
      <c r="R45" s="43" t="str">
        <f aca="false">IF(Q45="","",IF(Q45="YES","Initiate: "&amp;H45,"DO NOT ENTER — resolve failing Entry Rule(s) above first"))</f>
        <v/>
      </c>
    </row>
    <row r="46" customFormat="false" ht="15" hidden="true" customHeight="true" outlineLevel="1" collapsed="false">
      <c r="A46" s="63" t="str">
        <f aca="false">IF(Scoring!A46="","",Scoring!A46)</f>
        <v>DIS</v>
      </c>
      <c r="B46" s="90" t="str">
        <f aca="false">IF(Scoring!B46="","",Scoring!B46)</f>
        <v>The Walt Disney Company</v>
      </c>
      <c r="C46" s="43" t="str">
        <f aca="false">IF(Scoring!AG46="","",IF(OR(Scoring!AG46="STRONG BUY",Scoring!AG46="BUY"),"PASS","FAIL"))</f>
        <v/>
      </c>
      <c r="D46" s="43" t="str">
        <f aca="false">IF(Scoring!AH46="","",IF(Scoring!AH46="OK","PASS","FAIL"))</f>
        <v>FAIL</v>
      </c>
      <c r="E46" s="43" t="str">
        <f aca="false">IF(Scoring!AI46="","",IF(Scoring!AI46="OK","PASS","FAIL — mandatory review required"))</f>
        <v>PASS</v>
      </c>
      <c r="F46" s="35"/>
      <c r="G46" s="35"/>
      <c r="H46" s="43" t="str">
        <f aca="false">IF(OR(F46="",G46=""),"",IF(AND(F46="Y",G46="Y"),"Standard initial size","50% of normal initial size + 90-day technical review"))</f>
        <v/>
      </c>
      <c r="I46" s="35"/>
      <c r="J46" s="35"/>
      <c r="K46" s="43" t="str">
        <f aca="false">IF(I46="","",IF(I46="N","PASS",IF(J46="Y","PASS — risk documented in thesis","FAIL — undocumented binary risk")))</f>
        <v/>
      </c>
      <c r="L46" s="43" t="str">
        <f aca="false">IF('Implied-Return Calculator'!T47="","",'Implied-Return Calculator'!T47)</f>
        <v/>
      </c>
      <c r="M46" s="43" t="str">
        <f aca="false">IF('Implied-Return Calculator'!U47="","",'Implied-Return Calculator'!U47)</f>
        <v/>
      </c>
      <c r="N46" s="91"/>
      <c r="O46" s="92"/>
      <c r="P46" s="43" t="str">
        <f aca="false">IF(OR(N46="",O46=""),"",IF(N46&lt;=50,"PASS — within ceiling",IF(AND(O46&gt;0.3,L46="PASS"),"PASS — growth+bear case exception met","FAIL — exceeds 50x, exception not met")))</f>
        <v/>
      </c>
      <c r="Q46" s="43" t="str">
        <f aca="false">IF(OR(C46="",D46="",E46="",K46="",L46="",M46="",P46=""),"",IF(AND(C46="PASS",D46="PASS",LEFT(E46,4)="PASS",LEFT(K46,4)="PASS",L46="PASS",M46="OK",LEFT(P46,4)="PASS",'Implied-Return Calculator'!S47="PASS"),"YES","NO — see failing rule(s)"))</f>
        <v/>
      </c>
      <c r="R46" s="43" t="str">
        <f aca="false">IF(Q46="","",IF(Q46="YES","Initiate: "&amp;H46,"DO NOT ENTER — resolve failing Entry Rule(s) above first"))</f>
        <v/>
      </c>
    </row>
    <row r="47" customFormat="false" ht="15" hidden="false" customHeight="true" outlineLevel="0" collapsed="false">
      <c r="A47" s="63" t="str">
        <f aca="false">IF(Scoring!A47="","",Scoring!A47)</f>
        <v>NFLX</v>
      </c>
      <c r="B47" s="90" t="str">
        <f aca="false">IF(Scoring!B47="","",Scoring!B47)</f>
        <v>Netflix, Inc.</v>
      </c>
      <c r="C47" s="43" t="str">
        <f aca="false">IF(Scoring!AG47="","",IF(OR(Scoring!AG47="STRONG BUY",Scoring!AG47="BUY"),"PASS","FAIL"))</f>
        <v/>
      </c>
      <c r="D47" s="43" t="str">
        <f aca="false">IF(Scoring!AH47="","",IF(Scoring!AH47="OK","PASS","FAIL"))</f>
        <v>PASS</v>
      </c>
      <c r="E47" s="43" t="str">
        <f aca="false">IF(Scoring!AI47="","",IF(Scoring!AI47="OK","PASS","FAIL — mandatory review required"))</f>
        <v>PASS</v>
      </c>
      <c r="F47" s="35"/>
      <c r="G47" s="35"/>
      <c r="H47" s="43" t="str">
        <f aca="false">IF(OR(F47="",G47=""),"",IF(AND(F47="Y",G47="Y"),"Standard initial size","50% of normal initial size + 90-day technical review"))</f>
        <v/>
      </c>
      <c r="I47" s="35"/>
      <c r="J47" s="35"/>
      <c r="K47" s="43" t="str">
        <f aca="false">IF(I47="","",IF(I47="N","PASS",IF(J47="Y","PASS — risk documented in thesis","FAIL — undocumented binary risk")))</f>
        <v/>
      </c>
      <c r="L47" s="43" t="str">
        <f aca="false">IF('Implied-Return Calculator'!T48="","",'Implied-Return Calculator'!T48)</f>
        <v/>
      </c>
      <c r="M47" s="43" t="str">
        <f aca="false">IF('Implied-Return Calculator'!U48="","",'Implied-Return Calculator'!U48)</f>
        <v/>
      </c>
      <c r="N47" s="91"/>
      <c r="O47" s="92"/>
      <c r="P47" s="43" t="str">
        <f aca="false">IF(OR(N47="",O47=""),"",IF(N47&lt;=50,"PASS — within ceiling",IF(AND(O47&gt;0.3,L47="PASS"),"PASS — growth+bear case exception met","FAIL — exceeds 50x, exception not met")))</f>
        <v/>
      </c>
      <c r="Q47" s="43" t="str">
        <f aca="false">IF(OR(C47="",D47="",E47="",K47="",L47="",M47="",P47=""),"",IF(AND(C47="PASS",D47="PASS",LEFT(E47,4)="PASS",LEFT(K47,4)="PASS",L47="PASS",M47="OK",LEFT(P47,4)="PASS",'Implied-Return Calculator'!S48="PASS"),"YES","NO — see failing rule(s)"))</f>
        <v/>
      </c>
      <c r="R47" s="43" t="str">
        <f aca="false">IF(Q47="","",IF(Q47="YES","Initiate: "&amp;H47,"DO NOT ENTER — resolve failing Entry Rule(s) above first"))</f>
        <v/>
      </c>
    </row>
    <row r="48" customFormat="false" ht="15" hidden="false" customHeight="true" outlineLevel="0" collapsed="false">
      <c r="A48" s="63"/>
      <c r="B48" s="90"/>
      <c r="C48" s="43"/>
      <c r="D48" s="43"/>
      <c r="E48" s="43"/>
      <c r="F48" s="35"/>
      <c r="G48" s="35"/>
      <c r="H48" s="43"/>
      <c r="I48" s="35"/>
      <c r="J48" s="35"/>
      <c r="K48" s="43"/>
      <c r="L48" s="43"/>
      <c r="M48" s="43"/>
      <c r="N48" s="91"/>
      <c r="O48" s="92"/>
      <c r="P48" s="43"/>
      <c r="Q48" s="43"/>
      <c r="R48" s="43"/>
    </row>
    <row r="49" customFormat="false" ht="15" hidden="false" customHeight="true" outlineLevel="0" collapsed="false">
      <c r="A49" s="63"/>
      <c r="B49" s="90"/>
      <c r="C49" s="43"/>
      <c r="D49" s="43"/>
      <c r="E49" s="43"/>
      <c r="F49" s="35"/>
      <c r="G49" s="35"/>
      <c r="H49" s="43"/>
      <c r="I49" s="35"/>
      <c r="J49" s="35"/>
      <c r="K49" s="43"/>
      <c r="L49" s="43"/>
      <c r="M49" s="43"/>
      <c r="N49" s="91"/>
      <c r="O49" s="92"/>
      <c r="P49" s="43"/>
      <c r="Q49" s="43"/>
      <c r="R49" s="43"/>
    </row>
    <row r="51" customFormat="false" ht="15.75" hidden="false" customHeight="true" outlineLevel="0" collapsed="false">
      <c r="A51" s="68" t="n">
        <f aca="false">SUBTOTAL(103,A3:A49)</f>
        <v>26</v>
      </c>
      <c r="B51" s="87" t="s">
        <v>284</v>
      </c>
    </row>
  </sheetData>
  <mergeCells count="1">
    <mergeCell ref="A1:R1"/>
  </mergeCells>
  <conditionalFormatting sqref="C3:D49">
    <cfRule type="cellIs" priority="2" operator="equal" aboveAverage="0" equalAverage="0" bottom="0" percent="0" rank="0" text="" dxfId="13">
      <formula>"PASS"</formula>
    </cfRule>
    <cfRule type="cellIs" priority="3" operator="equal" aboveAverage="0" equalAverage="0" bottom="0" percent="0" rank="0" text="" dxfId="0">
      <formula>"FAIL"</formula>
    </cfRule>
  </conditionalFormatting>
  <conditionalFormatting sqref="E3:E49">
    <cfRule type="expression" priority="4" aboveAverage="0" equalAverage="0" bottom="0" percent="0" rank="0" text="" dxfId="13">
      <formula>LEFT(E3,4)="PASS"</formula>
    </cfRule>
    <cfRule type="expression" priority="5" aboveAverage="0" equalAverage="0" bottom="0" percent="0" rank="0" text="" dxfId="0">
      <formula>LEFT(E3,4)="FAIL"</formula>
    </cfRule>
  </conditionalFormatting>
  <conditionalFormatting sqref="K3:K49">
    <cfRule type="expression" priority="6" aboveAverage="0" equalAverage="0" bottom="0" percent="0" rank="0" text="" dxfId="13">
      <formula>LEFT(K3,4)="PASS"</formula>
    </cfRule>
    <cfRule type="expression" priority="7" aboveAverage="0" equalAverage="0" bottom="0" percent="0" rank="0" text="" dxfId="0">
      <formula>LEFT(K3,4)="FAIL"</formula>
    </cfRule>
  </conditionalFormatting>
  <conditionalFormatting sqref="P3:P49">
    <cfRule type="expression" priority="8" aboveAverage="0" equalAverage="0" bottom="0" percent="0" rank="0" text="" dxfId="13">
      <formula>LEFT(P3,4)="PASS"</formula>
    </cfRule>
    <cfRule type="expression" priority="9" aboveAverage="0" equalAverage="0" bottom="0" percent="0" rank="0" text="" dxfId="0">
      <formula>LEFT(P3,4)="FAIL"</formula>
    </cfRule>
  </conditionalFormatting>
  <conditionalFormatting sqref="L3:L49">
    <cfRule type="cellIs" priority="10" operator="equal" aboveAverage="0" equalAverage="0" bottom="0" percent="0" rank="0" text="" dxfId="13">
      <formula>"PASS"</formula>
    </cfRule>
    <cfRule type="cellIs" priority="11" operator="equal" aboveAverage="0" equalAverage="0" bottom="0" percent="0" rank="0" text="" dxfId="0">
      <formula>"FAIL"</formula>
    </cfRule>
  </conditionalFormatting>
  <conditionalFormatting sqref="M3:M49">
    <cfRule type="cellIs" priority="12" operator="equal" aboveAverage="0" equalAverage="0" bottom="0" percent="0" rank="0" text="" dxfId="13">
      <formula>"OK"</formula>
    </cfRule>
    <cfRule type="cellIs" priority="13" operator="equal" aboveAverage="0" equalAverage="0" bottom="0" percent="0" rank="0" text="" dxfId="0">
      <formula>"CHECK TAGS"</formula>
    </cfRule>
  </conditionalFormatting>
  <conditionalFormatting sqref="Q3:Q49">
    <cfRule type="cellIs" priority="14" operator="equal" aboveAverage="0" equalAverage="0" bottom="0" percent="0" rank="0" text="" dxfId="13">
      <formula>"YES"</formula>
    </cfRule>
    <cfRule type="expression" priority="15" aboveAverage="0" equalAverage="0" bottom="0" percent="0" rank="0" text="" dxfId="0">
      <formula>LEFT(Q3,2)="NO"</formula>
    </cfRule>
  </conditionalFormatting>
  <conditionalFormatting sqref="H3:H49">
    <cfRule type="cellIs" priority="16" operator="equal" aboveAverage="0" equalAverage="0" bottom="0" percent="0" rank="0" text="" dxfId="13">
      <formula>"Standard initial size"</formula>
    </cfRule>
    <cfRule type="expression" priority="17" aboveAverage="0" equalAverage="0" bottom="0" percent="0" rank="0" text="" dxfId="15">
      <formula>ISNUMBER(SEARCH("50%",H3))</formula>
    </cfRule>
  </conditionalFormatting>
  <dataValidations count="1">
    <dataValidation allowBlank="true" errorStyle="stop" operator="between" showDropDown="false" showErrorMessage="false" showInputMessage="false" sqref="F3:G27 I3:J27"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H23" activeCellId="0" sqref="H23"/>
    </sheetView>
  </sheetViews>
  <sheetFormatPr defaultColWidth="8.66796875" defaultRowHeight="15" customHeight="false" zeroHeight="false" outlineLevelRow="0" outlineLevelCol="0"/>
  <cols>
    <col collapsed="false" customWidth="true" hidden="false" outlineLevel="0" max="1" min="1" style="1" width="10"/>
    <col collapsed="false" customWidth="true" hidden="false" outlineLevel="0" max="2" min="2" style="1" width="20"/>
    <col collapsed="false" customWidth="true" hidden="false" outlineLevel="0" max="3" min="3" style="1" width="11"/>
    <col collapsed="false" customWidth="true" hidden="false" outlineLevel="0" max="4" min="4" style="1" width="13"/>
    <col collapsed="false" customWidth="true" hidden="false" outlineLevel="0" max="5" min="5" style="1" width="15"/>
    <col collapsed="false" customWidth="true" hidden="false" outlineLevel="0" max="6" min="6" style="1" width="9"/>
    <col collapsed="false" customWidth="true" hidden="false" outlineLevel="0" max="8" min="7" style="1" width="11"/>
    <col collapsed="false" customWidth="true" hidden="false" outlineLevel="0" max="9" min="9" style="1" width="12"/>
  </cols>
  <sheetData>
    <row r="1" customFormat="false" ht="15" hidden="false" customHeight="true" outlineLevel="0" collapsed="false">
      <c r="A1" s="94" t="s">
        <v>414</v>
      </c>
      <c r="B1" s="94"/>
      <c r="C1" s="94"/>
      <c r="D1" s="94"/>
      <c r="E1" s="94"/>
      <c r="F1" s="94"/>
      <c r="G1" s="94"/>
      <c r="H1" s="94"/>
      <c r="I1" s="94"/>
    </row>
    <row r="2" customFormat="false" ht="25.5" hidden="false" customHeight="true" outlineLevel="0" collapsed="false">
      <c r="A2" s="75" t="s">
        <v>82</v>
      </c>
      <c r="B2" s="75" t="s">
        <v>274</v>
      </c>
      <c r="C2" s="75" t="s">
        <v>415</v>
      </c>
      <c r="D2" s="75" t="s">
        <v>416</v>
      </c>
      <c r="E2" s="75" t="s">
        <v>417</v>
      </c>
      <c r="F2" s="75" t="s">
        <v>418</v>
      </c>
      <c r="G2" s="75" t="s">
        <v>419</v>
      </c>
      <c r="H2" s="75" t="s">
        <v>420</v>
      </c>
      <c r="I2" s="75" t="s">
        <v>421</v>
      </c>
    </row>
    <row r="3" customFormat="false" ht="15" hidden="false" customHeight="true" outlineLevel="0" collapsed="false">
      <c r="A3" s="78" t="s">
        <v>96</v>
      </c>
      <c r="B3" s="78" t="s">
        <v>97</v>
      </c>
      <c r="C3" s="95" t="n">
        <v>272.4101</v>
      </c>
      <c r="D3" s="96" t="n">
        <v>1678366</v>
      </c>
      <c r="E3" s="97" t="n">
        <v>108283</v>
      </c>
      <c r="F3" s="98" t="n">
        <v>15.584102</v>
      </c>
      <c r="G3" s="95" t="n">
        <v>190.12</v>
      </c>
      <c r="H3" s="95" t="n">
        <v>370.86</v>
      </c>
      <c r="I3" s="99"/>
    </row>
    <row r="4" customFormat="false" ht="15" hidden="false" customHeight="true" outlineLevel="0" collapsed="false">
      <c r="A4" s="78" t="s">
        <v>101</v>
      </c>
      <c r="B4" s="78" t="s">
        <v>102</v>
      </c>
      <c r="C4" s="95" t="n">
        <v>200.69</v>
      </c>
      <c r="D4" s="96" t="n">
        <v>3228654</v>
      </c>
      <c r="E4" s="97" t="n">
        <v>253115.2</v>
      </c>
      <c r="F4" s="98" t="n">
        <v>63.71111</v>
      </c>
      <c r="G4" s="95" t="n">
        <v>114.52</v>
      </c>
      <c r="H4" s="95" t="n">
        <v>214.89</v>
      </c>
      <c r="I4" s="99"/>
    </row>
    <row r="5" customFormat="false" ht="15" hidden="false" customHeight="true" outlineLevel="0" collapsed="false">
      <c r="A5" s="78" t="s">
        <v>103</v>
      </c>
      <c r="B5" s="78" t="s">
        <v>104</v>
      </c>
      <c r="C5" s="95" t="n">
        <v>1741.93</v>
      </c>
      <c r="D5" s="96" t="n">
        <v>614140</v>
      </c>
      <c r="E5" s="97" t="n">
        <v>669075.3</v>
      </c>
      <c r="F5" s="98" t="n">
        <v>58.74975</v>
      </c>
      <c r="G5" s="95" t="n">
        <v>716.2</v>
      </c>
      <c r="H5" s="95" t="n">
        <v>1999.96</v>
      </c>
      <c r="I5" s="99" t="n">
        <v>0.52</v>
      </c>
    </row>
    <row r="6" customFormat="false" ht="15" hidden="false" customHeight="true" outlineLevel="0" collapsed="false">
      <c r="A6" s="78" t="s">
        <v>160</v>
      </c>
      <c r="B6" s="78" t="s">
        <v>161</v>
      </c>
      <c r="C6" s="95" t="n">
        <v>353.36</v>
      </c>
      <c r="D6" s="96" t="n">
        <v>11525679</v>
      </c>
      <c r="E6" s="97" t="n">
        <v>1681138.5</v>
      </c>
      <c r="F6" s="98" t="n">
        <v>58.991653</v>
      </c>
      <c r="G6" s="95" t="n">
        <v>287.17</v>
      </c>
      <c r="H6" s="95" t="n">
        <v>495</v>
      </c>
      <c r="I6" s="99" t="n">
        <v>0.73</v>
      </c>
    </row>
    <row r="7" customFormat="false" ht="15" hidden="false" customHeight="true" outlineLevel="0" collapsed="false">
      <c r="A7" s="78" t="s">
        <v>151</v>
      </c>
      <c r="B7" s="78" t="s">
        <v>152</v>
      </c>
      <c r="C7" s="95" t="n">
        <v>125.755</v>
      </c>
      <c r="D7" s="96" t="n">
        <v>581111</v>
      </c>
      <c r="E7" s="97"/>
      <c r="F7" s="98" t="n">
        <v>13.50998</v>
      </c>
      <c r="G7" s="95" t="n">
        <v>93.87</v>
      </c>
      <c r="H7" s="95" t="n">
        <v>129.05</v>
      </c>
      <c r="I7" s="99" t="n">
        <v>1.25</v>
      </c>
    </row>
    <row r="8" customFormat="false" ht="15" hidden="false" customHeight="true" outlineLevel="0" collapsed="false">
      <c r="A8" s="78" t="s">
        <v>226</v>
      </c>
      <c r="B8" s="78" t="s">
        <v>374</v>
      </c>
      <c r="C8" s="95" t="n">
        <v>37.515</v>
      </c>
      <c r="D8" s="96" t="n">
        <v>4454796</v>
      </c>
      <c r="E8" s="97" t="n">
        <v>47472.2</v>
      </c>
      <c r="F8" s="98" t="n">
        <v>34.73611</v>
      </c>
      <c r="G8" s="95" t="n">
        <v>28.04</v>
      </c>
      <c r="H8" s="95" t="n">
        <v>42.94</v>
      </c>
      <c r="I8" s="99"/>
    </row>
    <row r="9" customFormat="false" ht="15" hidden="false" customHeight="true" outlineLevel="0" collapsed="false">
      <c r="A9" s="78" t="s">
        <v>228</v>
      </c>
      <c r="B9" s="78" t="s">
        <v>345</v>
      </c>
      <c r="C9" s="95" t="n">
        <v>957.94</v>
      </c>
      <c r="D9" s="96" t="n">
        <v>460899</v>
      </c>
      <c r="E9" s="97" t="n">
        <v>424826.1</v>
      </c>
      <c r="F9" s="98" t="n">
        <v>48.210365</v>
      </c>
      <c r="G9" s="95" t="n">
        <v>844.06</v>
      </c>
      <c r="H9" s="95" t="n">
        <v>1096.5</v>
      </c>
      <c r="I9" s="99" t="n">
        <v>0.61</v>
      </c>
    </row>
    <row r="10" customFormat="false" ht="15" hidden="false" customHeight="true" outlineLevel="0" collapsed="false">
      <c r="A10" s="78" t="s">
        <v>105</v>
      </c>
      <c r="B10" s="78" t="s">
        <v>106</v>
      </c>
      <c r="C10" s="95" t="n">
        <v>189.88</v>
      </c>
      <c r="D10" s="96" t="n">
        <v>5437090</v>
      </c>
      <c r="E10" s="97" t="n">
        <v>193324.7</v>
      </c>
      <c r="F10" s="98"/>
      <c r="G10" s="95" t="n">
        <v>85.68</v>
      </c>
      <c r="H10" s="95" t="n">
        <v>227.5</v>
      </c>
      <c r="I10" s="99"/>
    </row>
    <row r="11" customFormat="false" ht="15" hidden="false" customHeight="true" outlineLevel="0" collapsed="false">
      <c r="A11" s="78" t="s">
        <v>233</v>
      </c>
      <c r="B11" s="78" t="s">
        <v>376</v>
      </c>
      <c r="C11" s="95" t="n">
        <v>344.765</v>
      </c>
      <c r="D11" s="96" t="n">
        <v>396478</v>
      </c>
      <c r="E11" s="97" t="n">
        <v>11405.4</v>
      </c>
      <c r="F11" s="98" t="n">
        <v>19.544502</v>
      </c>
      <c r="G11" s="95" t="n">
        <v>282</v>
      </c>
      <c r="H11" s="95" t="n">
        <v>469</v>
      </c>
      <c r="I11" s="99" t="n">
        <v>2.27</v>
      </c>
    </row>
    <row r="12" customFormat="false" ht="15" hidden="false" customHeight="true" outlineLevel="0" collapsed="false">
      <c r="A12" s="78" t="s">
        <v>236</v>
      </c>
      <c r="B12" s="78" t="s">
        <v>355</v>
      </c>
      <c r="C12" s="95" t="n">
        <v>21.38</v>
      </c>
      <c r="D12" s="96" t="n">
        <v>5397986</v>
      </c>
      <c r="E12" s="97" t="n">
        <v>73617.7</v>
      </c>
      <c r="F12" s="98" t="n">
        <v>14.643835</v>
      </c>
      <c r="G12" s="95" t="n">
        <v>16.18</v>
      </c>
      <c r="H12" s="95" t="n">
        <v>21.64</v>
      </c>
      <c r="I12" s="99" t="n">
        <v>6.47</v>
      </c>
    </row>
    <row r="13" customFormat="false" ht="15" hidden="false" customHeight="true" outlineLevel="0" collapsed="false">
      <c r="A13" s="78" t="s">
        <v>238</v>
      </c>
      <c r="B13" s="78" t="s">
        <v>392</v>
      </c>
      <c r="C13" s="95" t="n">
        <v>417.19</v>
      </c>
      <c r="D13" s="96" t="n">
        <v>886350</v>
      </c>
      <c r="E13" s="97" t="n">
        <v>162036.6</v>
      </c>
      <c r="F13" s="98" t="n">
        <v>42.483707</v>
      </c>
      <c r="G13" s="95" t="n">
        <v>311.92</v>
      </c>
      <c r="H13" s="95" t="n">
        <v>478</v>
      </c>
      <c r="I13" s="99" t="n">
        <v>1.08</v>
      </c>
    </row>
    <row r="14" customFormat="false" ht="15" hidden="false" customHeight="true" outlineLevel="0" collapsed="false">
      <c r="A14" s="78" t="s">
        <v>240</v>
      </c>
      <c r="B14" s="78" t="s">
        <v>387</v>
      </c>
      <c r="C14" s="95" t="n">
        <v>82.53</v>
      </c>
      <c r="D14" s="96" t="n">
        <v>966142</v>
      </c>
      <c r="E14" s="97" t="n">
        <v>7574.7</v>
      </c>
      <c r="F14" s="98" t="n">
        <v>26.117088</v>
      </c>
      <c r="G14" s="95" t="n">
        <v>44</v>
      </c>
      <c r="H14" s="95" t="n">
        <v>87.974</v>
      </c>
      <c r="I14" s="99"/>
    </row>
    <row r="15" customFormat="false" ht="15" hidden="false" customHeight="true" outlineLevel="0" collapsed="false">
      <c r="A15" s="78" t="s">
        <v>242</v>
      </c>
      <c r="B15" s="78" t="s">
        <v>388</v>
      </c>
      <c r="C15" s="95" t="n">
        <v>353.7</v>
      </c>
      <c r="D15" s="96" t="n">
        <v>1585627</v>
      </c>
      <c r="E15" s="97" t="n">
        <v>366985.9</v>
      </c>
      <c r="F15" s="98" t="n">
        <v>41.660778</v>
      </c>
      <c r="G15" s="95" t="n">
        <v>268.01</v>
      </c>
      <c r="H15" s="95" t="n">
        <v>388.84</v>
      </c>
      <c r="I15" s="99" t="n">
        <v>0.54</v>
      </c>
    </row>
    <row r="16" customFormat="false" ht="15" hidden="false" customHeight="true" outlineLevel="0" collapsed="false">
      <c r="A16" s="78" t="s">
        <v>157</v>
      </c>
      <c r="B16" s="78" t="s">
        <v>158</v>
      </c>
      <c r="C16" s="95" t="n">
        <v>69.4059</v>
      </c>
      <c r="D16" s="96" t="n">
        <v>142391</v>
      </c>
      <c r="E16" s="97"/>
      <c r="F16" s="98" t="n">
        <v>25.670967</v>
      </c>
      <c r="G16" s="95" t="n">
        <v>63.24</v>
      </c>
      <c r="H16" s="95" t="n">
        <v>70.23</v>
      </c>
      <c r="I16" s="99" t="n">
        <v>0.63</v>
      </c>
    </row>
    <row r="17" customFormat="false" ht="15" hidden="false" customHeight="true" outlineLevel="0" collapsed="false">
      <c r="A17" s="78" t="s">
        <v>147</v>
      </c>
      <c r="B17" s="78" t="s">
        <v>148</v>
      </c>
      <c r="C17" s="95" t="n">
        <v>59.764</v>
      </c>
      <c r="D17" s="96" t="n">
        <v>3076665</v>
      </c>
      <c r="E17" s="97"/>
      <c r="F17" s="98" t="n">
        <v>30.11166</v>
      </c>
      <c r="G17" s="95" t="n">
        <v>53.51</v>
      </c>
      <c r="H17" s="95" t="n">
        <v>61.72</v>
      </c>
      <c r="I17" s="99" t="n">
        <v>10.76</v>
      </c>
    </row>
    <row r="18" customFormat="false" ht="15" hidden="false" customHeight="true" outlineLevel="0" collapsed="false">
      <c r="A18" s="78" t="s">
        <v>107</v>
      </c>
      <c r="B18" s="78" t="s">
        <v>108</v>
      </c>
      <c r="C18" s="95" t="n">
        <v>183.15</v>
      </c>
      <c r="D18" s="96" t="n">
        <v>2781617</v>
      </c>
      <c r="E18" s="97" t="n">
        <v>239294</v>
      </c>
      <c r="F18" s="98" t="n">
        <v>49.90463</v>
      </c>
      <c r="G18" s="95" t="n">
        <v>83.224</v>
      </c>
      <c r="H18" s="95" t="n">
        <v>307.37</v>
      </c>
      <c r="I18" s="99" t="n">
        <v>0.5</v>
      </c>
    </row>
    <row r="19" customFormat="false" ht="15" hidden="false" customHeight="true" outlineLevel="0" collapsed="false">
      <c r="A19" s="78" t="s">
        <v>248</v>
      </c>
      <c r="B19" s="78" t="s">
        <v>365</v>
      </c>
      <c r="C19" s="95" t="n">
        <v>490.23</v>
      </c>
      <c r="D19" s="96" t="n">
        <v>704825</v>
      </c>
      <c r="E19" s="97" t="n">
        <v>225986.3</v>
      </c>
      <c r="F19" s="98" t="n">
        <v>31.64816</v>
      </c>
      <c r="G19" s="95" t="n">
        <v>387.78</v>
      </c>
      <c r="H19" s="95" t="n">
        <v>548.2</v>
      </c>
      <c r="I19" s="99" t="n">
        <v>1.31</v>
      </c>
    </row>
    <row r="20" customFormat="false" ht="15" hidden="false" customHeight="true" outlineLevel="0" collapsed="false">
      <c r="A20" s="78" t="s">
        <v>109</v>
      </c>
      <c r="B20" s="78" t="s">
        <v>110</v>
      </c>
      <c r="C20" s="95" t="n">
        <v>940.3</v>
      </c>
      <c r="D20" s="96" t="n">
        <v>11783466</v>
      </c>
      <c r="E20" s="97"/>
      <c r="F20" s="98" t="n">
        <v>21.26662</v>
      </c>
      <c r="G20" s="95" t="n">
        <v>114.25</v>
      </c>
      <c r="H20" s="95" t="n">
        <v>1255</v>
      </c>
      <c r="I20" s="99" t="n">
        <v>0.06</v>
      </c>
    </row>
    <row r="21" customFormat="false" ht="15" hidden="false" customHeight="true" outlineLevel="0" collapsed="false">
      <c r="A21" s="78" t="s">
        <v>251</v>
      </c>
      <c r="B21" s="78" t="s">
        <v>396</v>
      </c>
      <c r="C21" s="95" t="n">
        <v>81.795</v>
      </c>
      <c r="D21" s="96" t="n">
        <v>13998131</v>
      </c>
      <c r="E21" s="97" t="n">
        <v>340589.4</v>
      </c>
      <c r="F21" s="98" t="n">
        <v>25.721697</v>
      </c>
      <c r="G21" s="95" t="n">
        <v>65.08</v>
      </c>
      <c r="H21" s="95" t="n">
        <v>126.71</v>
      </c>
      <c r="I21" s="99"/>
    </row>
    <row r="22" customFormat="false" ht="15" hidden="false" customHeight="true" outlineLevel="0" collapsed="false">
      <c r="A22" s="78" t="s">
        <v>111</v>
      </c>
      <c r="B22" s="78" t="s">
        <v>112</v>
      </c>
      <c r="C22" s="95" t="n">
        <v>210.645</v>
      </c>
      <c r="D22" s="96" t="n">
        <v>66046491</v>
      </c>
      <c r="E22" s="97" t="n">
        <v>5102393.4</v>
      </c>
      <c r="F22" s="98" t="n">
        <v>32.210995</v>
      </c>
      <c r="G22" s="95" t="n">
        <v>164.07</v>
      </c>
      <c r="H22" s="95" t="n">
        <v>236.54</v>
      </c>
      <c r="I22" s="99" t="n">
        <v>0.47</v>
      </c>
    </row>
    <row r="23" customFormat="false" ht="15" hidden="false" customHeight="true" outlineLevel="0" collapsed="false">
      <c r="A23" s="78" t="s">
        <v>260</v>
      </c>
      <c r="B23" s="78" t="s">
        <v>373</v>
      </c>
      <c r="C23" s="95" t="n">
        <v>144.995</v>
      </c>
      <c r="D23" s="96" t="n">
        <v>2948127</v>
      </c>
      <c r="E23" s="97" t="n">
        <v>337031.2</v>
      </c>
      <c r="F23" s="98" t="n">
        <v>21.902567</v>
      </c>
      <c r="G23" s="95" t="n">
        <v>137.62</v>
      </c>
      <c r="H23" s="95" t="n">
        <v>167.25</v>
      </c>
      <c r="I23" s="99" t="n">
        <v>2.99</v>
      </c>
    </row>
    <row r="24" customFormat="false" ht="15" hidden="false" customHeight="true" outlineLevel="0" collapsed="false">
      <c r="A24" s="78" t="s">
        <v>262</v>
      </c>
      <c r="B24" s="78" t="s">
        <v>390</v>
      </c>
      <c r="C24" s="95" t="n">
        <v>1040.07</v>
      </c>
      <c r="D24" s="96" t="n">
        <v>271225</v>
      </c>
      <c r="E24" s="97" t="n">
        <v>131098.2</v>
      </c>
      <c r="F24" s="98" t="n">
        <v>36.544975</v>
      </c>
      <c r="G24" s="95" t="n">
        <v>715.37</v>
      </c>
      <c r="H24" s="95" t="n">
        <v>1099.94</v>
      </c>
      <c r="I24" s="99" t="n">
        <v>0.79</v>
      </c>
    </row>
    <row r="25" customFormat="false" ht="15" hidden="false" customHeight="true" outlineLevel="0" collapsed="false">
      <c r="A25" s="78" t="s">
        <v>165</v>
      </c>
      <c r="B25" s="78" t="s">
        <v>331</v>
      </c>
      <c r="C25" s="95" t="n">
        <v>142.375</v>
      </c>
      <c r="D25" s="96" t="n">
        <v>2191673</v>
      </c>
      <c r="E25" s="97" t="n">
        <v>138401.5</v>
      </c>
      <c r="F25" s="98" t="n">
        <v>31.709356</v>
      </c>
      <c r="G25" s="95" t="n">
        <v>110.51</v>
      </c>
      <c r="H25" s="95" t="n">
        <v>153.35</v>
      </c>
      <c r="I25" s="99" t="n">
        <v>2.99</v>
      </c>
    </row>
    <row r="26" customFormat="false" ht="15" hidden="false" customHeight="true" outlineLevel="0" collapsed="false">
      <c r="A26" s="78" t="s">
        <v>113</v>
      </c>
      <c r="B26" s="78" t="s">
        <v>114</v>
      </c>
      <c r="C26" s="95" t="n">
        <v>176.821</v>
      </c>
      <c r="D26" s="96" t="n">
        <v>16174623</v>
      </c>
      <c r="E26" s="97" t="n">
        <v>424911.2</v>
      </c>
      <c r="F26" s="98" t="n">
        <v>151.12906</v>
      </c>
      <c r="G26" s="95" t="n">
        <v>106.37</v>
      </c>
      <c r="H26" s="95" t="n">
        <v>207.52</v>
      </c>
      <c r="I26" s="99"/>
    </row>
    <row r="27" customFormat="false" ht="15" hidden="false" customHeight="true" outlineLevel="0" collapsed="false">
      <c r="A27" s="78" t="s">
        <v>139</v>
      </c>
      <c r="B27" s="78" t="s">
        <v>140</v>
      </c>
      <c r="C27" s="95" t="n">
        <v>147.4429</v>
      </c>
      <c r="D27" s="96" t="n">
        <v>1056182</v>
      </c>
      <c r="E27" s="97"/>
      <c r="F27" s="98" t="n">
        <v>29.009214</v>
      </c>
      <c r="G27" s="95" t="n">
        <v>107.24</v>
      </c>
      <c r="H27" s="95" t="n">
        <v>162.3</v>
      </c>
      <c r="I27" s="99" t="n">
        <v>0.73</v>
      </c>
    </row>
    <row r="28" customFormat="false" ht="15" hidden="false" customHeight="true" outlineLevel="0" collapsed="false">
      <c r="A28" s="1" t="s">
        <v>115</v>
      </c>
      <c r="B28" s="1" t="s">
        <v>342</v>
      </c>
      <c r="C28" s="1" t="n">
        <v>418.27</v>
      </c>
      <c r="D28" s="1" t="n">
        <v>4080486</v>
      </c>
      <c r="E28" s="1" t="n">
        <v>2169398.4</v>
      </c>
      <c r="F28" s="1" t="n">
        <v>31.122025</v>
      </c>
      <c r="G28" s="1" t="n">
        <v>225.63</v>
      </c>
      <c r="H28" s="1" t="n">
        <v>479</v>
      </c>
      <c r="I28" s="1" t="n">
        <v>1.04</v>
      </c>
    </row>
    <row r="29" customFormat="false" ht="15" hidden="false" customHeight="true" outlineLevel="0" collapsed="false">
      <c r="A29" s="1" t="s">
        <v>119</v>
      </c>
      <c r="B29" s="1" t="s">
        <v>120</v>
      </c>
      <c r="C29" s="1" t="n">
        <v>383.6801</v>
      </c>
      <c r="D29" s="1" t="n">
        <v>2283627</v>
      </c>
      <c r="E29" s="1" t="n">
        <v>716348.9</v>
      </c>
      <c r="F29" s="1" t="n">
        <v>32.653625</v>
      </c>
      <c r="G29" s="1" t="n">
        <v>293.89</v>
      </c>
      <c r="H29" s="1" t="n">
        <v>385.5699</v>
      </c>
      <c r="I29" s="1" t="n">
        <v>0.7</v>
      </c>
    </row>
    <row r="30" customFormat="false" ht="15" hidden="false" customHeight="true" outlineLevel="0" collapsed="false">
      <c r="A30" s="100" t="s">
        <v>130</v>
      </c>
      <c r="B30" s="1" t="s">
        <v>131</v>
      </c>
      <c r="C30" s="1" t="n">
        <v>54.94</v>
      </c>
      <c r="D30" s="1" t="n">
        <v>1075486</v>
      </c>
      <c r="F30" s="1" t="n">
        <v>20.190176</v>
      </c>
      <c r="G30" s="1" t="n">
        <v>36.56</v>
      </c>
      <c r="H30" s="1" t="n">
        <v>55.685</v>
      </c>
      <c r="I30" s="1" t="n">
        <v>1.07</v>
      </c>
    </row>
    <row r="31" customFormat="false" ht="15" hidden="false" customHeight="true" outlineLevel="0" collapsed="false">
      <c r="A31" s="100" t="s">
        <v>117</v>
      </c>
      <c r="B31" s="1" t="s">
        <v>118</v>
      </c>
      <c r="C31" s="1" t="n">
        <v>261.89</v>
      </c>
      <c r="D31" s="1" t="n">
        <v>2060469</v>
      </c>
      <c r="E31" s="1" t="n">
        <v>100824.6</v>
      </c>
      <c r="F31" s="1" t="n">
        <v>59.251133</v>
      </c>
      <c r="G31" s="1" t="n">
        <v>118.7</v>
      </c>
      <c r="H31" s="1" t="n">
        <v>379.935</v>
      </c>
      <c r="I31" s="1" t="n">
        <v>0.1</v>
      </c>
    </row>
    <row r="32" customFormat="false" ht="15" hidden="false" customHeight="true" outlineLevel="0" collapsed="false">
      <c r="A32" s="100" t="s">
        <v>162</v>
      </c>
      <c r="B32" s="1" t="s">
        <v>163</v>
      </c>
      <c r="C32" s="1" t="n">
        <v>549.34</v>
      </c>
      <c r="D32" s="1" t="n">
        <v>289998</v>
      </c>
      <c r="E32" s="1" t="n">
        <v>139236.2</v>
      </c>
      <c r="F32" s="1" t="n">
        <v>31.956953</v>
      </c>
      <c r="G32" s="1" t="n">
        <v>374.17</v>
      </c>
      <c r="H32" s="1" t="n">
        <v>555.69</v>
      </c>
    </row>
    <row r="33" customFormat="false" ht="15" hidden="false" customHeight="true" outlineLevel="0" collapsed="false">
      <c r="A33" s="100" t="s">
        <v>270</v>
      </c>
      <c r="B33" s="1" t="s">
        <v>378</v>
      </c>
      <c r="C33" s="1" t="n">
        <v>154.67</v>
      </c>
      <c r="D33" s="1" t="n">
        <v>711387</v>
      </c>
      <c r="E33" s="1" t="n">
        <v>42209.6</v>
      </c>
      <c r="F33" s="1" t="n">
        <v>19.479849</v>
      </c>
      <c r="G33" s="1" t="n">
        <v>137.33</v>
      </c>
      <c r="H33" s="1" t="n">
        <v>170.14</v>
      </c>
      <c r="I33" s="1" t="n">
        <v>1.92</v>
      </c>
    </row>
    <row r="34" customFormat="false" ht="15" hidden="false" customHeight="true" outlineLevel="0" collapsed="false">
      <c r="A34" s="100"/>
    </row>
    <row r="35" customFormat="false" ht="15" hidden="false" customHeight="true" outlineLevel="0" collapsed="false">
      <c r="A35" s="100"/>
    </row>
  </sheetData>
  <mergeCells count="1">
    <mergeCell ref="A1:I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162"/>
  <sheetViews>
    <sheetView showFormulas="false" showGridLines="false" showRowColHeaders="true" showZeros="true" rightToLeft="false" tabSelected="false" showOutlineSymbols="true" defaultGridColor="true" view="normal" topLeftCell="A175" colorId="64" zoomScale="100" zoomScaleNormal="100" zoomScalePageLayoutView="100" workbookViewId="0">
      <pane xSplit="1" ySplit="2" topLeftCell="B177" activePane="bottomRight" state="frozen"/>
      <selection pane="topLeft" activeCell="A175" activeCellId="0" sqref="A175"/>
      <selection pane="topRight" activeCell="B175" activeCellId="0" sqref="B175"/>
      <selection pane="bottomLeft" activeCell="A177" activeCellId="0" sqref="A177"/>
      <selection pane="bottomRight" activeCell="A1" activeCellId="0" sqref="A1"/>
    </sheetView>
  </sheetViews>
  <sheetFormatPr defaultColWidth="8.66796875" defaultRowHeight="15" customHeight="false" zeroHeight="false" outlineLevelRow="0" outlineLevelCol="0"/>
  <cols>
    <col collapsed="false" customWidth="true" hidden="false" outlineLevel="0" max="1" min="1" style="1" width="10.83"/>
    <col collapsed="false" customWidth="true" hidden="false" outlineLevel="0" max="21" min="2" style="1" width="5.66"/>
    <col collapsed="false" customWidth="true" hidden="false" outlineLevel="0" max="22" min="22" style="1" width="4.16"/>
    <col collapsed="false" customWidth="true" hidden="false" outlineLevel="0" max="40" min="23" style="1" width="10.16"/>
  </cols>
  <sheetData>
    <row r="1" customFormat="false" ht="27" hidden="false" customHeight="true" outlineLevel="0" collapsed="false">
      <c r="A1" s="101" t="s">
        <v>422</v>
      </c>
      <c r="B1" s="101"/>
      <c r="C1" s="101"/>
      <c r="D1" s="101"/>
      <c r="E1" s="101"/>
      <c r="F1" s="101"/>
      <c r="G1" s="101"/>
      <c r="H1" s="101"/>
      <c r="I1" s="101"/>
      <c r="J1" s="101"/>
      <c r="K1" s="101"/>
      <c r="L1" s="101"/>
      <c r="M1" s="101"/>
      <c r="N1" s="101"/>
      <c r="O1" s="101"/>
      <c r="P1" s="101"/>
      <c r="Q1" s="101"/>
      <c r="R1" s="101"/>
      <c r="S1" s="101"/>
      <c r="T1" s="101"/>
      <c r="U1" s="101"/>
    </row>
    <row r="2" customFormat="false" ht="15" hidden="false" customHeight="true" outlineLevel="0" collapsed="false">
      <c r="A2" s="75" t="s">
        <v>273</v>
      </c>
      <c r="B2" s="75" t="str">
        <f aca="false">'Price History'!B2</f>
        <v>ADBE</v>
      </c>
      <c r="C2" s="75" t="str">
        <f aca="false">'Price History'!C2</f>
        <v>ANET</v>
      </c>
      <c r="D2" s="75" t="str">
        <f aca="false">'Price History'!D2</f>
        <v>ASML</v>
      </c>
      <c r="E2" s="75" t="str">
        <f aca="false">'Price History'!E2</f>
        <v>AVGO</v>
      </c>
      <c r="F2" s="75" t="str">
        <f aca="false">'Price History'!F2</f>
        <v>CRWD</v>
      </c>
      <c r="G2" s="75" t="str">
        <f aca="false">'Price History'!G2</f>
        <v>KLAC</v>
      </c>
      <c r="H2" s="75" t="str">
        <f aca="false">'Price History'!H2</f>
        <v>MU</v>
      </c>
      <c r="I2" s="75" t="str">
        <f aca="false">'Price History'!I2</f>
        <v>NVDA</v>
      </c>
      <c r="J2" s="75" t="str">
        <f aca="false">'Price History'!J2</f>
        <v>PLD</v>
      </c>
      <c r="K2" s="75" t="str">
        <f aca="false">'Price History'!K2</f>
        <v>PLTR</v>
      </c>
      <c r="L2" s="75" t="str">
        <f aca="false">'Price History'!L2</f>
        <v>TSM</v>
      </c>
      <c r="M2" s="75" t="str">
        <f aca="false">'Price History'!M2</f>
        <v>VRT</v>
      </c>
      <c r="N2" s="75" t="str">
        <f aca="false">'Price History'!N2</f>
        <v>VRTX</v>
      </c>
      <c r="O2" s="75" t="str">
        <f aca="false">'Price History'!O2</f>
        <v>AVUV</v>
      </c>
      <c r="P2" s="75" t="n">
        <f aca="false">'Price History'!P2</f>
        <v>0</v>
      </c>
      <c r="Q2" s="75" t="str">
        <f aca="false">'Price History'!Q2</f>
        <v>HELO</v>
      </c>
      <c r="R2" s="75" t="str">
        <f aca="false">'Price History'!R2</f>
        <v>JEPQ</v>
      </c>
      <c r="S2" s="75" t="str">
        <f aca="false">'Price History'!S2</f>
        <v>SPMO</v>
      </c>
      <c r="T2" s="75" t="str">
        <f aca="false">'Price History'!T2</f>
        <v>VFLO</v>
      </c>
      <c r="U2" s="75" t="n">
        <f aca="false">'Price History'!U2</f>
        <v>0</v>
      </c>
      <c r="V2" s="102" t="str">
        <f aca="false">'Price History'!V2</f>
        <v>V</v>
      </c>
      <c r="W2" s="103" t="s">
        <v>423</v>
      </c>
      <c r="X2" s="103" t="s">
        <v>424</v>
      </c>
      <c r="Y2" s="103" t="s">
        <v>425</v>
      </c>
      <c r="Z2" s="103" t="s">
        <v>426</v>
      </c>
      <c r="AA2" s="103" t="s">
        <v>427</v>
      </c>
      <c r="AB2" s="103" t="s">
        <v>428</v>
      </c>
      <c r="AC2" s="103" t="s">
        <v>429</v>
      </c>
      <c r="AD2" s="103" t="s">
        <v>430</v>
      </c>
      <c r="AE2" s="103" t="s">
        <v>431</v>
      </c>
      <c r="AF2" s="103" t="s">
        <v>432</v>
      </c>
      <c r="AG2" s="103" t="s">
        <v>433</v>
      </c>
      <c r="AH2" s="103" t="s">
        <v>434</v>
      </c>
      <c r="AI2" s="103" t="s">
        <v>435</v>
      </c>
      <c r="AJ2" s="103" t="s">
        <v>436</v>
      </c>
      <c r="AK2" s="103" t="s">
        <v>437</v>
      </c>
      <c r="AL2" s="103" t="s">
        <v>438</v>
      </c>
      <c r="AM2" s="103" t="s">
        <v>439</v>
      </c>
      <c r="AN2" s="103" t="s">
        <v>440</v>
      </c>
    </row>
    <row r="3" customFormat="false" ht="15" hidden="false" customHeight="true" outlineLevel="0" collapsed="false">
      <c r="A3" s="104" t="n">
        <f aca="false">IF('Price History'!A4="","",'Price History'!A4)</f>
        <v>45156</v>
      </c>
      <c r="B3" s="105" t="n">
        <f aca="false">IFERROR(IF(OR(NOT(ISNUMBER('Price History'!B4)),NOT(ISNUMBER('Price History'!B3)),'Price History'!B3=0),"",'Price History'!B4/'Price History'!B3-1),"")</f>
        <v>-0.00062936375258138</v>
      </c>
      <c r="C3" s="105" t="n">
        <f aca="false">IFERROR(IF(OR(NOT(ISNUMBER('Price History'!C4)),NOT(ISNUMBER('Price History'!C3)),'Price History'!C3=0),"",'Price History'!C4/'Price History'!C3-1),"")</f>
        <v>0.0320073159579333</v>
      </c>
      <c r="D3" s="105" t="n">
        <f aca="false">IFERROR(IF(OR(NOT(ISNUMBER('Price History'!D4)),NOT(ISNUMBER('Price History'!D3)),'Price History'!D3=0),"",'Price History'!D4/'Price History'!D3-1),"")</f>
        <v>-0.00974644141557612</v>
      </c>
      <c r="E3" s="105" t="n">
        <f aca="false">IFERROR(IF(OR(NOT(ISNUMBER('Price History'!E4)),NOT(ISNUMBER('Price History'!E3)),'Price History'!E3=0),"",'Price History'!E4/'Price History'!E3-1),"")</f>
        <v>-0.0048204386599181</v>
      </c>
      <c r="F3" s="105" t="n">
        <f aca="false">IFERROR(IF(OR(NOT(ISNUMBER('Price History'!F4)),NOT(ISNUMBER('Price History'!F3)),'Price History'!F3=0),"",'Price History'!F4/'Price History'!F3-1),"")</f>
        <v>-0.00971397733405288</v>
      </c>
      <c r="G3" s="105" t="n">
        <f aca="false">IFERROR(IF(OR(NOT(ISNUMBER('Price History'!G4)),NOT(ISNUMBER('Price History'!G3)),'Price History'!G3=0),"",'Price History'!G4/'Price History'!G3-1),"")</f>
        <v>-0.0020876826722338</v>
      </c>
      <c r="H3" s="105" t="n">
        <f aca="false">IFERROR(IF(OR(NOT(ISNUMBER('Price History'!H4)),NOT(ISNUMBER('Price History'!H3)),'Price History'!H3=0),"",'Price History'!H4/'Price History'!H3-1),"")</f>
        <v>-0.0121174460152245</v>
      </c>
      <c r="I3" s="105" t="n">
        <f aca="false">IFERROR(IF(OR(NOT(ISNUMBER('Price History'!I4)),NOT(ISNUMBER('Price History'!I3)),'Price History'!I3=0),"",'Price History'!I4/'Price History'!I3-1),"")</f>
        <v>0.0599755201958383</v>
      </c>
      <c r="J3" s="105" t="n">
        <f aca="false">IFERROR(IF(OR(NOT(ISNUMBER('Price History'!J4)),NOT(ISNUMBER('Price History'!J3)),'Price History'!J3=0),"",'Price History'!J4/'Price History'!J3-1),"")</f>
        <v>-0.0165168812241924</v>
      </c>
      <c r="K3" s="105" t="n">
        <f aca="false">IFERROR(IF(OR(NOT(ISNUMBER('Price History'!K4)),NOT(ISNUMBER('Price History'!K3)),'Price History'!K3=0),"",'Price History'!K4/'Price History'!K3-1),"")</f>
        <v>-0.0655418559377028</v>
      </c>
      <c r="L3" s="105" t="n">
        <f aca="false">IFERROR(IF(OR(NOT(ISNUMBER('Price History'!L4)),NOT(ISNUMBER('Price History'!L3)),'Price History'!L3=0),"",'Price History'!L4/'Price History'!L3-1),"")</f>
        <v>-0.00967496467007289</v>
      </c>
      <c r="M3" s="105" t="n">
        <f aca="false">IFERROR(IF(OR(NOT(ISNUMBER('Price History'!M4)),NOT(ISNUMBER('Price History'!M3)),'Price History'!M3=0),"",'Price History'!M4/'Price History'!M3-1),"")</f>
        <v>0.0137272455983288</v>
      </c>
      <c r="N3" s="105" t="n">
        <f aca="false">IFERROR(IF(OR(NOT(ISNUMBER('Price History'!N4)),NOT(ISNUMBER('Price History'!N3)),'Price History'!N3=0),"",'Price History'!N4/'Price History'!N3-1),"")</f>
        <v>-0.0144057623049221</v>
      </c>
      <c r="O3" s="105" t="n">
        <f aca="false">IFERROR(IF(OR(NOT(ISNUMBER('Price History'!O4)),NOT(ISNUMBER('Price History'!O3)),'Price History'!O3=0),"",'Price History'!O4/'Price History'!O3-1),"")</f>
        <v>-0.0307785153892577</v>
      </c>
      <c r="P3" s="105" t="str">
        <f aca="false">IFERROR(IF(OR(NOT(ISNUMBER('Price History'!P4)),NOT(ISNUMBER('Price History'!P3)),'Price History'!P3=0),"",'Price History'!P4/'Price History'!P3-1),"")</f>
        <v/>
      </c>
      <c r="Q3" s="105" t="n">
        <f aca="false">IFERROR(IF(OR(NOT(ISNUMBER('Price History'!Q4)),NOT(ISNUMBER('Price History'!Q3)),'Price History'!Q3=0),"",'Price History'!Q4/'Price History'!Q3-1),"")</f>
        <v>0.0032102728731942</v>
      </c>
      <c r="R3" s="105" t="n">
        <f aca="false">IFERROR(IF(OR(NOT(ISNUMBER('Price History'!R4)),NOT(ISNUMBER('Price History'!R3)),'Price History'!R3=0),"",'Price History'!R4/'Price History'!R3-1),"")</f>
        <v>-0.0186114596403179</v>
      </c>
      <c r="S3" s="105" t="n">
        <f aca="false">IFERROR(IF(OR(NOT(ISNUMBER('Price History'!S4)),NOT(ISNUMBER('Price History'!S3)),'Price History'!S3=0),"",'Price History'!S4/'Price History'!S3-1),"")</f>
        <v>-0.00837034506320467</v>
      </c>
      <c r="T3" s="105" t="n">
        <f aca="false">IFERROR(IF(OR(NOT(ISNUMBER('Price History'!T4)),NOT(ISNUMBER('Price History'!T3)),'Price History'!T3=0),"",'Price History'!T4/'Price History'!T3-1),"")</f>
        <v>-0.0267558528428093</v>
      </c>
      <c r="U3" s="105" t="str">
        <f aca="false">IFERROR(IF(OR(NOT(ISNUMBER('Price History'!U4)),NOT(ISNUMBER('Price History'!U3)),'Price History'!U3=0),"",'Price History'!U4/'Price History'!U3-1),"")</f>
        <v/>
      </c>
      <c r="V3" s="106" t="str">
        <f aca="false">IFERROR(IF(OR(NOT(ISNUMBER('Price History'!V4)),NOT(ISNUMBER('Price History'!V3)),'Price History'!V3=0),"",'Price History'!V4/'Price History'!V3-1),"")</f>
        <v/>
      </c>
      <c r="W3" s="107" t="n">
        <f aca="false">'Price History'!B3+('Price History'!B158-'Price History'!B3)*0</f>
        <v>508.45</v>
      </c>
      <c r="X3" s="107" t="n">
        <f aca="false">'Price History'!C3+('Price History'!C158-'Price History'!C3)*0</f>
        <v>43.74</v>
      </c>
      <c r="Y3" s="107" t="n">
        <f aca="false">'Price History'!D3+('Price History'!D158-'Price History'!D3)*0</f>
        <v>661.78</v>
      </c>
      <c r="Z3" s="107" t="n">
        <f aca="false">'Price History'!E3+('Price History'!E158-'Price History'!E3)*0</f>
        <v>82.98</v>
      </c>
      <c r="AA3" s="107" t="n">
        <f aca="false">'Price History'!F3+('Price History'!F158-'Price History'!F3)*0</f>
        <v>37.06</v>
      </c>
      <c r="AB3" s="107" t="n">
        <f aca="false">'Price History'!G3+('Price History'!G158-'Price History'!G3)*0</f>
        <v>47.9</v>
      </c>
      <c r="AC3" s="107" t="n">
        <f aca="false">'Price History'!H3+('Price History'!H158-'Price History'!H3)*0</f>
        <v>64.37</v>
      </c>
      <c r="AD3" s="107" t="n">
        <f aca="false">'Price History'!I3+('Price History'!I158-'Price History'!I3)*0</f>
        <v>40.85</v>
      </c>
      <c r="AE3" s="107" t="n">
        <f aca="false">'Price History'!J3+('Price History'!J158-'Price History'!J3)*0</f>
        <v>123.51</v>
      </c>
      <c r="AF3" s="107" t="n">
        <f aca="false">'Price History'!K3+('Price History'!K158-'Price History'!K3)*0</f>
        <v>15.41</v>
      </c>
      <c r="AG3" s="107" t="n">
        <f aca="false">'Price History'!L3+('Price History'!L158-'Price History'!L3)*0</f>
        <v>91.99</v>
      </c>
      <c r="AH3" s="107" t="n">
        <f aca="false">'Price History'!M3+('Price History'!M158-'Price History'!M3)*0</f>
        <v>33.51</v>
      </c>
      <c r="AI3" s="107" t="n">
        <f aca="false">'Price History'!N3+('Price History'!N158-'Price History'!N3)*0</f>
        <v>349.86</v>
      </c>
      <c r="AJ3" s="107" t="n">
        <f aca="false">'Price History'!O3+('Price History'!O158-'Price History'!O3)*0</f>
        <v>82.85</v>
      </c>
      <c r="AK3" s="107" t="n">
        <f aca="false">'Price History'!Q3+('Price History'!Q151-'Price History'!Q3)*0</f>
        <v>49.84</v>
      </c>
      <c r="AL3" s="107" t="n">
        <f aca="false">'Price History'!R3+('Price History'!R158-'Price History'!R3)*0</f>
        <v>47.82</v>
      </c>
      <c r="AM3" s="107" t="n">
        <f aca="false">'Price History'!S3+('Price History'!S158-'Price History'!S3)*0</f>
        <v>58.54</v>
      </c>
      <c r="AN3" s="107" t="n">
        <f aca="false">'Price History'!T3+('Price History'!T158-'Price History'!T3)*0</f>
        <v>26.91</v>
      </c>
    </row>
    <row r="4" customFormat="false" ht="15" hidden="false" customHeight="true" outlineLevel="0" collapsed="false">
      <c r="A4" s="104" t="n">
        <f aca="false">IF('Price History'!A5="","",'Price History'!A5)</f>
        <v>45163</v>
      </c>
      <c r="B4" s="105" t="n">
        <f aca="false">IFERROR(IF(OR(NOT(ISNUMBER('Price History'!B5)),NOT(ISNUMBER('Price History'!B4)),'Price History'!B4=0),"",'Price History'!B5/'Price History'!B4-1),"")</f>
        <v>0.0333182453309191</v>
      </c>
      <c r="C4" s="105" t="n">
        <f aca="false">IFERROR(IF(OR(NOT(ISNUMBER('Price History'!C5)),NOT(ISNUMBER('Price History'!C4)),'Price History'!C4=0),"",'Price History'!C5/'Price History'!C4-1),"")</f>
        <v>0.00199379707576419</v>
      </c>
      <c r="D4" s="105" t="n">
        <f aca="false">IFERROR(IF(OR(NOT(ISNUMBER('Price History'!D5)),NOT(ISNUMBER('Price History'!D4)),'Price History'!D4=0),"",'Price History'!D5/'Price History'!D4-1),"")</f>
        <v>-0.00659209863732779</v>
      </c>
      <c r="E4" s="105" t="n">
        <f aca="false">IFERROR(IF(OR(NOT(ISNUMBER('Price History'!E5)),NOT(ISNUMBER('Price History'!E4)),'Price History'!E4=0),"",'Price History'!E5/'Price History'!E4-1),"")</f>
        <v>0.0314846209736015</v>
      </c>
      <c r="F4" s="105" t="n">
        <f aca="false">IFERROR(IF(OR(NOT(ISNUMBER('Price History'!F5)),NOT(ISNUMBER('Price History'!F4)),'Price History'!F4=0),"",'Price History'!F5/'Price History'!F4-1),"")</f>
        <v>0.0190735694822888</v>
      </c>
      <c r="G4" s="105" t="n">
        <f aca="false">IFERROR(IF(OR(NOT(ISNUMBER('Price History'!G5)),NOT(ISNUMBER('Price History'!G4)),'Price History'!G4=0),"",'Price History'!G5/'Price History'!G4-1),"")</f>
        <v>0.00774058577405867</v>
      </c>
      <c r="H4" s="105" t="n">
        <f aca="false">IFERROR(IF(OR(NOT(ISNUMBER('Price History'!H5)),NOT(ISNUMBER('Price History'!H4)),'Price History'!H4=0),"",'Price History'!H5/'Price History'!H4-1),"")</f>
        <v>0.00204434659537656</v>
      </c>
      <c r="I4" s="105" t="n">
        <f aca="false">IFERROR(IF(OR(NOT(ISNUMBER('Price History'!I5)),NOT(ISNUMBER('Price History'!I4)),'Price History'!I4=0),"",'Price History'!I5/'Price History'!I4-1),"")</f>
        <v>0.0628175519630487</v>
      </c>
      <c r="J4" s="105" t="n">
        <f aca="false">IFERROR(IF(OR(NOT(ISNUMBER('Price History'!J5)),NOT(ISNUMBER('Price History'!J4)),'Price History'!J4=0),"",'Price History'!J5/'Price History'!J4-1),"")</f>
        <v>0.00979665761093274</v>
      </c>
      <c r="K4" s="105" t="n">
        <f aca="false">IFERROR(IF(OR(NOT(ISNUMBER('Price History'!K5)),NOT(ISNUMBER('Price History'!K4)),'Price History'!K4=0),"",'Price History'!K5/'Price History'!K4-1),"")</f>
        <v>0.00902777777777764</v>
      </c>
      <c r="L4" s="105" t="n">
        <f aca="false">IFERROR(IF(OR(NOT(ISNUMBER('Price History'!L5)),NOT(ISNUMBER('Price History'!L4)),'Price History'!L4=0),"",'Price History'!L5/'Price History'!L4-1),"")</f>
        <v>0.021953896816685</v>
      </c>
      <c r="M4" s="105" t="n">
        <f aca="false">IFERROR(IF(OR(NOT(ISNUMBER('Price History'!M5)),NOT(ISNUMBER('Price History'!M4)),'Price History'!M4=0),"",'Price History'!M5/'Price History'!M4-1),"")</f>
        <v>0.103915219311157</v>
      </c>
      <c r="N4" s="105" t="n">
        <f aca="false">IFERROR(IF(OR(NOT(ISNUMBER('Price History'!N5)),NOT(ISNUMBER('Price History'!N4)),'Price History'!N4=0),"",'Price History'!N5/'Price History'!N4-1),"")</f>
        <v>0.0151963343193551</v>
      </c>
      <c r="O4" s="105" t="n">
        <f aca="false">IFERROR(IF(OR(NOT(ISNUMBER('Price History'!O5)),NOT(ISNUMBER('Price History'!O4)),'Price History'!O4=0),"",'Price History'!O5/'Price History'!O4-1),"")</f>
        <v>-0.0161892901618929</v>
      </c>
      <c r="P4" s="105" t="str">
        <f aca="false">IFERROR(IF(OR(NOT(ISNUMBER('Price History'!P5)),NOT(ISNUMBER('Price History'!P4)),'Price History'!P4=0),"",'Price History'!P5/'Price History'!P4-1),"")</f>
        <v/>
      </c>
      <c r="Q4" s="105" t="n">
        <f aca="false">IFERROR(IF(OR(NOT(ISNUMBER('Price History'!Q5)),NOT(ISNUMBER('Price History'!Q4)),'Price History'!Q4=0),"",'Price History'!Q5/'Price History'!Q4-1),"")</f>
        <v>0.00340000000000007</v>
      </c>
      <c r="R4" s="105" t="n">
        <f aca="false">IFERROR(IF(OR(NOT(ISNUMBER('Price History'!R5)),NOT(ISNUMBER('Price History'!R4)),'Price History'!R4=0),"",'Price History'!R5/'Price History'!R4-1),"")</f>
        <v>0.0159812486682294</v>
      </c>
      <c r="S4" s="105" t="n">
        <f aca="false">IFERROR(IF(OR(NOT(ISNUMBER('Price History'!S5)),NOT(ISNUMBER('Price History'!S4)),'Price History'!S4=0),"",'Price History'!S5/'Price History'!S4-1),"")</f>
        <v>-0.00275624461670965</v>
      </c>
      <c r="T4" s="105" t="n">
        <f aca="false">IFERROR(IF(OR(NOT(ISNUMBER('Price History'!T5)),NOT(ISNUMBER('Price History'!T4)),'Price History'!T4=0),"",'Price History'!T5/'Price History'!T4-1),"")</f>
        <v>-0.00801832760595655</v>
      </c>
      <c r="U4" s="105" t="str">
        <f aca="false">IFERROR(IF(OR(NOT(ISNUMBER('Price History'!U5)),NOT(ISNUMBER('Price History'!U4)),'Price History'!U4=0),"",'Price History'!U5/'Price History'!U4-1),"")</f>
        <v/>
      </c>
      <c r="V4" s="106" t="str">
        <f aca="false">IFERROR(IF(OR(NOT(ISNUMBER('Price History'!V5)),NOT(ISNUMBER('Price History'!V4)),'Price History'!V4=0),"",'Price History'!V5/'Price History'!V4-1),"")</f>
        <v/>
      </c>
      <c r="W4" s="107" t="n">
        <f aca="false">'Price History'!B3+('Price History'!B158-'Price History'!B3)*0.00649350649350649</f>
        <v>506.774415584416</v>
      </c>
      <c r="X4" s="107" t="n">
        <f aca="false">'Price History'!C3+('Price History'!C158-'Price History'!C3)*0.00649350649350649</f>
        <v>44.6270779220779</v>
      </c>
      <c r="Y4" s="107" t="n">
        <f aca="false">'Price History'!D3+('Price History'!D158-'Price History'!D3)*0.00649350649350649</f>
        <v>668.060649350649</v>
      </c>
      <c r="Z4" s="107" t="n">
        <f aca="false">'Price History'!E3+('Price History'!E158-'Price History'!E3)*0.00649350649350649</f>
        <v>84.968961038961</v>
      </c>
      <c r="AA4" s="107" t="n">
        <f aca="false">'Price History'!F3+('Price History'!F158-'Price History'!F3)*0.00649350649350649</f>
        <v>38.0587012987013</v>
      </c>
      <c r="AB4" s="107" t="n">
        <f aca="false">'Price History'!G3+('Price History'!G158-'Price History'!G3)*0.00649350649350649</f>
        <v>48.7761038961039</v>
      </c>
      <c r="AC4" s="107" t="n">
        <f aca="false">'Price History'!H3+('Price History'!H158-'Price History'!H3)*0.00649350649350649</f>
        <v>69.2963636363636</v>
      </c>
      <c r="AD4" s="107" t="n">
        <f aca="false">'Price History'!I3+('Price History'!I158-'Price History'!I3)*0.00649350649350649</f>
        <v>41.8883116883117</v>
      </c>
      <c r="AE4" s="107" t="n">
        <f aca="false">'Price History'!J3+('Price History'!J158-'Price History'!J3)*0.00649350649350649</f>
        <v>123.647012987013</v>
      </c>
      <c r="AF4" s="107" t="n">
        <f aca="false">'Price History'!K3+('Price History'!K158-'Price History'!K3)*0.00649350649350649</f>
        <v>16.109025974026</v>
      </c>
      <c r="AG4" s="107" t="n">
        <f aca="false">'Price History'!L3+('Price History'!L158-'Price History'!L3)*0.00649350649350649</f>
        <v>94.0176623376623</v>
      </c>
      <c r="AH4" s="107" t="n">
        <f aca="false">'Price History'!M3+('Price History'!M158-'Price History'!M3)*0.00649350649350649</f>
        <v>34.861038961039</v>
      </c>
      <c r="AI4" s="107" t="n">
        <f aca="false">'Price History'!N3+('Price History'!N158-'Price History'!N3)*0.00649350649350649</f>
        <v>350.686233766234</v>
      </c>
      <c r="AJ4" s="107" t="n">
        <f aca="false">'Price History'!O3+('Price History'!O158-'Price History'!O3)*0.00649350649350649</f>
        <v>83.1255194805195</v>
      </c>
      <c r="AK4" s="107" t="n">
        <f aca="false">'Price History'!Q3+('Price History'!Q151-'Price History'!Q3)*0.00649350649350649</f>
        <v>49.9608441558442</v>
      </c>
      <c r="AL4" s="107" t="n">
        <f aca="false">'Price History'!R3+('Price History'!R158-'Price History'!R3)*0.00649350649350649</f>
        <v>47.8877272727273</v>
      </c>
      <c r="AM4" s="107" t="n">
        <f aca="false">'Price History'!S3+('Price History'!S158-'Price History'!S3)*0.00649350649350649</f>
        <v>59.0938311688312</v>
      </c>
      <c r="AN4" s="107" t="n">
        <f aca="false">'Price History'!T3+('Price History'!T158-'Price History'!T3)*0.00649350649350649</f>
        <v>27.0582467532468</v>
      </c>
    </row>
    <row r="5" customFormat="false" ht="15" hidden="false" customHeight="true" outlineLevel="0" collapsed="false">
      <c r="A5" s="104" t="n">
        <f aca="false">IF('Price History'!A6="","",'Price History'!A6)</f>
        <v>45170</v>
      </c>
      <c r="B5" s="105" t="n">
        <f aca="false">IFERROR(IF(OR(NOT(ISNUMBER('Price History'!B6)),NOT(ISNUMBER('Price History'!B5)),'Price History'!B5=0),"",'Price History'!B6/'Price History'!B5-1),"")</f>
        <v>0.0726583628537694</v>
      </c>
      <c r="C5" s="105" t="n">
        <f aca="false">IFERROR(IF(OR(NOT(ISNUMBER('Price History'!C6)),NOT(ISNUMBER('Price History'!C5)),'Price History'!C5=0),"",'Price History'!C6/'Price History'!C5-1),"")</f>
        <v>0.0908688923281009</v>
      </c>
      <c r="D5" s="105" t="n">
        <f aca="false">IFERROR(IF(OR(NOT(ISNUMBER('Price History'!D6)),NOT(ISNUMBER('Price History'!D5)),'Price History'!D5=0),"",'Price History'!D6/'Price History'!D5-1),"")</f>
        <v>0.0176802199658992</v>
      </c>
      <c r="E5" s="105" t="n">
        <f aca="false">IFERROR(IF(OR(NOT(ISNUMBER('Price History'!E6)),NOT(ISNUMBER('Price History'!E5)),'Price History'!E5=0),"",'Price History'!E6/'Price History'!E5-1),"")</f>
        <v>0.0243014792204741</v>
      </c>
      <c r="F5" s="105" t="n">
        <f aca="false">IFERROR(IF(OR(NOT(ISNUMBER('Price History'!F6)),NOT(ISNUMBER('Price History'!F5)),'Price History'!F5=0),"",'Price History'!F6/'Price History'!F5-1),"")</f>
        <v>0.0778074866310161</v>
      </c>
      <c r="G5" s="105" t="n">
        <f aca="false">IFERROR(IF(OR(NOT(ISNUMBER('Price History'!G6)),NOT(ISNUMBER('Price History'!G5)),'Price History'!G5=0),"",'Price History'!G6/'Price History'!G5-1),"")</f>
        <v>0.0525223167946856</v>
      </c>
      <c r="H5" s="105" t="n">
        <f aca="false">IFERROR(IF(OR(NOT(ISNUMBER('Price History'!H6)),NOT(ISNUMBER('Price History'!H5)),'Price History'!H5=0),"",'Price History'!H6/'Price History'!H5-1),"")</f>
        <v>0.104676710608914</v>
      </c>
      <c r="I5" s="105" t="n">
        <f aca="false">IFERROR(IF(OR(NOT(ISNUMBER('Price History'!I6)),NOT(ISNUMBER('Price History'!I5)),'Price History'!I5=0),"",'Price History'!I6/'Price History'!I5-1),"")</f>
        <v>0.0541069100391134</v>
      </c>
      <c r="J5" s="105" t="n">
        <f aca="false">IFERROR(IF(OR(NOT(ISNUMBER('Price History'!J6)),NOT(ISNUMBER('Price History'!J5)),'Price History'!J5=0),"",'Price History'!J6/'Price History'!J5-1),"")</f>
        <v>0.015734550790804</v>
      </c>
      <c r="K5" s="105" t="n">
        <f aca="false">IFERROR(IF(OR(NOT(ISNUMBER('Price History'!K6)),NOT(ISNUMBER('Price History'!K5)),'Price History'!K5=0),"",'Price History'!K6/'Price History'!K5-1),"")</f>
        <v>0.044735030970406</v>
      </c>
      <c r="L5" s="105" t="n">
        <f aca="false">IFERROR(IF(OR(NOT(ISNUMBER('Price History'!L6)),NOT(ISNUMBER('Price History'!L5)),'Price History'!L5=0),"",'Price History'!L6/'Price History'!L5-1),"")</f>
        <v>0.000966702470461822</v>
      </c>
      <c r="M5" s="105" t="n">
        <f aca="false">IFERROR(IF(OR(NOT(ISNUMBER('Price History'!M6)),NOT(ISNUMBER('Price History'!M5)),'Price History'!M5=0),"",'Price History'!M6/'Price History'!M5-1),"")</f>
        <v>0.0631999999999999</v>
      </c>
      <c r="N5" s="105" t="n">
        <f aca="false">IFERROR(IF(OR(NOT(ISNUMBER('Price History'!N6)),NOT(ISNUMBER('Price History'!N5)),'Price History'!N5=0),"",'Price History'!N6/'Price History'!N5-1),"")</f>
        <v>0.00297091927098214</v>
      </c>
      <c r="O5" s="105" t="n">
        <f aca="false">IFERROR(IF(OR(NOT(ISNUMBER('Price History'!O6)),NOT(ISNUMBER('Price History'!O5)),'Price History'!O5=0),"",'Price History'!O6/'Price History'!O5-1),"")</f>
        <v>0.0467088607594937</v>
      </c>
      <c r="P5" s="105" t="str">
        <f aca="false">IFERROR(IF(OR(NOT(ISNUMBER('Price History'!P6)),NOT(ISNUMBER('Price History'!P5)),'Price History'!P5=0),"",'Price History'!P6/'Price History'!P5-1),"")</f>
        <v/>
      </c>
      <c r="Q5" s="105" t="n">
        <f aca="false">IFERROR(IF(OR(NOT(ISNUMBER('Price History'!Q6)),NOT(ISNUMBER('Price History'!Q5)),'Price History'!Q5=0),"",'Price History'!Q6/'Price History'!Q5-1),"")</f>
        <v>-0.0111620490332869</v>
      </c>
      <c r="R5" s="105" t="n">
        <f aca="false">IFERROR(IF(OR(NOT(ISNUMBER('Price History'!R6)),NOT(ISNUMBER('Price History'!R5)),'Price History'!R5=0),"",'Price History'!R6/'Price History'!R5-1),"")</f>
        <v>0.018246644295302</v>
      </c>
      <c r="S5" s="105" t="n">
        <f aca="false">IFERROR(IF(OR(NOT(ISNUMBER('Price History'!S6)),NOT(ISNUMBER('Price History'!S5)),'Price History'!S5=0),"",'Price History'!S6/'Price History'!S5-1),"")</f>
        <v>0.0160649507686992</v>
      </c>
      <c r="T5" s="105" t="n">
        <f aca="false">IFERROR(IF(OR(NOT(ISNUMBER('Price History'!T6)),NOT(ISNUMBER('Price History'!T5)),'Price History'!T5=0),"",'Price History'!T6/'Price History'!T5-1),"")</f>
        <v>0.0261739799846035</v>
      </c>
      <c r="U5" s="105" t="str">
        <f aca="false">IFERROR(IF(OR(NOT(ISNUMBER('Price History'!U6)),NOT(ISNUMBER('Price History'!U5)),'Price History'!U5=0),"",'Price History'!U6/'Price History'!U5-1),"")</f>
        <v/>
      </c>
      <c r="V5" s="106" t="str">
        <f aca="false">IFERROR(IF(OR(NOT(ISNUMBER('Price History'!V6)),NOT(ISNUMBER('Price History'!V5)),'Price History'!V5=0),"",'Price History'!V6/'Price History'!V5-1),"")</f>
        <v/>
      </c>
      <c r="W5" s="107" t="n">
        <f aca="false">'Price History'!B3+('Price History'!B158-'Price History'!B3)*0.012987012987013</f>
        <v>505.098831168831</v>
      </c>
      <c r="X5" s="107" t="n">
        <f aca="false">'Price History'!C3+('Price History'!C158-'Price History'!C3)*0.012987012987013</f>
        <v>45.5141558441558</v>
      </c>
      <c r="Y5" s="107" t="n">
        <f aca="false">'Price History'!D3+('Price History'!D158-'Price History'!D3)*0.012987012987013</f>
        <v>674.341298701299</v>
      </c>
      <c r="Z5" s="107" t="n">
        <f aca="false">'Price History'!E3+('Price History'!E158-'Price History'!E3)*0.012987012987013</f>
        <v>86.9579220779221</v>
      </c>
      <c r="AA5" s="107" t="n">
        <f aca="false">'Price History'!F3+('Price History'!F158-'Price History'!F3)*0.012987012987013</f>
        <v>39.0574025974026</v>
      </c>
      <c r="AB5" s="107" t="n">
        <f aca="false">'Price History'!G3+('Price History'!G158-'Price History'!G3)*0.012987012987013</f>
        <v>49.6522077922078</v>
      </c>
      <c r="AC5" s="107" t="n">
        <f aca="false">'Price History'!H3+('Price History'!H158-'Price History'!H3)*0.012987012987013</f>
        <v>74.2227272727273</v>
      </c>
      <c r="AD5" s="107" t="n">
        <f aca="false">'Price History'!I3+('Price History'!I158-'Price History'!I3)*0.012987012987013</f>
        <v>42.9266233766234</v>
      </c>
      <c r="AE5" s="107" t="n">
        <f aca="false">'Price History'!J3+('Price History'!J158-'Price History'!J3)*0.012987012987013</f>
        <v>123.784025974026</v>
      </c>
      <c r="AF5" s="107" t="n">
        <f aca="false">'Price History'!K3+('Price History'!K158-'Price History'!K3)*0.012987012987013</f>
        <v>16.808051948052</v>
      </c>
      <c r="AG5" s="107" t="n">
        <f aca="false">'Price History'!L3+('Price History'!L158-'Price History'!L3)*0.012987012987013</f>
        <v>96.0453246753247</v>
      </c>
      <c r="AH5" s="107" t="n">
        <f aca="false">'Price History'!M3+('Price History'!M158-'Price History'!M3)*0.012987012987013</f>
        <v>36.2120779220779</v>
      </c>
      <c r="AI5" s="107" t="n">
        <f aca="false">'Price History'!N3+('Price History'!N158-'Price History'!N3)*0.012987012987013</f>
        <v>351.512467532468</v>
      </c>
      <c r="AJ5" s="107" t="n">
        <f aca="false">'Price History'!O3+('Price History'!O158-'Price History'!O3)*0.012987012987013</f>
        <v>83.401038961039</v>
      </c>
      <c r="AK5" s="107" t="n">
        <f aca="false">'Price History'!Q3+('Price History'!Q151-'Price History'!Q3)*0.012987012987013</f>
        <v>50.0816883116883</v>
      </c>
      <c r="AL5" s="107" t="n">
        <f aca="false">'Price History'!R3+('Price History'!R158-'Price History'!R3)*0.012987012987013</f>
        <v>47.9554545454545</v>
      </c>
      <c r="AM5" s="107" t="n">
        <f aca="false">'Price History'!S3+('Price History'!S158-'Price History'!S3)*0.012987012987013</f>
        <v>59.6476623376623</v>
      </c>
      <c r="AN5" s="107" t="n">
        <f aca="false">'Price History'!T3+('Price History'!T158-'Price History'!T3)*0.012987012987013</f>
        <v>27.2064935064935</v>
      </c>
    </row>
    <row r="6" customFormat="false" ht="15" hidden="false" customHeight="true" outlineLevel="0" collapsed="false">
      <c r="A6" s="104" t="n">
        <f aca="false">IF('Price History'!A7="","",'Price History'!A7)</f>
        <v>45177</v>
      </c>
      <c r="B6" s="105" t="n">
        <f aca="false">IFERROR(IF(OR(NOT(ISNUMBER('Price History'!B7)),NOT(ISNUMBER('Price History'!B6)),'Price History'!B6=0),"",'Price History'!B7/'Price History'!B6-1),"")</f>
        <v>-0.00506027946946974</v>
      </c>
      <c r="C6" s="105" t="n">
        <f aca="false">IFERROR(IF(OR(NOT(ISNUMBER('Price History'!C7)),NOT(ISNUMBER('Price History'!C6)),'Price History'!C6=0),"",'Price History'!C7/'Price History'!C6-1),"")</f>
        <v>-0.00445885691122838</v>
      </c>
      <c r="D6" s="105" t="n">
        <f aca="false">IFERROR(IF(OR(NOT(ISNUMBER('Price History'!D7)),NOT(ISNUMBER('Price History'!D6)),'Price History'!D6=0),"",'Price History'!D7/'Price History'!D6-1),"")</f>
        <v>-0.0523154017991909</v>
      </c>
      <c r="E6" s="105" t="n">
        <f aca="false">IFERROR(IF(OR(NOT(ISNUMBER('Price History'!E7)),NOT(ISNUMBER('Price History'!E6)),'Price History'!E6=0),"",'Price History'!E7/'Price History'!E6-1),"")</f>
        <v>-0.0170773638968481</v>
      </c>
      <c r="F6" s="105" t="n">
        <f aca="false">IFERROR(IF(OR(NOT(ISNUMBER('Price History'!F7)),NOT(ISNUMBER('Price History'!F6)),'Price History'!F6=0),"",'Price History'!F7/'Price History'!F6-1),"")</f>
        <v>0.0424212354254527</v>
      </c>
      <c r="G6" s="105" t="n">
        <f aca="false">IFERROR(IF(OR(NOT(ISNUMBER('Price History'!G7)),NOT(ISNUMBER('Price History'!G6)),'Price History'!G6=0),"",'Price History'!G7/'Price History'!G6-1),"")</f>
        <v>-0.0183431952662722</v>
      </c>
      <c r="H6" s="105" t="n">
        <f aca="false">IFERROR(IF(OR(NOT(ISNUMBER('Price History'!H7)),NOT(ISNUMBER('Price History'!H6)),'Price History'!H6=0),"",'Price History'!H7/'Price History'!H6-1),"")</f>
        <v>-0.0029833783207841</v>
      </c>
      <c r="I6" s="105" t="n">
        <f aca="false">IFERROR(IF(OR(NOT(ISNUMBER('Price History'!I7)),NOT(ISNUMBER('Price History'!I6)),'Price History'!I6=0),"",'Price History'!I7/'Price History'!I6-1),"")</f>
        <v>-0.0606060606060606</v>
      </c>
      <c r="J6" s="105" t="n">
        <f aca="false">IFERROR(IF(OR(NOT(ISNUMBER('Price History'!J7)),NOT(ISNUMBER('Price History'!J6)),'Price History'!J6=0),"",'Price History'!J7/'Price History'!J6-1),"")</f>
        <v>-0.016935548599406</v>
      </c>
      <c r="K6" s="105" t="n">
        <f aca="false">IFERROR(IF(OR(NOT(ISNUMBER('Price History'!K7)),NOT(ISNUMBER('Price History'!K6)),'Price History'!K6=0),"",'Price History'!K7/'Price History'!K6-1),"")</f>
        <v>-0.00329380764163367</v>
      </c>
      <c r="L6" s="105" t="n">
        <f aca="false">IFERROR(IF(OR(NOT(ISNUMBER('Price History'!L7)),NOT(ISNUMBER('Price History'!L6)),'Price History'!L6=0),"",'Price History'!L7/'Price History'!L6-1),"")</f>
        <v>-0.0380942161176091</v>
      </c>
      <c r="M6" s="105" t="n">
        <f aca="false">IFERROR(IF(OR(NOT(ISNUMBER('Price History'!M7)),NOT(ISNUMBER('Price History'!M6)),'Price History'!M6=0),"",'Price History'!M7/'Price History'!M6-1),"")</f>
        <v>-0.0168046149987458</v>
      </c>
      <c r="N6" s="105" t="n">
        <f aca="false">IFERROR(IF(OR(NOT(ISNUMBER('Price History'!N7)),NOT(ISNUMBER('Price History'!N6)),'Price History'!N6=0),"",'Price History'!N7/'Price History'!N6-1),"")</f>
        <v>-0.0229279407576189</v>
      </c>
      <c r="O6" s="105" t="n">
        <f aca="false">IFERROR(IF(OR(NOT(ISNUMBER('Price History'!O7)),NOT(ISNUMBER('Price History'!O6)),'Price History'!O6=0),"",'Price History'!O7/'Price History'!O6-1),"")</f>
        <v>-0.0384568871689441</v>
      </c>
      <c r="P6" s="105" t="str">
        <f aca="false">IFERROR(IF(OR(NOT(ISNUMBER('Price History'!P7)),NOT(ISNUMBER('Price History'!P6)),'Price History'!P6=0),"",'Price History'!P7/'Price History'!P6-1),"")</f>
        <v/>
      </c>
      <c r="Q6" s="105" t="n">
        <f aca="false">IFERROR(IF(OR(NOT(ISNUMBER('Price History'!Q7)),NOT(ISNUMBER('Price History'!Q6)),'Price History'!Q6=0),"",'Price History'!Q7/'Price History'!Q6-1),"")</f>
        <v>-0.0173352146744608</v>
      </c>
      <c r="R6" s="105" t="n">
        <f aca="false">IFERROR(IF(OR(NOT(ISNUMBER('Price History'!R7)),NOT(ISNUMBER('Price History'!R6)),'Price History'!R6=0),"",'Price History'!R7/'Price History'!R6-1),"")</f>
        <v>-0.00659114315139031</v>
      </c>
      <c r="S6" s="105" t="n">
        <f aca="false">IFERROR(IF(OR(NOT(ISNUMBER('Price History'!S7)),NOT(ISNUMBER('Price History'!S6)),'Price History'!S6=0),"",'Price History'!S7/'Price History'!S6-1),"")</f>
        <v>0.00595035702142122</v>
      </c>
      <c r="T6" s="105" t="n">
        <f aca="false">IFERROR(IF(OR(NOT(ISNUMBER('Price History'!T7)),NOT(ISNUMBER('Price History'!T6)),'Price History'!T6=0),"",'Price History'!T7/'Price History'!T6-1),"")</f>
        <v>-0.00712678169542391</v>
      </c>
      <c r="U6" s="105" t="str">
        <f aca="false">IFERROR(IF(OR(NOT(ISNUMBER('Price History'!U7)),NOT(ISNUMBER('Price History'!U6)),'Price History'!U6=0),"",'Price History'!U7/'Price History'!U6-1),"")</f>
        <v/>
      </c>
      <c r="V6" s="106" t="str">
        <f aca="false">IFERROR(IF(OR(NOT(ISNUMBER('Price History'!V7)),NOT(ISNUMBER('Price History'!V6)),'Price History'!V6=0),"",'Price History'!V7/'Price History'!V6-1),"")</f>
        <v/>
      </c>
      <c r="W6" s="107" t="n">
        <f aca="false">'Price History'!B3+('Price History'!B158-'Price History'!B3)*0.0194805194805195</f>
        <v>503.423246753247</v>
      </c>
      <c r="X6" s="107" t="n">
        <f aca="false">'Price History'!C3+('Price History'!C158-'Price History'!C3)*0.0194805194805195</f>
        <v>46.4012337662338</v>
      </c>
      <c r="Y6" s="107" t="n">
        <f aca="false">'Price History'!D3+('Price History'!D158-'Price History'!D3)*0.0194805194805195</f>
        <v>680.621948051948</v>
      </c>
      <c r="Z6" s="107" t="n">
        <f aca="false">'Price History'!E3+('Price History'!E158-'Price History'!E3)*0.0194805194805195</f>
        <v>88.9468831168831</v>
      </c>
      <c r="AA6" s="107" t="n">
        <f aca="false">'Price History'!F3+('Price History'!F158-'Price History'!F3)*0.0194805194805195</f>
        <v>40.0561038961039</v>
      </c>
      <c r="AB6" s="107" t="n">
        <f aca="false">'Price History'!G3+('Price History'!G158-'Price History'!G3)*0.0194805194805195</f>
        <v>50.5283116883117</v>
      </c>
      <c r="AC6" s="107" t="n">
        <f aca="false">'Price History'!H3+('Price History'!H158-'Price History'!H3)*0.0194805194805195</f>
        <v>79.1490909090909</v>
      </c>
      <c r="AD6" s="107" t="n">
        <f aca="false">'Price History'!I3+('Price History'!I158-'Price History'!I3)*0.0194805194805195</f>
        <v>43.9649350649351</v>
      </c>
      <c r="AE6" s="107" t="n">
        <f aca="false">'Price History'!J3+('Price History'!J158-'Price History'!J3)*0.0194805194805195</f>
        <v>123.921038961039</v>
      </c>
      <c r="AF6" s="107" t="n">
        <f aca="false">'Price History'!K3+('Price History'!K158-'Price History'!K3)*0.0194805194805195</f>
        <v>17.5070779220779</v>
      </c>
      <c r="AG6" s="107" t="n">
        <f aca="false">'Price History'!L3+('Price History'!L158-'Price History'!L3)*0.0194805194805195</f>
        <v>98.072987012987</v>
      </c>
      <c r="AH6" s="107" t="n">
        <f aca="false">'Price History'!M3+('Price History'!M158-'Price History'!M3)*0.0194805194805195</f>
        <v>37.5631168831169</v>
      </c>
      <c r="AI6" s="107" t="n">
        <f aca="false">'Price History'!N3+('Price History'!N158-'Price History'!N3)*0.0194805194805195</f>
        <v>352.338701298701</v>
      </c>
      <c r="AJ6" s="107" t="n">
        <f aca="false">'Price History'!O3+('Price History'!O158-'Price History'!O3)*0.0194805194805195</f>
        <v>83.6765584415584</v>
      </c>
      <c r="AK6" s="107" t="n">
        <f aca="false">'Price History'!Q3+('Price History'!Q151-'Price History'!Q3)*0.0194805194805195</f>
        <v>50.2025324675325</v>
      </c>
      <c r="AL6" s="107" t="n">
        <f aca="false">'Price History'!R3+('Price History'!R158-'Price History'!R3)*0.0194805194805195</f>
        <v>48.0231818181818</v>
      </c>
      <c r="AM6" s="107" t="n">
        <f aca="false">'Price History'!S3+('Price History'!S158-'Price History'!S3)*0.0194805194805195</f>
        <v>60.2014935064935</v>
      </c>
      <c r="AN6" s="107" t="n">
        <f aca="false">'Price History'!T3+('Price History'!T158-'Price History'!T3)*0.0194805194805195</f>
        <v>27.3547402597403</v>
      </c>
    </row>
    <row r="7" customFormat="false" ht="15" hidden="false" customHeight="true" outlineLevel="0" collapsed="false">
      <c r="A7" s="104" t="n">
        <f aca="false">IF('Price History'!A8="","",'Price History'!A8)</f>
        <v>45184</v>
      </c>
      <c r="B7" s="105" t="n">
        <f aca="false">IFERROR(IF(OR(NOT(ISNUMBER('Price History'!B8)),NOT(ISNUMBER('Price History'!B7)),'Price History'!B7=0),"",'Price History'!B8/'Price History'!B7-1),"")</f>
        <v>-0.0561603255050325</v>
      </c>
      <c r="C7" s="105" t="n">
        <f aca="false">IFERROR(IF(OR(NOT(ISNUMBER('Price History'!C8)),NOT(ISNUMBER('Price History'!C7)),'Price History'!C7=0),"",'Price History'!C8/'Price History'!C7-1),"")</f>
        <v>-0.0598534201954397</v>
      </c>
      <c r="D7" s="105" t="n">
        <f aca="false">IFERROR(IF(OR(NOT(ISNUMBER('Price History'!D8)),NOT(ISNUMBER('Price History'!D7)),'Price History'!D7=0),"",'Price History'!D8/'Price History'!D7-1),"")</f>
        <v>-0.0496926066320518</v>
      </c>
      <c r="E7" s="105" t="n">
        <f aca="false">IFERROR(IF(OR(NOT(ISNUMBER('Price History'!E8)),NOT(ISNUMBER('Price History'!E7)),'Price History'!E7=0),"",'Price History'!E8/'Price History'!E7-1),"")</f>
        <v>-0.00687966417910457</v>
      </c>
      <c r="F7" s="105" t="n">
        <f aca="false">IFERROR(IF(OR(NOT(ISNUMBER('Price History'!F8)),NOT(ISNUMBER('Price History'!F7)),'Price History'!F7=0),"",'Price History'!F8/'Price History'!F7-1),"")</f>
        <v>-0.0157068062827226</v>
      </c>
      <c r="G7" s="105" t="n">
        <f aca="false">IFERROR(IF(OR(NOT(ISNUMBER('Price History'!G8)),NOT(ISNUMBER('Price History'!G7)),'Price History'!G7=0),"",'Price History'!G8/'Price History'!G7-1),"")</f>
        <v>-0.087402049427366</v>
      </c>
      <c r="H7" s="105" t="n">
        <f aca="false">IFERROR(IF(OR(NOT(ISNUMBER('Price History'!H8)),NOT(ISNUMBER('Price History'!H7)),'Price History'!H7=0),"",'Price History'!H8/'Price History'!H7-1),"")</f>
        <v>-0.00427472214306091</v>
      </c>
      <c r="I7" s="105" t="n">
        <f aca="false">IFERROR(IF(OR(NOT(ISNUMBER('Price History'!I8)),NOT(ISNUMBER('Price History'!I7)),'Price History'!I7=0),"",'Price History'!I8/'Price History'!I7-1),"")</f>
        <v>-0.0366469168312487</v>
      </c>
      <c r="J7" s="105" t="n">
        <f aca="false">IFERROR(IF(OR(NOT(ISNUMBER('Price History'!J8)),NOT(ISNUMBER('Price History'!J7)),'Price History'!J7=0),"",'Price History'!J8/'Price History'!J7-1),"")</f>
        <v>0.0057152188112346</v>
      </c>
      <c r="K7" s="105" t="n">
        <f aca="false">IFERROR(IF(OR(NOT(ISNUMBER('Price History'!K8)),NOT(ISNUMBER('Price History'!K7)),'Price History'!K7=0),"",'Price History'!K8/'Price History'!K7-1),"")</f>
        <v>0.0132187706543292</v>
      </c>
      <c r="L7" s="105" t="n">
        <f aca="false">IFERROR(IF(OR(NOT(ISNUMBER('Price History'!L8)),NOT(ISNUMBER('Price History'!L7)),'Price History'!L7=0),"",'Price History'!L8/'Price History'!L7-1),"")</f>
        <v>-0.00435073627844718</v>
      </c>
      <c r="M7" s="105" t="n">
        <f aca="false">IFERROR(IF(OR(NOT(ISNUMBER('Price History'!M8)),NOT(ISNUMBER('Price History'!M7)),'Price History'!M7=0),"",'Price History'!M8/'Price History'!M7-1),"")</f>
        <v>-0.0262755102040817</v>
      </c>
      <c r="N7" s="105" t="n">
        <f aca="false">IFERROR(IF(OR(NOT(ISNUMBER('Price History'!N8)),NOT(ISNUMBER('Price History'!N7)),'Price History'!N7=0),"",'Price History'!N8/'Price History'!N7-1),"")</f>
        <v>0.0170529077393964</v>
      </c>
      <c r="O7" s="105" t="n">
        <f aca="false">IFERROR(IF(OR(NOT(ISNUMBER('Price History'!O8)),NOT(ISNUMBER('Price History'!O7)),'Price History'!O7=0),"",'Price History'!O8/'Price History'!O7-1),"")</f>
        <v>-0.00188655515029568</v>
      </c>
      <c r="P7" s="105" t="str">
        <f aca="false">IFERROR(IF(OR(NOT(ISNUMBER('Price History'!P8)),NOT(ISNUMBER('Price History'!P7)),'Price History'!P7=0),"",'Price History'!P8/'Price History'!P7-1),"")</f>
        <v/>
      </c>
      <c r="Q7" s="105" t="n">
        <f aca="false">IFERROR(IF(OR(NOT(ISNUMBER('Price History'!Q8)),NOT(ISNUMBER('Price History'!Q7)),'Price History'!Q7=0),"",'Price History'!Q8/'Price History'!Q7-1),"")</f>
        <v>0.0402051282051281</v>
      </c>
      <c r="R7" s="105" t="n">
        <f aca="false">IFERROR(IF(OR(NOT(ISNUMBER('Price History'!R8)),NOT(ISNUMBER('Price History'!R7)),'Price History'!R7=0),"",'Price History'!R8/'Price History'!R7-1),"")</f>
        <v>-0.000414679659962558</v>
      </c>
      <c r="S7" s="105" t="n">
        <f aca="false">IFERROR(IF(OR(NOT(ISNUMBER('Price History'!S8)),NOT(ISNUMBER('Price History'!S7)),'Price History'!S7=0),"",'Price History'!S8/'Price History'!S7-1),"")</f>
        <v>0</v>
      </c>
      <c r="T7" s="105" t="n">
        <f aca="false">IFERROR(IF(OR(NOT(ISNUMBER('Price History'!T8)),NOT(ISNUMBER('Price History'!T7)),'Price History'!T7=0),"",'Price History'!T8/'Price History'!T7-1),"")</f>
        <v>-0.0064223649414431</v>
      </c>
      <c r="U7" s="105" t="str">
        <f aca="false">IFERROR(IF(OR(NOT(ISNUMBER('Price History'!U8)),NOT(ISNUMBER('Price History'!U7)),'Price History'!U7=0),"",'Price History'!U8/'Price History'!U7-1),"")</f>
        <v/>
      </c>
      <c r="V7" s="106" t="n">
        <f aca="false">IFERROR(IF(OR(NOT(ISNUMBER('Price History'!V8)),NOT(ISNUMBER('Price History'!V7)),'Price History'!V7=0),"",'Price History'!V8/'Price History'!V7-1),"")</f>
        <v>-0.025154110297464</v>
      </c>
      <c r="W7" s="107" t="n">
        <f aca="false">'Price History'!B3+('Price History'!B158-'Price History'!B3)*0.025974025974026</f>
        <v>501.747662337662</v>
      </c>
      <c r="X7" s="107" t="n">
        <f aca="false">'Price History'!C3+('Price History'!C158-'Price History'!C3)*0.025974025974026</f>
        <v>47.2883116883117</v>
      </c>
      <c r="Y7" s="107" t="n">
        <f aca="false">'Price History'!D3+('Price History'!D158-'Price History'!D3)*0.025974025974026</f>
        <v>686.902597402597</v>
      </c>
      <c r="Z7" s="107" t="n">
        <f aca="false">'Price History'!E3+('Price History'!E158-'Price History'!E3)*0.025974025974026</f>
        <v>90.9358441558442</v>
      </c>
      <c r="AA7" s="107" t="n">
        <f aca="false">'Price History'!F3+('Price History'!F158-'Price History'!F3)*0.025974025974026</f>
        <v>41.0548051948052</v>
      </c>
      <c r="AB7" s="107" t="n">
        <f aca="false">'Price History'!G3+('Price History'!G158-'Price History'!G3)*0.025974025974026</f>
        <v>51.4044155844156</v>
      </c>
      <c r="AC7" s="107" t="n">
        <f aca="false">'Price History'!H3+('Price History'!H158-'Price History'!H3)*0.025974025974026</f>
        <v>84.0754545454546</v>
      </c>
      <c r="AD7" s="107" t="n">
        <f aca="false">'Price History'!I3+('Price History'!I158-'Price History'!I3)*0.025974025974026</f>
        <v>45.0032467532468</v>
      </c>
      <c r="AE7" s="107" t="n">
        <f aca="false">'Price History'!J3+('Price History'!J158-'Price History'!J3)*0.025974025974026</f>
        <v>124.058051948052</v>
      </c>
      <c r="AF7" s="107" t="n">
        <f aca="false">'Price History'!K3+('Price History'!K158-'Price History'!K3)*0.025974025974026</f>
        <v>18.2061038961039</v>
      </c>
      <c r="AG7" s="107" t="n">
        <f aca="false">'Price History'!L3+('Price History'!L158-'Price History'!L3)*0.025974025974026</f>
        <v>100.100649350649</v>
      </c>
      <c r="AH7" s="107" t="n">
        <f aca="false">'Price History'!M3+('Price History'!M158-'Price History'!M3)*0.025974025974026</f>
        <v>38.9141558441559</v>
      </c>
      <c r="AI7" s="107" t="n">
        <f aca="false">'Price History'!N3+('Price History'!N158-'Price History'!N3)*0.025974025974026</f>
        <v>353.164935064935</v>
      </c>
      <c r="AJ7" s="107" t="n">
        <f aca="false">'Price History'!O3+('Price History'!O158-'Price History'!O3)*0.025974025974026</f>
        <v>83.9520779220779</v>
      </c>
      <c r="AK7" s="107" t="n">
        <f aca="false">'Price History'!Q3+('Price History'!Q151-'Price History'!Q3)*0.025974025974026</f>
        <v>50.3233766233766</v>
      </c>
      <c r="AL7" s="107" t="n">
        <f aca="false">'Price History'!R3+('Price History'!R158-'Price History'!R3)*0.025974025974026</f>
        <v>48.0909090909091</v>
      </c>
      <c r="AM7" s="107" t="n">
        <f aca="false">'Price History'!S3+('Price History'!S158-'Price History'!S3)*0.025974025974026</f>
        <v>60.7553246753247</v>
      </c>
      <c r="AN7" s="107" t="n">
        <f aca="false">'Price History'!T3+('Price History'!T158-'Price History'!T3)*0.025974025974026</f>
        <v>27.502987012987</v>
      </c>
    </row>
    <row r="8" customFormat="false" ht="15" hidden="false" customHeight="true" outlineLevel="0" collapsed="false">
      <c r="A8" s="104" t="n">
        <f aca="false">IF('Price History'!A9="","",'Price History'!A9)</f>
        <v>45191</v>
      </c>
      <c r="B8" s="105" t="n">
        <f aca="false">IFERROR(IF(OR(NOT(ISNUMBER('Price History'!B9)),NOT(ISNUMBER('Price History'!B8)),'Price History'!B8=0),"",'Price History'!B9/'Price History'!B8-1),"")</f>
        <v>-0.0302331297623325</v>
      </c>
      <c r="C8" s="105" t="n">
        <f aca="false">IFERROR(IF(OR(NOT(ISNUMBER('Price History'!C9)),NOT(ISNUMBER('Price History'!C8)),'Price History'!C8=0),"",'Price History'!C9/'Price History'!C8-1),"")</f>
        <v>-0.023603291468168</v>
      </c>
      <c r="D8" s="105" t="n">
        <f aca="false">IFERROR(IF(OR(NOT(ISNUMBER('Price History'!D9)),NOT(ISNUMBER('Price History'!D8)),'Price History'!D8=0),"",'Price History'!D9/'Price History'!D8-1),"")</f>
        <v>-0.0160225253913451</v>
      </c>
      <c r="E8" s="105" t="n">
        <f aca="false">IFERROR(IF(OR(NOT(ISNUMBER('Price History'!E9)),NOT(ISNUMBER('Price History'!E8)),'Price History'!E8=0),"",'Price History'!E9/'Price History'!E8-1),"")</f>
        <v>-0.0265351649641893</v>
      </c>
      <c r="F8" s="105" t="n">
        <f aca="false">IFERROR(IF(OR(NOT(ISNUMBER('Price History'!F9)),NOT(ISNUMBER('Price History'!F8)),'Price History'!F8=0),"",'Price History'!F9/'Price History'!F8-1),"")</f>
        <v>-0.0174081237911025</v>
      </c>
      <c r="G8" s="105" t="n">
        <f aca="false">IFERROR(IF(OR(NOT(ISNUMBER('Price History'!G9)),NOT(ISNUMBER('Price History'!G8)),'Price History'!G8=0),"",'Price History'!G9/'Price History'!G8-1),"")</f>
        <v>-0.00528401585204763</v>
      </c>
      <c r="H8" s="105" t="n">
        <f aca="false">IFERROR(IF(OR(NOT(ISNUMBER('Price History'!H9)),NOT(ISNUMBER('Price History'!H8)),'Price History'!H8=0),"",'Price History'!H9/'Price History'!H8-1),"")</f>
        <v>-0.0143102461362336</v>
      </c>
      <c r="I8" s="105" t="n">
        <f aca="false">IFERROR(IF(OR(NOT(ISNUMBER('Price History'!I9)),NOT(ISNUMBER('Price History'!I8)),'Price History'!I8=0),"",'Price History'!I9/'Price History'!I8-1),"")</f>
        <v>-0.0521640091116173</v>
      </c>
      <c r="J8" s="105" t="n">
        <f aca="false">IFERROR(IF(OR(NOT(ISNUMBER('Price History'!J9)),NOT(ISNUMBER('Price History'!J8)),'Price History'!J8=0),"",'Price History'!J9/'Price History'!J8-1),"")</f>
        <v>-0.0739568111706447</v>
      </c>
      <c r="K8" s="105" t="n">
        <f aca="false">IFERROR(IF(OR(NOT(ISNUMBER('Price History'!K9)),NOT(ISNUMBER('Price History'!K8)),'Price History'!K8=0),"",'Price History'!K9/'Price History'!K8-1),"")</f>
        <v>-0.0782778864970646</v>
      </c>
      <c r="L8" s="105" t="n">
        <f aca="false">IFERROR(IF(OR(NOT(ISNUMBER('Price History'!L9)),NOT(ISNUMBER('Price History'!L8)),'Price History'!L8=0),"",'Price History'!L9/'Price History'!L8-1),"")</f>
        <v>-0.0404481792717086</v>
      </c>
      <c r="M8" s="105" t="n">
        <f aca="false">IFERROR(IF(OR(NOT(ISNUMBER('Price History'!M9)),NOT(ISNUMBER('Price History'!M8)),'Price History'!M8=0),"",'Price History'!M9/'Price History'!M8-1),"")</f>
        <v>-0.0450615666753995</v>
      </c>
      <c r="N8" s="105" t="n">
        <f aca="false">IFERROR(IF(OR(NOT(ISNUMBER('Price History'!N9)),NOT(ISNUMBER('Price History'!N8)),'Price History'!N8=0),"",'Price History'!N9/'Price History'!N8-1),"")</f>
        <v>0.00180567497850381</v>
      </c>
      <c r="O8" s="105" t="n">
        <f aca="false">IFERROR(IF(OR(NOT(ISNUMBER('Price History'!O9)),NOT(ISNUMBER('Price History'!O8)),'Price History'!O8=0),"",'Price History'!O9/'Price History'!O8-1),"")</f>
        <v>-0.0336441532258065</v>
      </c>
      <c r="P8" s="105" t="str">
        <f aca="false">IFERROR(IF(OR(NOT(ISNUMBER('Price History'!P9)),NOT(ISNUMBER('Price History'!P8)),'Price History'!P8=0),"",'Price History'!P9/'Price History'!P8-1),"")</f>
        <v/>
      </c>
      <c r="Q8" s="105" t="n">
        <f aca="false">IFERROR(IF(OR(NOT(ISNUMBER('Price History'!Q9)),NOT(ISNUMBER('Price History'!Q8)),'Price History'!Q8=0),"",'Price History'!Q9/'Price History'!Q8-1),"")</f>
        <v>0.0100571879313744</v>
      </c>
      <c r="R8" s="105" t="n">
        <f aca="false">IFERROR(IF(OR(NOT(ISNUMBER('Price History'!R9)),NOT(ISNUMBER('Price History'!R8)),'Price History'!R8=0),"",'Price History'!R9/'Price History'!R8-1),"")</f>
        <v>-0.0269653598838416</v>
      </c>
      <c r="S8" s="105" t="n">
        <f aca="false">IFERROR(IF(OR(NOT(ISNUMBER('Price History'!S9)),NOT(ISNUMBER('Price History'!S8)),'Price History'!S8=0),"",'Price History'!S9/'Price History'!S8-1),"")</f>
        <v>-0.0288997802940679</v>
      </c>
      <c r="T8" s="105" t="n">
        <f aca="false">IFERROR(IF(OR(NOT(ISNUMBER('Price History'!T9)),NOT(ISNUMBER('Price History'!T8)),'Price History'!T8=0),"",'Price History'!T9/'Price History'!T8-1),"")</f>
        <v>-0.0148288973384031</v>
      </c>
      <c r="U8" s="105" t="str">
        <f aca="false">IFERROR(IF(OR(NOT(ISNUMBER('Price History'!U9)),NOT(ISNUMBER('Price History'!U8)),'Price History'!U8=0),"",'Price History'!U9/'Price History'!U8-1),"")</f>
        <v/>
      </c>
      <c r="V8" s="106" t="n">
        <f aca="false">IFERROR(IF(OR(NOT(ISNUMBER('Price History'!V9)),NOT(ISNUMBER('Price History'!V8)),'Price History'!V8=0),"",'Price History'!V9/'Price History'!V8-1),"")</f>
        <v>-0.0248270593727454</v>
      </c>
      <c r="W8" s="107" t="n">
        <f aca="false">'Price History'!B3+('Price History'!B158-'Price History'!B3)*0.0324675324675325</f>
        <v>500.072077922078</v>
      </c>
      <c r="X8" s="107" t="n">
        <f aca="false">'Price History'!C3+('Price History'!C158-'Price History'!C3)*0.0324675324675325</f>
        <v>48.1753896103896</v>
      </c>
      <c r="Y8" s="107" t="n">
        <f aca="false">'Price History'!D3+('Price History'!D158-'Price History'!D3)*0.0324675324675325</f>
        <v>693.183246753247</v>
      </c>
      <c r="Z8" s="107" t="n">
        <f aca="false">'Price History'!E3+('Price History'!E158-'Price History'!E3)*0.0324675324675325</f>
        <v>92.9248051948052</v>
      </c>
      <c r="AA8" s="107" t="n">
        <f aca="false">'Price History'!F3+('Price History'!F158-'Price History'!F3)*0.0324675324675325</f>
        <v>42.0535064935065</v>
      </c>
      <c r="AB8" s="107" t="n">
        <f aca="false">'Price History'!G3+('Price History'!G158-'Price History'!G3)*0.0324675324675325</f>
        <v>52.2805194805195</v>
      </c>
      <c r="AC8" s="107" t="n">
        <f aca="false">'Price History'!H3+('Price History'!H158-'Price History'!H3)*0.0324675324675325</f>
        <v>89.0018181818182</v>
      </c>
      <c r="AD8" s="107" t="n">
        <f aca="false">'Price History'!I3+('Price History'!I158-'Price History'!I3)*0.0324675324675325</f>
        <v>46.0415584415585</v>
      </c>
      <c r="AE8" s="107" t="n">
        <f aca="false">'Price History'!J3+('Price History'!J158-'Price History'!J3)*0.0324675324675325</f>
        <v>124.195064935065</v>
      </c>
      <c r="AF8" s="107" t="n">
        <f aca="false">'Price History'!K3+('Price History'!K158-'Price History'!K3)*0.0324675324675325</f>
        <v>18.9051298701299</v>
      </c>
      <c r="AG8" s="107" t="n">
        <f aca="false">'Price History'!L3+('Price History'!L158-'Price History'!L3)*0.0324675324675325</f>
        <v>102.128311688312</v>
      </c>
      <c r="AH8" s="107" t="n">
        <f aca="false">'Price History'!M3+('Price History'!M158-'Price History'!M3)*0.0324675324675325</f>
        <v>40.2651948051948</v>
      </c>
      <c r="AI8" s="107" t="n">
        <f aca="false">'Price History'!N3+('Price History'!N158-'Price History'!N3)*0.0324675324675325</f>
        <v>353.991168831169</v>
      </c>
      <c r="AJ8" s="107" t="n">
        <f aca="false">'Price History'!O3+('Price History'!O158-'Price History'!O3)*0.0324675324675325</f>
        <v>84.2275974025974</v>
      </c>
      <c r="AK8" s="107" t="n">
        <f aca="false">'Price History'!Q3+('Price History'!Q151-'Price History'!Q3)*0.0324675324675325</f>
        <v>50.4442207792208</v>
      </c>
      <c r="AL8" s="107" t="n">
        <f aca="false">'Price History'!R3+('Price History'!R158-'Price History'!R3)*0.0324675324675325</f>
        <v>48.1586363636364</v>
      </c>
      <c r="AM8" s="107" t="n">
        <f aca="false">'Price History'!S3+('Price History'!S158-'Price History'!S3)*0.0324675324675325</f>
        <v>61.3091558441558</v>
      </c>
      <c r="AN8" s="107" t="n">
        <f aca="false">'Price History'!T3+('Price History'!T158-'Price History'!T3)*0.0324675324675325</f>
        <v>27.6512337662338</v>
      </c>
    </row>
    <row r="9" customFormat="false" ht="15" hidden="false" customHeight="true" outlineLevel="0" collapsed="false">
      <c r="A9" s="104" t="n">
        <f aca="false">IF('Price History'!A10="","",'Price History'!A10)</f>
        <v>45198</v>
      </c>
      <c r="B9" s="105" t="n">
        <f aca="false">IFERROR(IF(OR(NOT(ISNUMBER('Price History'!B10)),NOT(ISNUMBER('Price History'!B9)),'Price History'!B9=0),"",'Price History'!B10/'Price History'!B9-1),"")</f>
        <v>-0.00584909339052442</v>
      </c>
      <c r="C9" s="105" t="n">
        <f aca="false">IFERROR(IF(OR(NOT(ISNUMBER('Price History'!C10)),NOT(ISNUMBER('Price History'!C9)),'Price History'!C9=0),"",'Price History'!C10/'Price History'!C9-1),"")</f>
        <v>0.0197383011754269</v>
      </c>
      <c r="D9" s="105" t="n">
        <f aca="false">IFERROR(IF(OR(NOT(ISNUMBER('Price History'!D10)),NOT(ISNUMBER('Price History'!D9)),'Price History'!D9=0),"",'Price History'!D10/'Price History'!D9-1),"")</f>
        <v>0.00265712825753695</v>
      </c>
      <c r="E9" s="105" t="n">
        <f aca="false">IFERROR(IF(OR(NOT(ISNUMBER('Price History'!E10)),NOT(ISNUMBER('Price History'!E9)),'Price History'!E9=0),"",'Price History'!E10/'Price History'!E9-1),"")</f>
        <v>0.00180919068869856</v>
      </c>
      <c r="F9" s="105" t="n">
        <f aca="false">IFERROR(IF(OR(NOT(ISNUMBER('Price History'!F10)),NOT(ISNUMBER('Price History'!F9)),'Price History'!F9=0),"",'Price History'!F10/'Price History'!F9-1),"")</f>
        <v>0.0297736220472442</v>
      </c>
      <c r="G9" s="105" t="n">
        <f aca="false">IFERROR(IF(OR(NOT(ISNUMBER('Price History'!G10)),NOT(ISNUMBER('Price History'!G9)),'Price History'!G9=0),"",'Price History'!G10/'Price History'!G9-1),"")</f>
        <v>0.0152722443559097</v>
      </c>
      <c r="H9" s="105" t="n">
        <f aca="false">IFERROR(IF(OR(NOT(ISNUMBER('Price History'!H10)),NOT(ISNUMBER('Price History'!H9)),'Price History'!H9=0),"",'Price History'!H10/'Price History'!H9-1),"")</f>
        <v>-0.0123403019744482</v>
      </c>
      <c r="I9" s="105" t="n">
        <f aca="false">IFERROR(IF(OR(NOT(ISNUMBER('Price History'!I10)),NOT(ISNUMBER('Price History'!I9)),'Price History'!I9=0),"",'Price History'!I10/'Price History'!I9-1),"")</f>
        <v>0.0454217736121125</v>
      </c>
      <c r="J9" s="105" t="n">
        <f aca="false">IFERROR(IF(OR(NOT(ISNUMBER('Price History'!J10)),NOT(ISNUMBER('Price History'!J9)),'Price History'!J9=0),"",'Price History'!J10/'Price History'!J9-1),"")</f>
        <v>-0.0163057771543789</v>
      </c>
      <c r="K9" s="105" t="n">
        <f aca="false">IFERROR(IF(OR(NOT(ISNUMBER('Price History'!K10)),NOT(ISNUMBER('Price History'!K9)),'Price History'!K9=0),"",'Price History'!K10/'Price History'!K9-1),"")</f>
        <v>0.132342533616419</v>
      </c>
      <c r="L9" s="105" t="n">
        <f aca="false">IFERROR(IF(OR(NOT(ISNUMBER('Price History'!L10)),NOT(ISNUMBER('Price History'!L9)),'Price History'!L9=0),"",'Price History'!L10/'Price History'!L9-1),"")</f>
        <v>0.0147127510509109</v>
      </c>
      <c r="M9" s="105" t="n">
        <f aca="false">IFERROR(IF(OR(NOT(ISNUMBER('Price History'!M10)),NOT(ISNUMBER('Price History'!M9)),'Price History'!M9=0),"",'Price History'!M10/'Price History'!M9-1),"")</f>
        <v>0.0205761316872428</v>
      </c>
      <c r="N9" s="105" t="n">
        <f aca="false">IFERROR(IF(OR(NOT(ISNUMBER('Price History'!N10)),NOT(ISNUMBER('Price History'!N9)),'Price History'!N9=0),"",'Price History'!N10/'Price History'!N9-1),"")</f>
        <v>-0.00512116270420271</v>
      </c>
      <c r="O9" s="105" t="n">
        <f aca="false">IFERROR(IF(OR(NOT(ISNUMBER('Price History'!O10)),NOT(ISNUMBER('Price History'!O9)),'Price History'!O9=0),"",'Price History'!O10/'Price History'!O9-1),"")</f>
        <v>0.0164297822401878</v>
      </c>
      <c r="P9" s="105" t="str">
        <f aca="false">IFERROR(IF(OR(NOT(ISNUMBER('Price History'!P10)),NOT(ISNUMBER('Price History'!P9)),'Price History'!P9=0),"",'Price History'!P10/'Price History'!P9-1),"")</f>
        <v/>
      </c>
      <c r="Q9" s="105" t="n">
        <f aca="false">IFERROR(IF(OR(NOT(ISNUMBER('Price History'!Q10)),NOT(ISNUMBER('Price History'!Q9)),'Price History'!Q9=0),"",'Price History'!Q10/'Price History'!Q9-1),"")</f>
        <v>0.0130808278016401</v>
      </c>
      <c r="R9" s="105" t="n">
        <f aca="false">IFERROR(IF(OR(NOT(ISNUMBER('Price History'!R10)),NOT(ISNUMBER('Price History'!R9)),'Price History'!R9=0),"",'Price History'!R10/'Price History'!R9-1),"")</f>
        <v>0.000426348326582948</v>
      </c>
      <c r="S9" s="105" t="n">
        <f aca="false">IFERROR(IF(OR(NOT(ISNUMBER('Price History'!S10)),NOT(ISNUMBER('Price History'!S9)),'Price History'!S9=0),"",'Price History'!S10/'Price History'!S9-1),"")</f>
        <v>-0.00313261399234255</v>
      </c>
      <c r="T9" s="105" t="n">
        <f aca="false">IFERROR(IF(OR(NOT(ISNUMBER('Price History'!T10)),NOT(ISNUMBER('Price History'!T9)),'Price History'!T9=0),"",'Price History'!T10/'Price History'!T9-1),"")</f>
        <v>0.00270165959089153</v>
      </c>
      <c r="U9" s="105" t="str">
        <f aca="false">IFERROR(IF(OR(NOT(ISNUMBER('Price History'!U10)),NOT(ISNUMBER('Price History'!U9)),'Price History'!U9=0),"",'Price History'!U10/'Price History'!U9-1),"")</f>
        <v/>
      </c>
      <c r="V9" s="106" t="n">
        <f aca="false">IFERROR(IF(OR(NOT(ISNUMBER('Price History'!V10)),NOT(ISNUMBER('Price History'!V9)),'Price History'!V9=0),"",'Price History'!V10/'Price History'!V9-1),"")</f>
        <v>-0.0215858647401863</v>
      </c>
      <c r="W9" s="107" t="n">
        <f aca="false">'Price History'!B3+('Price History'!B158-'Price History'!B3)*0.038961038961039</f>
        <v>498.396493506493</v>
      </c>
      <c r="X9" s="107" t="n">
        <f aca="false">'Price History'!C3+('Price History'!C158-'Price History'!C3)*0.038961038961039</f>
        <v>49.0624675324675</v>
      </c>
      <c r="Y9" s="107" t="n">
        <f aca="false">'Price History'!D3+('Price History'!D158-'Price History'!D3)*0.038961038961039</f>
        <v>699.463896103896</v>
      </c>
      <c r="Z9" s="107" t="n">
        <f aca="false">'Price History'!E3+('Price History'!E158-'Price History'!E3)*0.038961038961039</f>
        <v>94.9137662337663</v>
      </c>
      <c r="AA9" s="107" t="n">
        <f aca="false">'Price History'!F3+('Price History'!F158-'Price History'!F3)*0.038961038961039</f>
        <v>43.0522077922078</v>
      </c>
      <c r="AB9" s="107" t="n">
        <f aca="false">'Price History'!G3+('Price History'!G158-'Price History'!G3)*0.038961038961039</f>
        <v>53.1566233766234</v>
      </c>
      <c r="AC9" s="107" t="n">
        <f aca="false">'Price History'!H3+('Price History'!H158-'Price History'!H3)*0.038961038961039</f>
        <v>93.9281818181819</v>
      </c>
      <c r="AD9" s="107" t="n">
        <f aca="false">'Price History'!I3+('Price History'!I158-'Price History'!I3)*0.038961038961039</f>
        <v>47.0798701298701</v>
      </c>
      <c r="AE9" s="107" t="n">
        <f aca="false">'Price History'!J3+('Price History'!J158-'Price History'!J3)*0.038961038961039</f>
        <v>124.332077922078</v>
      </c>
      <c r="AF9" s="107" t="n">
        <f aca="false">'Price History'!K3+('Price History'!K158-'Price History'!K3)*0.038961038961039</f>
        <v>19.6041558441558</v>
      </c>
      <c r="AG9" s="107" t="n">
        <f aca="false">'Price History'!L3+('Price History'!L158-'Price History'!L3)*0.038961038961039</f>
        <v>104.155974025974</v>
      </c>
      <c r="AH9" s="107" t="n">
        <f aca="false">'Price History'!M3+('Price History'!M158-'Price History'!M3)*0.038961038961039</f>
        <v>41.6162337662338</v>
      </c>
      <c r="AI9" s="107" t="n">
        <f aca="false">'Price History'!N3+('Price History'!N158-'Price History'!N3)*0.038961038961039</f>
        <v>354.817402597403</v>
      </c>
      <c r="AJ9" s="107" t="n">
        <f aca="false">'Price History'!O3+('Price History'!O158-'Price History'!O3)*0.038961038961039</f>
        <v>84.5031168831169</v>
      </c>
      <c r="AK9" s="107" t="n">
        <f aca="false">'Price History'!Q3+('Price History'!Q151-'Price History'!Q3)*0.038961038961039</f>
        <v>50.5650649350649</v>
      </c>
      <c r="AL9" s="107" t="n">
        <f aca="false">'Price History'!R3+('Price History'!R158-'Price History'!R3)*0.038961038961039</f>
        <v>48.2263636363636</v>
      </c>
      <c r="AM9" s="107" t="n">
        <f aca="false">'Price History'!S3+('Price History'!S158-'Price History'!S3)*0.038961038961039</f>
        <v>61.862987012987</v>
      </c>
      <c r="AN9" s="107" t="n">
        <f aca="false">'Price History'!T3+('Price History'!T158-'Price History'!T3)*0.038961038961039</f>
        <v>27.7994805194805</v>
      </c>
    </row>
    <row r="10" customFormat="false" ht="15" hidden="false" customHeight="true" outlineLevel="0" collapsed="false">
      <c r="A10" s="104" t="n">
        <f aca="false">IF('Price History'!A11="","",'Price History'!A11)</f>
        <v>45205</v>
      </c>
      <c r="B10" s="105" t="n">
        <f aca="false">IFERROR(IF(OR(NOT(ISNUMBER('Price History'!B11)),NOT(ISNUMBER('Price History'!B10)),'Price History'!B10=0),"",'Price History'!B11/'Price History'!B10-1),"")</f>
        <v>0.0329084134143949</v>
      </c>
      <c r="C10" s="105" t="n">
        <f aca="false">IFERROR(IF(OR(NOT(ISNUMBER('Price History'!C11)),NOT(ISNUMBER('Price History'!C10)),'Price History'!C10=0),"",'Price History'!C11/'Price History'!C10-1),"")</f>
        <v>0.0550239234449761</v>
      </c>
      <c r="D10" s="105" t="n">
        <f aca="false">IFERROR(IF(OR(NOT(ISNUMBER('Price History'!D11)),NOT(ISNUMBER('Price History'!D10)),'Price History'!D10=0),"",'Price History'!D11/'Price History'!D10-1),"")</f>
        <v>0.014779329324228</v>
      </c>
      <c r="E10" s="105" t="n">
        <f aca="false">IFERROR(IF(OR(NOT(ISNUMBER('Price History'!E11)),NOT(ISNUMBER('Price History'!E10)),'Price History'!E10=0),"",'Price History'!E11/'Price History'!E10-1),"")</f>
        <v>0.0176980496026968</v>
      </c>
      <c r="F10" s="105" t="n">
        <f aca="false">IFERROR(IF(OR(NOT(ISNUMBER('Price History'!F11)),NOT(ISNUMBER('Price History'!F10)),'Price History'!F10=0),"",'Price History'!F11/'Price History'!F10-1),"")</f>
        <v>0.055436081242533</v>
      </c>
      <c r="G10" s="105" t="n">
        <f aca="false">IFERROR(IF(OR(NOT(ISNUMBER('Price History'!G11)),NOT(ISNUMBER('Price History'!G10)),'Price History'!G10=0),"",'Price History'!G11/'Price History'!G10-1),"")</f>
        <v>0.0204926967516896</v>
      </c>
      <c r="H10" s="105" t="n">
        <f aca="false">IFERROR(IF(OR(NOT(ISNUMBER('Price History'!H11)),NOT(ISNUMBER('Price History'!H10)),'Price History'!H10=0),"",'Price History'!H11/'Price History'!H10-1),"")</f>
        <v>0.0283698368366896</v>
      </c>
      <c r="I10" s="105" t="n">
        <f aca="false">IFERROR(IF(OR(NOT(ISNUMBER('Price History'!I11)),NOT(ISNUMBER('Price History'!I10)),'Price History'!I10=0),"",'Price History'!I11/'Price History'!I10-1),"")</f>
        <v>0.0519540229885056</v>
      </c>
      <c r="J10" s="105" t="n">
        <f aca="false">IFERROR(IF(OR(NOT(ISNUMBER('Price History'!J11)),NOT(ISNUMBER('Price History'!J10)),'Price History'!J10=0),"",'Price History'!J11/'Price History'!J10-1),"")</f>
        <v>-0.0294091435700917</v>
      </c>
      <c r="K10" s="105" t="n">
        <f aca="false">IFERROR(IF(OR(NOT(ISNUMBER('Price History'!K11)),NOT(ISNUMBER('Price History'!K10)),'Price History'!K10=0),"",'Price History'!K11/'Price History'!K10-1),"")</f>
        <v>0.038125</v>
      </c>
      <c r="L10" s="105" t="n">
        <f aca="false">IFERROR(IF(OR(NOT(ISNUMBER('Price History'!L11)),NOT(ISNUMBER('Price History'!L10)),'Price History'!L10=0),"",'Price History'!L11/'Price History'!L10-1),"")</f>
        <v>0.0275028768699654</v>
      </c>
      <c r="M10" s="105" t="n">
        <f aca="false">IFERROR(IF(OR(NOT(ISNUMBER('Price History'!M11)),NOT(ISNUMBER('Price History'!M10)),'Price History'!M10=0),"",'Price History'!M11/'Price History'!M10-1),"")</f>
        <v>0.0690860215053764</v>
      </c>
      <c r="N10" s="105" t="n">
        <f aca="false">IFERROR(IF(OR(NOT(ISNUMBER('Price History'!N11)),NOT(ISNUMBER('Price History'!N10)),'Price History'!N10=0),"",'Price History'!N11/'Price History'!N10-1),"")</f>
        <v>0.0370391671938806</v>
      </c>
      <c r="O10" s="105" t="n">
        <f aca="false">IFERROR(IF(OR(NOT(ISNUMBER('Price History'!O11)),NOT(ISNUMBER('Price History'!O10)),'Price History'!O10=0),"",'Price History'!O11/'Price History'!O10-1),"")</f>
        <v>-0.030147530468249</v>
      </c>
      <c r="P10" s="105" t="str">
        <f aca="false">IFERROR(IF(OR(NOT(ISNUMBER('Price History'!P11)),NOT(ISNUMBER('Price History'!P10)),'Price History'!P10=0),"",'Price History'!P11/'Price History'!P10-1),"")</f>
        <v/>
      </c>
      <c r="Q10" s="105" t="n">
        <f aca="false">IFERROR(IF(OR(NOT(ISNUMBER('Price History'!Q11)),NOT(ISNUMBER('Price History'!Q10)),'Price History'!Q10=0),"",'Price History'!Q11/'Price History'!Q10-1),"")</f>
        <v>0.00443245326652519</v>
      </c>
      <c r="R10" s="105" t="n">
        <f aca="false">IFERROR(IF(OR(NOT(ISNUMBER('Price History'!R11)),NOT(ISNUMBER('Price History'!R10)),'Price History'!R10=0),"",'Price History'!R11/'Price History'!R10-1),"")</f>
        <v>0.0042616663115278</v>
      </c>
      <c r="S10" s="105" t="n">
        <f aca="false">IFERROR(IF(OR(NOT(ISNUMBER('Price History'!S11)),NOT(ISNUMBER('Price History'!S10)),'Price History'!S10=0),"",'Price History'!S11/'Price History'!S10-1),"")</f>
        <v>0.011173184357542</v>
      </c>
      <c r="T10" s="105" t="n">
        <f aca="false">IFERROR(IF(OR(NOT(ISNUMBER('Price History'!T11)),NOT(ISNUMBER('Price History'!T10)),'Price History'!T10=0),"",'Price History'!T11/'Price History'!T10-1),"")</f>
        <v>-0.0184757505773672</v>
      </c>
      <c r="U10" s="105" t="str">
        <f aca="false">IFERROR(IF(OR(NOT(ISNUMBER('Price History'!U11)),NOT(ISNUMBER('Price History'!U10)),'Price History'!U10=0),"",'Price History'!U11/'Price History'!U10-1),"")</f>
        <v/>
      </c>
      <c r="V10" s="106" t="n">
        <f aca="false">IFERROR(IF(OR(NOT(ISNUMBER('Price History'!V11)),NOT(ISNUMBER('Price History'!V10)),'Price History'!V10=0),"",'Price History'!V11/'Price History'!V10-1),"")</f>
        <v>0.0218841740058715</v>
      </c>
      <c r="W10" s="107" t="n">
        <f aca="false">'Price History'!B3+('Price History'!B158-'Price History'!B3)*0.0454545454545455</f>
        <v>496.720909090909</v>
      </c>
      <c r="X10" s="107" t="n">
        <f aca="false">'Price History'!C3+('Price History'!C158-'Price History'!C3)*0.0454545454545455</f>
        <v>49.9495454545455</v>
      </c>
      <c r="Y10" s="107" t="n">
        <f aca="false">'Price History'!D3+('Price History'!D158-'Price History'!D3)*0.0454545454545455</f>
        <v>705.744545454546</v>
      </c>
      <c r="Z10" s="107" t="n">
        <f aca="false">'Price History'!E3+('Price History'!E158-'Price History'!E3)*0.0454545454545455</f>
        <v>96.9027272727273</v>
      </c>
      <c r="AA10" s="107" t="n">
        <f aca="false">'Price History'!F3+('Price History'!F158-'Price History'!F3)*0.0454545454545455</f>
        <v>44.0509090909091</v>
      </c>
      <c r="AB10" s="107" t="n">
        <f aca="false">'Price History'!G3+('Price History'!G158-'Price History'!G3)*0.0454545454545455</f>
        <v>54.0327272727273</v>
      </c>
      <c r="AC10" s="107" t="n">
        <f aca="false">'Price History'!H3+('Price History'!H158-'Price History'!H3)*0.0454545454545455</f>
        <v>98.8545454545455</v>
      </c>
      <c r="AD10" s="107" t="n">
        <f aca="false">'Price History'!I3+('Price History'!I158-'Price History'!I3)*0.0454545454545455</f>
        <v>48.1181818181818</v>
      </c>
      <c r="AE10" s="107" t="n">
        <f aca="false">'Price History'!J3+('Price History'!J158-'Price History'!J3)*0.0454545454545455</f>
        <v>124.469090909091</v>
      </c>
      <c r="AF10" s="107" t="n">
        <f aca="false">'Price History'!K3+('Price History'!K158-'Price History'!K3)*0.0454545454545455</f>
        <v>20.3031818181818</v>
      </c>
      <c r="AG10" s="107" t="n">
        <f aca="false">'Price History'!L3+('Price History'!L158-'Price History'!L3)*0.0454545454545455</f>
        <v>106.183636363636</v>
      </c>
      <c r="AH10" s="107" t="n">
        <f aca="false">'Price History'!M3+('Price History'!M158-'Price History'!M3)*0.0454545454545455</f>
        <v>42.9672727272727</v>
      </c>
      <c r="AI10" s="107" t="n">
        <f aca="false">'Price History'!N3+('Price History'!N158-'Price History'!N3)*0.0454545454545455</f>
        <v>355.643636363636</v>
      </c>
      <c r="AJ10" s="107" t="n">
        <f aca="false">'Price History'!O3+('Price History'!O158-'Price History'!O3)*0.0454545454545455</f>
        <v>84.7786363636364</v>
      </c>
      <c r="AK10" s="107" t="n">
        <f aca="false">'Price History'!Q3+('Price History'!Q151-'Price History'!Q3)*0.0454545454545455</f>
        <v>50.6859090909091</v>
      </c>
      <c r="AL10" s="107" t="n">
        <f aca="false">'Price History'!R3+('Price History'!R158-'Price History'!R3)*0.0454545454545455</f>
        <v>48.2940909090909</v>
      </c>
      <c r="AM10" s="107" t="n">
        <f aca="false">'Price History'!S3+('Price History'!S158-'Price History'!S3)*0.0454545454545455</f>
        <v>62.4168181818182</v>
      </c>
      <c r="AN10" s="107" t="n">
        <f aca="false">'Price History'!T3+('Price History'!T158-'Price History'!T3)*0.0454545454545455</f>
        <v>27.9477272727273</v>
      </c>
    </row>
    <row r="11" customFormat="false" ht="15" hidden="false" customHeight="true" outlineLevel="0" collapsed="false">
      <c r="A11" s="104" t="n">
        <f aca="false">IF('Price History'!A12="","",'Price History'!A12)</f>
        <v>45212</v>
      </c>
      <c r="B11" s="105" t="n">
        <f aca="false">IFERROR(IF(OR(NOT(ISNUMBER('Price History'!B12)),NOT(ISNUMBER('Price History'!B11)),'Price History'!B11=0),"",'Price History'!B12/'Price History'!B11-1),"")</f>
        <v>0.0419229892914104</v>
      </c>
      <c r="C11" s="105" t="n">
        <f aca="false">IFERROR(IF(OR(NOT(ISNUMBER('Price History'!C12)),NOT(ISNUMBER('Price History'!C11)),'Price History'!C11=0),"",'Price History'!C12/'Price History'!C11-1),"")</f>
        <v>-0.0216450216450216</v>
      </c>
      <c r="D11" s="105" t="n">
        <f aca="false">IFERROR(IF(OR(NOT(ISNUMBER('Price History'!D12)),NOT(ISNUMBER('Price History'!D11)),'Price History'!D11=0),"",'Price History'!D12/'Price History'!D11-1),"")</f>
        <v>0.00400093745814911</v>
      </c>
      <c r="E11" s="105" t="n">
        <f aca="false">IFERROR(IF(OR(NOT(ISNUMBER('Price History'!E12)),NOT(ISNUMBER('Price History'!E11)),'Price History'!E11=0),"",'Price History'!E12/'Price History'!E11-1),"")</f>
        <v>0.0448361528451438</v>
      </c>
      <c r="F11" s="105" t="n">
        <f aca="false">IFERROR(IF(OR(NOT(ISNUMBER('Price History'!F12)),NOT(ISNUMBER('Price History'!F11)),'Price History'!F11=0),"",'Price History'!F12/'Price History'!F11-1),"")</f>
        <v>0.0511659497396422</v>
      </c>
      <c r="G11" s="105" t="n">
        <f aca="false">IFERROR(IF(OR(NOT(ISNUMBER('Price History'!G12)),NOT(ISNUMBER('Price History'!G11)),'Price History'!G11=0),"",'Price History'!G12/'Price History'!G11-1),"")</f>
        <v>0.0399487289040803</v>
      </c>
      <c r="H11" s="105" t="n">
        <f aca="false">IFERROR(IF(OR(NOT(ISNUMBER('Price History'!H12)),NOT(ISNUMBER('Price History'!H11)),'Price History'!H11=0),"",'Price History'!H12/'Price History'!H11-1),"")</f>
        <v>-0.0107204116638079</v>
      </c>
      <c r="I11" s="105" t="n">
        <f aca="false">IFERROR(IF(OR(NOT(ISNUMBER('Price History'!I12)),NOT(ISNUMBER('Price History'!I11)),'Price History'!I11=0),"",'Price History'!I12/'Price History'!I11-1),"")</f>
        <v>-0.00655594405594395</v>
      </c>
      <c r="J11" s="105" t="n">
        <f aca="false">IFERROR(IF(OR(NOT(ISNUMBER('Price History'!J12)),NOT(ISNUMBER('Price History'!J11)),'Price History'!J11=0),"",'Price History'!J12/'Price History'!J11-1),"")</f>
        <v>0.0067946010467359</v>
      </c>
      <c r="K11" s="105" t="n">
        <f aca="false">IFERROR(IF(OR(NOT(ISNUMBER('Price History'!K12)),NOT(ISNUMBER('Price History'!K11)),'Price History'!K11=0),"",'Price History'!K12/'Price History'!K11-1),"")</f>
        <v>0.0451535219747141</v>
      </c>
      <c r="L11" s="105" t="n">
        <f aca="false">IFERROR(IF(OR(NOT(ISNUMBER('Price History'!L12)),NOT(ISNUMBER('Price History'!L11)),'Price History'!L11=0),"",'Price History'!L12/'Price History'!L11-1),"")</f>
        <v>0.01310337103819</v>
      </c>
      <c r="M11" s="105" t="n">
        <f aca="false">IFERROR(IF(OR(NOT(ISNUMBER('Price History'!M12)),NOT(ISNUMBER('Price History'!M11)),'Price History'!M11=0),"",'Price History'!M12/'Price History'!M11-1),"")</f>
        <v>-0.0168468694996229</v>
      </c>
      <c r="N11" s="105" t="n">
        <f aca="false">IFERROR(IF(OR(NOT(ISNUMBER('Price History'!N12)),NOT(ISNUMBER('Price History'!N11)),'Price History'!N11=0),"",'Price History'!N12/'Price History'!N11-1),"")</f>
        <v>0.0287837612999833</v>
      </c>
      <c r="O11" s="105" t="n">
        <f aca="false">IFERROR(IF(OR(NOT(ISNUMBER('Price History'!O12)),NOT(ISNUMBER('Price History'!O11)),'Price History'!O11=0),"",'Price History'!O12/'Price History'!O11-1),"")</f>
        <v>0.00264550264550278</v>
      </c>
      <c r="P11" s="105" t="str">
        <f aca="false">IFERROR(IF(OR(NOT(ISNUMBER('Price History'!P12)),NOT(ISNUMBER('Price History'!P11)),'Price History'!P11=0),"",'Price History'!P12/'Price History'!P11-1),"")</f>
        <v/>
      </c>
      <c r="Q11" s="105" t="n">
        <f aca="false">IFERROR(IF(OR(NOT(ISNUMBER('Price History'!Q12)),NOT(ISNUMBER('Price History'!Q11)),'Price History'!Q11=0),"",'Price History'!Q12/'Price History'!Q11-1),"")</f>
        <v>0.000959324635456671</v>
      </c>
      <c r="R11" s="105" t="n">
        <f aca="false">IFERROR(IF(OR(NOT(ISNUMBER('Price History'!R12)),NOT(ISNUMBER('Price History'!R11)),'Price History'!R11=0),"",'Price History'!R12/'Price History'!R11-1),"")</f>
        <v>0.00275832802885634</v>
      </c>
      <c r="S11" s="105" t="n">
        <f aca="false">IFERROR(IF(OR(NOT(ISNUMBER('Price History'!S12)),NOT(ISNUMBER('Price History'!S11)),'Price History'!S11=0),"",'Price History'!S12/'Price History'!S11-1),"")</f>
        <v>0.00569751381215466</v>
      </c>
      <c r="T11" s="105" t="n">
        <f aca="false">IFERROR(IF(OR(NOT(ISNUMBER('Price History'!T12)),NOT(ISNUMBER('Price History'!T11)),'Price History'!T11=0),"",'Price History'!T12/'Price History'!T11-1),"")</f>
        <v>0.0129411764705882</v>
      </c>
      <c r="U11" s="105" t="str">
        <f aca="false">IFERROR(IF(OR(NOT(ISNUMBER('Price History'!U12)),NOT(ISNUMBER('Price History'!U11)),'Price History'!U11=0),"",'Price History'!U12/'Price History'!U11-1),"")</f>
        <v/>
      </c>
      <c r="V11" s="106" t="n">
        <f aca="false">IFERROR(IF(OR(NOT(ISNUMBER('Price History'!V12)),NOT(ISNUMBER('Price History'!V11)),'Price History'!V11=0),"",'Price History'!V12/'Price History'!V11-1),"")</f>
        <v>0.0111865587185513</v>
      </c>
      <c r="W11" s="107" t="n">
        <f aca="false">'Price History'!B3+('Price History'!B158-'Price History'!B3)*0.051948051948052</f>
        <v>495.045324675325</v>
      </c>
      <c r="X11" s="107" t="n">
        <f aca="false">'Price History'!C3+('Price History'!C158-'Price History'!C3)*0.051948051948052</f>
        <v>50.8366233766234</v>
      </c>
      <c r="Y11" s="107" t="n">
        <f aca="false">'Price History'!D3+('Price History'!D158-'Price History'!D3)*0.051948051948052</f>
        <v>712.025194805195</v>
      </c>
      <c r="Z11" s="107" t="n">
        <f aca="false">'Price History'!E3+('Price History'!E158-'Price History'!E3)*0.051948051948052</f>
        <v>98.8916883116883</v>
      </c>
      <c r="AA11" s="107" t="n">
        <f aca="false">'Price History'!F3+('Price History'!F158-'Price History'!F3)*0.051948051948052</f>
        <v>45.0496103896104</v>
      </c>
      <c r="AB11" s="107" t="n">
        <f aca="false">'Price History'!G3+('Price History'!G158-'Price History'!G3)*0.051948051948052</f>
        <v>54.9088311688312</v>
      </c>
      <c r="AC11" s="107" t="n">
        <f aca="false">'Price History'!H3+('Price History'!H158-'Price History'!H3)*0.051948051948052</f>
        <v>103.780909090909</v>
      </c>
      <c r="AD11" s="107" t="n">
        <f aca="false">'Price History'!I3+('Price History'!I158-'Price History'!I3)*0.051948051948052</f>
        <v>49.1564935064935</v>
      </c>
      <c r="AE11" s="107" t="n">
        <f aca="false">'Price History'!J3+('Price History'!J158-'Price History'!J3)*0.051948051948052</f>
        <v>124.606103896104</v>
      </c>
      <c r="AF11" s="107" t="n">
        <f aca="false">'Price History'!K3+('Price History'!K158-'Price History'!K3)*0.051948051948052</f>
        <v>21.0022077922078</v>
      </c>
      <c r="AG11" s="107" t="n">
        <f aca="false">'Price History'!L3+('Price History'!L158-'Price History'!L3)*0.051948051948052</f>
        <v>108.211298701299</v>
      </c>
      <c r="AH11" s="107" t="n">
        <f aca="false">'Price History'!M3+('Price History'!M158-'Price History'!M3)*0.051948051948052</f>
        <v>44.3183116883117</v>
      </c>
      <c r="AI11" s="107" t="n">
        <f aca="false">'Price History'!N3+('Price History'!N158-'Price History'!N3)*0.051948051948052</f>
        <v>356.46987012987</v>
      </c>
      <c r="AJ11" s="107" t="n">
        <f aca="false">'Price History'!O3+('Price History'!O158-'Price History'!O3)*0.051948051948052</f>
        <v>85.0541558441558</v>
      </c>
      <c r="AK11" s="107" t="n">
        <f aca="false">'Price History'!Q3+('Price History'!Q151-'Price History'!Q3)*0.051948051948052</f>
        <v>50.8067532467533</v>
      </c>
      <c r="AL11" s="107" t="n">
        <f aca="false">'Price History'!R3+('Price History'!R158-'Price History'!R3)*0.051948051948052</f>
        <v>48.3618181818182</v>
      </c>
      <c r="AM11" s="107" t="n">
        <f aca="false">'Price History'!S3+('Price History'!S158-'Price History'!S3)*0.051948051948052</f>
        <v>62.9706493506494</v>
      </c>
      <c r="AN11" s="107" t="n">
        <f aca="false">'Price History'!T3+('Price History'!T158-'Price History'!T3)*0.051948051948052</f>
        <v>28.095974025974</v>
      </c>
    </row>
    <row r="12" customFormat="false" ht="15" hidden="false" customHeight="true" outlineLevel="0" collapsed="false">
      <c r="A12" s="104" t="n">
        <f aca="false">IF('Price History'!A13="","",'Price History'!A13)</f>
        <v>45219</v>
      </c>
      <c r="B12" s="105" t="n">
        <f aca="false">IFERROR(IF(OR(NOT(ISNUMBER('Price History'!B13)),NOT(ISNUMBER('Price History'!B12)),'Price History'!B12=0),"",'Price History'!B13/'Price History'!B12-1),"")</f>
        <v>-0.0142138639842553</v>
      </c>
      <c r="C12" s="105" t="n">
        <f aca="false">IFERROR(IF(OR(NOT(ISNUMBER('Price History'!C13)),NOT(ISNUMBER('Price History'!C12)),'Price History'!C12=0),"",'Price History'!C13/'Price History'!C12-1),"")</f>
        <v>-0.0195954487989887</v>
      </c>
      <c r="D12" s="105" t="n">
        <f aca="false">IFERROR(IF(OR(NOT(ISNUMBER('Price History'!D13)),NOT(ISNUMBER('Price History'!D12)),'Price History'!D12=0),"",'Price History'!D13/'Price History'!D12-1),"")</f>
        <v>-0.0327636515214672</v>
      </c>
      <c r="E12" s="105" t="n">
        <f aca="false">IFERROR(IF(OR(NOT(ISNUMBER('Price History'!E13)),NOT(ISNUMBER('Price History'!E12)),'Price History'!E12=0),"",'Price History'!E13/'Price History'!E12-1),"")</f>
        <v>-0.0335144927536232</v>
      </c>
      <c r="F12" s="105" t="n">
        <f aca="false">IFERROR(IF(OR(NOT(ISNUMBER('Price History'!F13)),NOT(ISNUMBER('Price History'!F12)),'Price History'!F12=0),"",'Price History'!F13/'Price History'!F12-1),"")</f>
        <v>-0.0374757699763084</v>
      </c>
      <c r="G12" s="105" t="n">
        <f aca="false">IFERROR(IF(OR(NOT(ISNUMBER('Price History'!G13)),NOT(ISNUMBER('Price History'!G12)),'Price History'!G12=0),"",'Price History'!G13/'Price History'!G12-1),"")</f>
        <v>-0.0501232539030402</v>
      </c>
      <c r="H12" s="105" t="n">
        <f aca="false">IFERROR(IF(OR(NOT(ISNUMBER('Price History'!H13)),NOT(ISNUMBER('Price History'!H12)),'Price History'!H12=0),"",'Price History'!H13/'Price History'!H12-1),"")</f>
        <v>-0.0287530703655541</v>
      </c>
      <c r="I12" s="105" t="n">
        <f aca="false">IFERROR(IF(OR(NOT(ISNUMBER('Price History'!I13)),NOT(ISNUMBER('Price History'!I12)),'Price History'!I12=0),"",'Price History'!I13/'Price History'!I12-1),"")</f>
        <v>-0.0895292564892213</v>
      </c>
      <c r="J12" s="105" t="n">
        <f aca="false">IFERROR(IF(OR(NOT(ISNUMBER('Price History'!J13)),NOT(ISNUMBER('Price History'!J12)),'Price History'!J12=0),"",'Price History'!J13/'Price History'!J12-1),"")</f>
        <v>-0.0658458732330142</v>
      </c>
      <c r="K12" s="105" t="n">
        <f aca="false">IFERROR(IF(OR(NOT(ISNUMBER('Price History'!K13)),NOT(ISNUMBER('Price History'!K12)),'Price History'!K12=0),"",'Price History'!K13/'Price History'!K12-1),"")</f>
        <v>-0.0720046082949308</v>
      </c>
      <c r="L12" s="105" t="n">
        <f aca="false">IFERROR(IF(OR(NOT(ISNUMBER('Price History'!L13)),NOT(ISNUMBER('Price History'!L12)),'Price History'!L12=0),"",'Price History'!L13/'Price History'!L12-1),"")</f>
        <v>0.0093964183064339</v>
      </c>
      <c r="M12" s="105" t="n">
        <f aca="false">IFERROR(IF(OR(NOT(ISNUMBER('Price History'!M13)),NOT(ISNUMBER('Price History'!M12)),'Price History'!M12=0),"",'Price History'!M13/'Price History'!M12-1),"")</f>
        <v>-0.0603580562659847</v>
      </c>
      <c r="N12" s="105" t="n">
        <f aca="false">IFERROR(IF(OR(NOT(ISNUMBER('Price History'!N13)),NOT(ISNUMBER('Price History'!N12)),'Price History'!N12=0),"",'Price History'!N13/'Price History'!N12-1),"")</f>
        <v>-0.0246361185983827</v>
      </c>
      <c r="O12" s="105" t="n">
        <f aca="false">IFERROR(IF(OR(NOT(ISNUMBER('Price History'!O13)),NOT(ISNUMBER('Price History'!O12)),'Price History'!O12=0),"",'Price History'!O13/'Price History'!O12-1),"")</f>
        <v>-0.016754617414248</v>
      </c>
      <c r="P12" s="105" t="str">
        <f aca="false">IFERROR(IF(OR(NOT(ISNUMBER('Price History'!P13)),NOT(ISNUMBER('Price History'!P12)),'Price History'!P12=0),"",'Price History'!P13/'Price History'!P12-1),"")</f>
        <v/>
      </c>
      <c r="Q12" s="105" t="n">
        <f aca="false">IFERROR(IF(OR(NOT(ISNUMBER('Price History'!Q13)),NOT(ISNUMBER('Price History'!Q12)),'Price History'!Q12=0),"",'Price History'!Q13/'Price History'!Q12-1),"")</f>
        <v>0.00364193981215255</v>
      </c>
      <c r="R12" s="105" t="n">
        <f aca="false">IFERROR(IF(OR(NOT(ISNUMBER('Price History'!R13)),NOT(ISNUMBER('Price History'!R12)),'Price History'!R12=0),"",'Price History'!R13/'Price History'!R12-1),"")</f>
        <v>-0.0198899703766399</v>
      </c>
      <c r="S12" s="105" t="n">
        <f aca="false">IFERROR(IF(OR(NOT(ISNUMBER('Price History'!S13)),NOT(ISNUMBER('Price History'!S12)),'Price History'!S12=0),"",'Price History'!S13/'Price History'!S12-1),"")</f>
        <v>-0.0290128755364807</v>
      </c>
      <c r="T12" s="105" t="n">
        <f aca="false">IFERROR(IF(OR(NOT(ISNUMBER('Price History'!T13)),NOT(ISNUMBER('Price History'!T12)),'Price History'!T12=0),"",'Price History'!T13/'Price History'!T12-1),"")</f>
        <v>-0.0127758420441346</v>
      </c>
      <c r="U12" s="105" t="str">
        <f aca="false">IFERROR(IF(OR(NOT(ISNUMBER('Price History'!U13)),NOT(ISNUMBER('Price History'!U12)),'Price History'!U12=0),"",'Price History'!U13/'Price History'!U12-1),"")</f>
        <v/>
      </c>
      <c r="V12" s="106" t="n">
        <f aca="false">IFERROR(IF(OR(NOT(ISNUMBER('Price History'!V13)),NOT(ISNUMBER('Price History'!V12)),'Price History'!V12=0),"",'Price History'!V13/'Price History'!V12-1),"")</f>
        <v>-0.0180362446730662</v>
      </c>
      <c r="W12" s="107" t="n">
        <f aca="false">'Price History'!B3+('Price History'!B158-'Price History'!B3)*0.0584415584415584</f>
        <v>493.36974025974</v>
      </c>
      <c r="X12" s="107" t="n">
        <f aca="false">'Price History'!C3+('Price History'!C158-'Price History'!C3)*0.0584415584415584</f>
        <v>51.7237012987013</v>
      </c>
      <c r="Y12" s="107" t="n">
        <f aca="false">'Price History'!D3+('Price History'!D158-'Price History'!D3)*0.0584415584415584</f>
        <v>718.305844155844</v>
      </c>
      <c r="Z12" s="107" t="n">
        <f aca="false">'Price History'!E3+('Price History'!E158-'Price History'!E3)*0.0584415584415584</f>
        <v>100.880649350649</v>
      </c>
      <c r="AA12" s="107" t="n">
        <f aca="false">'Price History'!F3+('Price History'!F158-'Price History'!F3)*0.0584415584415584</f>
        <v>46.0483116883117</v>
      </c>
      <c r="AB12" s="107" t="n">
        <f aca="false">'Price History'!G3+('Price History'!G158-'Price History'!G3)*0.0584415584415584</f>
        <v>55.7849350649351</v>
      </c>
      <c r="AC12" s="107" t="n">
        <f aca="false">'Price History'!H3+('Price History'!H158-'Price History'!H3)*0.0584415584415584</f>
        <v>108.707272727273</v>
      </c>
      <c r="AD12" s="107" t="n">
        <f aca="false">'Price History'!I3+('Price History'!I158-'Price History'!I3)*0.0584415584415584</f>
        <v>50.1948051948052</v>
      </c>
      <c r="AE12" s="107" t="n">
        <f aca="false">'Price History'!J3+('Price History'!J158-'Price History'!J3)*0.0584415584415584</f>
        <v>124.743116883117</v>
      </c>
      <c r="AF12" s="107" t="n">
        <f aca="false">'Price History'!K3+('Price History'!K158-'Price History'!K3)*0.0584415584415584</f>
        <v>21.7012337662338</v>
      </c>
      <c r="AG12" s="107" t="n">
        <f aca="false">'Price History'!L3+('Price History'!L158-'Price History'!L3)*0.0584415584415584</f>
        <v>110.238961038961</v>
      </c>
      <c r="AH12" s="107" t="n">
        <f aca="false">'Price History'!M3+('Price History'!M158-'Price History'!M3)*0.0584415584415584</f>
        <v>45.6693506493506</v>
      </c>
      <c r="AI12" s="107" t="n">
        <f aca="false">'Price History'!N3+('Price History'!N158-'Price History'!N3)*0.0584415584415584</f>
        <v>357.296103896104</v>
      </c>
      <c r="AJ12" s="107" t="n">
        <f aca="false">'Price History'!O3+('Price History'!O158-'Price History'!O3)*0.0584415584415584</f>
        <v>85.3296753246753</v>
      </c>
      <c r="AK12" s="107" t="n">
        <f aca="false">'Price History'!Q3+('Price History'!Q151-'Price History'!Q3)*0.0584415584415584</f>
        <v>50.9275974025974</v>
      </c>
      <c r="AL12" s="107" t="n">
        <f aca="false">'Price History'!R3+('Price History'!R158-'Price History'!R3)*0.0584415584415584</f>
        <v>48.4295454545455</v>
      </c>
      <c r="AM12" s="107" t="n">
        <f aca="false">'Price History'!S3+('Price History'!S158-'Price History'!S3)*0.0584415584415584</f>
        <v>63.5244805194805</v>
      </c>
      <c r="AN12" s="107" t="n">
        <f aca="false">'Price History'!T3+('Price History'!T158-'Price History'!T3)*0.0584415584415584</f>
        <v>28.2442207792208</v>
      </c>
    </row>
    <row r="13" customFormat="false" ht="15" hidden="false" customHeight="true" outlineLevel="0" collapsed="false">
      <c r="A13" s="104" t="n">
        <f aca="false">IF('Price History'!A14="","",'Price History'!A14)</f>
        <v>45226</v>
      </c>
      <c r="B13" s="105" t="n">
        <f aca="false">IFERROR(IF(OR(NOT(ISNUMBER('Price History'!B14)),NOT(ISNUMBER('Price History'!B13)),'Price History'!B13=0),"",'Price History'!B14/'Price History'!B13-1),"")</f>
        <v>-0.0607068914522331</v>
      </c>
      <c r="C13" s="105" t="n">
        <f aca="false">IFERROR(IF(OR(NOT(ISNUMBER('Price History'!C14)),NOT(ISNUMBER('Price History'!C13)),'Price History'!C13=0),"",'Price History'!C14/'Price History'!C13-1),"")</f>
        <v>-0.0532989469159683</v>
      </c>
      <c r="D13" s="105" t="n">
        <f aca="false">IFERROR(IF(OR(NOT(ISNUMBER('Price History'!D14)),NOT(ISNUMBER('Price History'!D13)),'Price History'!D13=0),"",'Price History'!D14/'Price History'!D13-1),"")</f>
        <v>0.0170660230994655</v>
      </c>
      <c r="E13" s="105" t="n">
        <f aca="false">IFERROR(IF(OR(NOT(ISNUMBER('Price History'!E14)),NOT(ISNUMBER('Price History'!E13)),'Price History'!E13=0),"",'Price History'!E14/'Price History'!E13-1),"")</f>
        <v>-0.0178069353327085</v>
      </c>
      <c r="F13" s="105" t="n">
        <f aca="false">IFERROR(IF(OR(NOT(ISNUMBER('Price History'!F14)),NOT(ISNUMBER('Price History'!F13)),'Price History'!F13=0),"",'Price History'!F14/'Price History'!F13-1),"")</f>
        <v>-0.0331170284179906</v>
      </c>
      <c r="G13" s="105" t="n">
        <f aca="false">IFERROR(IF(OR(NOT(ISNUMBER('Price History'!G14)),NOT(ISNUMBER('Price History'!G13)),'Price History'!G13=0),"",'Price History'!G14/'Price History'!G13-1),"")</f>
        <v>-0.00973183391003463</v>
      </c>
      <c r="H13" s="105" t="n">
        <f aca="false">IFERROR(IF(OR(NOT(ISNUMBER('Price History'!H14)),NOT(ISNUMBER('Price History'!H13)),'Price History'!H13=0),"",'Price History'!H14/'Price History'!H13-1),"")</f>
        <v>-0.0233561440047604</v>
      </c>
      <c r="I13" s="105" t="n">
        <f aca="false">IFERROR(IF(OR(NOT(ISNUMBER('Price History'!I14)),NOT(ISNUMBER('Price History'!I13)),'Price History'!I13=0),"",'Price History'!I14/'Price History'!I13-1),"")</f>
        <v>-0.0215027784489007</v>
      </c>
      <c r="J13" s="105" t="n">
        <f aca="false">IFERROR(IF(OR(NOT(ISNUMBER('Price History'!J14)),NOT(ISNUMBER('Price History'!J13)),'Price History'!J13=0),"",'Price History'!J14/'Price History'!J13-1),"")</f>
        <v>-0.0498877282046277</v>
      </c>
      <c r="K13" s="105" t="n">
        <f aca="false">IFERROR(IF(OR(NOT(ISNUMBER('Price History'!K14)),NOT(ISNUMBER('Price History'!K13)),'Price History'!K13=0),"",'Price History'!K14/'Price History'!K13-1),"")</f>
        <v>-0.0645561762880198</v>
      </c>
      <c r="L13" s="105" t="n">
        <f aca="false">IFERROR(IF(OR(NOT(ISNUMBER('Price History'!L14)),NOT(ISNUMBER('Price History'!L13)),'Price History'!L13=0),"",'Price History'!L14/'Price History'!L13-1),"")</f>
        <v>-0.0582630599058155</v>
      </c>
      <c r="M13" s="105" t="n">
        <f aca="false">IFERROR(IF(OR(NOT(ISNUMBER('Price History'!M14)),NOT(ISNUMBER('Price History'!M13)),'Price History'!M13=0),"",'Price History'!M14/'Price History'!M13-1),"")</f>
        <v>-0.00870985302123029</v>
      </c>
      <c r="N13" s="105" t="n">
        <f aca="false">IFERROR(IF(OR(NOT(ISNUMBER('Price History'!N14)),NOT(ISNUMBER('Price History'!N13)),'Price History'!N13=0),"",'Price History'!N14/'Price History'!N13-1),"")</f>
        <v>-0.018183827999779</v>
      </c>
      <c r="O13" s="105" t="n">
        <f aca="false">IFERROR(IF(OR(NOT(ISNUMBER('Price History'!O14)),NOT(ISNUMBER('Price History'!O13)),'Price History'!O13=0),"",'Price History'!O14/'Price History'!O13-1),"")</f>
        <v>-0.0154300281765732</v>
      </c>
      <c r="P13" s="105" t="str">
        <f aca="false">IFERROR(IF(OR(NOT(ISNUMBER('Price History'!P14)),NOT(ISNUMBER('Price History'!P13)),'Price History'!P13=0),"",'Price History'!P14/'Price History'!P13-1),"")</f>
        <v/>
      </c>
      <c r="Q13" s="105" t="n">
        <f aca="false">IFERROR(IF(OR(NOT(ISNUMBER('Price History'!Q14)),NOT(ISNUMBER('Price History'!Q13)),'Price History'!Q13=0),"",'Price History'!Q14/'Price History'!Q13-1),"")</f>
        <v>0.0089763177998472</v>
      </c>
      <c r="R13" s="105" t="n">
        <f aca="false">IFERROR(IF(OR(NOT(ISNUMBER('Price History'!R14)),NOT(ISNUMBER('Price History'!R13)),'Price History'!R13=0),"",'Price History'!R14/'Price History'!R13-1),"")</f>
        <v>-0.0207253886010363</v>
      </c>
      <c r="S13" s="105" t="n">
        <f aca="false">IFERROR(IF(OR(NOT(ISNUMBER('Price History'!S14)),NOT(ISNUMBER('Price History'!S13)),'Price History'!S13=0),"",'Price History'!S14/'Price History'!S13-1),"")</f>
        <v>-0.0201555869872702</v>
      </c>
      <c r="T13" s="105" t="n">
        <f aca="false">IFERROR(IF(OR(NOT(ISNUMBER('Price History'!T14)),NOT(ISNUMBER('Price History'!T13)),'Price History'!T13=0),"",'Price History'!T14/'Price History'!T13-1),"")</f>
        <v>-0.0329411764705883</v>
      </c>
      <c r="U13" s="105" t="str">
        <f aca="false">IFERROR(IF(OR(NOT(ISNUMBER('Price History'!U14)),NOT(ISNUMBER('Price History'!U13)),'Price History'!U13=0),"",'Price History'!U14/'Price History'!U13-1),"")</f>
        <v/>
      </c>
      <c r="V13" s="106" t="n">
        <f aca="false">IFERROR(IF(OR(NOT(ISNUMBER('Price History'!V14)),NOT(ISNUMBER('Price History'!V13)),'Price History'!V13=0),"",'Price History'!V14/'Price History'!V13-1),"")</f>
        <v>-0.0176223040504998</v>
      </c>
      <c r="W13" s="107" t="n">
        <f aca="false">'Price History'!B3+('Price History'!B158-'Price History'!B3)*0.0649350649350649</f>
        <v>491.694155844156</v>
      </c>
      <c r="X13" s="107" t="n">
        <f aca="false">'Price History'!C3+('Price History'!C158-'Price History'!C3)*0.0649350649350649</f>
        <v>52.6107792207792</v>
      </c>
      <c r="Y13" s="107" t="n">
        <f aca="false">'Price History'!D3+('Price History'!D158-'Price History'!D3)*0.0649350649350649</f>
        <v>724.586493506493</v>
      </c>
      <c r="Z13" s="107" t="n">
        <f aca="false">'Price History'!E3+('Price History'!E158-'Price History'!E3)*0.0649350649350649</f>
        <v>102.86961038961</v>
      </c>
      <c r="AA13" s="107" t="n">
        <f aca="false">'Price History'!F3+('Price History'!F158-'Price History'!F3)*0.0649350649350649</f>
        <v>47.047012987013</v>
      </c>
      <c r="AB13" s="107" t="n">
        <f aca="false">'Price History'!G3+('Price History'!G158-'Price History'!G3)*0.0649350649350649</f>
        <v>56.661038961039</v>
      </c>
      <c r="AC13" s="107" t="n">
        <f aca="false">'Price History'!H3+('Price History'!H158-'Price History'!H3)*0.0649350649350649</f>
        <v>113.633636363636</v>
      </c>
      <c r="AD13" s="107" t="n">
        <f aca="false">'Price History'!I3+('Price History'!I158-'Price History'!I3)*0.0649350649350649</f>
        <v>51.2331168831169</v>
      </c>
      <c r="AE13" s="107" t="n">
        <f aca="false">'Price History'!J3+('Price History'!J158-'Price History'!J3)*0.0649350649350649</f>
        <v>124.88012987013</v>
      </c>
      <c r="AF13" s="107" t="n">
        <f aca="false">'Price History'!K3+('Price History'!K158-'Price History'!K3)*0.0649350649350649</f>
        <v>22.4002597402597</v>
      </c>
      <c r="AG13" s="107" t="n">
        <f aca="false">'Price History'!L3+('Price History'!L158-'Price History'!L3)*0.0649350649350649</f>
        <v>112.266623376623</v>
      </c>
      <c r="AH13" s="107" t="n">
        <f aca="false">'Price History'!M3+('Price History'!M158-'Price History'!M3)*0.0649350649350649</f>
        <v>47.0203896103896</v>
      </c>
      <c r="AI13" s="107" t="n">
        <f aca="false">'Price History'!N3+('Price History'!N158-'Price History'!N3)*0.0649350649350649</f>
        <v>358.122337662338</v>
      </c>
      <c r="AJ13" s="107" t="n">
        <f aca="false">'Price History'!O3+('Price History'!O158-'Price History'!O3)*0.0649350649350649</f>
        <v>85.6051948051948</v>
      </c>
      <c r="AK13" s="107" t="n">
        <f aca="false">'Price History'!Q3+('Price History'!Q151-'Price History'!Q3)*0.0649350649350649</f>
        <v>51.0484415584416</v>
      </c>
      <c r="AL13" s="107" t="n">
        <f aca="false">'Price History'!R3+('Price History'!R158-'Price History'!R3)*0.0649350649350649</f>
        <v>48.4972727272727</v>
      </c>
      <c r="AM13" s="107" t="n">
        <f aca="false">'Price History'!S3+('Price History'!S158-'Price History'!S3)*0.0649350649350649</f>
        <v>64.0783116883117</v>
      </c>
      <c r="AN13" s="107" t="n">
        <f aca="false">'Price History'!T3+('Price History'!T158-'Price History'!T3)*0.0649350649350649</f>
        <v>28.3924675324675</v>
      </c>
    </row>
    <row r="14" customFormat="false" ht="15" hidden="false" customHeight="true" outlineLevel="0" collapsed="false">
      <c r="A14" s="104" t="n">
        <f aca="false">IF('Price History'!A15="","",'Price History'!A15)</f>
        <v>45233</v>
      </c>
      <c r="B14" s="105" t="n">
        <f aca="false">IFERROR(IF(OR(NOT(ISNUMBER('Price History'!B15)),NOT(ISNUMBER('Price History'!B14)),'Price History'!B14=0),"",'Price History'!B15/'Price History'!B14-1),"")</f>
        <v>0.10930488860899</v>
      </c>
      <c r="C14" s="105" t="n">
        <f aca="false">IFERROR(IF(OR(NOT(ISNUMBER('Price History'!C15)),NOT(ISNUMBER('Price History'!C14)),'Price History'!C14=0),"",'Price History'!C15/'Price History'!C14-1),"")</f>
        <v>0.205902383654938</v>
      </c>
      <c r="D14" s="105" t="n">
        <f aca="false">IFERROR(IF(OR(NOT(ISNUMBER('Price History'!D15)),NOT(ISNUMBER('Price History'!D14)),'Price History'!D14=0),"",'Price History'!D15/'Price History'!D14-1),"")</f>
        <v>0.0888305084745762</v>
      </c>
      <c r="E14" s="105" t="n">
        <f aca="false">IFERROR(IF(OR(NOT(ISNUMBER('Price History'!E15)),NOT(ISNUMBER('Price History'!E14)),'Price History'!E14=0),"",'Price History'!E15/'Price History'!E14-1),"")</f>
        <v>0.0528387404580153</v>
      </c>
      <c r="F14" s="105" t="n">
        <f aca="false">IFERROR(IF(OR(NOT(ISNUMBER('Price History'!F15)),NOT(ISNUMBER('Price History'!F14)),'Price History'!F14=0),"",'Price History'!F15/'Price History'!F14-1),"")</f>
        <v>0.0890997454292988</v>
      </c>
      <c r="G14" s="105" t="n">
        <f aca="false">IFERROR(IF(OR(NOT(ISNUMBER('Price History'!G15)),NOT(ISNUMBER('Price History'!G14)),'Price History'!G14=0),"",'Price History'!G15/'Price History'!G14-1),"")</f>
        <v>0.0910679187595544</v>
      </c>
      <c r="H14" s="105" t="n">
        <f aca="false">IFERROR(IF(OR(NOT(ISNUMBER('Price History'!H15)),NOT(ISNUMBER('Price History'!H14)),'Price History'!H14=0),"",'Price History'!H15/'Price History'!H14-1),"")</f>
        <v>0.105559786747905</v>
      </c>
      <c r="I14" s="105" t="n">
        <f aca="false">IFERROR(IF(OR(NOT(ISNUMBER('Price History'!I15)),NOT(ISNUMBER('Price History'!I14)),'Price History'!I14=0),"",'Price History'!I15/'Price History'!I14-1),"")</f>
        <v>0.111358024691358</v>
      </c>
      <c r="J14" s="105" t="n">
        <f aca="false">IFERROR(IF(OR(NOT(ISNUMBER('Price History'!J15)),NOT(ISNUMBER('Price History'!J14)),'Price History'!J14=0),"",'Price History'!J15/'Price History'!J14-1),"")</f>
        <v>0.0948417591450885</v>
      </c>
      <c r="K14" s="105" t="n">
        <f aca="false">IFERROR(IF(OR(NOT(ISNUMBER('Price History'!K15)),NOT(ISNUMBER('Price History'!K14)),'Price History'!K14=0),"",'Price History'!K15/'Price History'!K14-1),"")</f>
        <v>0.253483742534838</v>
      </c>
      <c r="L14" s="105" t="n">
        <f aca="false">IFERROR(IF(OR(NOT(ISNUMBER('Price History'!L15)),NOT(ISNUMBER('Price History'!L14)),'Price History'!L14=0),"",'Price History'!L15/'Price History'!L14-1),"")</f>
        <v>0.0674497034538901</v>
      </c>
      <c r="M14" s="105" t="n">
        <f aca="false">IFERROR(IF(OR(NOT(ISNUMBER('Price History'!M15)),NOT(ISNUMBER('Price History'!M14)),'Price History'!M14=0),"",'Price History'!M15/'Price History'!M14-1),"")</f>
        <v>0.110378912685338</v>
      </c>
      <c r="N14" s="105" t="n">
        <f aca="false">IFERROR(IF(OR(NOT(ISNUMBER('Price History'!N15)),NOT(ISNUMBER('Price History'!N14)),'Price History'!N14=0),"",'Price History'!N15/'Price History'!N14-1),"")</f>
        <v>0.0588831344291827</v>
      </c>
      <c r="O14" s="105" t="n">
        <f aca="false">IFERROR(IF(OR(NOT(ISNUMBER('Price History'!O15)),NOT(ISNUMBER('Price History'!O14)),'Price History'!O14=0),"",'Price History'!O15/'Price History'!O14-1),"")</f>
        <v>0.0715453802125921</v>
      </c>
      <c r="P14" s="105" t="str">
        <f aca="false">IFERROR(IF(OR(NOT(ISNUMBER('Price History'!P15)),NOT(ISNUMBER('Price History'!P14)),'Price History'!P14=0),"",'Price History'!P15/'Price History'!P14-1),"")</f>
        <v/>
      </c>
      <c r="Q14" s="105" t="n">
        <f aca="false">IFERROR(IF(OR(NOT(ISNUMBER('Price History'!Q15)),NOT(ISNUMBER('Price History'!Q14)),'Price History'!Q14=0),"",'Price History'!Q15/'Price History'!Q14-1),"")</f>
        <v>-0.000757145561234185</v>
      </c>
      <c r="R14" s="105" t="n">
        <f aca="false">IFERROR(IF(OR(NOT(ISNUMBER('Price History'!R15)),NOT(ISNUMBER('Price History'!R14)),'Price History'!R14=0),"",'Price History'!R15/'Price History'!R14-1),"")</f>
        <v>0.0476190476190477</v>
      </c>
      <c r="S14" s="105" t="n">
        <f aca="false">IFERROR(IF(OR(NOT(ISNUMBER('Price History'!S15)),NOT(ISNUMBER('Price History'!S14)),'Price History'!S14=0),"",'Price History'!S15/'Price History'!S14-1),"")</f>
        <v>0.0582822085889569</v>
      </c>
      <c r="T14" s="105" t="n">
        <f aca="false">IFERROR(IF(OR(NOT(ISNUMBER('Price History'!T15)),NOT(ISNUMBER('Price History'!T14)),'Price History'!T14=0),"",'Price History'!T15/'Price History'!T14-1),"")</f>
        <v>0.0587996755879967</v>
      </c>
      <c r="U14" s="105" t="str">
        <f aca="false">IFERROR(IF(OR(NOT(ISNUMBER('Price History'!U15)),NOT(ISNUMBER('Price History'!U14)),'Price History'!U14=0),"",'Price History'!U15/'Price History'!U14-1),"")</f>
        <v/>
      </c>
      <c r="V14" s="106" t="n">
        <f aca="false">IFERROR(IF(OR(NOT(ISNUMBER('Price History'!V15)),NOT(ISNUMBER('Price History'!V14)),'Price History'!V14=0),"",'Price History'!V15/'Price History'!V14-1),"")</f>
        <v>0.062516733601071</v>
      </c>
      <c r="W14" s="107" t="n">
        <f aca="false">'Price History'!B3+('Price History'!B158-'Price History'!B3)*0.0714285714285714</f>
        <v>490.018571428571</v>
      </c>
      <c r="X14" s="107" t="n">
        <f aca="false">'Price History'!C3+('Price History'!C158-'Price History'!C3)*0.0714285714285714</f>
        <v>53.4978571428571</v>
      </c>
      <c r="Y14" s="107" t="n">
        <f aca="false">'Price History'!D3+('Price History'!D158-'Price History'!D3)*0.0714285714285714</f>
        <v>730.867142857143</v>
      </c>
      <c r="Z14" s="107" t="n">
        <f aca="false">'Price History'!E3+('Price History'!E158-'Price History'!E3)*0.0714285714285714</f>
        <v>104.858571428571</v>
      </c>
      <c r="AA14" s="107" t="n">
        <f aca="false">'Price History'!F3+('Price History'!F158-'Price History'!F3)*0.0714285714285714</f>
        <v>48.0457142857143</v>
      </c>
      <c r="AB14" s="107" t="n">
        <f aca="false">'Price History'!G3+('Price History'!G158-'Price History'!G3)*0.0714285714285714</f>
        <v>57.5371428571429</v>
      </c>
      <c r="AC14" s="107" t="n">
        <f aca="false">'Price History'!H3+('Price History'!H158-'Price History'!H3)*0.0714285714285714</f>
        <v>118.56</v>
      </c>
      <c r="AD14" s="107" t="n">
        <f aca="false">'Price History'!I3+('Price History'!I158-'Price History'!I3)*0.0714285714285714</f>
        <v>52.2714285714286</v>
      </c>
      <c r="AE14" s="107" t="n">
        <f aca="false">'Price History'!J3+('Price History'!J158-'Price History'!J3)*0.0714285714285714</f>
        <v>125.017142857143</v>
      </c>
      <c r="AF14" s="107" t="n">
        <f aca="false">'Price History'!K3+('Price History'!K158-'Price History'!K3)*0.0714285714285714</f>
        <v>23.0992857142857</v>
      </c>
      <c r="AG14" s="107" t="n">
        <f aca="false">'Price History'!L3+('Price History'!L158-'Price History'!L3)*0.0714285714285714</f>
        <v>114.294285714286</v>
      </c>
      <c r="AH14" s="107" t="n">
        <f aca="false">'Price History'!M3+('Price History'!M158-'Price History'!M3)*0.0714285714285714</f>
        <v>48.3714285714286</v>
      </c>
      <c r="AI14" s="107" t="n">
        <f aca="false">'Price History'!N3+('Price History'!N158-'Price History'!N3)*0.0714285714285714</f>
        <v>358.948571428571</v>
      </c>
      <c r="AJ14" s="107" t="n">
        <f aca="false">'Price History'!O3+('Price History'!O158-'Price History'!O3)*0.0714285714285714</f>
        <v>85.8807142857143</v>
      </c>
      <c r="AK14" s="107" t="n">
        <f aca="false">'Price History'!Q3+('Price History'!Q151-'Price History'!Q3)*0.0714285714285714</f>
        <v>51.1692857142857</v>
      </c>
      <c r="AL14" s="107" t="n">
        <f aca="false">'Price History'!R3+('Price History'!R158-'Price History'!R3)*0.0714285714285714</f>
        <v>48.565</v>
      </c>
      <c r="AM14" s="107" t="n">
        <f aca="false">'Price History'!S3+('Price History'!S158-'Price History'!S3)*0.0714285714285714</f>
        <v>64.6321428571429</v>
      </c>
      <c r="AN14" s="107" t="n">
        <f aca="false">'Price History'!T3+('Price History'!T158-'Price History'!T3)*0.0714285714285714</f>
        <v>28.5407142857143</v>
      </c>
    </row>
    <row r="15" customFormat="false" ht="15" hidden="false" customHeight="true" outlineLevel="0" collapsed="false">
      <c r="A15" s="104" t="n">
        <f aca="false">IF('Price History'!A16="","",'Price History'!A16)</f>
        <v>45240</v>
      </c>
      <c r="B15" s="105" t="n">
        <f aca="false">IFERROR(IF(OR(NOT(ISNUMBER('Price History'!B16)),NOT(ISNUMBER('Price History'!B15)),'Price History'!B15=0),"",'Price History'!B16/'Price History'!B15-1),"")</f>
        <v>0.0595394386687012</v>
      </c>
      <c r="C15" s="105" t="n">
        <f aca="false">IFERROR(IF(OR(NOT(ISNUMBER('Price History'!C16)),NOT(ISNUMBER('Price History'!C15)),'Price History'!C15=0),"",'Price History'!C16/'Price History'!C15-1),"")</f>
        <v>-0.0265436746987952</v>
      </c>
      <c r="D15" s="105" t="n">
        <f aca="false">IFERROR(IF(OR(NOT(ISNUMBER('Price History'!D16)),NOT(ISNUMBER('Price History'!D15)),'Price History'!D15=0),"",'Price History'!D16/'Price History'!D15-1),"")</f>
        <v>0.029373764418362</v>
      </c>
      <c r="E15" s="105" t="n">
        <f aca="false">IFERROR(IF(OR(NOT(ISNUMBER('Price History'!E16)),NOT(ISNUMBER('Price History'!E15)),'Price History'!E15=0),"",'Price History'!E16/'Price History'!E15-1),"")</f>
        <v>0.0847400022657756</v>
      </c>
      <c r="F15" s="105" t="n">
        <f aca="false">IFERROR(IF(OR(NOT(ISNUMBER('Price History'!F16)),NOT(ISNUMBER('Price History'!F15)),'Price History'!F15=0),"",'Price History'!F16/'Price History'!F15-1),"")</f>
        <v>0.0429239269018273</v>
      </c>
      <c r="G15" s="105" t="n">
        <f aca="false">IFERROR(IF(OR(NOT(ISNUMBER('Price History'!G16)),NOT(ISNUMBER('Price History'!G15)),'Price History'!G15=0),"",'Price History'!G16/'Price History'!G15-1),"")</f>
        <v>0.0694555644515613</v>
      </c>
      <c r="H15" s="105" t="n">
        <f aca="false">IFERROR(IF(OR(NOT(ISNUMBER('Price History'!H16)),NOT(ISNUMBER('Price History'!H15)),'Price History'!H15=0),"",'Price History'!H16/'Price History'!H15-1),"")</f>
        <v>0.0383025626894462</v>
      </c>
      <c r="I15" s="105" t="n">
        <f aca="false">IFERROR(IF(OR(NOT(ISNUMBER('Price History'!I16)),NOT(ISNUMBER('Price History'!I15)),'Price History'!I15=0),"",'Price History'!I16/'Price History'!I15-1),"")</f>
        <v>0.0739835592090647</v>
      </c>
      <c r="J15" s="105" t="n">
        <f aca="false">IFERROR(IF(OR(NOT(ISNUMBER('Price History'!J16)),NOT(ISNUMBER('Price History'!J15)),'Price History'!J15=0),"",'Price History'!J16/'Price History'!J15-1),"")</f>
        <v>-0.0187705302674801</v>
      </c>
      <c r="K15" s="105" t="n">
        <f aca="false">IFERROR(IF(OR(NOT(ISNUMBER('Price History'!K16)),NOT(ISNUMBER('Price History'!K15)),'Price History'!K15=0),"",'Price History'!K16/'Price History'!K15-1),"")</f>
        <v>0.0412916887241928</v>
      </c>
      <c r="L15" s="105" t="n">
        <f aca="false">IFERROR(IF(OR(NOT(ISNUMBER('Price History'!L16)),NOT(ISNUMBER('Price History'!L15)),'Price History'!L15=0),"",'Price History'!L16/'Price History'!L15-1),"")</f>
        <v>0.0615535461379235</v>
      </c>
      <c r="M15" s="105" t="n">
        <f aca="false">IFERROR(IF(OR(NOT(ISNUMBER('Price History'!M16)),NOT(ISNUMBER('Price History'!M15)),'Price History'!M15=0),"",'Price History'!M16/'Price History'!M15-1),"")</f>
        <v>0.0343719090009891</v>
      </c>
      <c r="N15" s="105" t="n">
        <f aca="false">IFERROR(IF(OR(NOT(ISNUMBER('Price History'!N16)),NOT(ISNUMBER('Price History'!N15)),'Price History'!N15=0),"",'Price History'!N16/'Price History'!N15-1),"")</f>
        <v>-0.00677830940988844</v>
      </c>
      <c r="O15" s="105" t="n">
        <f aca="false">IFERROR(IF(OR(NOT(ISNUMBER('Price History'!O16)),NOT(ISNUMBER('Price History'!O15)),'Price History'!O15=0),"",'Price History'!O16/'Price History'!O15-1),"")</f>
        <v>-0.0340836830726186</v>
      </c>
      <c r="P15" s="105" t="str">
        <f aca="false">IFERROR(IF(OR(NOT(ISNUMBER('Price History'!P16)),NOT(ISNUMBER('Price History'!P15)),'Price History'!P15=0),"",'Price History'!P16/'Price History'!P15-1),"")</f>
        <v/>
      </c>
      <c r="Q15" s="105" t="n">
        <f aca="false">IFERROR(IF(OR(NOT(ISNUMBER('Price History'!Q16)),NOT(ISNUMBER('Price History'!Q15)),'Price History'!Q15=0),"",'Price History'!Q16/'Price History'!Q15-1),"")</f>
        <v>0.0017048683462777</v>
      </c>
      <c r="R15" s="105" t="n">
        <f aca="false">IFERROR(IF(OR(NOT(ISNUMBER('Price History'!R16)),NOT(ISNUMBER('Price History'!R15)),'Price History'!R15=0),"",'Price History'!R16/'Price History'!R15-1),"")</f>
        <v>0.0208333333333333</v>
      </c>
      <c r="S15" s="105" t="n">
        <f aca="false">IFERROR(IF(OR(NOT(ISNUMBER('Price History'!S16)),NOT(ISNUMBER('Price History'!S15)),'Price History'!S15=0),"",'Price History'!S16/'Price History'!S15-1),"")</f>
        <v>0.0294970161977834</v>
      </c>
      <c r="T15" s="105" t="n">
        <f aca="false">IFERROR(IF(OR(NOT(ISNUMBER('Price History'!T16)),NOT(ISNUMBER('Price History'!T15)),'Price History'!T15=0),"",'Price History'!T16/'Price History'!T15-1),"")</f>
        <v>-0.00689391037916509</v>
      </c>
      <c r="U15" s="105" t="str">
        <f aca="false">IFERROR(IF(OR(NOT(ISNUMBER('Price History'!U16)),NOT(ISNUMBER('Price History'!U15)),'Price History'!U15=0),"",'Price History'!U16/'Price History'!U15-1),"")</f>
        <v/>
      </c>
      <c r="V15" s="106" t="n">
        <f aca="false">IFERROR(IF(OR(NOT(ISNUMBER('Price History'!V16)),NOT(ISNUMBER('Price History'!V15)),'Price History'!V15=0),"",'Price History'!V16/'Price History'!V15-1),"")</f>
        <v>0.00890344798622467</v>
      </c>
      <c r="W15" s="107" t="n">
        <f aca="false">'Price History'!B3+('Price History'!B158-'Price History'!B3)*0.0779220779220779</f>
        <v>488.342987012987</v>
      </c>
      <c r="X15" s="107" t="n">
        <f aca="false">'Price History'!C3+('Price History'!C158-'Price History'!C3)*0.0779220779220779</f>
        <v>54.3849350649351</v>
      </c>
      <c r="Y15" s="107" t="n">
        <f aca="false">'Price History'!D3+('Price History'!D158-'Price History'!D3)*0.0779220779220779</f>
        <v>737.147792207792</v>
      </c>
      <c r="Z15" s="107" t="n">
        <f aca="false">'Price History'!E3+('Price History'!E158-'Price History'!E3)*0.0779220779220779</f>
        <v>106.847532467532</v>
      </c>
      <c r="AA15" s="107" t="n">
        <f aca="false">'Price History'!F3+('Price History'!F158-'Price History'!F3)*0.0779220779220779</f>
        <v>49.0444155844156</v>
      </c>
      <c r="AB15" s="107" t="n">
        <f aca="false">'Price History'!G3+('Price History'!G158-'Price History'!G3)*0.0779220779220779</f>
        <v>58.4132467532468</v>
      </c>
      <c r="AC15" s="107" t="n">
        <f aca="false">'Price History'!H3+('Price History'!H158-'Price History'!H3)*0.0779220779220779</f>
        <v>123.486363636364</v>
      </c>
      <c r="AD15" s="107" t="n">
        <f aca="false">'Price History'!I3+('Price History'!I158-'Price History'!I3)*0.0779220779220779</f>
        <v>53.3097402597403</v>
      </c>
      <c r="AE15" s="107" t="n">
        <f aca="false">'Price History'!J3+('Price History'!J158-'Price History'!J3)*0.0779220779220779</f>
        <v>125.154155844156</v>
      </c>
      <c r="AF15" s="107" t="n">
        <f aca="false">'Price History'!K3+('Price History'!K158-'Price History'!K3)*0.0779220779220779</f>
        <v>23.7983116883117</v>
      </c>
      <c r="AG15" s="107" t="n">
        <f aca="false">'Price History'!L3+('Price History'!L158-'Price History'!L3)*0.0779220779220779</f>
        <v>116.321948051948</v>
      </c>
      <c r="AH15" s="107" t="n">
        <f aca="false">'Price History'!M3+('Price History'!M158-'Price History'!M3)*0.0779220779220779</f>
        <v>49.7224675324675</v>
      </c>
      <c r="AI15" s="107" t="n">
        <f aca="false">'Price History'!N3+('Price History'!N158-'Price History'!N3)*0.0779220779220779</f>
        <v>359.774805194805</v>
      </c>
      <c r="AJ15" s="107" t="n">
        <f aca="false">'Price History'!O3+('Price History'!O158-'Price History'!O3)*0.0779220779220779</f>
        <v>86.1562337662338</v>
      </c>
      <c r="AK15" s="107" t="n">
        <f aca="false">'Price History'!Q3+('Price History'!Q151-'Price History'!Q3)*0.0779220779220779</f>
        <v>51.2901298701299</v>
      </c>
      <c r="AL15" s="107" t="n">
        <f aca="false">'Price History'!R3+('Price History'!R158-'Price History'!R3)*0.0779220779220779</f>
        <v>48.6327272727273</v>
      </c>
      <c r="AM15" s="107" t="n">
        <f aca="false">'Price History'!S3+('Price History'!S158-'Price History'!S3)*0.0779220779220779</f>
        <v>65.185974025974</v>
      </c>
      <c r="AN15" s="107" t="n">
        <f aca="false">'Price History'!T3+('Price History'!T158-'Price History'!T3)*0.0779220779220779</f>
        <v>28.688961038961</v>
      </c>
    </row>
    <row r="16" customFormat="false" ht="15" hidden="false" customHeight="true" outlineLevel="0" collapsed="false">
      <c r="A16" s="104" t="n">
        <f aca="false">IF('Price History'!A17="","",'Price History'!A17)</f>
        <v>45247</v>
      </c>
      <c r="B16" s="105" t="n">
        <f aca="false">IFERROR(IF(OR(NOT(ISNUMBER('Price History'!B17)),NOT(ISNUMBER('Price History'!B16)),'Price History'!B16=0),"",'Price History'!B17/'Price History'!B16-1),"")</f>
        <v>0.00910887110277603</v>
      </c>
      <c r="C16" s="105" t="n">
        <f aca="false">IFERROR(IF(OR(NOT(ISNUMBER('Price History'!C17)),NOT(ISNUMBER('Price History'!C16)),'Price History'!C16=0),"",'Price History'!C17/'Price History'!C16-1),"")</f>
        <v>0.0377103074840455</v>
      </c>
      <c r="D16" s="105" t="n">
        <f aca="false">IFERROR(IF(OR(NOT(ISNUMBER('Price History'!D17)),NOT(ISNUMBER('Price History'!D16)),'Price History'!D16=0),"",'Price History'!D17/'Price History'!D16-1),"")</f>
        <v>0.0375181466247279</v>
      </c>
      <c r="E16" s="105" t="n">
        <f aca="false">IFERROR(IF(OR(NOT(ISNUMBER('Price History'!E17)),NOT(ISNUMBER('Price History'!E16)),'Price History'!E16=0),"",'Price History'!E17/'Price History'!E16-1),"")</f>
        <v>0.0210966057441253</v>
      </c>
      <c r="F16" s="105" t="n">
        <f aca="false">IFERROR(IF(OR(NOT(ISNUMBER('Price History'!F17)),NOT(ISNUMBER('Price History'!F16)),'Price History'!F16=0),"",'Price History'!F17/'Price History'!F16-1),"")</f>
        <v>0.0548084759576204</v>
      </c>
      <c r="G16" s="105" t="n">
        <f aca="false">IFERROR(IF(OR(NOT(ISNUMBER('Price History'!G17)),NOT(ISNUMBER('Price History'!G16)),'Price History'!G16=0),"",'Price History'!G17/'Price History'!G16-1),"")</f>
        <v>0.0190903986524424</v>
      </c>
      <c r="H16" s="105" t="n">
        <f aca="false">IFERROR(IF(OR(NOT(ISNUMBER('Price History'!H17)),NOT(ISNUMBER('Price History'!H16)),'Price History'!H16=0),"",'Price History'!H17/'Price History'!H16-1),"")</f>
        <v>0.0291932059447984</v>
      </c>
      <c r="I16" s="105" t="n">
        <f aca="false">IFERROR(IF(OR(NOT(ISNUMBER('Price History'!I17)),NOT(ISNUMBER('Price History'!I16)),'Price History'!I16=0),"",'Price History'!I17/'Price History'!I16-1),"")</f>
        <v>0.0198593297476208</v>
      </c>
      <c r="J16" s="105" t="n">
        <f aca="false">IFERROR(IF(OR(NOT(ISNUMBER('Price History'!J17)),NOT(ISNUMBER('Price History'!J16)),'Price History'!J16=0),"",'Price History'!J17/'Price History'!J16-1),"")</f>
        <v>0.0527977044476327</v>
      </c>
      <c r="K16" s="105" t="n">
        <f aca="false">IFERROR(IF(OR(NOT(ISNUMBER('Price History'!K17)),NOT(ISNUMBER('Price History'!K16)),'Price History'!K16=0),"",'Price History'!K17/'Price History'!K16-1),"")</f>
        <v>0.0416878495170308</v>
      </c>
      <c r="L16" s="105" t="n">
        <f aca="false">IFERROR(IF(OR(NOT(ISNUMBER('Price History'!L17)),NOT(ISNUMBER('Price History'!L16)),'Price History'!L16=0),"",'Price History'!L17/'Price History'!L16-1),"")</f>
        <v>0.0219622331691298</v>
      </c>
      <c r="M16" s="105" t="n">
        <f aca="false">IFERROR(IF(OR(NOT(ISNUMBER('Price History'!M17)),NOT(ISNUMBER('Price History'!M16)),'Price History'!M16=0),"",'Price History'!M17/'Price History'!M16-1),"")</f>
        <v>0.034903179536218</v>
      </c>
      <c r="N16" s="105" t="n">
        <f aca="false">IFERROR(IF(OR(NOT(ISNUMBER('Price History'!N17)),NOT(ISNUMBER('Price History'!N16)),'Price History'!N16=0),"",'Price History'!N17/'Price History'!N16-1),"")</f>
        <v>-0.06195637628797</v>
      </c>
      <c r="O16" s="105" t="n">
        <f aca="false">IFERROR(IF(OR(NOT(ISNUMBER('Price History'!O17)),NOT(ISNUMBER('Price History'!O16)),'Price History'!O16=0),"",'Price History'!O17/'Price History'!O16-1),"")</f>
        <v>0.0554312047399603</v>
      </c>
      <c r="P16" s="105" t="str">
        <f aca="false">IFERROR(IF(OR(NOT(ISNUMBER('Price History'!P17)),NOT(ISNUMBER('Price History'!P16)),'Price History'!P16=0),"",'Price History'!P17/'Price History'!P16-1),"")</f>
        <v/>
      </c>
      <c r="Q16" s="105" t="n">
        <f aca="false">IFERROR(IF(OR(NOT(ISNUMBER('Price History'!Q17)),NOT(ISNUMBER('Price History'!Q16)),'Price History'!Q16=0),"",'Price History'!Q17/'Price History'!Q16-1),"")</f>
        <v>-0.00434947049924361</v>
      </c>
      <c r="R16" s="105" t="n">
        <f aca="false">IFERROR(IF(OR(NOT(ISNUMBER('Price History'!R17)),NOT(ISNUMBER('Price History'!R16)),'Price History'!R16=0),"",'Price History'!R17/'Price History'!R16-1),"")</f>
        <v>0.00948258091115228</v>
      </c>
      <c r="S16" s="105" t="n">
        <f aca="false">IFERROR(IF(OR(NOT(ISNUMBER('Price History'!S17)),NOT(ISNUMBER('Price History'!S16)),'Price History'!S16=0),"",'Price History'!S17/'Price History'!S16-1),"")</f>
        <v>0.0216959258032461</v>
      </c>
      <c r="T16" s="105" t="n">
        <f aca="false">IFERROR(IF(OR(NOT(ISNUMBER('Price History'!T17)),NOT(ISNUMBER('Price History'!T16)),'Price History'!T16=0),"",'Price History'!T17/'Price History'!T16-1),"")</f>
        <v>0.0254531430775165</v>
      </c>
      <c r="U16" s="105" t="str">
        <f aca="false">IFERROR(IF(OR(NOT(ISNUMBER('Price History'!U17)),NOT(ISNUMBER('Price History'!U16)),'Price History'!U16=0),"",'Price History'!U17/'Price History'!U16-1),"")</f>
        <v/>
      </c>
      <c r="V16" s="106" t="n">
        <f aca="false">IFERROR(IF(OR(NOT(ISNUMBER('Price History'!V17)),NOT(ISNUMBER('Price History'!V16)),'Price History'!V16=0),"",'Price History'!V17/'Price History'!V16-1),"")</f>
        <v>0.0175664987720101</v>
      </c>
      <c r="W16" s="107" t="n">
        <f aca="false">'Price History'!B3+('Price History'!B158-'Price History'!B3)*0.0844155844155844</f>
        <v>486.667402597403</v>
      </c>
      <c r="X16" s="107" t="n">
        <f aca="false">'Price History'!C3+('Price History'!C158-'Price History'!C3)*0.0844155844155844</f>
        <v>55.272012987013</v>
      </c>
      <c r="Y16" s="107" t="n">
        <f aca="false">'Price History'!D3+('Price History'!D158-'Price History'!D3)*0.0844155844155844</f>
        <v>743.428441558442</v>
      </c>
      <c r="Z16" s="107" t="n">
        <f aca="false">'Price History'!E3+('Price History'!E158-'Price History'!E3)*0.0844155844155844</f>
        <v>108.836493506494</v>
      </c>
      <c r="AA16" s="107" t="n">
        <f aca="false">'Price History'!F3+('Price History'!F158-'Price History'!F3)*0.0844155844155844</f>
        <v>50.0431168831169</v>
      </c>
      <c r="AB16" s="107" t="n">
        <f aca="false">'Price History'!G3+('Price History'!G158-'Price History'!G3)*0.0844155844155844</f>
        <v>59.2893506493506</v>
      </c>
      <c r="AC16" s="107" t="n">
        <f aca="false">'Price History'!H3+('Price History'!H158-'Price History'!H3)*0.0844155844155844</f>
        <v>128.412727272727</v>
      </c>
      <c r="AD16" s="107" t="n">
        <f aca="false">'Price History'!I3+('Price History'!I158-'Price History'!I3)*0.0844155844155844</f>
        <v>54.3480519480519</v>
      </c>
      <c r="AE16" s="107" t="n">
        <f aca="false">'Price History'!J3+('Price History'!J158-'Price History'!J3)*0.0844155844155844</f>
        <v>125.291168831169</v>
      </c>
      <c r="AF16" s="107" t="n">
        <f aca="false">'Price History'!K3+('Price History'!K158-'Price History'!K3)*0.0844155844155844</f>
        <v>24.4973376623377</v>
      </c>
      <c r="AG16" s="107" t="n">
        <f aca="false">'Price History'!L3+('Price History'!L158-'Price History'!L3)*0.0844155844155844</f>
        <v>118.34961038961</v>
      </c>
      <c r="AH16" s="107" t="n">
        <f aca="false">'Price History'!M3+('Price History'!M158-'Price History'!M3)*0.0844155844155844</f>
        <v>51.0735064935065</v>
      </c>
      <c r="AI16" s="107" t="n">
        <f aca="false">'Price History'!N3+('Price History'!N158-'Price History'!N3)*0.0844155844155844</f>
        <v>360.601038961039</v>
      </c>
      <c r="AJ16" s="107" t="n">
        <f aca="false">'Price History'!O3+('Price History'!O158-'Price History'!O3)*0.0844155844155844</f>
        <v>86.4317532467533</v>
      </c>
      <c r="AK16" s="107" t="n">
        <f aca="false">'Price History'!Q3+('Price History'!Q151-'Price History'!Q3)*0.0844155844155844</f>
        <v>51.410974025974</v>
      </c>
      <c r="AL16" s="107" t="n">
        <f aca="false">'Price History'!R3+('Price History'!R158-'Price History'!R3)*0.0844155844155844</f>
        <v>48.7004545454546</v>
      </c>
      <c r="AM16" s="107" t="n">
        <f aca="false">'Price History'!S3+('Price History'!S158-'Price History'!S3)*0.0844155844155844</f>
        <v>65.7398051948052</v>
      </c>
      <c r="AN16" s="107" t="n">
        <f aca="false">'Price History'!T3+('Price History'!T158-'Price History'!T3)*0.0844155844155844</f>
        <v>28.8372077922078</v>
      </c>
    </row>
    <row r="17" customFormat="false" ht="15" hidden="false" customHeight="true" outlineLevel="0" collapsed="false">
      <c r="A17" s="104" t="n">
        <f aca="false">IF('Price History'!A18="","",'Price History'!A18)</f>
        <v>45254</v>
      </c>
      <c r="B17" s="105" t="n">
        <f aca="false">IFERROR(IF(OR(NOT(ISNUMBER('Price History'!B18)),NOT(ISNUMBER('Price History'!B17)),'Price History'!B17=0),"",'Price History'!B18/'Price History'!B17-1),"")</f>
        <v>0.02782663525039</v>
      </c>
      <c r="C17" s="105" t="n">
        <f aca="false">IFERROR(IF(OR(NOT(ISNUMBER('Price History'!C18)),NOT(ISNUMBER('Price History'!C17)),'Price History'!C17=0),"",'Price History'!C18/'Price History'!C17-1),"")</f>
        <v>0.0175177040626167</v>
      </c>
      <c r="D17" s="105" t="n">
        <f aca="false">IFERROR(IF(OR(NOT(ISNUMBER('Price History'!D18)),NOT(ISNUMBER('Price History'!D17)),'Price History'!D17=0),"",'Price History'!D18/'Price History'!D17-1),"")</f>
        <v>0.00741885175414292</v>
      </c>
      <c r="E17" s="105" t="n">
        <f aca="false">IFERROR(IF(OR(NOT(ISNUMBER('Price History'!E18)),NOT(ISNUMBER('Price History'!E17)),'Price History'!E17=0),"",'Price History'!E18/'Price History'!E17-1),"")</f>
        <v>0.00122737035900578</v>
      </c>
      <c r="F17" s="105" t="n">
        <f aca="false">IFERROR(IF(OR(NOT(ISNUMBER('Price History'!F18)),NOT(ISNUMBER('Price History'!F17)),'Price History'!F17=0),"",'Price History'!F18/'Price History'!F17-1),"")</f>
        <v>0.0173845856673749</v>
      </c>
      <c r="G17" s="105" t="n">
        <f aca="false">IFERROR(IF(OR(NOT(ISNUMBER('Price History'!G18)),NOT(ISNUMBER('Price History'!G17)),'Price History'!G17=0),"",'Price History'!G18/'Price History'!G17-1),"")</f>
        <v>0.0203856749311295</v>
      </c>
      <c r="H17" s="105" t="n">
        <f aca="false">IFERROR(IF(OR(NOT(ISNUMBER('Price History'!H18)),NOT(ISNUMBER('Price History'!H17)),'Price History'!H17=0),"",'Price History'!H18/'Price History'!H17-1),"")</f>
        <v>-0.00889633831872094</v>
      </c>
      <c r="I17" s="105" t="n">
        <f aca="false">IFERROR(IF(OR(NOT(ISNUMBER('Price History'!I18)),NOT(ISNUMBER('Price History'!I17)),'Price History'!I17=0),"",'Price History'!I18/'Price History'!I17-1),"")</f>
        <v>-0.0308316430020283</v>
      </c>
      <c r="J17" s="105" t="n">
        <f aca="false">IFERROR(IF(OR(NOT(ISNUMBER('Price History'!J18)),NOT(ISNUMBER('Price History'!J17)),'Price History'!J17=0),"",'Price History'!J18/'Price History'!J17-1),"")</f>
        <v>0.0175342963568639</v>
      </c>
      <c r="K17" s="105" t="n">
        <f aca="false">IFERROR(IF(OR(NOT(ISNUMBER('Price History'!K18)),NOT(ISNUMBER('Price History'!K17)),'Price History'!K17=0),"",'Price History'!K18/'Price History'!K17-1),"")</f>
        <v>-0.0629575402635432</v>
      </c>
      <c r="L17" s="105" t="n">
        <f aca="false">IFERROR(IF(OR(NOT(ISNUMBER('Price History'!L18)),NOT(ISNUMBER('Price History'!L17)),'Price History'!L17=0),"",'Price History'!L18/'Price History'!L17-1),"")</f>
        <v>-0.0175738100020084</v>
      </c>
      <c r="M17" s="105" t="n">
        <f aca="false">IFERROR(IF(OR(NOT(ISNUMBER('Price History'!M18)),NOT(ISNUMBER('Price History'!M17)),'Price History'!M17=0),"",'Price History'!M18/'Price History'!M17-1),"")</f>
        <v>-0.0140910140910141</v>
      </c>
      <c r="N17" s="105" t="n">
        <f aca="false">IFERROR(IF(OR(NOT(ISNUMBER('Price History'!N18)),NOT(ISNUMBER('Price History'!N17)),'Price History'!N17=0),"",'Price History'!N18/'Price History'!N17-1),"")</f>
        <v>0.00724679029957209</v>
      </c>
      <c r="O17" s="105" t="n">
        <f aca="false">IFERROR(IF(OR(NOT(ISNUMBER('Price History'!O18)),NOT(ISNUMBER('Price History'!O17)),'Price History'!O17=0),"",'Price History'!O18/'Price History'!O17-1),"")</f>
        <v>0.000124750499002069</v>
      </c>
      <c r="P17" s="105" t="str">
        <f aca="false">IFERROR(IF(OR(NOT(ISNUMBER('Price History'!P18)),NOT(ISNUMBER('Price History'!P17)),'Price History'!P17=0),"",'Price History'!P18/'Price History'!P17-1),"")</f>
        <v/>
      </c>
      <c r="Q17" s="105" t="n">
        <f aca="false">IFERROR(IF(OR(NOT(ISNUMBER('Price History'!Q18)),NOT(ISNUMBER('Price History'!Q17)),'Price History'!Q17=0),"",'Price History'!Q18/'Price History'!Q17-1),"")</f>
        <v>0.00987654320987663</v>
      </c>
      <c r="R17" s="105" t="n">
        <f aca="false">IFERROR(IF(OR(NOT(ISNUMBER('Price History'!R18)),NOT(ISNUMBER('Price History'!R17)),'Price History'!R17=0),"",'Price History'!R18/'Price History'!R17-1),"")</f>
        <v>0.00530937308556245</v>
      </c>
      <c r="S17" s="105" t="n">
        <f aca="false">IFERROR(IF(OR(NOT(ISNUMBER('Price History'!S18)),NOT(ISNUMBER('Price History'!S17)),'Price History'!S17=0),"",'Price History'!S18/'Price History'!S17-1),"")</f>
        <v>0.00551142810828331</v>
      </c>
      <c r="T17" s="105" t="n">
        <f aca="false">IFERROR(IF(OR(NOT(ISNUMBER('Price History'!T18)),NOT(ISNUMBER('Price History'!T17)),'Price History'!T17=0),"",'Price History'!T18/'Price History'!T17-1),"")</f>
        <v>0.00714554343738261</v>
      </c>
      <c r="U17" s="105" t="str">
        <f aca="false">IFERROR(IF(OR(NOT(ISNUMBER('Price History'!U18)),NOT(ISNUMBER('Price History'!U17)),'Price History'!U17=0),"",'Price History'!U18/'Price History'!U17-1),"")</f>
        <v/>
      </c>
      <c r="V17" s="106" t="n">
        <f aca="false">IFERROR(IF(OR(NOT(ISNUMBER('Price History'!V18)),NOT(ISNUMBER('Price History'!V17)),'Price History'!V17=0),"",'Price History'!V18/'Price History'!V17-1),"")</f>
        <v>0.019022294947842</v>
      </c>
      <c r="W17" s="107" t="n">
        <f aca="false">'Price History'!B3+('Price History'!B158-'Price History'!B3)*0.0909090909090909</f>
        <v>484.991818181818</v>
      </c>
      <c r="X17" s="107" t="n">
        <f aca="false">'Price History'!C3+('Price History'!C158-'Price History'!C3)*0.0909090909090909</f>
        <v>56.1590909090909</v>
      </c>
      <c r="Y17" s="107" t="n">
        <f aca="false">'Price History'!D3+('Price History'!D158-'Price History'!D3)*0.0909090909090909</f>
        <v>749.709090909091</v>
      </c>
      <c r="Z17" s="107" t="n">
        <f aca="false">'Price History'!E3+('Price History'!E158-'Price History'!E3)*0.0909090909090909</f>
        <v>110.825454545455</v>
      </c>
      <c r="AA17" s="107" t="n">
        <f aca="false">'Price History'!F3+('Price History'!F158-'Price History'!F3)*0.0909090909090909</f>
        <v>51.0418181818182</v>
      </c>
      <c r="AB17" s="107" t="n">
        <f aca="false">'Price History'!G3+('Price History'!G158-'Price History'!G3)*0.0909090909090909</f>
        <v>60.1654545454545</v>
      </c>
      <c r="AC17" s="107" t="n">
        <f aca="false">'Price History'!H3+('Price History'!H158-'Price History'!H3)*0.0909090909090909</f>
        <v>133.339090909091</v>
      </c>
      <c r="AD17" s="107" t="n">
        <f aca="false">'Price History'!I3+('Price History'!I158-'Price History'!I3)*0.0909090909090909</f>
        <v>55.3863636363636</v>
      </c>
      <c r="AE17" s="107" t="n">
        <f aca="false">'Price History'!J3+('Price History'!J158-'Price History'!J3)*0.0909090909090909</f>
        <v>125.428181818182</v>
      </c>
      <c r="AF17" s="107" t="n">
        <f aca="false">'Price History'!K3+('Price History'!K158-'Price History'!K3)*0.0909090909090909</f>
        <v>25.1963636363636</v>
      </c>
      <c r="AG17" s="107" t="n">
        <f aca="false">'Price History'!L3+('Price History'!L158-'Price History'!L3)*0.0909090909090909</f>
        <v>120.377272727273</v>
      </c>
      <c r="AH17" s="107" t="n">
        <f aca="false">'Price History'!M3+('Price History'!M158-'Price History'!M3)*0.0909090909090909</f>
        <v>52.4245454545455</v>
      </c>
      <c r="AI17" s="107" t="n">
        <f aca="false">'Price History'!N3+('Price History'!N158-'Price History'!N3)*0.0909090909090909</f>
        <v>361.427272727273</v>
      </c>
      <c r="AJ17" s="107" t="n">
        <f aca="false">'Price History'!O3+('Price History'!O158-'Price History'!O3)*0.0909090909090909</f>
        <v>86.7072727272727</v>
      </c>
      <c r="AK17" s="107" t="n">
        <f aca="false">'Price History'!Q3+('Price History'!Q151-'Price History'!Q3)*0.0909090909090909</f>
        <v>51.5318181818182</v>
      </c>
      <c r="AL17" s="107" t="n">
        <f aca="false">'Price History'!R3+('Price History'!R158-'Price History'!R3)*0.0909090909090909</f>
        <v>48.7681818181818</v>
      </c>
      <c r="AM17" s="107" t="n">
        <f aca="false">'Price History'!S3+('Price History'!S158-'Price History'!S3)*0.0909090909090909</f>
        <v>66.2936363636364</v>
      </c>
      <c r="AN17" s="107" t="n">
        <f aca="false">'Price History'!T3+('Price History'!T158-'Price History'!T3)*0.0909090909090909</f>
        <v>28.9854545454545</v>
      </c>
    </row>
    <row r="18" customFormat="false" ht="15" hidden="false" customHeight="true" outlineLevel="0" collapsed="false">
      <c r="A18" s="104" t="n">
        <f aca="false">IF('Price History'!A19="","",'Price History'!A19)</f>
        <v>45261</v>
      </c>
      <c r="B18" s="105" t="n">
        <f aca="false">IFERROR(IF(OR(NOT(ISNUMBER('Price History'!B19)),NOT(ISNUMBER('Price History'!B18)),'Price History'!B18=0),"",'Price History'!B19/'Price History'!B18-1),"")</f>
        <v>-0.0112361364480247</v>
      </c>
      <c r="C18" s="105" t="n">
        <f aca="false">IFERROR(IF(OR(NOT(ISNUMBER('Price History'!C19)),NOT(ISNUMBER('Price History'!C18)),'Price History'!C18=0),"",'Price History'!C19/'Price History'!C18-1),"")</f>
        <v>-0.00805860805860814</v>
      </c>
      <c r="D18" s="105" t="n">
        <f aca="false">IFERROR(IF(OR(NOT(ISNUMBER('Price History'!D19)),NOT(ISNUMBER('Price History'!D18)),'Price History'!D18=0),"",'Price History'!D19/'Price History'!D18-1),"")</f>
        <v>0.00147573714517213</v>
      </c>
      <c r="E18" s="105" t="n">
        <f aca="false">IFERROR(IF(OR(NOT(ISNUMBER('Price History'!E19)),NOT(ISNUMBER('Price History'!E18)),'Price History'!E18=0),"",'Price History'!E19/'Price History'!E18-1),"")</f>
        <v>-0.0499540300337114</v>
      </c>
      <c r="F18" s="105" t="n">
        <f aca="false">IFERROR(IF(OR(NOT(ISNUMBER('Price History'!F19)),NOT(ISNUMBER('Price History'!F18)),'Price History'!F18=0),"",'Price History'!F19/'Price History'!F18-1),"")</f>
        <v>0.115625593316879</v>
      </c>
      <c r="G18" s="105" t="n">
        <f aca="false">IFERROR(IF(OR(NOT(ISNUMBER('Price History'!G19)),NOT(ISNUMBER('Price History'!G18)),'Price History'!G18=0),"",'Price History'!G19/'Price History'!G18-1),"")</f>
        <v>-0.0118790496760259</v>
      </c>
      <c r="H18" s="105" t="n">
        <f aca="false">IFERROR(IF(OR(NOT(ISNUMBER('Price History'!H19)),NOT(ISNUMBER('Price History'!H18)),'Price History'!H18=0),"",'Price History'!H19/'Price History'!H18-1),"")</f>
        <v>-0.0122284376219591</v>
      </c>
      <c r="I18" s="105" t="n">
        <f aca="false">IFERROR(IF(OR(NOT(ISNUMBER('Price History'!I19)),NOT(ISNUMBER('Price History'!I18)),'Price History'!I18=0),"",'Price History'!I19/'Price History'!I18-1),"")</f>
        <v>-0.0211385516952699</v>
      </c>
      <c r="J18" s="105" t="n">
        <f aca="false">IFERROR(IF(OR(NOT(ISNUMBER('Price History'!J19)),NOT(ISNUMBER('Price History'!J18)),'Price History'!J18=0),"",'Price History'!J19/'Price History'!J18-1),"")</f>
        <v>0.0558928571428572</v>
      </c>
      <c r="K18" s="105" t="n">
        <f aca="false">IFERROR(IF(OR(NOT(ISNUMBER('Price History'!K19)),NOT(ISNUMBER('Price History'!K18)),'Price History'!K18=0),"",'Price History'!K19/'Price History'!K18-1),"")</f>
        <v>0.0557291666666666</v>
      </c>
      <c r="L18" s="105" t="n">
        <f aca="false">IFERROR(IF(OR(NOT(ISNUMBER('Price History'!L19)),NOT(ISNUMBER('Price History'!L18)),'Price History'!L18=0),"",'Price History'!L19/'Price History'!L18-1),"")</f>
        <v>0.00735970561177557</v>
      </c>
      <c r="M18" s="105" t="n">
        <f aca="false">IFERROR(IF(OR(NOT(ISNUMBER('Price History'!M19)),NOT(ISNUMBER('Price History'!M18)),'Price History'!M18=0),"",'Price History'!M19/'Price History'!M18-1),"")</f>
        <v>0.0576382380506093</v>
      </c>
      <c r="N18" s="105" t="n">
        <f aca="false">IFERROR(IF(OR(NOT(ISNUMBER('Price History'!N19)),NOT(ISNUMBER('Price History'!N18)),'Price History'!N18=0),"",'Price History'!N19/'Price History'!N18-1),"")</f>
        <v>-0.00532517561749379</v>
      </c>
      <c r="O18" s="105" t="n">
        <f aca="false">IFERROR(IF(OR(NOT(ISNUMBER('Price History'!O19)),NOT(ISNUMBER('Price History'!O18)),'Price History'!O18=0),"",'Price History'!O19/'Price History'!O18-1),"")</f>
        <v>0.0335536983909193</v>
      </c>
      <c r="P18" s="105" t="str">
        <f aca="false">IFERROR(IF(OR(NOT(ISNUMBER('Price History'!P19)),NOT(ISNUMBER('Price History'!P18)),'Price History'!P18=0),"",'Price History'!P19/'Price History'!P18-1),"")</f>
        <v/>
      </c>
      <c r="Q18" s="105" t="n">
        <f aca="false">IFERROR(IF(OR(NOT(ISNUMBER('Price History'!Q19)),NOT(ISNUMBER('Price History'!Q18)),'Price History'!Q18=0),"",'Price History'!Q19/'Price History'!Q18-1),"")</f>
        <v>0.00583035546360722</v>
      </c>
      <c r="R18" s="105" t="n">
        <f aca="false">IFERROR(IF(OR(NOT(ISNUMBER('Price History'!R19)),NOT(ISNUMBER('Price History'!R18)),'Price History'!R18=0),"",'Price History'!R19/'Price History'!R18-1),"")</f>
        <v>-0.00670322973796467</v>
      </c>
      <c r="S18" s="105" t="n">
        <f aca="false">IFERROR(IF(OR(NOT(ISNUMBER('Price History'!S19)),NOT(ISNUMBER('Price History'!S18)),'Price History'!S18=0),"",'Price History'!S19/'Price History'!S18-1),"")</f>
        <v>-0.00225697243269385</v>
      </c>
      <c r="T18" s="105" t="n">
        <f aca="false">IFERROR(IF(OR(NOT(ISNUMBER('Price History'!T19)),NOT(ISNUMBER('Price History'!T18)),'Price History'!T18=0),"",'Price History'!T19/'Price History'!T18-1),"")</f>
        <v>0.0134428678117999</v>
      </c>
      <c r="U18" s="105" t="str">
        <f aca="false">IFERROR(IF(OR(NOT(ISNUMBER('Price History'!U19)),NOT(ISNUMBER('Price History'!U18)),'Price History'!U18=0),"",'Price History'!U19/'Price History'!U18-1),"")</f>
        <v/>
      </c>
      <c r="V18" s="106" t="n">
        <f aca="false">IFERROR(IF(OR(NOT(ISNUMBER('Price History'!V19)),NOT(ISNUMBER('Price History'!V18)),'Price History'!V18=0),"",'Price History'!V19/'Price History'!V18-1),"")</f>
        <v>0.00843034925732633</v>
      </c>
      <c r="W18" s="107" t="n">
        <f aca="false">'Price History'!B3+('Price History'!B158-'Price History'!B3)*0.0974025974025974</f>
        <v>483.316233766234</v>
      </c>
      <c r="X18" s="107" t="n">
        <f aca="false">'Price History'!C3+('Price History'!C158-'Price History'!C3)*0.0974025974025974</f>
        <v>57.0461688311688</v>
      </c>
      <c r="Y18" s="107" t="n">
        <f aca="false">'Price History'!D3+('Price History'!D158-'Price History'!D3)*0.0974025974025974</f>
        <v>755.98974025974</v>
      </c>
      <c r="Z18" s="107" t="n">
        <f aca="false">'Price History'!E3+('Price History'!E158-'Price History'!E3)*0.0974025974025974</f>
        <v>112.814415584416</v>
      </c>
      <c r="AA18" s="107" t="n">
        <f aca="false">'Price History'!F3+('Price History'!F158-'Price History'!F3)*0.0974025974025974</f>
        <v>52.0405194805195</v>
      </c>
      <c r="AB18" s="107" t="n">
        <f aca="false">'Price History'!G3+('Price History'!G158-'Price History'!G3)*0.0974025974025974</f>
        <v>61.0415584415584</v>
      </c>
      <c r="AC18" s="107" t="n">
        <f aca="false">'Price History'!H3+('Price History'!H158-'Price History'!H3)*0.0974025974025974</f>
        <v>138.265454545455</v>
      </c>
      <c r="AD18" s="107" t="n">
        <f aca="false">'Price History'!I3+('Price History'!I158-'Price History'!I3)*0.0974025974025974</f>
        <v>56.4246753246753</v>
      </c>
      <c r="AE18" s="107" t="n">
        <f aca="false">'Price History'!J3+('Price History'!J158-'Price History'!J3)*0.0974025974025974</f>
        <v>125.565194805195</v>
      </c>
      <c r="AF18" s="107" t="n">
        <f aca="false">'Price History'!K3+('Price History'!K158-'Price History'!K3)*0.0974025974025974</f>
        <v>25.8953896103896</v>
      </c>
      <c r="AG18" s="107" t="n">
        <f aca="false">'Price History'!L3+('Price History'!L158-'Price History'!L3)*0.0974025974025974</f>
        <v>122.404935064935</v>
      </c>
      <c r="AH18" s="107" t="n">
        <f aca="false">'Price History'!M3+('Price History'!M158-'Price History'!M3)*0.0974025974025974</f>
        <v>53.7755844155844</v>
      </c>
      <c r="AI18" s="107" t="n">
        <f aca="false">'Price History'!N3+('Price History'!N158-'Price History'!N3)*0.0974025974025974</f>
        <v>362.253506493507</v>
      </c>
      <c r="AJ18" s="107" t="n">
        <f aca="false">'Price History'!O3+('Price History'!O158-'Price History'!O3)*0.0974025974025974</f>
        <v>86.9827922077922</v>
      </c>
      <c r="AK18" s="107" t="n">
        <f aca="false">'Price History'!Q3+('Price History'!Q151-'Price History'!Q3)*0.0974025974025974</f>
        <v>51.6526623376623</v>
      </c>
      <c r="AL18" s="107" t="n">
        <f aca="false">'Price History'!R3+('Price History'!R158-'Price History'!R3)*0.0974025974025974</f>
        <v>48.8359090909091</v>
      </c>
      <c r="AM18" s="107" t="n">
        <f aca="false">'Price History'!S3+('Price History'!S158-'Price History'!S3)*0.0974025974025974</f>
        <v>66.8474675324675</v>
      </c>
      <c r="AN18" s="107" t="n">
        <f aca="false">'Price History'!T3+('Price History'!T158-'Price History'!T3)*0.0974025974025974</f>
        <v>29.1337012987013</v>
      </c>
    </row>
    <row r="19" customFormat="false" ht="15" hidden="false" customHeight="true" outlineLevel="0" collapsed="false">
      <c r="A19" s="104" t="n">
        <f aca="false">IF('Price History'!A20="","",'Price History'!A20)</f>
        <v>45268</v>
      </c>
      <c r="B19" s="105" t="n">
        <f aca="false">IFERROR(IF(OR(NOT(ISNUMBER('Price History'!B20)),NOT(ISNUMBER('Price History'!B19)),'Price History'!B19=0),"",'Price History'!B20/'Price History'!B19-1),"")</f>
        <v>-0.00401652325828206</v>
      </c>
      <c r="C19" s="105" t="n">
        <f aca="false">IFERROR(IF(OR(NOT(ISNUMBER('Price History'!C20)),NOT(ISNUMBER('Price History'!C19)),'Price History'!C19=0),"",'Price History'!C20/'Price History'!C19-1),"")</f>
        <v>0.0341580502215657</v>
      </c>
      <c r="D19" s="105" t="n">
        <f aca="false">IFERROR(IF(OR(NOT(ISNUMBER('Price History'!D20)),NOT(ISNUMBER('Price History'!D19)),'Price History'!D19=0),"",'Price History'!D20/'Price History'!D19-1),"")</f>
        <v>0.00611095059231426</v>
      </c>
      <c r="E19" s="105" t="n">
        <f aca="false">IFERROR(IF(OR(NOT(ISNUMBER('Price History'!E20)),NOT(ISNUMBER('Price History'!E19)),'Price History'!E19=0),"",'Price History'!E20/'Price History'!E19-1),"")</f>
        <v>0.0153763440860215</v>
      </c>
      <c r="F19" s="105" t="n">
        <f aca="false">IFERROR(IF(OR(NOT(ISNUMBER('Price History'!F20)),NOT(ISNUMBER('Price History'!F19)),'Price History'!F19=0),"",'Price History'!F20/'Price History'!F19-1),"")</f>
        <v>0.0319945541184479</v>
      </c>
      <c r="G19" s="105" t="n">
        <f aca="false">IFERROR(IF(OR(NOT(ISNUMBER('Price History'!G20)),NOT(ISNUMBER('Price History'!G19)),'Price History'!G19=0),"",'Price History'!G20/'Price History'!G19-1),"")</f>
        <v>-0.0265938069216758</v>
      </c>
      <c r="H19" s="105" t="n">
        <f aca="false">IFERROR(IF(OR(NOT(ISNUMBER('Price History'!H20)),NOT(ISNUMBER('Price History'!H19)),'Price History'!H19=0),"",'Price History'!H20/'Price History'!H19-1),"")</f>
        <v>-0.0127749242723563</v>
      </c>
      <c r="I19" s="105" t="n">
        <f aca="false">IFERROR(IF(OR(NOT(ISNUMBER('Price History'!I20)),NOT(ISNUMBER('Price History'!I19)),'Price History'!I19=0),"",'Price History'!I20/'Price History'!I19-1),"")</f>
        <v>0.01582210818901</v>
      </c>
      <c r="J19" s="105" t="n">
        <f aca="false">IFERROR(IF(OR(NOT(ISNUMBER('Price History'!J20)),NOT(ISNUMBER('Price History'!J19)),'Price History'!J19=0),"",'Price History'!J20/'Price History'!J19-1),"")</f>
        <v>0.0134449518011162</v>
      </c>
      <c r="K19" s="105" t="n">
        <f aca="false">IFERROR(IF(OR(NOT(ISNUMBER('Price History'!K20)),NOT(ISNUMBER('Price History'!K19)),'Price History'!K19=0),"",'Price History'!K20/'Price History'!K19-1),"")</f>
        <v>-0.123334977799704</v>
      </c>
      <c r="L19" s="105" t="n">
        <f aca="false">IFERROR(IF(OR(NOT(ISNUMBER('Price History'!L20)),NOT(ISNUMBER('Price History'!L19)),'Price History'!L19=0),"",'Price History'!L20/'Price History'!L19-1),"")</f>
        <v>0.0182648401826484</v>
      </c>
      <c r="M19" s="105" t="n">
        <f aca="false">IFERROR(IF(OR(NOT(ISNUMBER('Price History'!M20)),NOT(ISNUMBER('Price History'!M19)),'Price History'!M19=0),"",'Price History'!M20/'Price History'!M19-1),"")</f>
        <v>0.0443066016836509</v>
      </c>
      <c r="N19" s="105" t="n">
        <f aca="false">IFERROR(IF(OR(NOT(ISNUMBER('Price History'!N20)),NOT(ISNUMBER('Price History'!N19)),'Price History'!N19=0),"",'Price History'!N20/'Price History'!N19-1),"")</f>
        <v>-0.0028761817974714</v>
      </c>
      <c r="O19" s="105" t="n">
        <f aca="false">IFERROR(IF(OR(NOT(ISNUMBER('Price History'!O20)),NOT(ISNUMBER('Price History'!O19)),'Price History'!O19=0),"",'Price History'!O20/'Price History'!O19-1),"")</f>
        <v>0.00832729905865315</v>
      </c>
      <c r="P19" s="105" t="str">
        <f aca="false">IFERROR(IF(OR(NOT(ISNUMBER('Price History'!P20)),NOT(ISNUMBER('Price History'!P19)),'Price History'!P19=0),"",'Price History'!P20/'Price History'!P19-1),"")</f>
        <v/>
      </c>
      <c r="Q19" s="105" t="n">
        <f aca="false">IFERROR(IF(OR(NOT(ISNUMBER('Price History'!Q20)),NOT(ISNUMBER('Price History'!Q19)),'Price History'!Q19=0),"",'Price History'!Q20/'Price History'!Q19-1),"")</f>
        <v>0.0063575168287211</v>
      </c>
      <c r="R19" s="105" t="n">
        <f aca="false">IFERROR(IF(OR(NOT(ISNUMBER('Price History'!R20)),NOT(ISNUMBER('Price History'!R19)),'Price History'!R19=0),"",'Price History'!R20/'Price History'!R19-1),"")</f>
        <v>0.00736196319018401</v>
      </c>
      <c r="S19" s="105" t="n">
        <f aca="false">IFERROR(IF(OR(NOT(ISNUMBER('Price History'!S20)),NOT(ISNUMBER('Price History'!S19)),'Price History'!S19=0),"",'Price History'!S20/'Price History'!S19-1),"")</f>
        <v>0.0037162708030376</v>
      </c>
      <c r="T19" s="105" t="n">
        <f aca="false">IFERROR(IF(OR(NOT(ISNUMBER('Price History'!T20)),NOT(ISNUMBER('Price History'!T19)),'Price History'!T19=0),"",'Price History'!T20/'Price History'!T19-1),"")</f>
        <v>0.00884303610906412</v>
      </c>
      <c r="U19" s="105" t="str">
        <f aca="false">IFERROR(IF(OR(NOT(ISNUMBER('Price History'!U20)),NOT(ISNUMBER('Price History'!U19)),'Price History'!U19=0),"",'Price History'!U20/'Price History'!U19-1),"")</f>
        <v/>
      </c>
      <c r="V19" s="106" t="n">
        <f aca="false">IFERROR(IF(OR(NOT(ISNUMBER('Price History'!V20)),NOT(ISNUMBER('Price History'!V19)),'Price History'!V19=0),"",'Price History'!V20/'Price History'!V19-1),"")</f>
        <v>-0.00274681528662424</v>
      </c>
      <c r="W19" s="107" t="n">
        <f aca="false">'Price History'!B3+('Price History'!B158-'Price History'!B3)*0.103896103896104</f>
        <v>481.640649350649</v>
      </c>
      <c r="X19" s="107" t="n">
        <f aca="false">'Price History'!C3+('Price History'!C158-'Price History'!C3)*0.103896103896104</f>
        <v>57.9332467532468</v>
      </c>
      <c r="Y19" s="107" t="n">
        <f aca="false">'Price History'!D3+('Price History'!D158-'Price History'!D3)*0.103896103896104</f>
        <v>762.27038961039</v>
      </c>
      <c r="Z19" s="107" t="n">
        <f aca="false">'Price History'!E3+('Price History'!E158-'Price History'!E3)*0.103896103896104</f>
        <v>114.803376623377</v>
      </c>
      <c r="AA19" s="107" t="n">
        <f aca="false">'Price History'!F3+('Price History'!F158-'Price History'!F3)*0.103896103896104</f>
        <v>53.0392207792208</v>
      </c>
      <c r="AB19" s="107" t="n">
        <f aca="false">'Price History'!G3+('Price History'!G158-'Price History'!G3)*0.103896103896104</f>
        <v>61.9176623376624</v>
      </c>
      <c r="AC19" s="107" t="n">
        <f aca="false">'Price History'!H3+('Price History'!H158-'Price History'!H3)*0.103896103896104</f>
        <v>143.191818181818</v>
      </c>
      <c r="AD19" s="107" t="n">
        <f aca="false">'Price History'!I3+('Price History'!I158-'Price History'!I3)*0.103896103896104</f>
        <v>57.462987012987</v>
      </c>
      <c r="AE19" s="107" t="n">
        <f aca="false">'Price History'!J3+('Price History'!J158-'Price History'!J3)*0.103896103896104</f>
        <v>125.702207792208</v>
      </c>
      <c r="AF19" s="107" t="n">
        <f aca="false">'Price History'!K3+('Price History'!K158-'Price History'!K3)*0.103896103896104</f>
        <v>26.5944155844156</v>
      </c>
      <c r="AG19" s="107" t="n">
        <f aca="false">'Price History'!L3+('Price History'!L158-'Price History'!L3)*0.103896103896104</f>
        <v>124.432597402597</v>
      </c>
      <c r="AH19" s="107" t="n">
        <f aca="false">'Price History'!M3+('Price History'!M158-'Price History'!M3)*0.103896103896104</f>
        <v>55.1266233766234</v>
      </c>
      <c r="AI19" s="107" t="n">
        <f aca="false">'Price History'!N3+('Price History'!N158-'Price History'!N3)*0.103896103896104</f>
        <v>363.07974025974</v>
      </c>
      <c r="AJ19" s="107" t="n">
        <f aca="false">'Price History'!O3+('Price History'!O158-'Price History'!O3)*0.103896103896104</f>
        <v>87.2583116883117</v>
      </c>
      <c r="AK19" s="107" t="n">
        <f aca="false">'Price History'!Q3+('Price History'!Q151-'Price History'!Q3)*0.103896103896104</f>
        <v>51.7735064935065</v>
      </c>
      <c r="AL19" s="107" t="n">
        <f aca="false">'Price History'!R3+('Price History'!R158-'Price History'!R3)*0.103896103896104</f>
        <v>48.9036363636364</v>
      </c>
      <c r="AM19" s="107" t="n">
        <f aca="false">'Price History'!S3+('Price History'!S158-'Price History'!S3)*0.103896103896104</f>
        <v>67.4012987012987</v>
      </c>
      <c r="AN19" s="107" t="n">
        <f aca="false">'Price History'!T3+('Price History'!T158-'Price History'!T3)*0.103896103896104</f>
        <v>29.2819480519481</v>
      </c>
    </row>
    <row r="20" customFormat="false" ht="15" hidden="false" customHeight="true" outlineLevel="0" collapsed="false">
      <c r="A20" s="104" t="n">
        <f aca="false">IF('Price History'!A21="","",'Price History'!A21)</f>
        <v>45275</v>
      </c>
      <c r="B20" s="105" t="n">
        <f aca="false">IFERROR(IF(OR(NOT(ISNUMBER('Price History'!B21)),NOT(ISNUMBER('Price History'!B20)),'Price History'!B20=0),"",'Price History'!B21/'Price History'!B20-1),"")</f>
        <v>-0.0415239094441076</v>
      </c>
      <c r="C20" s="105" t="n">
        <f aca="false">IFERROR(IF(OR(NOT(ISNUMBER('Price History'!C21)),NOT(ISNUMBER('Price History'!C20)),'Price History'!C20=0),"",'Price History'!C21/'Price History'!C20-1),"")</f>
        <v>0.0515979289412605</v>
      </c>
      <c r="D20" s="105" t="n">
        <f aca="false">IFERROR(IF(OR(NOT(ISNUMBER('Price History'!D21)),NOT(ISNUMBER('Price History'!D20)),'Price History'!D20=0),"",'Price History'!D21/'Price History'!D20-1),"")</f>
        <v>0.0811711155464299</v>
      </c>
      <c r="E20" s="105" t="n">
        <f aca="false">IFERROR(IF(OR(NOT(ISNUMBER('Price History'!E21)),NOT(ISNUMBER('Price History'!E20)),'Price History'!E20=0),"",'Price History'!E21/'Price History'!E20-1),"")</f>
        <v>0.19633591019803</v>
      </c>
      <c r="F20" s="105" t="n">
        <f aca="false">IFERROR(IF(OR(NOT(ISNUMBER('Price History'!F21)),NOT(ISNUMBER('Price History'!F20)),'Price History'!F20=0),"",'Price History'!F21/'Price History'!F20-1),"")</f>
        <v>0.0722295514511873</v>
      </c>
      <c r="G20" s="105" t="n">
        <f aca="false">IFERROR(IF(OR(NOT(ISNUMBER('Price History'!G21)),NOT(ISNUMBER('Price History'!G20)),'Price History'!G20=0),"",'Price History'!G21/'Price History'!G20-1),"")</f>
        <v>0.094872754491018</v>
      </c>
      <c r="H20" s="105" t="n">
        <f aca="false">IFERROR(IF(OR(NOT(ISNUMBER('Price History'!H21)),NOT(ISNUMBER('Price History'!H20)),'Price History'!H20=0),"",'Price History'!H21/'Price History'!H20-1),"")</f>
        <v>0.0860458911419424</v>
      </c>
      <c r="I20" s="105" t="n">
        <f aca="false">IFERROR(IF(OR(NOT(ISNUMBER('Price History'!I21)),NOT(ISNUMBER('Price History'!I20)),'Price History'!I20=0),"",'Price History'!I21/'Price History'!I20-1),"")</f>
        <v>0.0290465165228373</v>
      </c>
      <c r="J20" s="105" t="n">
        <f aca="false">IFERROR(IF(OR(NOT(ISNUMBER('Price History'!J21)),NOT(ISNUMBER('Price History'!J20)),'Price History'!J20=0),"",'Price History'!J21/'Price History'!J20-1),"")</f>
        <v>0.12023362536504</v>
      </c>
      <c r="K20" s="105" t="n">
        <f aca="false">IFERROR(IF(OR(NOT(ISNUMBER('Price History'!K21)),NOT(ISNUMBER('Price History'!K20)),'Price History'!K20=0),"",'Price History'!K21/'Price History'!K20-1),"")</f>
        <v>0.024198086662915</v>
      </c>
      <c r="L20" s="105" t="n">
        <f aca="false">IFERROR(IF(OR(NOT(ISNUMBER('Price History'!L21)),NOT(ISNUMBER('Price History'!L20)),'Price History'!L20=0),"",'Price History'!L21/'Price History'!L20-1),"")</f>
        <v>0.0218236173393125</v>
      </c>
      <c r="M20" s="105" t="n">
        <f aca="false">IFERROR(IF(OR(NOT(ISNUMBER('Price History'!M21)),NOT(ISNUMBER('Price History'!M20)),'Price History'!M20=0),"",'Price History'!M21/'Price History'!M20-1),"")</f>
        <v>0.0125159100551548</v>
      </c>
      <c r="N20" s="105" t="n">
        <f aca="false">IFERROR(IF(OR(NOT(ISNUMBER('Price History'!N21)),NOT(ISNUMBER('Price History'!N20)),'Price History'!N20=0),"",'Price History'!N21/'Price History'!N20-1),"")</f>
        <v>0.172868770526917</v>
      </c>
      <c r="O20" s="105" t="n">
        <f aca="false">IFERROR(IF(OR(NOT(ISNUMBER('Price History'!O21)),NOT(ISNUMBER('Price History'!O20)),'Price History'!O20=0),"",'Price History'!O21/'Price History'!O20-1),"")</f>
        <v>0.0548174745661281</v>
      </c>
      <c r="P20" s="105" t="str">
        <f aca="false">IFERROR(IF(OR(NOT(ISNUMBER('Price History'!P21)),NOT(ISNUMBER('Price History'!P20)),'Price History'!P20=0),"",'Price History'!P21/'Price History'!P20-1),"")</f>
        <v/>
      </c>
      <c r="Q20" s="105" t="n">
        <f aca="false">IFERROR(IF(OR(NOT(ISNUMBER('Price History'!Q21)),NOT(ISNUMBER('Price History'!Q20)),'Price History'!Q20=0),"",'Price History'!Q21/'Price History'!Q20-1),"")</f>
        <v>0.0141211445559271</v>
      </c>
      <c r="R20" s="105" t="n">
        <f aca="false">IFERROR(IF(OR(NOT(ISNUMBER('Price History'!R21)),NOT(ISNUMBER('Price History'!R20)),'Price History'!R20=0),"",'Price History'!R21/'Price History'!R20-1),"")</f>
        <v>0.0150223304912709</v>
      </c>
      <c r="S20" s="105" t="n">
        <f aca="false">IFERROR(IF(OR(NOT(ISNUMBER('Price History'!S21)),NOT(ISNUMBER('Price History'!S20)),'Price History'!S20=0),"",'Price History'!S21/'Price History'!S20-1),"")</f>
        <v>0.0341274951706374</v>
      </c>
      <c r="T20" s="105" t="n">
        <f aca="false">IFERROR(IF(OR(NOT(ISNUMBER('Price History'!T21)),NOT(ISNUMBER('Price History'!T20)),'Price History'!T20=0),"",'Price History'!T21/'Price History'!T20-1),"")</f>
        <v>0.0277574872169468</v>
      </c>
      <c r="U20" s="105" t="str">
        <f aca="false">IFERROR(IF(OR(NOT(ISNUMBER('Price History'!U21)),NOT(ISNUMBER('Price History'!U20)),'Price History'!U20=0),"",'Price History'!U21/'Price History'!U20-1),"")</f>
        <v/>
      </c>
      <c r="V20" s="106" t="n">
        <f aca="false">IFERROR(IF(OR(NOT(ISNUMBER('Price History'!V21)),NOT(ISNUMBER('Price History'!V20)),'Price History'!V20=0),"",'Price History'!V21/'Price History'!V20-1),"")</f>
        <v>0.00894175881202353</v>
      </c>
      <c r="W20" s="107" t="n">
        <f aca="false">'Price History'!B3+('Price History'!B158-'Price History'!B3)*0.11038961038961</f>
        <v>479.965064935065</v>
      </c>
      <c r="X20" s="107" t="n">
        <f aca="false">'Price History'!C3+('Price History'!C158-'Price History'!C3)*0.11038961038961</f>
        <v>58.8203246753246</v>
      </c>
      <c r="Y20" s="107" t="n">
        <f aca="false">'Price History'!D3+('Price History'!D158-'Price History'!D3)*0.11038961038961</f>
        <v>768.551038961039</v>
      </c>
      <c r="Z20" s="107" t="n">
        <f aca="false">'Price History'!E3+('Price History'!E158-'Price History'!E3)*0.11038961038961</f>
        <v>116.792337662338</v>
      </c>
      <c r="AA20" s="107" t="n">
        <f aca="false">'Price History'!F3+('Price History'!F158-'Price History'!F3)*0.11038961038961</f>
        <v>54.037922077922</v>
      </c>
      <c r="AB20" s="107" t="n">
        <f aca="false">'Price History'!G3+('Price History'!G158-'Price History'!G3)*0.11038961038961</f>
        <v>62.7937662337662</v>
      </c>
      <c r="AC20" s="107" t="n">
        <f aca="false">'Price History'!H3+('Price History'!H158-'Price History'!H3)*0.11038961038961</f>
        <v>148.118181818182</v>
      </c>
      <c r="AD20" s="107" t="n">
        <f aca="false">'Price History'!I3+('Price History'!I158-'Price History'!I3)*0.11038961038961</f>
        <v>58.5012987012986</v>
      </c>
      <c r="AE20" s="107" t="n">
        <f aca="false">'Price History'!J3+('Price History'!J158-'Price History'!J3)*0.11038961038961</f>
        <v>125.839220779221</v>
      </c>
      <c r="AF20" s="107" t="n">
        <f aca="false">'Price History'!K3+('Price History'!K158-'Price History'!K3)*0.11038961038961</f>
        <v>27.2934415584415</v>
      </c>
      <c r="AG20" s="107" t="n">
        <f aca="false">'Price History'!L3+('Price History'!L158-'Price History'!L3)*0.11038961038961</f>
        <v>126.46025974026</v>
      </c>
      <c r="AH20" s="107" t="n">
        <f aca="false">'Price History'!M3+('Price History'!M158-'Price History'!M3)*0.11038961038961</f>
        <v>56.4776623376623</v>
      </c>
      <c r="AI20" s="107" t="n">
        <f aca="false">'Price History'!N3+('Price History'!N158-'Price History'!N3)*0.11038961038961</f>
        <v>363.905974025974</v>
      </c>
      <c r="AJ20" s="107" t="n">
        <f aca="false">'Price History'!O3+('Price History'!O158-'Price History'!O3)*0.11038961038961</f>
        <v>87.5338311688311</v>
      </c>
      <c r="AK20" s="107" t="n">
        <f aca="false">'Price History'!Q3+('Price History'!Q151-'Price History'!Q3)*0.11038961038961</f>
        <v>51.8943506493506</v>
      </c>
      <c r="AL20" s="107" t="n">
        <f aca="false">'Price History'!R3+('Price History'!R158-'Price History'!R3)*0.11038961038961</f>
        <v>48.9713636363636</v>
      </c>
      <c r="AM20" s="107" t="n">
        <f aca="false">'Price History'!S3+('Price History'!S158-'Price History'!S3)*0.11038961038961</f>
        <v>67.9551298701298</v>
      </c>
      <c r="AN20" s="107" t="n">
        <f aca="false">'Price History'!T3+('Price History'!T158-'Price History'!T3)*0.11038961038961</f>
        <v>29.4301948051948</v>
      </c>
    </row>
    <row r="21" customFormat="false" ht="15" hidden="false" customHeight="true" outlineLevel="0" collapsed="false">
      <c r="A21" s="104" t="n">
        <f aca="false">IF('Price History'!A22="","",'Price History'!A22)</f>
        <v>45282</v>
      </c>
      <c r="B21" s="105" t="n">
        <f aca="false">IFERROR(IF(OR(NOT(ISNUMBER('Price History'!B22)),NOT(ISNUMBER('Price History'!B21)),'Price History'!B21=0),"",'Price History'!B22/'Price History'!B21-1),"")</f>
        <v>0.0240644455086545</v>
      </c>
      <c r="C21" s="105" t="n">
        <f aca="false">IFERROR(IF(OR(NOT(ISNUMBER('Price History'!C22)),NOT(ISNUMBER('Price History'!C21)),'Price History'!C21=0),"",'Price History'!C22/'Price History'!C21-1),"")</f>
        <v>0.0113752122241086</v>
      </c>
      <c r="D21" s="105" t="n">
        <f aca="false">IFERROR(IF(OR(NOT(ISNUMBER('Price History'!D22)),NOT(ISNUMBER('Price History'!D21)),'Price History'!D21=0),"",'Price History'!D22/'Price History'!D21-1),"")</f>
        <v>-0.00057107947301327</v>
      </c>
      <c r="E21" s="105" t="n">
        <f aca="false">IFERROR(IF(OR(NOT(ISNUMBER('Price History'!E22)),NOT(ISNUMBER('Price History'!E21)),'Price History'!E21=0),"",'Price History'!E22/'Price History'!E21-1),"")</f>
        <v>-0.00681596884128521</v>
      </c>
      <c r="F21" s="105" t="n">
        <f aca="false">IFERROR(IF(OR(NOT(ISNUMBER('Price History'!F22)),NOT(ISNUMBER('Price History'!F21)),'Price History'!F21=0),"",'Price History'!F22/'Price History'!F21-1),"")</f>
        <v>-0.0170716702553061</v>
      </c>
      <c r="G21" s="105" t="n">
        <f aca="false">IFERROR(IF(OR(NOT(ISNUMBER('Price History'!G22)),NOT(ISNUMBER('Price History'!G21)),'Price History'!G21=0),"",'Price History'!G22/'Price History'!G21-1),"")</f>
        <v>-0.00410186292941372</v>
      </c>
      <c r="H21" s="105" t="n">
        <f aca="false">IFERROR(IF(OR(NOT(ISNUMBER('Price History'!H22)),NOT(ISNUMBER('Price History'!H21)),'Price History'!H21=0),"",'Price History'!H22/'Price History'!H21-1),"")</f>
        <v>0.0624001965360521</v>
      </c>
      <c r="I21" s="105" t="n">
        <f aca="false">IFERROR(IF(OR(NOT(ISNUMBER('Price History'!I22)),NOT(ISNUMBER('Price History'!I21)),'Price History'!I21=0),"",'Price History'!I22/'Price History'!I21-1),"")</f>
        <v>-0.00122724483534464</v>
      </c>
      <c r="J21" s="105" t="n">
        <f aca="false">IFERROR(IF(OR(NOT(ISNUMBER('Price History'!J22)),NOT(ISNUMBER('Price History'!J21)),'Price History'!J21=0),"",'Price History'!J22/'Price History'!J21-1),"")</f>
        <v>-0.0138537166691493</v>
      </c>
      <c r="K21" s="105" t="n">
        <f aca="false">IFERROR(IF(OR(NOT(ISNUMBER('Price History'!K22)),NOT(ISNUMBER('Price History'!K21)),'Price History'!K21=0),"",'Price History'!K22/'Price History'!K21-1),"")</f>
        <v>-0.0434065934065934</v>
      </c>
      <c r="L21" s="105" t="n">
        <f aca="false">IFERROR(IF(OR(NOT(ISNUMBER('Price History'!L22)),NOT(ISNUMBER('Price History'!L21)),'Price History'!L21=0),"",'Price History'!L22/'Price History'!L21-1),"")</f>
        <v>0.00594889799102782</v>
      </c>
      <c r="M21" s="105" t="n">
        <f aca="false">IFERROR(IF(OR(NOT(ISNUMBER('Price History'!M22)),NOT(ISNUMBER('Price History'!M21)),'Price History'!M21=0),"",'Price History'!M22/'Price History'!M21-1),"")</f>
        <v>0.0219987429289756</v>
      </c>
      <c r="N21" s="105" t="n">
        <f aca="false">IFERROR(IF(OR(NOT(ISNUMBER('Price History'!N22)),NOT(ISNUMBER('Price History'!N21)),'Price History'!N21=0),"",'Price History'!N22/'Price History'!N21-1),"")</f>
        <v>-0.0132219733125548</v>
      </c>
      <c r="O21" s="105" t="n">
        <f aca="false">IFERROR(IF(OR(NOT(ISNUMBER('Price History'!O22)),NOT(ISNUMBER('Price History'!O21)),'Price History'!O21=0),"",'Price History'!O22/'Price History'!O21-1),"")</f>
        <v>0.0226937478724611</v>
      </c>
      <c r="P21" s="105" t="str">
        <f aca="false">IFERROR(IF(OR(NOT(ISNUMBER('Price History'!P22)),NOT(ISNUMBER('Price History'!P21)),'Price History'!P21=0),"",'Price History'!P22/'Price History'!P21-1),"")</f>
        <v/>
      </c>
      <c r="Q21" s="105" t="n">
        <f aca="false">IFERROR(IF(OR(NOT(ISNUMBER('Price History'!Q22)),NOT(ISNUMBER('Price History'!Q21)),'Price History'!Q21=0),"",'Price History'!Q22/'Price History'!Q21-1),"")</f>
        <v>0.00439721509710522</v>
      </c>
      <c r="R21" s="105" t="n">
        <f aca="false">IFERROR(IF(OR(NOT(ISNUMBER('Price History'!R22)),NOT(ISNUMBER('Price History'!R21)),'Price History'!R21=0),"",'Price History'!R22/'Price History'!R21-1),"")</f>
        <v>0.00319999999999987</v>
      </c>
      <c r="S21" s="105" t="n">
        <f aca="false">IFERROR(IF(OR(NOT(ISNUMBER('Price History'!S22)),NOT(ISNUMBER('Price History'!S21)),'Price History'!S21=0),"",'Price History'!S22/'Price History'!S21-1),"")</f>
        <v>0.0124533001245333</v>
      </c>
      <c r="T21" s="105" t="n">
        <f aca="false">IFERROR(IF(OR(NOT(ISNUMBER('Price History'!T22)),NOT(ISNUMBER('Price History'!T21)),'Price History'!T21=0),"",'Price History'!T22/'Price History'!T21-1),"")</f>
        <v>0.00959488272921116</v>
      </c>
      <c r="U21" s="105" t="str">
        <f aca="false">IFERROR(IF(OR(NOT(ISNUMBER('Price History'!U22)),NOT(ISNUMBER('Price History'!U21)),'Price History'!U21=0),"",'Price History'!U22/'Price History'!U21-1),"")</f>
        <v/>
      </c>
      <c r="V21" s="106" t="n">
        <f aca="false">IFERROR(IF(OR(NOT(ISNUMBER('Price History'!V22)),NOT(ISNUMBER('Price History'!V21)),'Price History'!V21=0),"",'Price History'!V22/'Price History'!V21-1),"")</f>
        <v>0.0015430267062313</v>
      </c>
      <c r="W21" s="107" t="n">
        <f aca="false">'Price History'!B3+('Price History'!B158-'Price History'!B3)*0.116883116883117</f>
        <v>478.289480519481</v>
      </c>
      <c r="X21" s="107" t="n">
        <f aca="false">'Price History'!C3+('Price History'!C158-'Price History'!C3)*0.116883116883117</f>
        <v>59.7074025974026</v>
      </c>
      <c r="Y21" s="107" t="n">
        <f aca="false">'Price History'!D3+('Price History'!D158-'Price History'!D3)*0.116883116883117</f>
        <v>774.831688311688</v>
      </c>
      <c r="Z21" s="107" t="n">
        <f aca="false">'Price History'!E3+('Price History'!E158-'Price History'!E3)*0.116883116883117</f>
        <v>118.781298701299</v>
      </c>
      <c r="AA21" s="107" t="n">
        <f aca="false">'Price History'!F3+('Price History'!F158-'Price History'!F3)*0.116883116883117</f>
        <v>55.0366233766234</v>
      </c>
      <c r="AB21" s="107" t="n">
        <f aca="false">'Price History'!G3+('Price History'!G158-'Price History'!G3)*0.116883116883117</f>
        <v>63.6698701298701</v>
      </c>
      <c r="AC21" s="107" t="n">
        <f aca="false">'Price History'!H3+('Price History'!H158-'Price History'!H3)*0.116883116883117</f>
        <v>153.044545454546</v>
      </c>
      <c r="AD21" s="107" t="n">
        <f aca="false">'Price History'!I3+('Price History'!I158-'Price History'!I3)*0.116883116883117</f>
        <v>59.5396103896104</v>
      </c>
      <c r="AE21" s="107" t="n">
        <f aca="false">'Price History'!J3+('Price History'!J158-'Price History'!J3)*0.116883116883117</f>
        <v>125.976233766234</v>
      </c>
      <c r="AF21" s="107" t="n">
        <f aca="false">'Price History'!K3+('Price History'!K158-'Price History'!K3)*0.116883116883117</f>
        <v>27.9924675324675</v>
      </c>
      <c r="AG21" s="107" t="n">
        <f aca="false">'Price History'!L3+('Price History'!L158-'Price History'!L3)*0.116883116883117</f>
        <v>128.487922077922</v>
      </c>
      <c r="AH21" s="107" t="n">
        <f aca="false">'Price History'!M3+('Price History'!M158-'Price History'!M3)*0.116883116883117</f>
        <v>57.8287012987013</v>
      </c>
      <c r="AI21" s="107" t="n">
        <f aca="false">'Price History'!N3+('Price History'!N158-'Price History'!N3)*0.116883116883117</f>
        <v>364.732207792208</v>
      </c>
      <c r="AJ21" s="107" t="n">
        <f aca="false">'Price History'!O3+('Price History'!O158-'Price History'!O3)*0.116883116883117</f>
        <v>87.8093506493507</v>
      </c>
      <c r="AK21" s="107" t="n">
        <f aca="false">'Price History'!Q3+('Price History'!Q151-'Price History'!Q3)*0.116883116883117</f>
        <v>52.0151948051948</v>
      </c>
      <c r="AL21" s="107" t="n">
        <f aca="false">'Price History'!R3+('Price History'!R158-'Price History'!R3)*0.116883116883117</f>
        <v>49.0390909090909</v>
      </c>
      <c r="AM21" s="107" t="n">
        <f aca="false">'Price History'!S3+('Price History'!S158-'Price History'!S3)*0.116883116883117</f>
        <v>68.5089610389611</v>
      </c>
      <c r="AN21" s="107" t="n">
        <f aca="false">'Price History'!T3+('Price History'!T158-'Price History'!T3)*0.116883116883117</f>
        <v>29.5784415584416</v>
      </c>
    </row>
    <row r="22" customFormat="false" ht="15" hidden="false" customHeight="true" outlineLevel="0" collapsed="false">
      <c r="A22" s="104" t="n">
        <f aca="false">IF('Price History'!A23="","",'Price History'!A23)</f>
        <v>45289</v>
      </c>
      <c r="B22" s="105" t="n">
        <f aca="false">IFERROR(IF(OR(NOT(ISNUMBER('Price History'!B23)),NOT(ISNUMBER('Price History'!B22)),'Price History'!B22=0),"",'Price History'!B23/'Price History'!B22-1),"")</f>
        <v>-0.00359081419624219</v>
      </c>
      <c r="C22" s="105" t="n">
        <f aca="false">IFERROR(IF(OR(NOT(ISNUMBER('Price History'!C23)),NOT(ISNUMBER('Price History'!C22)),'Price History'!C22=0),"",'Price History'!C23/'Price History'!C22-1),"")</f>
        <v>-0.0115830115830116</v>
      </c>
      <c r="D22" s="105" t="n">
        <f aca="false">IFERROR(IF(OR(NOT(ISNUMBER('Price History'!D23)),NOT(ISNUMBER('Price History'!D22)),'Price History'!D22=0),"",'Price History'!D23/'Price History'!D22-1),"")</f>
        <v>0.00583365447224704</v>
      </c>
      <c r="E22" s="105" t="n">
        <f aca="false">IFERROR(IF(OR(NOT(ISNUMBER('Price History'!E23)),NOT(ISNUMBER('Price History'!E22)),'Price History'!E22=0),"",'Price History'!E23/'Price History'!E22-1),"")</f>
        <v>-0.00508021390374336</v>
      </c>
      <c r="F22" s="105" t="n">
        <f aca="false">IFERROR(IF(OR(NOT(ISNUMBER('Price History'!F23)),NOT(ISNUMBER('Price History'!F22)),'Price History'!F22=0),"",'Price History'!F23/'Price History'!F22-1),"")</f>
        <v>-0.00125176028790486</v>
      </c>
      <c r="G22" s="105" t="n">
        <f aca="false">IFERROR(IF(OR(NOT(ISNUMBER('Price History'!G23)),NOT(ISNUMBER('Price History'!G22)),'Price History'!G22=0),"",'Price History'!G23/'Price History'!G22-1),"")</f>
        <v>-0.00240260854642183</v>
      </c>
      <c r="H22" s="105" t="n">
        <f aca="false">IFERROR(IF(OR(NOT(ISNUMBER('Price History'!H23)),NOT(ISNUMBER('Price History'!H22)),'Price History'!H22=0),"",'Price History'!H23/'Price History'!H22-1),"")</f>
        <v>-0.0132963348363971</v>
      </c>
      <c r="I22" s="105" t="n">
        <f aca="false">IFERROR(IF(OR(NOT(ISNUMBER('Price History'!I23)),NOT(ISNUMBER('Price History'!I22)),'Price History'!I22=0),"",'Price History'!I23/'Price History'!I22-1),"")</f>
        <v>0.0141306573827567</v>
      </c>
      <c r="J22" s="105" t="n">
        <f aca="false">IFERROR(IF(OR(NOT(ISNUMBER('Price History'!J23)),NOT(ISNUMBER('Price History'!J22)),'Price History'!J22=0),"",'Price History'!J23/'Price History'!J22-1),"")</f>
        <v>0.00679758308157097</v>
      </c>
      <c r="K22" s="105" t="n">
        <f aca="false">IFERROR(IF(OR(NOT(ISNUMBER('Price History'!K23)),NOT(ISNUMBER('Price History'!K22)),'Price History'!K22=0),"",'Price History'!K23/'Price History'!K22-1),"")</f>
        <v>-0.0137851809304996</v>
      </c>
      <c r="L22" s="105" t="n">
        <f aca="false">IFERROR(IF(OR(NOT(ISNUMBER('Price History'!L23)),NOT(ISNUMBER('Price History'!L22)),'Price History'!L22=0),"",'Price History'!L23/'Price History'!L22-1),"")</f>
        <v>0.00824042656325741</v>
      </c>
      <c r="M22" s="105" t="n">
        <f aca="false">IFERROR(IF(OR(NOT(ISNUMBER('Price History'!M23)),NOT(ISNUMBER('Price History'!M22)),'Price History'!M22=0),"",'Price History'!M23/'Price History'!M22-1),"")</f>
        <v>-0.0153751537515375</v>
      </c>
      <c r="N22" s="105" t="n">
        <f aca="false">IFERROR(IF(OR(NOT(ISNUMBER('Price History'!N23)),NOT(ISNUMBER('Price History'!N22)),'Price History'!N22=0),"",'Price History'!N23/'Price History'!N22-1),"")</f>
        <v>0.00404688463911174</v>
      </c>
      <c r="O22" s="105" t="n">
        <f aca="false">IFERROR(IF(OR(NOT(ISNUMBER('Price History'!O23)),NOT(ISNUMBER('Price History'!O22)),'Price History'!O22=0),"",'Price History'!O23/'Price History'!O22-1),"")</f>
        <v>-0.0036613780095418</v>
      </c>
      <c r="P22" s="105" t="str">
        <f aca="false">IFERROR(IF(OR(NOT(ISNUMBER('Price History'!P23)),NOT(ISNUMBER('Price History'!P22)),'Price History'!P22=0),"",'Price History'!P23/'Price History'!P22-1),"")</f>
        <v/>
      </c>
      <c r="Q22" s="105" t="n">
        <f aca="false">IFERROR(IF(OR(NOT(ISNUMBER('Price History'!Q23)),NOT(ISNUMBER('Price History'!Q22)),'Price History'!Q22=0),"",'Price History'!Q23/'Price History'!Q22-1),"")</f>
        <v>-0.00547245530828155</v>
      </c>
      <c r="R22" s="105" t="n">
        <f aca="false">IFERROR(IF(OR(NOT(ISNUMBER('Price History'!R23)),NOT(ISNUMBER('Price History'!R22)),'Price History'!R22=0),"",'Price History'!R23/'Price History'!R22-1),"")</f>
        <v>-0.00458532695374792</v>
      </c>
      <c r="S22" s="105" t="n">
        <f aca="false">IFERROR(IF(OR(NOT(ISNUMBER('Price History'!S23)),NOT(ISNUMBER('Price History'!S22)),'Price History'!S22=0),"",'Price History'!S23/'Price History'!S22-1),"")</f>
        <v>0.00707257072570711</v>
      </c>
      <c r="T22" s="105" t="n">
        <f aca="false">IFERROR(IF(OR(NOT(ISNUMBER('Price History'!T23)),NOT(ISNUMBER('Price History'!T22)),'Price History'!T22=0),"",'Price History'!T23/'Price History'!T22-1),"")</f>
        <v>-0.0024639211545231</v>
      </c>
      <c r="U22" s="105" t="str">
        <f aca="false">IFERROR(IF(OR(NOT(ISNUMBER('Price History'!U23)),NOT(ISNUMBER('Price History'!U22)),'Price History'!U22=0),"",'Price History'!U23/'Price History'!U22-1),"")</f>
        <v/>
      </c>
      <c r="V22" s="106" t="n">
        <f aca="false">IFERROR(IF(OR(NOT(ISNUMBER('Price History'!V23)),NOT(ISNUMBER('Price History'!V22)),'Price History'!V22=0),"",'Price History'!V23/'Price History'!V22-1),"")</f>
        <v>0.00742672039187808</v>
      </c>
      <c r="W22" s="107" t="n">
        <f aca="false">'Price History'!B3+('Price History'!B158-'Price History'!B3)*0.123376623376623</f>
        <v>476.613896103896</v>
      </c>
      <c r="X22" s="107" t="n">
        <f aca="false">'Price History'!C3+('Price History'!C158-'Price History'!C3)*0.123376623376623</f>
        <v>60.5944805194805</v>
      </c>
      <c r="Y22" s="107" t="n">
        <f aca="false">'Price History'!D3+('Price History'!D158-'Price History'!D3)*0.123376623376623</f>
        <v>781.112337662337</v>
      </c>
      <c r="Z22" s="107" t="n">
        <f aca="false">'Price History'!E3+('Price History'!E158-'Price History'!E3)*0.123376623376623</f>
        <v>120.77025974026</v>
      </c>
      <c r="AA22" s="107" t="n">
        <f aca="false">'Price History'!F3+('Price History'!F158-'Price History'!F3)*0.123376623376623</f>
        <v>56.0353246753246</v>
      </c>
      <c r="AB22" s="107" t="n">
        <f aca="false">'Price History'!G3+('Price History'!G158-'Price History'!G3)*0.123376623376623</f>
        <v>64.545974025974</v>
      </c>
      <c r="AC22" s="107" t="n">
        <f aca="false">'Price History'!H3+('Price History'!H158-'Price History'!H3)*0.123376623376623</f>
        <v>157.970909090909</v>
      </c>
      <c r="AD22" s="107" t="n">
        <f aca="false">'Price History'!I3+('Price History'!I158-'Price History'!I3)*0.123376623376623</f>
        <v>60.577922077922</v>
      </c>
      <c r="AE22" s="107" t="n">
        <f aca="false">'Price History'!J3+('Price History'!J158-'Price History'!J3)*0.123376623376623</f>
        <v>126.113246753247</v>
      </c>
      <c r="AF22" s="107" t="n">
        <f aca="false">'Price History'!K3+('Price History'!K158-'Price History'!K3)*0.123376623376623</f>
        <v>28.6914935064935</v>
      </c>
      <c r="AG22" s="107" t="n">
        <f aca="false">'Price History'!L3+('Price History'!L158-'Price History'!L3)*0.123376623376623</f>
        <v>130.515584415584</v>
      </c>
      <c r="AH22" s="107" t="n">
        <f aca="false">'Price History'!M3+('Price History'!M158-'Price History'!M3)*0.123376623376623</f>
        <v>59.1797402597402</v>
      </c>
      <c r="AI22" s="107" t="n">
        <f aca="false">'Price History'!N3+('Price History'!N158-'Price History'!N3)*0.123376623376623</f>
        <v>365.558441558442</v>
      </c>
      <c r="AJ22" s="107" t="n">
        <f aca="false">'Price History'!O3+('Price History'!O158-'Price History'!O3)*0.123376623376623</f>
        <v>88.0848701298701</v>
      </c>
      <c r="AK22" s="107" t="n">
        <f aca="false">'Price History'!Q3+('Price History'!Q151-'Price History'!Q3)*0.123376623376623</f>
        <v>52.136038961039</v>
      </c>
      <c r="AL22" s="107" t="n">
        <f aca="false">'Price History'!R3+('Price History'!R158-'Price History'!R3)*0.123376623376623</f>
        <v>49.1068181818182</v>
      </c>
      <c r="AM22" s="107" t="n">
        <f aca="false">'Price History'!S3+('Price History'!S158-'Price History'!S3)*0.123376623376623</f>
        <v>69.0627922077922</v>
      </c>
      <c r="AN22" s="107" t="n">
        <f aca="false">'Price History'!T3+('Price History'!T158-'Price History'!T3)*0.123376623376623</f>
        <v>29.7266883116883</v>
      </c>
    </row>
    <row r="23" customFormat="false" ht="15" hidden="false" customHeight="true" outlineLevel="0" collapsed="false">
      <c r="A23" s="104" t="n">
        <f aca="false">IF('Price History'!A24="","",'Price History'!A24)</f>
        <v>45296</v>
      </c>
      <c r="B23" s="105" t="n">
        <f aca="false">IFERROR(IF(OR(NOT(ISNUMBER('Price History'!B24)),NOT(ISNUMBER('Price History'!B23)),'Price History'!B23=0),"",'Price History'!B24/'Price History'!B23-1),"")</f>
        <v>-0.0536372779081462</v>
      </c>
      <c r="C23" s="105" t="n">
        <f aca="false">IFERROR(IF(OR(NOT(ISNUMBER('Price History'!C24)),NOT(ISNUMBER('Price History'!C23)),'Price History'!C23=0),"",'Price History'!C24/'Price History'!C23-1),"")</f>
        <v>-0.0195312500000001</v>
      </c>
      <c r="D23" s="105" t="n">
        <f aca="false">IFERROR(IF(OR(NOT(ISNUMBER('Price History'!D24)),NOT(ISNUMBER('Price History'!D23)),'Price History'!D23=0),"",'Price History'!D24/'Price History'!D23-1),"")</f>
        <v>-0.0707868731173703</v>
      </c>
      <c r="E23" s="105" t="n">
        <f aca="false">IFERROR(IF(OR(NOT(ISNUMBER('Price History'!E24)),NOT(ISNUMBER('Price History'!E23)),'Price History'!E23=0),"",'Price History'!E24/'Price History'!E23-1),"")</f>
        <v>-0.060019707963809</v>
      </c>
      <c r="F23" s="105" t="n">
        <f aca="false">IFERROR(IF(OR(NOT(ISNUMBER('Price History'!F24)),NOT(ISNUMBER('Price History'!F23)),'Price History'!F23=0),"",'Price History'!F24/'Price History'!F23-1),"")</f>
        <v>-0.0307065643114524</v>
      </c>
      <c r="G23" s="105" t="n">
        <f aca="false">IFERROR(IF(OR(NOT(ISNUMBER('Price History'!G24)),NOT(ISNUMBER('Price History'!G23)),'Price History'!G23=0),"",'Price History'!G24/'Price History'!G23-1),"")</f>
        <v>-0.0636504386719422</v>
      </c>
      <c r="H23" s="105" t="n">
        <f aca="false">IFERROR(IF(OR(NOT(ISNUMBER('Price History'!H24)),NOT(ISNUMBER('Price History'!H23)),'Price History'!H23=0),"",'Price History'!H24/'Price History'!H23-1),"")</f>
        <v>-0.0221467072884931</v>
      </c>
      <c r="I23" s="105" t="n">
        <f aca="false">IFERROR(IF(OR(NOT(ISNUMBER('Price History'!I24)),NOT(ISNUMBER('Price History'!I23)),'Price History'!I23=0),"",'Price History'!I24/'Price History'!I23-1),"")</f>
        <v>-0.00848142164781907</v>
      </c>
      <c r="J23" s="105" t="n">
        <f aca="false">IFERROR(IF(OR(NOT(ISNUMBER('Price History'!J24)),NOT(ISNUMBER('Price History'!J23)),'Price History'!J23=0),"",'Price History'!J24/'Price History'!J23-1),"")</f>
        <v>-0.0205551387846963</v>
      </c>
      <c r="K23" s="105" t="n">
        <f aca="false">IFERROR(IF(OR(NOT(ISNUMBER('Price History'!K24)),NOT(ISNUMBER('Price History'!K23)),'Price History'!K23=0),"",'Price History'!K24/'Price History'!K23-1),"")</f>
        <v>-0.0693069306930694</v>
      </c>
      <c r="L23" s="105" t="n">
        <f aca="false">IFERROR(IF(OR(NOT(ISNUMBER('Price History'!L24)),NOT(ISNUMBER('Price History'!L23)),'Price History'!L23=0),"",'Price History'!L24/'Price History'!L23-1),"")</f>
        <v>-0.0422115384615385</v>
      </c>
      <c r="M23" s="105" t="n">
        <f aca="false">IFERROR(IF(OR(NOT(ISNUMBER('Price History'!M24)),NOT(ISNUMBER('Price History'!M23)),'Price History'!M23=0),"",'Price History'!M24/'Price History'!M23-1),"")</f>
        <v>-0.0358109514886529</v>
      </c>
      <c r="N23" s="105" t="n">
        <f aca="false">IFERROR(IF(OR(NOT(ISNUMBER('Price History'!N24)),NOT(ISNUMBER('Price History'!N23)),'Price History'!N23=0),"",'Price History'!N24/'Price History'!N23-1),"")</f>
        <v>0.0236181769028485</v>
      </c>
      <c r="O23" s="105" t="n">
        <f aca="false">IFERROR(IF(OR(NOT(ISNUMBER('Price History'!O24)),NOT(ISNUMBER('Price History'!O23)),'Price History'!O23=0),"",'Price History'!O24/'Price History'!O23-1),"")</f>
        <v>-0.025946547884187</v>
      </c>
      <c r="P23" s="105" t="str">
        <f aca="false">IFERROR(IF(OR(NOT(ISNUMBER('Price History'!P24)),NOT(ISNUMBER('Price History'!P23)),'Price History'!P23=0),"",'Price History'!P24/'Price History'!P23-1),"")</f>
        <v/>
      </c>
      <c r="Q23" s="105" t="n">
        <f aca="false">IFERROR(IF(OR(NOT(ISNUMBER('Price History'!Q24)),NOT(ISNUMBER('Price History'!Q23)),'Price History'!Q23=0),"",'Price History'!Q24/'Price History'!Q23-1),"")</f>
        <v>0.0075201760821717</v>
      </c>
      <c r="R23" s="105" t="n">
        <f aca="false">IFERROR(IF(OR(NOT(ISNUMBER('Price History'!R24)),NOT(ISNUMBER('Price History'!R23)),'Price History'!R23=0),"",'Price History'!R24/'Price History'!R23-1),"")</f>
        <v>-0.0156218706188664</v>
      </c>
      <c r="S23" s="105" t="n">
        <f aca="false">IFERROR(IF(OR(NOT(ISNUMBER('Price History'!S24)),NOT(ISNUMBER('Price History'!S23)),'Price History'!S23=0),"",'Price History'!S24/'Price History'!S23-1),"")</f>
        <v>-0.0103816793893131</v>
      </c>
      <c r="T23" s="105" t="n">
        <f aca="false">IFERROR(IF(OR(NOT(ISNUMBER('Price History'!T24)),NOT(ISNUMBER('Price History'!T23)),'Price History'!T23=0),"",'Price History'!T24/'Price History'!T23-1),"")</f>
        <v>0.00105857445307</v>
      </c>
      <c r="U23" s="105" t="str">
        <f aca="false">IFERROR(IF(OR(NOT(ISNUMBER('Price History'!U24)),NOT(ISNUMBER('Price History'!U23)),'Price History'!U23=0),"",'Price History'!U24/'Price History'!U23-1),"")</f>
        <v/>
      </c>
      <c r="V23" s="106" t="n">
        <f aca="false">IFERROR(IF(OR(NOT(ISNUMBER('Price History'!V24)),NOT(ISNUMBER('Price History'!V23)),'Price History'!V23=0),"",'Price History'!V24/'Price History'!V23-1),"")</f>
        <v>-0.00254881970041565</v>
      </c>
      <c r="W23" s="107" t="n">
        <f aca="false">'Price History'!B3+('Price History'!B158-'Price History'!B3)*0.12987012987013</f>
        <v>474.938311688312</v>
      </c>
      <c r="X23" s="107" t="n">
        <f aca="false">'Price History'!C3+('Price History'!C158-'Price History'!C3)*0.12987012987013</f>
        <v>61.4815584415585</v>
      </c>
      <c r="Y23" s="107" t="n">
        <f aca="false">'Price History'!D3+('Price History'!D158-'Price History'!D3)*0.12987012987013</f>
        <v>787.392987012987</v>
      </c>
      <c r="Z23" s="107" t="n">
        <f aca="false">'Price History'!E3+('Price History'!E158-'Price History'!E3)*0.12987012987013</f>
        <v>122.759220779221</v>
      </c>
      <c r="AA23" s="107" t="n">
        <f aca="false">'Price History'!F3+('Price History'!F158-'Price History'!F3)*0.12987012987013</f>
        <v>57.034025974026</v>
      </c>
      <c r="AB23" s="107" t="n">
        <f aca="false">'Price History'!G3+('Price History'!G158-'Price History'!G3)*0.12987012987013</f>
        <v>65.4220779220779</v>
      </c>
      <c r="AC23" s="107" t="n">
        <f aca="false">'Price History'!H3+('Price History'!H158-'Price History'!H3)*0.12987012987013</f>
        <v>162.897272727273</v>
      </c>
      <c r="AD23" s="107" t="n">
        <f aca="false">'Price History'!I3+('Price History'!I158-'Price History'!I3)*0.12987012987013</f>
        <v>61.6162337662338</v>
      </c>
      <c r="AE23" s="107" t="n">
        <f aca="false">'Price History'!J3+('Price History'!J158-'Price History'!J3)*0.12987012987013</f>
        <v>126.25025974026</v>
      </c>
      <c r="AF23" s="107" t="n">
        <f aca="false">'Price History'!K3+('Price History'!K158-'Price History'!K3)*0.12987012987013</f>
        <v>29.3905194805195</v>
      </c>
      <c r="AG23" s="107" t="n">
        <f aca="false">'Price History'!L3+('Price History'!L158-'Price History'!L3)*0.12987012987013</f>
        <v>132.543246753247</v>
      </c>
      <c r="AH23" s="107" t="n">
        <f aca="false">'Price History'!M3+('Price History'!M158-'Price History'!M3)*0.12987012987013</f>
        <v>60.5307792207792</v>
      </c>
      <c r="AI23" s="107" t="n">
        <f aca="false">'Price History'!N3+('Price History'!N158-'Price History'!N3)*0.12987012987013</f>
        <v>366.384675324675</v>
      </c>
      <c r="AJ23" s="107" t="n">
        <f aca="false">'Price History'!O3+('Price History'!O158-'Price History'!O3)*0.12987012987013</f>
        <v>88.3603896103896</v>
      </c>
      <c r="AK23" s="107" t="n">
        <f aca="false">'Price History'!Q3+('Price History'!Q151-'Price History'!Q3)*0.12987012987013</f>
        <v>52.2568831168831</v>
      </c>
      <c r="AL23" s="107" t="n">
        <f aca="false">'Price History'!R3+('Price History'!R158-'Price History'!R3)*0.12987012987013</f>
        <v>49.1745454545455</v>
      </c>
      <c r="AM23" s="107" t="n">
        <f aca="false">'Price History'!S3+('Price History'!S158-'Price History'!S3)*0.12987012987013</f>
        <v>69.6166233766234</v>
      </c>
      <c r="AN23" s="107" t="n">
        <f aca="false">'Price History'!T3+('Price History'!T158-'Price History'!T3)*0.12987012987013</f>
        <v>29.8749350649351</v>
      </c>
    </row>
    <row r="24" customFormat="false" ht="15" hidden="false" customHeight="true" outlineLevel="0" collapsed="false">
      <c r="A24" s="104" t="n">
        <f aca="false">IF('Price History'!A25="","",'Price History'!A25)</f>
        <v>45303</v>
      </c>
      <c r="B24" s="105" t="n">
        <f aca="false">IFERROR(IF(OR(NOT(ISNUMBER('Price History'!B25)),NOT(ISNUMBER('Price History'!B24)),'Price History'!B24=0),"",'Price History'!B25/'Price History'!B24-1),"")</f>
        <v>0.0565710237336166</v>
      </c>
      <c r="C24" s="105" t="n">
        <f aca="false">IFERROR(IF(OR(NOT(ISNUMBER('Price History'!C25)),NOT(ISNUMBER('Price History'!C24)),'Price History'!C24=0),"",'Price History'!C25/'Price History'!C24-1),"")</f>
        <v>0.0914602459726313</v>
      </c>
      <c r="D24" s="105" t="n">
        <f aca="false">IFERROR(IF(OR(NOT(ISNUMBER('Price History'!D25)),NOT(ISNUMBER('Price History'!D24)),'Price History'!D24=0),"",'Price History'!D25/'Price History'!D24-1),"")</f>
        <v>0.014047260215543</v>
      </c>
      <c r="E24" s="105" t="n">
        <f aca="false">IFERROR(IF(OR(NOT(ISNUMBER('Price History'!E25)),NOT(ISNUMBER('Price History'!E24)),'Price History'!E24=0),"",'Price History'!E25/'Price History'!E24-1),"")</f>
        <v>0.0556561517201943</v>
      </c>
      <c r="F24" s="105" t="n">
        <f aca="false">IFERROR(IF(OR(NOT(ISNUMBER('Price History'!F25)),NOT(ISNUMBER('Price History'!F24)),'Price History'!F24=0),"",'Price History'!F25/'Price History'!F24-1),"")</f>
        <v>0.144981412639405</v>
      </c>
      <c r="G24" s="105" t="n">
        <f aca="false">IFERROR(IF(OR(NOT(ISNUMBER('Price History'!G25)),NOT(ISNUMBER('Price History'!G24)),'Price History'!G24=0),"",'Price History'!G25/'Price History'!G24-1),"")</f>
        <v>0.0299467205585156</v>
      </c>
      <c r="H24" s="105" t="n">
        <f aca="false">IFERROR(IF(OR(NOT(ISNUMBER('Price History'!H25)),NOT(ISNUMBER('Price History'!H24)),'Price History'!H24=0),"",'Price History'!H25/'Price History'!H24-1),"")</f>
        <v>-0.0127022168963451</v>
      </c>
      <c r="I24" s="105" t="n">
        <f aca="false">IFERROR(IF(OR(NOT(ISNUMBER('Price History'!I25)),NOT(ISNUMBER('Price History'!I24)),'Price History'!I24=0),"",'Price History'!I25/'Price History'!I24-1),"")</f>
        <v>0.114256619144603</v>
      </c>
      <c r="J24" s="105" t="n">
        <f aca="false">IFERROR(IF(OR(NOT(ISNUMBER('Price History'!J25)),NOT(ISNUMBER('Price History'!J24)),'Price History'!J24=0),"",'Price History'!J25/'Price History'!J24-1),"")</f>
        <v>0.00758272058823528</v>
      </c>
      <c r="K24" s="105" t="n">
        <f aca="false">IFERROR(IF(OR(NOT(ISNUMBER('Price History'!K25)),NOT(ISNUMBER('Price History'!K24)),'Price History'!K24=0),"",'Price History'!K25/'Price History'!K24-1),"")</f>
        <v>0.0488110137672091</v>
      </c>
      <c r="L24" s="105" t="n">
        <f aca="false">IFERROR(IF(OR(NOT(ISNUMBER('Price History'!L25)),NOT(ISNUMBER('Price History'!L24)),'Price History'!L24=0),"",'Price History'!L25/'Price History'!L24-1),"")</f>
        <v>0.0163638188936854</v>
      </c>
      <c r="M24" s="105" t="n">
        <f aca="false">IFERROR(IF(OR(NOT(ISNUMBER('Price History'!M25)),NOT(ISNUMBER('Price History'!M24)),'Price History'!M24=0),"",'Price History'!M25/'Price History'!M24-1),"")</f>
        <v>0.0693154826171454</v>
      </c>
      <c r="N24" s="105" t="n">
        <f aca="false">IFERROR(IF(OR(NOT(ISNUMBER('Price History'!N25)),NOT(ISNUMBER('Price History'!N24)),'Price History'!N24=0),"",'Price History'!N25/'Price History'!N24-1),"")</f>
        <v>0.0405762304921968</v>
      </c>
      <c r="O24" s="105" t="n">
        <f aca="false">IFERROR(IF(OR(NOT(ISNUMBER('Price History'!O25)),NOT(ISNUMBER('Price History'!O24)),'Price History'!O24=0),"",'Price History'!O25/'Price History'!O24-1),"")</f>
        <v>-0.0113181662284211</v>
      </c>
      <c r="P24" s="105" t="str">
        <f aca="false">IFERROR(IF(OR(NOT(ISNUMBER('Price History'!P25)),NOT(ISNUMBER('Price History'!P24)),'Price History'!P24=0),"",'Price History'!P25/'Price History'!P24-1),"")</f>
        <v/>
      </c>
      <c r="Q24" s="105" t="n">
        <f aca="false">IFERROR(IF(OR(NOT(ISNUMBER('Price History'!Q25)),NOT(ISNUMBER('Price History'!Q24)),'Price History'!Q24=0),"",'Price History'!Q25/'Price History'!Q24-1),"")</f>
        <v>0.00618969597669761</v>
      </c>
      <c r="R24" s="105" t="n">
        <f aca="false">IFERROR(IF(OR(NOT(ISNUMBER('Price History'!R25)),NOT(ISNUMBER('Price History'!R24)),'Price History'!R24=0),"",'Price History'!R25/'Price History'!R24-1),"")</f>
        <v>0.0272634791454731</v>
      </c>
      <c r="S24" s="105" t="n">
        <f aca="false">IFERROR(IF(OR(NOT(ISNUMBER('Price History'!S25)),NOT(ISNUMBER('Price History'!S24)),'Price History'!S24=0),"",'Price History'!S25/'Price History'!S24-1),"")</f>
        <v>0.0311632212280162</v>
      </c>
      <c r="T24" s="105" t="n">
        <f aca="false">IFERROR(IF(OR(NOT(ISNUMBER('Price History'!T25)),NOT(ISNUMBER('Price History'!T24)),'Price History'!T24=0),"",'Price History'!T25/'Price History'!T24-1),"")</f>
        <v>-0.00281988015509349</v>
      </c>
      <c r="U24" s="105" t="str">
        <f aca="false">IFERROR(IF(OR(NOT(ISNUMBER('Price History'!U25)),NOT(ISNUMBER('Price History'!U24)),'Price History'!U24=0),"",'Price History'!U25/'Price History'!U24-1),"")</f>
        <v/>
      </c>
      <c r="V24" s="106" t="n">
        <f aca="false">IFERROR(IF(OR(NOT(ISNUMBER('Price History'!V25)),NOT(ISNUMBER('Price History'!V24)),'Price History'!V24=0),"",'Price History'!V25/'Price History'!V24-1),"")</f>
        <v>0.0172583244879505</v>
      </c>
      <c r="W24" s="107" t="n">
        <f aca="false">'Price History'!B3+('Price History'!B158-'Price History'!B3)*0.136363636363636</f>
        <v>473.262727272727</v>
      </c>
      <c r="X24" s="107" t="n">
        <f aca="false">'Price History'!C3+('Price History'!C158-'Price History'!C3)*0.136363636363636</f>
        <v>62.3686363636363</v>
      </c>
      <c r="Y24" s="107" t="n">
        <f aca="false">'Price History'!D3+('Price History'!D158-'Price History'!D3)*0.136363636363636</f>
        <v>793.673636363636</v>
      </c>
      <c r="Z24" s="107" t="n">
        <f aca="false">'Price History'!E3+('Price History'!E158-'Price History'!E3)*0.136363636363636</f>
        <v>124.748181818182</v>
      </c>
      <c r="AA24" s="107" t="n">
        <f aca="false">'Price History'!F3+('Price History'!F158-'Price History'!F3)*0.136363636363636</f>
        <v>58.0327272727272</v>
      </c>
      <c r="AB24" s="107" t="n">
        <f aca="false">'Price History'!G3+('Price History'!G158-'Price History'!G3)*0.136363636363636</f>
        <v>66.2981818181818</v>
      </c>
      <c r="AC24" s="107" t="n">
        <f aca="false">'Price History'!H3+('Price History'!H158-'Price History'!H3)*0.136363636363636</f>
        <v>167.823636363636</v>
      </c>
      <c r="AD24" s="107" t="n">
        <f aca="false">'Price History'!I3+('Price History'!I158-'Price History'!I3)*0.136363636363636</f>
        <v>62.6545454545454</v>
      </c>
      <c r="AE24" s="107" t="n">
        <f aca="false">'Price History'!J3+('Price History'!J158-'Price History'!J3)*0.136363636363636</f>
        <v>126.387272727273</v>
      </c>
      <c r="AF24" s="107" t="n">
        <f aca="false">'Price History'!K3+('Price History'!K158-'Price History'!K3)*0.136363636363636</f>
        <v>30.0895454545454</v>
      </c>
      <c r="AG24" s="107" t="n">
        <f aca="false">'Price History'!L3+('Price History'!L158-'Price History'!L3)*0.136363636363636</f>
        <v>134.570909090909</v>
      </c>
      <c r="AH24" s="107" t="n">
        <f aca="false">'Price History'!M3+('Price History'!M158-'Price History'!M3)*0.136363636363636</f>
        <v>61.8818181818181</v>
      </c>
      <c r="AI24" s="107" t="n">
        <f aca="false">'Price History'!N3+('Price History'!N158-'Price History'!N3)*0.136363636363636</f>
        <v>367.210909090909</v>
      </c>
      <c r="AJ24" s="107" t="n">
        <f aca="false">'Price History'!O3+('Price History'!O158-'Price History'!O3)*0.136363636363636</f>
        <v>88.6359090909091</v>
      </c>
      <c r="AK24" s="107" t="n">
        <f aca="false">'Price History'!Q3+('Price History'!Q151-'Price History'!Q3)*0.136363636363636</f>
        <v>52.3777272727273</v>
      </c>
      <c r="AL24" s="107" t="n">
        <f aca="false">'Price History'!R3+('Price History'!R158-'Price History'!R3)*0.136363636363636</f>
        <v>49.2422727272727</v>
      </c>
      <c r="AM24" s="107" t="n">
        <f aca="false">'Price History'!S3+('Price History'!S158-'Price History'!S3)*0.136363636363636</f>
        <v>70.1704545454545</v>
      </c>
      <c r="AN24" s="107" t="n">
        <f aca="false">'Price History'!T3+('Price History'!T158-'Price History'!T3)*0.136363636363636</f>
        <v>30.0231818181818</v>
      </c>
    </row>
    <row r="25" customFormat="false" ht="15" hidden="false" customHeight="true" outlineLevel="0" collapsed="false">
      <c r="A25" s="104" t="n">
        <f aca="false">IF('Price History'!A26="","",'Price History'!A26)</f>
        <v>45310</v>
      </c>
      <c r="B25" s="105" t="n">
        <f aca="false">IFERROR(IF(OR(NOT(ISNUMBER('Price History'!B26)),NOT(ISNUMBER('Price History'!B25)),'Price History'!B25=0),"",'Price History'!B26/'Price History'!B25-1),"")</f>
        <v>0.0251617661850001</v>
      </c>
      <c r="C25" s="105" t="n">
        <f aca="false">IFERROR(IF(OR(NOT(ISNUMBER('Price History'!C26)),NOT(ISNUMBER('Price History'!C25)),'Price History'!C25=0),"",'Price History'!C26/'Price History'!C25-1),"")</f>
        <v>0.0455483256625933</v>
      </c>
      <c r="D25" s="105" t="n">
        <f aca="false">IFERROR(IF(OR(NOT(ISNUMBER('Price History'!D26)),NOT(ISNUMBER('Price History'!D25)),'Price History'!D25=0),"",'Price History'!D26/'Price History'!D25-1),"")</f>
        <v>0.0625473206023388</v>
      </c>
      <c r="E25" s="105" t="n">
        <f aca="false">IFERROR(IF(OR(NOT(ISNUMBER('Price History'!E26)),NOT(ISNUMBER('Price History'!E25)),'Price History'!E25=0),"",'Price History'!E26/'Price History'!E25-1),"")</f>
        <v>0.0934368511329784</v>
      </c>
      <c r="F25" s="105" t="n">
        <f aca="false">IFERROR(IF(OR(NOT(ISNUMBER('Price History'!F26)),NOT(ISNUMBER('Price History'!F25)),'Price History'!F25=0),"",'Price History'!F26/'Price History'!F25-1),"")</f>
        <v>0.0254093732354601</v>
      </c>
      <c r="G25" s="105" t="n">
        <f aca="false">IFERROR(IF(OR(NOT(ISNUMBER('Price History'!G26)),NOT(ISNUMBER('Price History'!G25)),'Price History'!G25=0),"",'Price History'!G26/'Price History'!G25-1),"")</f>
        <v>0.0934712807706029</v>
      </c>
      <c r="H25" s="105" t="n">
        <f aca="false">IFERROR(IF(OR(NOT(ISNUMBER('Price History'!H26)),NOT(ISNUMBER('Price History'!H25)),'Price History'!H25=0),"",'Price History'!H26/'Price History'!H25-1),"")</f>
        <v>0.0621434640126231</v>
      </c>
      <c r="I25" s="105" t="n">
        <f aca="false">IFERROR(IF(OR(NOT(ISNUMBER('Price History'!I26)),NOT(ISNUMBER('Price History'!I25)),'Price History'!I25=0),"",'Price History'!I26/'Price History'!I25-1),"")</f>
        <v>0.0873697678669347</v>
      </c>
      <c r="J25" s="105" t="n">
        <f aca="false">IFERROR(IF(OR(NOT(ISNUMBER('Price History'!J26)),NOT(ISNUMBER('Price History'!J25)),'Price History'!J25=0),"",'Price History'!J26/'Price History'!J25-1),"")</f>
        <v>-0.0236412010642343</v>
      </c>
      <c r="K25" s="105" t="n">
        <f aca="false">IFERROR(IF(OR(NOT(ISNUMBER('Price History'!K26)),NOT(ISNUMBER('Price History'!K25)),'Price History'!K25=0),"",'Price History'!K26/'Price History'!K25-1),"")</f>
        <v>0.00119331742243434</v>
      </c>
      <c r="L25" s="105" t="n">
        <f aca="false">IFERROR(IF(OR(NOT(ISNUMBER('Price History'!L26)),NOT(ISNUMBER('Price History'!L25)),'Price History'!L25=0),"",'Price History'!L26/'Price History'!L25-1),"")</f>
        <v>0.128012643224022</v>
      </c>
      <c r="M25" s="105" t="n">
        <f aca="false">IFERROR(IF(OR(NOT(ISNUMBER('Price History'!M26)),NOT(ISNUMBER('Price History'!M25)),'Price History'!M25=0),"",'Price History'!M26/'Price History'!M25-1),"")</f>
        <v>0.0838045234248788</v>
      </c>
      <c r="N25" s="105" t="n">
        <f aca="false">IFERROR(IF(OR(NOT(ISNUMBER('Price History'!N26)),NOT(ISNUMBER('Price History'!N25)),'Price History'!N25=0),"",'Price History'!N26/'Price History'!N25-1),"")</f>
        <v>0.00373788647900319</v>
      </c>
      <c r="O25" s="105" t="n">
        <f aca="false">IFERROR(IF(OR(NOT(ISNUMBER('Price History'!O26)),NOT(ISNUMBER('Price History'!O25)),'Price History'!O25=0),"",'Price History'!O26/'Price History'!O25-1),"")</f>
        <v>0.00300647548566135</v>
      </c>
      <c r="P25" s="105" t="str">
        <f aca="false">IFERROR(IF(OR(NOT(ISNUMBER('Price History'!P26)),NOT(ISNUMBER('Price History'!P25)),'Price History'!P25=0),"",'Price History'!P26/'Price History'!P25-1),"")</f>
        <v/>
      </c>
      <c r="Q25" s="105" t="n">
        <f aca="false">IFERROR(IF(OR(NOT(ISNUMBER('Price History'!Q26)),NOT(ISNUMBER('Price History'!Q25)),'Price History'!Q25=0),"",'Price History'!Q26/'Price History'!Q25-1),"")</f>
        <v>0.000723719920390886</v>
      </c>
      <c r="R25" s="105" t="n">
        <f aca="false">IFERROR(IF(OR(NOT(ISNUMBER('Price History'!R26)),NOT(ISNUMBER('Price History'!R25)),'Price History'!R25=0),"",'Price History'!R26/'Price History'!R25-1),"")</f>
        <v>0.017825311942959</v>
      </c>
      <c r="S25" s="105" t="n">
        <f aca="false">IFERROR(IF(OR(NOT(ISNUMBER('Price History'!S26)),NOT(ISNUMBER('Price History'!S25)),'Price History'!S25=0),"",'Price History'!S26/'Price History'!S25-1),"")</f>
        <v>0.0210951526032315</v>
      </c>
      <c r="T25" s="105" t="n">
        <f aca="false">IFERROR(IF(OR(NOT(ISNUMBER('Price History'!T26)),NOT(ISNUMBER('Price History'!T25)),'Price History'!T25=0),"",'Price History'!T26/'Price History'!T25-1),"")</f>
        <v>-0.00954400848356307</v>
      </c>
      <c r="U25" s="105" t="str">
        <f aca="false">IFERROR(IF(OR(NOT(ISNUMBER('Price History'!U26)),NOT(ISNUMBER('Price History'!U25)),'Price History'!U25=0),"",'Price History'!U26/'Price History'!U25-1),"")</f>
        <v/>
      </c>
      <c r="V25" s="106" t="n">
        <f aca="false">IFERROR(IF(OR(NOT(ISNUMBER('Price History'!V26)),NOT(ISNUMBER('Price History'!V25)),'Price History'!V25=0),"",'Price History'!V26/'Price History'!V25-1),"")</f>
        <v>0.0255062606276086</v>
      </c>
      <c r="W25" s="107" t="n">
        <f aca="false">'Price History'!B3+('Price History'!B158-'Price History'!B3)*0.142857142857143</f>
        <v>471.587142857143</v>
      </c>
      <c r="X25" s="107" t="n">
        <f aca="false">'Price History'!C3+('Price History'!C158-'Price History'!C3)*0.142857142857143</f>
        <v>63.2557142857143</v>
      </c>
      <c r="Y25" s="107" t="n">
        <f aca="false">'Price History'!D3+('Price History'!D158-'Price History'!D3)*0.142857142857143</f>
        <v>799.954285714286</v>
      </c>
      <c r="Z25" s="107" t="n">
        <f aca="false">'Price History'!E3+('Price History'!E158-'Price History'!E3)*0.142857142857143</f>
        <v>126.737142857143</v>
      </c>
      <c r="AA25" s="107" t="n">
        <f aca="false">'Price History'!F3+('Price History'!F158-'Price History'!F3)*0.142857142857143</f>
        <v>59.0314285714286</v>
      </c>
      <c r="AB25" s="107" t="n">
        <f aca="false">'Price History'!G3+('Price History'!G158-'Price History'!G3)*0.142857142857143</f>
        <v>67.1742857142857</v>
      </c>
      <c r="AC25" s="107" t="n">
        <f aca="false">'Price History'!H3+('Price History'!H158-'Price History'!H3)*0.142857142857143</f>
        <v>172.75</v>
      </c>
      <c r="AD25" s="107" t="n">
        <f aca="false">'Price History'!I3+('Price History'!I158-'Price History'!I3)*0.142857142857143</f>
        <v>63.6928571428572</v>
      </c>
      <c r="AE25" s="107" t="n">
        <f aca="false">'Price History'!J3+('Price History'!J158-'Price History'!J3)*0.142857142857143</f>
        <v>126.524285714286</v>
      </c>
      <c r="AF25" s="107" t="n">
        <f aca="false">'Price History'!K3+('Price History'!K158-'Price History'!K3)*0.142857142857143</f>
        <v>30.7885714285714</v>
      </c>
      <c r="AG25" s="107" t="n">
        <f aca="false">'Price History'!L3+('Price History'!L158-'Price History'!L3)*0.142857142857143</f>
        <v>136.598571428571</v>
      </c>
      <c r="AH25" s="107" t="n">
        <f aca="false">'Price History'!M3+('Price History'!M158-'Price History'!M3)*0.142857142857143</f>
        <v>63.2328571428572</v>
      </c>
      <c r="AI25" s="107" t="n">
        <f aca="false">'Price History'!N3+('Price History'!N158-'Price History'!N3)*0.142857142857143</f>
        <v>368.037142857143</v>
      </c>
      <c r="AJ25" s="107" t="n">
        <f aca="false">'Price History'!O3+('Price History'!O158-'Price History'!O3)*0.142857142857143</f>
        <v>88.9114285714286</v>
      </c>
      <c r="AK25" s="107" t="n">
        <f aca="false">'Price History'!Q3+('Price History'!Q151-'Price History'!Q3)*0.142857142857143</f>
        <v>52.4985714285714</v>
      </c>
      <c r="AL25" s="107" t="n">
        <f aca="false">'Price History'!R3+('Price History'!R158-'Price History'!R3)*0.142857142857143</f>
        <v>49.31</v>
      </c>
      <c r="AM25" s="107" t="n">
        <f aca="false">'Price History'!S3+('Price History'!S158-'Price History'!S3)*0.142857142857143</f>
        <v>70.7242857142857</v>
      </c>
      <c r="AN25" s="107" t="n">
        <f aca="false">'Price History'!T3+('Price History'!T158-'Price History'!T3)*0.142857142857143</f>
        <v>30.1714285714286</v>
      </c>
    </row>
    <row r="26" customFormat="false" ht="15" hidden="false" customHeight="true" outlineLevel="0" collapsed="false">
      <c r="A26" s="104" t="n">
        <f aca="false">IF('Price History'!A27="","",'Price History'!A27)</f>
        <v>45317</v>
      </c>
      <c r="B26" s="105" t="n">
        <f aca="false">IFERROR(IF(OR(NOT(ISNUMBER('Price History'!B27)),NOT(ISNUMBER('Price History'!B26)),'Price History'!B26=0),"",'Price History'!B27/'Price History'!B26-1),"")</f>
        <v>0.00389175047011681</v>
      </c>
      <c r="C26" s="105" t="n">
        <f aca="false">IFERROR(IF(OR(NOT(ISNUMBER('Price History'!C27)),NOT(ISNUMBER('Price History'!C26)),'Price History'!C26=0),"",'Price History'!C27/'Price History'!C26-1),"")</f>
        <v>0.00333940497874918</v>
      </c>
      <c r="D26" s="105" t="n">
        <f aca="false">IFERROR(IF(OR(NOT(ISNUMBER('Price History'!D27)),NOT(ISNUMBER('Price History'!D26)),'Price History'!D26=0),"",'Price History'!D27/'Price History'!D26-1),"")</f>
        <v>0.145045722655477</v>
      </c>
      <c r="E26" s="105" t="n">
        <f aca="false">IFERROR(IF(OR(NOT(ISNUMBER('Price History'!E27)),NOT(ISNUMBER('Price History'!E26)),'Price History'!E26=0),"",'Price History'!E27/'Price History'!E26-1),"")</f>
        <v>-0.00520145310435938</v>
      </c>
      <c r="F26" s="105" t="n">
        <f aca="false">IFERROR(IF(OR(NOT(ISNUMBER('Price History'!F27)),NOT(ISNUMBER('Price History'!F26)),'Price History'!F26=0),"",'Price History'!F27/'Price History'!F26-1),"")</f>
        <v>-0.000825991189427389</v>
      </c>
      <c r="G26" s="105" t="n">
        <f aca="false">IFERROR(IF(OR(NOT(ISNUMBER('Price History'!G27)),NOT(ISNUMBER('Price History'!G26)),'Price History'!G26=0),"",'Price History'!G27/'Price History'!G26-1),"")</f>
        <v>-0.0221859706362153</v>
      </c>
      <c r="H26" s="105" t="n">
        <f aca="false">IFERROR(IF(OR(NOT(ISNUMBER('Price History'!H27)),NOT(ISNUMBER('Price History'!H26)),'Price History'!H26=0),"",'Price History'!H27/'Price History'!H26-1),"")</f>
        <v>0.00617072334590318</v>
      </c>
      <c r="I26" s="105" t="n">
        <f aca="false">IFERROR(IF(OR(NOT(ISNUMBER('Price History'!I27)),NOT(ISNUMBER('Price History'!I26)),'Price History'!I26=0),"",'Price History'!I27/'Price History'!I26-1),"")</f>
        <v>0.0258867036476718</v>
      </c>
      <c r="J26" s="105" t="n">
        <f aca="false">IFERROR(IF(OR(NOT(ISNUMBER('Price History'!J27)),NOT(ISNUMBER('Price History'!J26)),'Price History'!J26=0),"",'Price History'!J27/'Price History'!J26-1),"")</f>
        <v>-0.012223606353161</v>
      </c>
      <c r="K26" s="105" t="n">
        <f aca="false">IFERROR(IF(OR(NOT(ISNUMBER('Price History'!K27)),NOT(ISNUMBER('Price History'!K26)),'Price History'!K26=0),"",'Price History'!K27/'Price History'!K26-1),"")</f>
        <v>-0.0256257449344458</v>
      </c>
      <c r="L26" s="105" t="n">
        <f aca="false">IFERROR(IF(OR(NOT(ISNUMBER('Price History'!L27)),NOT(ISNUMBER('Price History'!L26)),'Price History'!L26=0),"",'Price History'!L27/'Price History'!L26-1),"")</f>
        <v>0.0267950963222416</v>
      </c>
      <c r="M26" s="105" t="n">
        <f aca="false">IFERROR(IF(OR(NOT(ISNUMBER('Price History'!M27)),NOT(ISNUMBER('Price History'!M26)),'Price History'!M26=0),"",'Price History'!M27/'Price History'!M26-1),"")</f>
        <v>-0.00391280044717723</v>
      </c>
      <c r="N26" s="105" t="n">
        <f aca="false">IFERROR(IF(OR(NOT(ISNUMBER('Price History'!N27)),NOT(ISNUMBER('Price History'!N26)),'Price History'!N26=0),"",'Price History'!N27/'Price History'!N26-1),"")</f>
        <v>-0.0111489126936691</v>
      </c>
      <c r="O26" s="105" t="n">
        <f aca="false">IFERROR(IF(OR(NOT(ISNUMBER('Price History'!O27)),NOT(ISNUMBER('Price History'!O26)),'Price History'!O26=0),"",'Price History'!O27/'Price History'!O26-1),"")</f>
        <v>0.0235185612174316</v>
      </c>
      <c r="P26" s="105" t="str">
        <f aca="false">IFERROR(IF(OR(NOT(ISNUMBER('Price History'!P27)),NOT(ISNUMBER('Price History'!P26)),'Price History'!P26=0),"",'Price History'!P27/'Price History'!P26-1),"")</f>
        <v/>
      </c>
      <c r="Q26" s="105" t="n">
        <f aca="false">IFERROR(IF(OR(NOT(ISNUMBER('Price History'!Q27)),NOT(ISNUMBER('Price History'!Q26)),'Price History'!Q26=0),"",'Price History'!Q27/'Price History'!Q26-1),"")</f>
        <v>0.000180799132164067</v>
      </c>
      <c r="R26" s="105" t="n">
        <f aca="false">IFERROR(IF(OR(NOT(ISNUMBER('Price History'!R27)),NOT(ISNUMBER('Price History'!R26)),'Price History'!R26=0),"",'Price History'!R27/'Price History'!R26-1),"")</f>
        <v>0.00778361548939488</v>
      </c>
      <c r="S26" s="105" t="n">
        <f aca="false">IFERROR(IF(OR(NOT(ISNUMBER('Price History'!S27)),NOT(ISNUMBER('Price History'!S26)),'Price History'!S26=0),"",'Price History'!S27/'Price History'!S26-1),"")</f>
        <v>0.0161172161172161</v>
      </c>
      <c r="T26" s="105" t="n">
        <f aca="false">IFERROR(IF(OR(NOT(ISNUMBER('Price History'!T27)),NOT(ISNUMBER('Price History'!T26)),'Price History'!T26=0),"",'Price History'!T27/'Price History'!T26-1),"")</f>
        <v>0.00820842255531762</v>
      </c>
      <c r="U26" s="105" t="str">
        <f aca="false">IFERROR(IF(OR(NOT(ISNUMBER('Price History'!U27)),NOT(ISNUMBER('Price History'!U26)),'Price History'!U26=0),"",'Price History'!U27/'Price History'!U26-1),"")</f>
        <v/>
      </c>
      <c r="V26" s="106" t="n">
        <f aca="false">IFERROR(IF(OR(NOT(ISNUMBER('Price History'!V27)),NOT(ISNUMBER('Price History'!V26)),'Price History'!V26=0),"",'Price History'!V27/'Price History'!V26-1),"")</f>
        <v>-0.0109285498944831</v>
      </c>
      <c r="W26" s="107" t="n">
        <f aca="false">'Price History'!B3+('Price History'!B158-'Price History'!B3)*0.149350649350649</f>
        <v>469.911558441559</v>
      </c>
      <c r="X26" s="107" t="n">
        <f aca="false">'Price History'!C3+('Price History'!C158-'Price History'!C3)*0.149350649350649</f>
        <v>64.1427922077922</v>
      </c>
      <c r="Y26" s="107" t="n">
        <f aca="false">'Price History'!D3+('Price History'!D158-'Price History'!D3)*0.149350649350649</f>
        <v>806.234935064935</v>
      </c>
      <c r="Z26" s="107" t="n">
        <f aca="false">'Price History'!E3+('Price History'!E158-'Price History'!E3)*0.149350649350649</f>
        <v>128.726103896104</v>
      </c>
      <c r="AA26" s="107" t="n">
        <f aca="false">'Price History'!F3+('Price History'!F158-'Price History'!F3)*0.149350649350649</f>
        <v>60.0301298701298</v>
      </c>
      <c r="AB26" s="107" t="n">
        <f aca="false">'Price History'!G3+('Price History'!G158-'Price History'!G3)*0.149350649350649</f>
        <v>68.0503896103896</v>
      </c>
      <c r="AC26" s="107" t="n">
        <f aca="false">'Price History'!H3+('Price History'!H158-'Price History'!H3)*0.149350649350649</f>
        <v>177.676363636363</v>
      </c>
      <c r="AD26" s="107" t="n">
        <f aca="false">'Price History'!I3+('Price History'!I158-'Price History'!I3)*0.149350649350649</f>
        <v>64.7311688311688</v>
      </c>
      <c r="AE26" s="107" t="n">
        <f aca="false">'Price History'!J3+('Price History'!J158-'Price History'!J3)*0.149350649350649</f>
        <v>126.661298701299</v>
      </c>
      <c r="AF26" s="107" t="n">
        <f aca="false">'Price History'!K3+('Price History'!K158-'Price History'!K3)*0.149350649350649</f>
        <v>31.4875974025974</v>
      </c>
      <c r="AG26" s="107" t="n">
        <f aca="false">'Price History'!L3+('Price History'!L158-'Price History'!L3)*0.149350649350649</f>
        <v>138.626233766234</v>
      </c>
      <c r="AH26" s="107" t="n">
        <f aca="false">'Price History'!M3+('Price History'!M158-'Price History'!M3)*0.149350649350649</f>
        <v>64.583896103896</v>
      </c>
      <c r="AI26" s="107" t="n">
        <f aca="false">'Price History'!N3+('Price History'!N158-'Price History'!N3)*0.149350649350649</f>
        <v>368.863376623377</v>
      </c>
      <c r="AJ26" s="107" t="n">
        <f aca="false">'Price History'!O3+('Price History'!O158-'Price History'!O3)*0.149350649350649</f>
        <v>89.186948051948</v>
      </c>
      <c r="AK26" s="107" t="n">
        <f aca="false">'Price History'!Q3+('Price History'!Q151-'Price History'!Q3)*0.149350649350649</f>
        <v>52.6194155844156</v>
      </c>
      <c r="AL26" s="107" t="n">
        <f aca="false">'Price History'!R3+('Price History'!R158-'Price History'!R3)*0.149350649350649</f>
        <v>49.3777272727273</v>
      </c>
      <c r="AM26" s="107" t="n">
        <f aca="false">'Price History'!S3+('Price History'!S158-'Price History'!S3)*0.149350649350649</f>
        <v>71.2781168831169</v>
      </c>
      <c r="AN26" s="107" t="n">
        <f aca="false">'Price History'!T3+('Price History'!T158-'Price History'!T3)*0.149350649350649</f>
        <v>30.3196753246753</v>
      </c>
    </row>
    <row r="27" customFormat="false" ht="15" hidden="false" customHeight="true" outlineLevel="0" collapsed="false">
      <c r="A27" s="104" t="n">
        <f aca="false">IF('Price History'!A28="","",'Price History'!A28)</f>
        <v>45324</v>
      </c>
      <c r="B27" s="105" t="n">
        <f aca="false">IFERROR(IF(OR(NOT(ISNUMBER('Price History'!B28)),NOT(ISNUMBER('Price History'!B27)),'Price History'!B27=0),"",'Price History'!B28/'Price History'!B27-1),"")</f>
        <v>0.0339289495545096</v>
      </c>
      <c r="C27" s="105" t="n">
        <f aca="false">IFERROR(IF(OR(NOT(ISNUMBER('Price History'!C28)),NOT(ISNUMBER('Price History'!C27)),'Price History'!C27=0),"",'Price History'!C28/'Price History'!C27-1),"")</f>
        <v>0.032980332829047</v>
      </c>
      <c r="D27" s="105" t="n">
        <f aca="false">IFERROR(IF(OR(NOT(ISNUMBER('Price History'!D28)),NOT(ISNUMBER('Price History'!D27)),'Price History'!D27=0),"",'Price History'!D28/'Price History'!D27-1),"")</f>
        <v>0.0264016133679055</v>
      </c>
      <c r="E27" s="105" t="n">
        <f aca="false">IFERROR(IF(OR(NOT(ISNUMBER('Price History'!E28)),NOT(ISNUMBER('Price History'!E27)),'Price History'!E27=0),"",'Price History'!E28/'Price History'!E27-1),"")</f>
        <v>0.0161009212382772</v>
      </c>
      <c r="F27" s="105" t="n">
        <f aca="false">IFERROR(IF(OR(NOT(ISNUMBER('Price History'!F28)),NOT(ISNUMBER('Price History'!F27)),'Price History'!F27=0),"",'Price History'!F28/'Price History'!F27-1),"")</f>
        <v>0.0456048498208874</v>
      </c>
      <c r="G27" s="105" t="n">
        <f aca="false">IFERROR(IF(OR(NOT(ISNUMBER('Price History'!G28)),NOT(ISNUMBER('Price History'!G27)),'Price History'!G27=0),"",'Price History'!G28/'Price History'!G27-1),"")</f>
        <v>0.00817484150817482</v>
      </c>
      <c r="H27" s="105" t="n">
        <f aca="false">IFERROR(IF(OR(NOT(ISNUMBER('Price History'!H28)),NOT(ISNUMBER('Price History'!H27)),'Price History'!H27=0),"",'Price History'!H28/'Price History'!H27-1),"")</f>
        <v>-0.0178307779670641</v>
      </c>
      <c r="I27" s="105" t="n">
        <f aca="false">IFERROR(IF(OR(NOT(ISNUMBER('Price History'!I28)),NOT(ISNUMBER('Price History'!I27)),'Price History'!I27=0),"",'Price History'!I28/'Price History'!I27-1),"")</f>
        <v>0.0840570211371456</v>
      </c>
      <c r="J27" s="105" t="n">
        <f aca="false">IFERROR(IF(OR(NOT(ISNUMBER('Price History'!J28)),NOT(ISNUMBER('Price History'!J27)),'Price History'!J27=0),"",'Price History'!J28/'Price History'!J27-1),"")</f>
        <v>0.0187593599747773</v>
      </c>
      <c r="K27" s="105" t="n">
        <f aca="false">IFERROR(IF(OR(NOT(ISNUMBER('Price History'!K28)),NOT(ISNUMBER('Price History'!K27)),'Price History'!K27=0),"",'Price History'!K28/'Price History'!K27-1),"")</f>
        <v>0.0409785932721711</v>
      </c>
      <c r="L27" s="105" t="n">
        <f aca="false">IFERROR(IF(OR(NOT(ISNUMBER('Price History'!L28)),NOT(ISNUMBER('Price History'!L27)),'Price History'!L27=0),"",'Price History'!L28/'Price History'!L27-1),"")</f>
        <v>-0.0128773665359032</v>
      </c>
      <c r="M27" s="105" t="n">
        <f aca="false">IFERROR(IF(OR(NOT(ISNUMBER('Price History'!M28)),NOT(ISNUMBER('Price History'!M27)),'Price History'!M27=0),"",'Price History'!M28/'Price History'!M27-1),"")</f>
        <v>0.14983164983165</v>
      </c>
      <c r="N27" s="105" t="n">
        <f aca="false">IFERROR(IF(OR(NOT(ISNUMBER('Price History'!N28)),NOT(ISNUMBER('Price History'!N27)),'Price History'!N27=0),"",'Price History'!N28/'Price History'!N27-1),"")</f>
        <v>-0.012762396261943</v>
      </c>
      <c r="O27" s="105" t="n">
        <f aca="false">IFERROR(IF(OR(NOT(ISNUMBER('Price History'!O28)),NOT(ISNUMBER('Price History'!O27)),'Price History'!O27=0),"",'Price History'!O28/'Price History'!O27-1),"")</f>
        <v>-0.0186979049335435</v>
      </c>
      <c r="P27" s="105" t="str">
        <f aca="false">IFERROR(IF(OR(NOT(ISNUMBER('Price History'!P28)),NOT(ISNUMBER('Price History'!P27)),'Price History'!P27=0),"",'Price History'!P28/'Price History'!P27-1),"")</f>
        <v/>
      </c>
      <c r="Q27" s="105" t="n">
        <f aca="false">IFERROR(IF(OR(NOT(ISNUMBER('Price History'!Q28)),NOT(ISNUMBER('Price History'!Q27)),'Price History'!Q27=0),"",'Price History'!Q28/'Price History'!Q27-1),"")</f>
        <v>0.0110267534345625</v>
      </c>
      <c r="R27" s="105" t="n">
        <f aca="false">IFERROR(IF(OR(NOT(ISNUMBER('Price History'!R28)),NOT(ISNUMBER('Price History'!R27)),'Price History'!R27=0),"",'Price History'!R28/'Price History'!R27-1),"")</f>
        <v>0.00289631202934926</v>
      </c>
      <c r="S27" s="105" t="n">
        <f aca="false">IFERROR(IF(OR(NOT(ISNUMBER('Price History'!S28)),NOT(ISNUMBER('Price History'!S27)),'Price History'!S27=0),"",'Price History'!S28/'Price History'!S27-1),"")</f>
        <v>0.0457101658255228</v>
      </c>
      <c r="T27" s="105" t="n">
        <f aca="false">IFERROR(IF(OR(NOT(ISNUMBER('Price History'!T28)),NOT(ISNUMBER('Price History'!T27)),'Price History'!T27=0),"",'Price History'!T28/'Price History'!T27-1),"")</f>
        <v>0.00955752212389371</v>
      </c>
      <c r="U27" s="105" t="str">
        <f aca="false">IFERROR(IF(OR(NOT(ISNUMBER('Price History'!U28)),NOT(ISNUMBER('Price History'!U27)),'Price History'!U27=0),"",'Price History'!U28/'Price History'!U27-1),"")</f>
        <v/>
      </c>
      <c r="V27" s="106" t="n">
        <f aca="false">IFERROR(IF(OR(NOT(ISNUMBER('Price History'!V28)),NOT(ISNUMBER('Price History'!V27)),'Price History'!V27=0),"",'Price History'!V28/'Price History'!V27-1),"")</f>
        <v>0.0344814447915873</v>
      </c>
      <c r="W27" s="107" t="n">
        <f aca="false">'Price History'!B3+('Price History'!B158-'Price History'!B3)*0.155844155844156</f>
        <v>468.235974025974</v>
      </c>
      <c r="X27" s="107" t="n">
        <f aca="false">'Price History'!C3+('Price History'!C158-'Price History'!C3)*0.155844155844156</f>
        <v>65.0298701298702</v>
      </c>
      <c r="Y27" s="107" t="n">
        <f aca="false">'Price History'!D3+('Price History'!D158-'Price History'!D3)*0.155844155844156</f>
        <v>812.515584415585</v>
      </c>
      <c r="Z27" s="107" t="n">
        <f aca="false">'Price History'!E3+('Price History'!E158-'Price History'!E3)*0.155844155844156</f>
        <v>130.715064935065</v>
      </c>
      <c r="AA27" s="107" t="n">
        <f aca="false">'Price History'!F3+('Price History'!F158-'Price History'!F3)*0.155844155844156</f>
        <v>61.0288311688312</v>
      </c>
      <c r="AB27" s="107" t="n">
        <f aca="false">'Price History'!G3+('Price History'!G158-'Price History'!G3)*0.155844155844156</f>
        <v>68.9264935064935</v>
      </c>
      <c r="AC27" s="107" t="n">
        <f aca="false">'Price History'!H3+('Price History'!H158-'Price History'!H3)*0.155844155844156</f>
        <v>182.602727272727</v>
      </c>
      <c r="AD27" s="107" t="n">
        <f aca="false">'Price History'!I3+('Price History'!I158-'Price History'!I3)*0.155844155844156</f>
        <v>65.7694805194806</v>
      </c>
      <c r="AE27" s="107" t="n">
        <f aca="false">'Price History'!J3+('Price History'!J158-'Price History'!J3)*0.155844155844156</f>
        <v>126.798311688312</v>
      </c>
      <c r="AF27" s="107" t="n">
        <f aca="false">'Price History'!K3+('Price History'!K158-'Price History'!K3)*0.155844155844156</f>
        <v>32.1866233766234</v>
      </c>
      <c r="AG27" s="107" t="n">
        <f aca="false">'Price History'!L3+('Price History'!L158-'Price History'!L3)*0.155844155844156</f>
        <v>140.653896103896</v>
      </c>
      <c r="AH27" s="107" t="n">
        <f aca="false">'Price History'!M3+('Price History'!M158-'Price History'!M3)*0.155844155844156</f>
        <v>65.9349350649351</v>
      </c>
      <c r="AI27" s="107" t="n">
        <f aca="false">'Price History'!N3+('Price History'!N158-'Price History'!N3)*0.155844155844156</f>
        <v>369.68961038961</v>
      </c>
      <c r="AJ27" s="107" t="n">
        <f aca="false">'Price History'!O3+('Price History'!O158-'Price History'!O3)*0.155844155844156</f>
        <v>89.4624675324675</v>
      </c>
      <c r="AK27" s="107" t="n">
        <f aca="false">'Price History'!Q3+('Price History'!Q151-'Price History'!Q3)*0.155844155844156</f>
        <v>52.7402597402597</v>
      </c>
      <c r="AL27" s="107" t="n">
        <f aca="false">'Price History'!R3+('Price History'!R158-'Price History'!R3)*0.155844155844156</f>
        <v>49.4454545454545</v>
      </c>
      <c r="AM27" s="107" t="n">
        <f aca="false">'Price History'!S3+('Price History'!S158-'Price History'!S3)*0.155844155844156</f>
        <v>71.8319480519481</v>
      </c>
      <c r="AN27" s="107" t="n">
        <f aca="false">'Price History'!T3+('Price History'!T158-'Price History'!T3)*0.155844155844156</f>
        <v>30.4679220779221</v>
      </c>
    </row>
    <row r="28" customFormat="false" ht="15" hidden="false" customHeight="true" outlineLevel="0" collapsed="false">
      <c r="A28" s="104" t="n">
        <f aca="false">IF('Price History'!A29="","",'Price History'!A29)</f>
        <v>45331</v>
      </c>
      <c r="B28" s="105" t="n">
        <f aca="false">IFERROR(IF(OR(NOT(ISNUMBER('Price History'!B29)),NOT(ISNUMBER('Price History'!B28)),'Price History'!B28=0),"",'Price History'!B29/'Price History'!B28-1),"")</f>
        <v>-0.0118942592475896</v>
      </c>
      <c r="C28" s="105" t="n">
        <f aca="false">IFERROR(IF(OR(NOT(ISNUMBER('Price History'!C29)),NOT(ISNUMBER('Price History'!C28)),'Price History'!C28=0),"",'Price History'!C29/'Price History'!C28-1),"")</f>
        <v>0.0341241944932631</v>
      </c>
      <c r="D28" s="105" t="n">
        <f aca="false">IFERROR(IF(OR(NOT(ISNUMBER('Price History'!D29)),NOT(ISNUMBER('Price History'!D28)),'Price History'!D28=0),"",'Price History'!D29/'Price History'!D28-1),"")</f>
        <v>0.0661756450272832</v>
      </c>
      <c r="E28" s="105" t="n">
        <f aca="false">IFERROR(IF(OR(NOT(ISNUMBER('Price History'!E29)),NOT(ISNUMBER('Price History'!E28)),'Price History'!E28=0),"",'Price History'!E29/'Price History'!E28-1),"")</f>
        <v>0.0482724822347465</v>
      </c>
      <c r="F28" s="105" t="n">
        <f aca="false">IFERROR(IF(OR(NOT(ISNUMBER('Price History'!F29)),NOT(ISNUMBER('Price History'!F28)),'Price History'!F28=0),"",'Price History'!F29/'Price History'!F28-1),"")</f>
        <v>0.0849914349716696</v>
      </c>
      <c r="G28" s="105" t="n">
        <f aca="false">IFERROR(IF(OR(NOT(ISNUMBER('Price History'!G29)),NOT(ISNUMBER('Price History'!G28)),'Price History'!G28=0),"",'Price History'!G29/'Price History'!G28-1),"")</f>
        <v>0.0752937282806554</v>
      </c>
      <c r="H28" s="105" t="n">
        <f aca="false">IFERROR(IF(OR(NOT(ISNUMBER('Price History'!H29)),NOT(ISNUMBER('Price History'!H28)),'Price History'!H28=0),"",'Price History'!H29/'Price History'!H28-1),"")</f>
        <v>-0.0106382978723405</v>
      </c>
      <c r="I28" s="105" t="n">
        <f aca="false">IFERROR(IF(OR(NOT(ISNUMBER('Price History'!I29)),NOT(ISNUMBER('Price History'!I28)),'Price History'!I28=0),"",'Price History'!I29/'Price History'!I28-1),"")</f>
        <v>0.0902357920193471</v>
      </c>
      <c r="J28" s="105" t="n">
        <f aca="false">IFERROR(IF(OR(NOT(ISNUMBER('Price History'!J29)),NOT(ISNUMBER('Price History'!J28)),'Price History'!J28=0),"",'Price History'!J29/'Price History'!J28-1),"")</f>
        <v>0.0249903288201159</v>
      </c>
      <c r="K28" s="105" t="n">
        <f aca="false">IFERROR(IF(OR(NOT(ISNUMBER('Price History'!K29)),NOT(ISNUMBER('Price History'!K28)),'Price History'!K28=0),"",'Price History'!K29/'Price History'!K28-1),"")</f>
        <v>0.432432432432432</v>
      </c>
      <c r="L28" s="105" t="n">
        <f aca="false">IFERROR(IF(OR(NOT(ISNUMBER('Price History'!L29)),NOT(ISNUMBER('Price History'!L28)),'Price History'!L28=0),"",'Price History'!L29/'Price History'!L28-1),"")</f>
        <v>0.149978401727862</v>
      </c>
      <c r="M28" s="105" t="n">
        <f aca="false">IFERROR(IF(OR(NOT(ISNUMBER('Price History'!M29)),NOT(ISNUMBER('Price History'!M28)),'Price History'!M28=0),"",'Price History'!M29/'Price History'!M28-1),"")</f>
        <v>0.0333496014315928</v>
      </c>
      <c r="N28" s="105" t="n">
        <f aca="false">IFERROR(IF(OR(NOT(ISNUMBER('Price History'!N29)),NOT(ISNUMBER('Price History'!N28)),'Price History'!N28=0),"",'Price History'!N29/'Price History'!N28-1),"")</f>
        <v>-0.00416784402373549</v>
      </c>
      <c r="O28" s="105" t="n">
        <f aca="false">IFERROR(IF(OR(NOT(ISNUMBER('Price History'!O29)),NOT(ISNUMBER('Price History'!O28)),'Price History'!O28=0),"",'Price History'!O29/'Price History'!O28-1),"")</f>
        <v>0.00906795224977031</v>
      </c>
      <c r="P28" s="105" t="str">
        <f aca="false">IFERROR(IF(OR(NOT(ISNUMBER('Price History'!P29)),NOT(ISNUMBER('Price History'!P28)),'Price History'!P28=0),"",'Price History'!P29/'Price History'!P28-1),"")</f>
        <v/>
      </c>
      <c r="Q28" s="105" t="n">
        <f aca="false">IFERROR(IF(OR(NOT(ISNUMBER('Price History'!Q29)),NOT(ISNUMBER('Price History'!Q28)),'Price History'!Q28=0),"",'Price History'!Q29/'Price History'!Q28-1),"")</f>
        <v>0.000715179688896894</v>
      </c>
      <c r="R28" s="105" t="n">
        <f aca="false">IFERROR(IF(OR(NOT(ISNUMBER('Price History'!R29)),NOT(ISNUMBER('Price History'!R28)),'Price History'!R28=0),"",'Price History'!R29/'Price History'!R28-1),"")</f>
        <v>0.0105891413169041</v>
      </c>
      <c r="S28" s="105" t="n">
        <f aca="false">IFERROR(IF(OR(NOT(ISNUMBER('Price History'!S29)),NOT(ISNUMBER('Price History'!S28)),'Price History'!S28=0),"",'Price History'!S29/'Price History'!S28-1),"")</f>
        <v>0.0238554881412025</v>
      </c>
      <c r="T28" s="105" t="n">
        <f aca="false">IFERROR(IF(OR(NOT(ISNUMBER('Price History'!T29)),NOT(ISNUMBER('Price History'!T28)),'Price History'!T28=0),"",'Price History'!T29/'Price History'!T28-1),"")</f>
        <v>0.0038569424964936</v>
      </c>
      <c r="U28" s="105" t="str">
        <f aca="false">IFERROR(IF(OR(NOT(ISNUMBER('Price History'!U29)),NOT(ISNUMBER('Price History'!U28)),'Price History'!U28=0),"",'Price History'!U29/'Price History'!U28-1),"")</f>
        <v/>
      </c>
      <c r="V28" s="106" t="n">
        <f aca="false">IFERROR(IF(OR(NOT(ISNUMBER('Price History'!V29)),NOT(ISNUMBER('Price History'!V28)),'Price History'!V28=0),"",'Price History'!V29/'Price History'!V28-1),"")</f>
        <v>-0.000847114286766648</v>
      </c>
      <c r="W28" s="107" t="n">
        <f aca="false">'Price History'!B3+('Price History'!B158-'Price History'!B3)*0.162337662337662</f>
        <v>466.56038961039</v>
      </c>
      <c r="X28" s="107" t="n">
        <f aca="false">'Price History'!C3+('Price History'!C158-'Price History'!C3)*0.162337662337662</f>
        <v>65.916948051948</v>
      </c>
      <c r="Y28" s="107" t="n">
        <f aca="false">'Price History'!D3+('Price History'!D158-'Price History'!D3)*0.162337662337662</f>
        <v>818.796233766233</v>
      </c>
      <c r="Z28" s="107" t="n">
        <f aca="false">'Price History'!E3+('Price History'!E158-'Price History'!E3)*0.162337662337662</f>
        <v>132.704025974026</v>
      </c>
      <c r="AA28" s="107" t="n">
        <f aca="false">'Price History'!F3+('Price History'!F158-'Price History'!F3)*0.162337662337662</f>
        <v>62.0275324675324</v>
      </c>
      <c r="AB28" s="107" t="n">
        <f aca="false">'Price History'!G3+('Price History'!G158-'Price History'!G3)*0.162337662337662</f>
        <v>69.8025974025974</v>
      </c>
      <c r="AC28" s="107" t="n">
        <f aca="false">'Price History'!H3+('Price History'!H158-'Price History'!H3)*0.162337662337662</f>
        <v>187.529090909091</v>
      </c>
      <c r="AD28" s="107" t="n">
        <f aca="false">'Price History'!I3+('Price History'!I158-'Price History'!I3)*0.162337662337662</f>
        <v>66.8077922077922</v>
      </c>
      <c r="AE28" s="107" t="n">
        <f aca="false">'Price History'!J3+('Price History'!J158-'Price History'!J3)*0.162337662337662</f>
        <v>126.935324675325</v>
      </c>
      <c r="AF28" s="107" t="n">
        <f aca="false">'Price History'!K3+('Price History'!K158-'Price History'!K3)*0.162337662337662</f>
        <v>32.8856493506493</v>
      </c>
      <c r="AG28" s="107" t="n">
        <f aca="false">'Price History'!L3+('Price History'!L158-'Price History'!L3)*0.162337662337662</f>
        <v>142.681558441558</v>
      </c>
      <c r="AH28" s="107" t="n">
        <f aca="false">'Price History'!M3+('Price History'!M158-'Price History'!M3)*0.162337662337662</f>
        <v>67.285974025974</v>
      </c>
      <c r="AI28" s="107" t="n">
        <f aca="false">'Price History'!N3+('Price History'!N158-'Price History'!N3)*0.162337662337662</f>
        <v>370.515844155844</v>
      </c>
      <c r="AJ28" s="107" t="n">
        <f aca="false">'Price History'!O3+('Price History'!O158-'Price History'!O3)*0.162337662337662</f>
        <v>89.737987012987</v>
      </c>
      <c r="AK28" s="107" t="n">
        <f aca="false">'Price History'!Q3+('Price History'!Q151-'Price History'!Q3)*0.162337662337662</f>
        <v>52.8611038961039</v>
      </c>
      <c r="AL28" s="107" t="n">
        <f aca="false">'Price History'!R3+('Price History'!R158-'Price History'!R3)*0.162337662337662</f>
        <v>49.5131818181818</v>
      </c>
      <c r="AM28" s="107" t="n">
        <f aca="false">'Price History'!S3+('Price History'!S158-'Price History'!S3)*0.162337662337662</f>
        <v>72.3857792207792</v>
      </c>
      <c r="AN28" s="107" t="n">
        <f aca="false">'Price History'!T3+('Price History'!T158-'Price History'!T3)*0.162337662337662</f>
        <v>30.6161688311688</v>
      </c>
    </row>
    <row r="29" customFormat="false" ht="15" hidden="false" customHeight="true" outlineLevel="0" collapsed="false">
      <c r="A29" s="104" t="n">
        <f aca="false">IF('Price History'!A30="","",'Price History'!A30)</f>
        <v>45338</v>
      </c>
      <c r="B29" s="105" t="n">
        <f aca="false">IFERROR(IF(OR(NOT(ISNUMBER('Price History'!B30)),NOT(ISNUMBER('Price History'!B29)),'Price History'!B29=0),"",'Price History'!B30/'Price History'!B29-1),"")</f>
        <v>-0.128425886066868</v>
      </c>
      <c r="C29" s="105" t="n">
        <f aca="false">IFERROR(IF(OR(NOT(ISNUMBER('Price History'!C30)),NOT(ISNUMBER('Price History'!C29)),'Price History'!C29=0),"",'Price History'!C30/'Price History'!C29-1),"")</f>
        <v>-0.0732190907803427</v>
      </c>
      <c r="D29" s="105" t="n">
        <f aca="false">IFERROR(IF(OR(NOT(ISNUMBER('Price History'!D30)),NOT(ISNUMBER('Price History'!D29)),'Price History'!D29=0),"",'Price History'!D30/'Price History'!D29-1),"")</f>
        <v>-0.0217565290648694</v>
      </c>
      <c r="E29" s="105" t="n">
        <f aca="false">IFERROR(IF(OR(NOT(ISNUMBER('Price History'!E30)),NOT(ISNUMBER('Price History'!E29)),'Price History'!E29=0),"",'Price History'!E30/'Price History'!E29-1),"")</f>
        <v>-0.0295309334580023</v>
      </c>
      <c r="F29" s="105" t="n">
        <f aca="false">IFERROR(IF(OR(NOT(ISNUMBER('Price History'!F30)),NOT(ISNUMBER('Price History'!F29)),'Price History'!F29=0),"",'Price History'!F30/'Price History'!F29-1),"")</f>
        <v>-0.000364342968180775</v>
      </c>
      <c r="G29" s="105" t="n">
        <f aca="false">IFERROR(IF(OR(NOT(ISNUMBER('Price History'!G30)),NOT(ISNUMBER('Price History'!G29)),'Price History'!G29=0),"",'Price History'!G30/'Price History'!G29-1),"")</f>
        <v>0.017851646660511</v>
      </c>
      <c r="H29" s="105" t="n">
        <f aca="false">IFERROR(IF(OR(NOT(ISNUMBER('Price History'!H30)),NOT(ISNUMBER('Price History'!H29)),'Price History'!H29=0),"",'Price History'!H30/'Price History'!H29-1),"")</f>
        <v>-0.070827489481066</v>
      </c>
      <c r="I29" s="105" t="n">
        <f aca="false">IFERROR(IF(OR(NOT(ISNUMBER('Price History'!I30)),NOT(ISNUMBER('Price History'!I29)),'Price History'!I29=0),"",'Price History'!I30/'Price History'!I29-1),"")</f>
        <v>0.00665465132399845</v>
      </c>
      <c r="J29" s="105" t="n">
        <f aca="false">IFERROR(IF(OR(NOT(ISNUMBER('Price History'!J30)),NOT(ISNUMBER('Price History'!J29)),'Price History'!J29=0),"",'Price History'!J30/'Price History'!J29-1),"")</f>
        <v>0.00686896135265691</v>
      </c>
      <c r="K29" s="105" t="n">
        <f aca="false">IFERROR(IF(OR(NOT(ISNUMBER('Price History'!K30)),NOT(ISNUMBER('Price History'!K29)),'Price History'!K29=0),"",'Price History'!K30/'Price History'!K29-1),"")</f>
        <v>0.00246103363412642</v>
      </c>
      <c r="L29" s="105" t="n">
        <f aca="false">IFERROR(IF(OR(NOT(ISNUMBER('Price History'!L30)),NOT(ISNUMBER('Price History'!L29)),'Price History'!L29=0),"",'Price History'!L30/'Price History'!L29-1),"")</f>
        <v>-0.0482307865675007</v>
      </c>
      <c r="M29" s="105" t="n">
        <f aca="false">IFERROR(IF(OR(NOT(ISNUMBER('Price History'!M30)),NOT(ISNUMBER('Price History'!M29)),'Price History'!M29=0),"",'Price History'!M30/'Price History'!M29-1),"")</f>
        <v>-0.00865869017632248</v>
      </c>
      <c r="N29" s="105" t="n">
        <f aca="false">IFERROR(IF(OR(NOT(ISNUMBER('Price History'!N30)),NOT(ISNUMBER('Price History'!N29)),'Price History'!N29=0),"",'Price History'!N30/'Price History'!N29-1),"")</f>
        <v>-0.00167884419852937</v>
      </c>
      <c r="O29" s="105" t="n">
        <f aca="false">IFERROR(IF(OR(NOT(ISNUMBER('Price History'!O30)),NOT(ISNUMBER('Price History'!O29)),'Price History'!O29=0),"",'Price History'!O30/'Price History'!O29-1),"")</f>
        <v>0.00705266750085309</v>
      </c>
      <c r="P29" s="105" t="str">
        <f aca="false">IFERROR(IF(OR(NOT(ISNUMBER('Price History'!P30)),NOT(ISNUMBER('Price History'!P29)),'Price History'!P29=0),"",'Price History'!P30/'Price History'!P29-1),"")</f>
        <v/>
      </c>
      <c r="Q29" s="105" t="n">
        <f aca="false">IFERROR(IF(OR(NOT(ISNUMBER('Price History'!Q30)),NOT(ISNUMBER('Price History'!Q29)),'Price History'!Q29=0),"",'Price History'!Q30/'Price History'!Q29-1),"")</f>
        <v>-0.00375201000536007</v>
      </c>
      <c r="R29" s="105" t="n">
        <f aca="false">IFERROR(IF(OR(NOT(ISNUMBER('Price History'!R30)),NOT(ISNUMBER('Price History'!R29)),'Price History'!R29=0),"",'Price History'!R30/'Price History'!R29-1),"")</f>
        <v>-0.00323871213564497</v>
      </c>
      <c r="S29" s="105" t="n">
        <f aca="false">IFERROR(IF(OR(NOT(ISNUMBER('Price History'!S30)),NOT(ISNUMBER('Price History'!S29)),'Price History'!S29=0),"",'Price History'!S30/'Price History'!S29-1),"")</f>
        <v>0.00835016835016833</v>
      </c>
      <c r="T29" s="105" t="n">
        <f aca="false">IFERROR(IF(OR(NOT(ISNUMBER('Price History'!T30)),NOT(ISNUMBER('Price History'!T29)),'Price History'!T29=0),"",'Price History'!T30/'Price History'!T29-1),"")</f>
        <v>0.00838281522878104</v>
      </c>
      <c r="U29" s="105" t="str">
        <f aca="false">IFERROR(IF(OR(NOT(ISNUMBER('Price History'!U30)),NOT(ISNUMBER('Price History'!U29)),'Price History'!U29=0),"",'Price History'!U30/'Price History'!U29-1),"")</f>
        <v/>
      </c>
      <c r="V29" s="106" t="n">
        <f aca="false">IFERROR(IF(OR(NOT(ISNUMBER('Price History'!V30)),NOT(ISNUMBER('Price History'!V29)),'Price History'!V29=0),"",'Price History'!V30/'Price History'!V29-1),"")</f>
        <v>0.00770421704511959</v>
      </c>
      <c r="W29" s="107" t="n">
        <f aca="false">'Price History'!B3+('Price History'!B158-'Price History'!B3)*0.168831168831169</f>
        <v>464.884805194805</v>
      </c>
      <c r="X29" s="107" t="n">
        <f aca="false">'Price History'!C3+('Price History'!C158-'Price History'!C3)*0.168831168831169</f>
        <v>66.804025974026</v>
      </c>
      <c r="Y29" s="107" t="n">
        <f aca="false">'Price History'!D3+('Price History'!D158-'Price History'!D3)*0.168831168831169</f>
        <v>825.076883116883</v>
      </c>
      <c r="Z29" s="107" t="n">
        <f aca="false">'Price History'!E3+('Price History'!E158-'Price History'!E3)*0.168831168831169</f>
        <v>134.692987012987</v>
      </c>
      <c r="AA29" s="107" t="n">
        <f aca="false">'Price History'!F3+('Price History'!F158-'Price History'!F3)*0.168831168831169</f>
        <v>63.0262337662338</v>
      </c>
      <c r="AB29" s="107" t="n">
        <f aca="false">'Price History'!G3+('Price History'!G158-'Price History'!G3)*0.168831168831169</f>
        <v>70.6787012987013</v>
      </c>
      <c r="AC29" s="107" t="n">
        <f aca="false">'Price History'!H3+('Price History'!H158-'Price History'!H3)*0.168831168831169</f>
        <v>192.455454545455</v>
      </c>
      <c r="AD29" s="107" t="n">
        <f aca="false">'Price History'!I3+('Price History'!I158-'Price History'!I3)*0.168831168831169</f>
        <v>67.8461038961039</v>
      </c>
      <c r="AE29" s="107" t="n">
        <f aca="false">'Price History'!J3+('Price History'!J158-'Price History'!J3)*0.168831168831169</f>
        <v>127.072337662338</v>
      </c>
      <c r="AF29" s="107" t="n">
        <f aca="false">'Price History'!K3+('Price History'!K158-'Price History'!K3)*0.168831168831169</f>
        <v>33.5846753246753</v>
      </c>
      <c r="AG29" s="107" t="n">
        <f aca="false">'Price History'!L3+('Price History'!L158-'Price History'!L3)*0.168831168831169</f>
        <v>144.709220779221</v>
      </c>
      <c r="AH29" s="107" t="n">
        <f aca="false">'Price History'!M3+('Price History'!M158-'Price History'!M3)*0.168831168831169</f>
        <v>68.637012987013</v>
      </c>
      <c r="AI29" s="107" t="n">
        <f aca="false">'Price History'!N3+('Price History'!N158-'Price History'!N3)*0.168831168831169</f>
        <v>371.342077922078</v>
      </c>
      <c r="AJ29" s="107" t="n">
        <f aca="false">'Price History'!O3+('Price History'!O158-'Price History'!O3)*0.168831168831169</f>
        <v>90.0135064935065</v>
      </c>
      <c r="AK29" s="107" t="n">
        <f aca="false">'Price History'!Q3+('Price History'!Q151-'Price History'!Q3)*0.168831168831169</f>
        <v>52.9819480519481</v>
      </c>
      <c r="AL29" s="107" t="n">
        <f aca="false">'Price History'!R3+('Price History'!R158-'Price History'!R3)*0.168831168831169</f>
        <v>49.5809090909091</v>
      </c>
      <c r="AM29" s="107" t="n">
        <f aca="false">'Price History'!S3+('Price History'!S158-'Price History'!S3)*0.168831168831169</f>
        <v>72.9396103896104</v>
      </c>
      <c r="AN29" s="107" t="n">
        <f aca="false">'Price History'!T3+('Price History'!T158-'Price History'!T3)*0.168831168831169</f>
        <v>30.7644155844156</v>
      </c>
    </row>
    <row r="30" customFormat="false" ht="15" hidden="false" customHeight="true" outlineLevel="0" collapsed="false">
      <c r="A30" s="104" t="n">
        <f aca="false">IF('Price History'!A31="","",'Price History'!A31)</f>
        <v>45345</v>
      </c>
      <c r="B30" s="105" t="n">
        <f aca="false">IFERROR(IF(OR(NOT(ISNUMBER('Price History'!B31)),NOT(ISNUMBER('Price History'!B30)),'Price History'!B30=0),"",'Price History'!B31/'Price History'!B30-1),"")</f>
        <v>0.0124025902754914</v>
      </c>
      <c r="C30" s="105" t="n">
        <f aca="false">IFERROR(IF(OR(NOT(ISNUMBER('Price History'!C31)),NOT(ISNUMBER('Price History'!C30)),'Price History'!C30=0),"",'Price History'!C31/'Price History'!C30-1),"")</f>
        <v>0.0226161369193154</v>
      </c>
      <c r="D30" s="105" t="n">
        <f aca="false">IFERROR(IF(OR(NOT(ISNUMBER('Price History'!D31)),NOT(ISNUMBER('Price History'!D30)),'Price History'!D30=0),"",'Price History'!D31/'Price History'!D30-1),"")</f>
        <v>0.00463969685878518</v>
      </c>
      <c r="E30" s="105" t="n">
        <f aca="false">IFERROR(IF(OR(NOT(ISNUMBER('Price History'!E31)),NOT(ISNUMBER('Price History'!E30)),'Price History'!E30=0),"",'Price History'!E31/'Price History'!E30-1),"")</f>
        <v>0.0408671216378964</v>
      </c>
      <c r="F30" s="105" t="n">
        <f aca="false">IFERROR(IF(OR(NOT(ISNUMBER('Price History'!F31)),NOT(ISNUMBER('Price History'!F30)),'Price History'!F30=0),"",'Price History'!F31/'Price History'!F30-1),"")</f>
        <v>-0.0539424128295468</v>
      </c>
      <c r="G30" s="105" t="n">
        <f aca="false">IFERROR(IF(OR(NOT(ISNUMBER('Price History'!G31)),NOT(ISNUMBER('Price History'!G30)),'Price History'!G30=0),"",'Price History'!G31/'Price History'!G30-1),"")</f>
        <v>0.0111883882673116</v>
      </c>
      <c r="H30" s="105" t="n">
        <f aca="false">IFERROR(IF(OR(NOT(ISNUMBER('Price History'!H31)),NOT(ISNUMBER('Price History'!H30)),'Price History'!H30=0),"",'Price History'!H31/'Price History'!H30-1),"")</f>
        <v>0.0817610062893082</v>
      </c>
      <c r="I30" s="105" t="n">
        <f aca="false">IFERROR(IF(OR(NOT(ISNUMBER('Price History'!I31)),NOT(ISNUMBER('Price History'!I30)),'Price History'!I30=0),"",'Price History'!I31/'Price History'!I30-1),"")</f>
        <v>0.0855254097231786</v>
      </c>
      <c r="J30" s="105" t="n">
        <f aca="false">IFERROR(IF(OR(NOT(ISNUMBER('Price History'!J31)),NOT(ISNUMBER('Price History'!J30)),'Price History'!J30=0),"",'Price History'!J31/'Price History'!J30-1),"")</f>
        <v>-0.00134942649374004</v>
      </c>
      <c r="K30" s="105" t="n">
        <f aca="false">IFERROR(IF(OR(NOT(ISNUMBER('Price History'!K31)),NOT(ISNUMBER('Price History'!K30)),'Price History'!K30=0),"",'Price History'!K31/'Price History'!K30-1),"")</f>
        <v>-0.0601472995090018</v>
      </c>
      <c r="L30" s="105" t="n">
        <f aca="false">IFERROR(IF(OR(NOT(ISNUMBER('Price History'!L31)),NOT(ISNUMBER('Price History'!L30)),'Price History'!L30=0),"",'Price History'!L31/'Price History'!L30-1),"")</f>
        <v>0.0224169231983582</v>
      </c>
      <c r="M30" s="105" t="n">
        <f aca="false">IFERROR(IF(OR(NOT(ISNUMBER('Price History'!M31)),NOT(ISNUMBER('Price History'!M30)),'Price History'!M30=0),"",'Price History'!M31/'Price History'!M30-1),"")</f>
        <v>-0.00428775607432108</v>
      </c>
      <c r="N30" s="105" t="n">
        <f aca="false">IFERROR(IF(OR(NOT(ISNUMBER('Price History'!N31)),NOT(ISNUMBER('Price History'!N30)),'Price History'!N30=0),"",'Price History'!N31/'Price History'!N30-1),"")</f>
        <v>0.0187351965892941</v>
      </c>
      <c r="O30" s="105" t="n">
        <f aca="false">IFERROR(IF(OR(NOT(ISNUMBER('Price History'!O31)),NOT(ISNUMBER('Price History'!O30)),'Price History'!O30=0),"",'Price History'!O31/'Price History'!O30-1),"")</f>
        <v>-0.0032757257426862</v>
      </c>
      <c r="P30" s="105" t="str">
        <f aca="false">IFERROR(IF(OR(NOT(ISNUMBER('Price History'!P31)),NOT(ISNUMBER('Price History'!P30)),'Price History'!P30=0),"",'Price History'!P31/'Price History'!P30-1),"")</f>
        <v/>
      </c>
      <c r="Q30" s="105" t="n">
        <f aca="false">IFERROR(IF(OR(NOT(ISNUMBER('Price History'!Q31)),NOT(ISNUMBER('Price History'!Q30)),'Price History'!Q30=0),"",'Price History'!Q31/'Price History'!Q30-1),"")</f>
        <v>-0.00627690100430423</v>
      </c>
      <c r="R30" s="105" t="n">
        <f aca="false">IFERROR(IF(OR(NOT(ISNUMBER('Price History'!R31)),NOT(ISNUMBER('Price History'!R30)),'Price History'!R30=0),"",'Price History'!R31/'Price History'!R30-1),"")</f>
        <v>0.0126146788990824</v>
      </c>
      <c r="S30" s="105" t="n">
        <f aca="false">IFERROR(IF(OR(NOT(ISNUMBER('Price History'!S31)),NOT(ISNUMBER('Price History'!S30)),'Price History'!S30=0),"",'Price History'!S31/'Price History'!S30-1),"")</f>
        <v>0.0224388940830773</v>
      </c>
      <c r="T30" s="105" t="n">
        <f aca="false">IFERROR(IF(OR(NOT(ISNUMBER('Price History'!T31)),NOT(ISNUMBER('Price History'!T30)),'Price History'!T30=0),"",'Price History'!T31/'Price History'!T30-1),"")</f>
        <v>0.0218219605126428</v>
      </c>
      <c r="U30" s="105" t="str">
        <f aca="false">IFERROR(IF(OR(NOT(ISNUMBER('Price History'!U31)),NOT(ISNUMBER('Price History'!U30)),'Price History'!U30=0),"",'Price History'!U31/'Price History'!U30-1),"")</f>
        <v/>
      </c>
      <c r="V30" s="106" t="n">
        <f aca="false">IFERROR(IF(OR(NOT(ISNUMBER('Price History'!V31)),NOT(ISNUMBER('Price History'!V30)),'Price History'!V30=0),"",'Price History'!V31/'Price History'!V30-1),"")</f>
        <v>0.0180707466071623</v>
      </c>
      <c r="W30" s="107" t="n">
        <f aca="false">'Price History'!B3+('Price History'!B158-'Price History'!B3)*0.175324675324675</f>
        <v>463.209220779221</v>
      </c>
      <c r="X30" s="107" t="n">
        <f aca="false">'Price History'!C3+('Price History'!C158-'Price History'!C3)*0.175324675324675</f>
        <v>67.6911038961039</v>
      </c>
      <c r="Y30" s="107" t="n">
        <f aca="false">'Price History'!D3+('Price History'!D158-'Price History'!D3)*0.175324675324675</f>
        <v>831.357532467532</v>
      </c>
      <c r="Z30" s="107" t="n">
        <f aca="false">'Price History'!E3+('Price History'!E158-'Price History'!E3)*0.175324675324675</f>
        <v>136.681948051948</v>
      </c>
      <c r="AA30" s="107" t="n">
        <f aca="false">'Price History'!F3+('Price History'!F158-'Price History'!F3)*0.175324675324675</f>
        <v>64.024935064935</v>
      </c>
      <c r="AB30" s="107" t="n">
        <f aca="false">'Price History'!G3+('Price History'!G158-'Price History'!G3)*0.175324675324675</f>
        <v>71.5548051948051</v>
      </c>
      <c r="AC30" s="107" t="n">
        <f aca="false">'Price History'!H3+('Price History'!H158-'Price History'!H3)*0.175324675324675</f>
        <v>197.381818181818</v>
      </c>
      <c r="AD30" s="107" t="n">
        <f aca="false">'Price History'!I3+('Price History'!I158-'Price History'!I3)*0.175324675324675</f>
        <v>68.8844155844155</v>
      </c>
      <c r="AE30" s="107" t="n">
        <f aca="false">'Price History'!J3+('Price History'!J158-'Price History'!J3)*0.175324675324675</f>
        <v>127.209350649351</v>
      </c>
      <c r="AF30" s="107" t="n">
        <f aca="false">'Price History'!K3+('Price History'!K158-'Price History'!K3)*0.175324675324675</f>
        <v>34.2837012987013</v>
      </c>
      <c r="AG30" s="107" t="n">
        <f aca="false">'Price History'!L3+('Price History'!L158-'Price History'!L3)*0.175324675324675</f>
        <v>146.736883116883</v>
      </c>
      <c r="AH30" s="107" t="n">
        <f aca="false">'Price History'!M3+('Price History'!M158-'Price History'!M3)*0.175324675324675</f>
        <v>69.9880519480519</v>
      </c>
      <c r="AI30" s="107" t="n">
        <f aca="false">'Price History'!N3+('Price History'!N158-'Price History'!N3)*0.175324675324675</f>
        <v>372.168311688312</v>
      </c>
      <c r="AJ30" s="107" t="n">
        <f aca="false">'Price History'!O3+('Price History'!O158-'Price History'!O3)*0.175324675324675</f>
        <v>90.289025974026</v>
      </c>
      <c r="AK30" s="107" t="n">
        <f aca="false">'Price History'!Q3+('Price History'!Q151-'Price History'!Q3)*0.175324675324675</f>
        <v>53.1027922077922</v>
      </c>
      <c r="AL30" s="107" t="n">
        <f aca="false">'Price History'!R3+('Price History'!R158-'Price History'!R3)*0.175324675324675</f>
        <v>49.6486363636364</v>
      </c>
      <c r="AM30" s="107" t="n">
        <f aca="false">'Price History'!S3+('Price History'!S158-'Price History'!S3)*0.175324675324675</f>
        <v>73.4934415584415</v>
      </c>
      <c r="AN30" s="107" t="n">
        <f aca="false">'Price History'!T3+('Price History'!T158-'Price History'!T3)*0.175324675324675</f>
        <v>30.9126623376623</v>
      </c>
    </row>
    <row r="31" customFormat="false" ht="15" hidden="false" customHeight="true" outlineLevel="0" collapsed="false">
      <c r="A31" s="104" t="n">
        <f aca="false">IF('Price History'!A32="","",'Price History'!A32)</f>
        <v>45352</v>
      </c>
      <c r="B31" s="105" t="n">
        <f aca="false">IFERROR(IF(OR(NOT(ISNUMBER('Price History'!B32)),NOT(ISNUMBER('Price History'!B31)),'Price History'!B31=0),"",'Price History'!B32/'Price History'!B31-1),"")</f>
        <v>0.0316023417172591</v>
      </c>
      <c r="C31" s="105" t="n">
        <f aca="false">IFERROR(IF(OR(NOT(ISNUMBER('Price History'!C32)),NOT(ISNUMBER('Price History'!C31)),'Price History'!C31=0),"",'Price History'!C32/'Price History'!C31-1),"")</f>
        <v>0.0750149432157801</v>
      </c>
      <c r="D31" s="105" t="n">
        <f aca="false">IFERROR(IF(OR(NOT(ISNUMBER('Price History'!D32)),NOT(ISNUMBER('Price History'!D31)),'Price History'!D31=0),"",'Price History'!D32/'Price History'!D31-1),"")</f>
        <v>0.0618162335922852</v>
      </c>
      <c r="E31" s="105" t="n">
        <f aca="false">IFERROR(IF(OR(NOT(ISNUMBER('Price History'!E32)),NOT(ISNUMBER('Price History'!E31)),'Price History'!E31=0),"",'Price History'!E32/'Price History'!E31-1),"")</f>
        <v>0.0792965134217833</v>
      </c>
      <c r="F31" s="105" t="n">
        <f aca="false">IFERROR(IF(OR(NOT(ISNUMBER('Price History'!F32)),NOT(ISNUMBER('Price History'!F31)),'Price History'!F31=0),"",'Price History'!F32/'Price History'!F31-1),"")</f>
        <v>0.010016694490818</v>
      </c>
      <c r="G31" s="105" t="n">
        <f aca="false">IFERROR(IF(OR(NOT(ISNUMBER('Price History'!G32)),NOT(ISNUMBER('Price History'!G31)),'Price History'!G31=0),"",'Price History'!G32/'Price History'!G31-1),"")</f>
        <v>0.0729665071770336</v>
      </c>
      <c r="H31" s="105" t="n">
        <f aca="false">IFERROR(IF(OR(NOT(ISNUMBER('Price History'!H32)),NOT(ISNUMBER('Price History'!H31)),'Price History'!H31=0),"",'Price History'!H32/'Price History'!H31-1),"")</f>
        <v>0.106395348837209</v>
      </c>
      <c r="I31" s="105" t="n">
        <f aca="false">IFERROR(IF(OR(NOT(ISNUMBER('Price History'!I32)),NOT(ISNUMBER('Price History'!I31)),'Price History'!I31=0),"",'Price History'!I32/'Price History'!I31-1),"")</f>
        <v>0.0438974879472216</v>
      </c>
      <c r="J31" s="105" t="n">
        <f aca="false">IFERROR(IF(OR(NOT(ISNUMBER('Price History'!J32)),NOT(ISNUMBER('Price History'!J31)),'Price History'!J31=0),"",'Price History'!J32/'Price History'!J31-1),"")</f>
        <v>0.0104346520531491</v>
      </c>
      <c r="K31" s="105" t="n">
        <f aca="false">IFERROR(IF(OR(NOT(ISNUMBER('Price History'!K32)),NOT(ISNUMBER('Price History'!K31)),'Price History'!K31=0),"",'Price History'!K32/'Price History'!K31-1),"")</f>
        <v>0.0853286895951242</v>
      </c>
      <c r="L31" s="105" t="n">
        <f aca="false">IFERROR(IF(OR(NOT(ISNUMBER('Price History'!L32)),NOT(ISNUMBER('Price History'!L31)),'Price History'!L31=0),"",'Price History'!L32/'Price History'!L31-1),"")</f>
        <v>0.0337373581409712</v>
      </c>
      <c r="M31" s="105" t="n">
        <f aca="false">IFERROR(IF(OR(NOT(ISNUMBER('Price History'!M32)),NOT(ISNUMBER('Price History'!M31)),'Price History'!M31=0),"",'Price History'!M32/'Price History'!M31-1),"")</f>
        <v>0.125518341307815</v>
      </c>
      <c r="N31" s="105" t="n">
        <f aca="false">IFERROR(IF(OR(NOT(ISNUMBER('Price History'!N32)),NOT(ISNUMBER('Price History'!N31)),'Price History'!N31=0),"",'Price History'!N32/'Price History'!N31-1),"")</f>
        <v>0.00616121457301611</v>
      </c>
      <c r="O31" s="105" t="n">
        <f aca="false">IFERROR(IF(OR(NOT(ISNUMBER('Price History'!O32)),NOT(ISNUMBER('Price History'!O31)),'Price History'!O31=0),"",'Price History'!O32/'Price History'!O31-1),"")</f>
        <v>0.0157524932003628</v>
      </c>
      <c r="P31" s="105" t="str">
        <f aca="false">IFERROR(IF(OR(NOT(ISNUMBER('Price History'!P32)),NOT(ISNUMBER('Price History'!P31)),'Price History'!P31=0),"",'Price History'!P32/'Price History'!P31-1),"")</f>
        <v/>
      </c>
      <c r="Q31" s="105" t="n">
        <f aca="false">IFERROR(IF(OR(NOT(ISNUMBER('Price History'!Q32)),NOT(ISNUMBER('Price History'!Q31)),'Price History'!Q31=0),"",'Price History'!Q32/'Price History'!Q31-1),"")</f>
        <v>-0.0194910665944775</v>
      </c>
      <c r="R31" s="105" t="n">
        <f aca="false">IFERROR(IF(OR(NOT(ISNUMBER('Price History'!R32)),NOT(ISNUMBER('Price History'!R31)),'Price History'!R31=0),"",'Price History'!R32/'Price History'!R31-1),"")</f>
        <v>0.00528501321253305</v>
      </c>
      <c r="S31" s="105" t="n">
        <f aca="false">IFERROR(IF(OR(NOT(ISNUMBER('Price History'!S32)),NOT(ISNUMBER('Price History'!S31)),'Price History'!S31=0),"",'Price History'!S32/'Price History'!S31-1),"")</f>
        <v>0.0280862181580668</v>
      </c>
      <c r="T31" s="105" t="n">
        <f aca="false">IFERROR(IF(OR(NOT(ISNUMBER('Price History'!T32)),NOT(ISNUMBER('Price History'!T31)),'Price History'!T31=0),"",'Price History'!T32/'Price History'!T31-1),"")</f>
        <v>0.0220338983050847</v>
      </c>
      <c r="U31" s="105" t="str">
        <f aca="false">IFERROR(IF(OR(NOT(ISNUMBER('Price History'!U32)),NOT(ISNUMBER('Price History'!U31)),'Price History'!U31=0),"",'Price History'!U32/'Price History'!U31-1),"")</f>
        <v/>
      </c>
      <c r="V31" s="106" t="n">
        <f aca="false">IFERROR(IF(OR(NOT(ISNUMBER('Price History'!V32)),NOT(ISNUMBER('Price History'!V31)),'Price History'!V31=0),"",'Price History'!V32/'Price History'!V31-1),"")</f>
        <v>-0.00154503970392728</v>
      </c>
      <c r="W31" s="107" t="n">
        <f aca="false">'Price History'!B3+('Price History'!B158-'Price History'!B3)*0.181818181818182</f>
        <v>461.533636363636</v>
      </c>
      <c r="X31" s="107" t="n">
        <f aca="false">'Price History'!C3+('Price History'!C158-'Price History'!C3)*0.181818181818182</f>
        <v>68.5781818181818</v>
      </c>
      <c r="Y31" s="107" t="n">
        <f aca="false">'Price History'!D3+('Price History'!D158-'Price History'!D3)*0.181818181818182</f>
        <v>837.638181818182</v>
      </c>
      <c r="Z31" s="107" t="n">
        <f aca="false">'Price History'!E3+('Price History'!E158-'Price History'!E3)*0.181818181818182</f>
        <v>138.670909090909</v>
      </c>
      <c r="AA31" s="107" t="n">
        <f aca="false">'Price History'!F3+('Price History'!F158-'Price History'!F3)*0.181818181818182</f>
        <v>65.0236363636364</v>
      </c>
      <c r="AB31" s="107" t="n">
        <f aca="false">'Price History'!G3+('Price History'!G158-'Price History'!G3)*0.181818181818182</f>
        <v>72.4309090909091</v>
      </c>
      <c r="AC31" s="107" t="n">
        <f aca="false">'Price History'!H3+('Price History'!H158-'Price History'!H3)*0.181818181818182</f>
        <v>202.308181818182</v>
      </c>
      <c r="AD31" s="107" t="n">
        <f aca="false">'Price History'!I3+('Price History'!I158-'Price History'!I3)*0.181818181818182</f>
        <v>69.9227272727273</v>
      </c>
      <c r="AE31" s="107" t="n">
        <f aca="false">'Price History'!J3+('Price History'!J158-'Price History'!J3)*0.181818181818182</f>
        <v>127.346363636364</v>
      </c>
      <c r="AF31" s="107" t="n">
        <f aca="false">'Price History'!K3+('Price History'!K158-'Price History'!K3)*0.181818181818182</f>
        <v>34.9827272727273</v>
      </c>
      <c r="AG31" s="107" t="n">
        <f aca="false">'Price History'!L3+('Price History'!L158-'Price History'!L3)*0.181818181818182</f>
        <v>148.764545454546</v>
      </c>
      <c r="AH31" s="107" t="n">
        <f aca="false">'Price History'!M3+('Price History'!M158-'Price History'!M3)*0.181818181818182</f>
        <v>71.3390909090909</v>
      </c>
      <c r="AI31" s="107" t="n">
        <f aca="false">'Price History'!N3+('Price History'!N158-'Price History'!N3)*0.181818181818182</f>
        <v>372.994545454546</v>
      </c>
      <c r="AJ31" s="107" t="n">
        <f aca="false">'Price History'!O3+('Price History'!O158-'Price History'!O3)*0.181818181818182</f>
        <v>90.5645454545455</v>
      </c>
      <c r="AK31" s="107" t="n">
        <f aca="false">'Price History'!Q3+('Price History'!Q151-'Price History'!Q3)*0.181818181818182</f>
        <v>53.2236363636364</v>
      </c>
      <c r="AL31" s="107" t="n">
        <f aca="false">'Price History'!R3+('Price History'!R158-'Price History'!R3)*0.181818181818182</f>
        <v>49.7163636363636</v>
      </c>
      <c r="AM31" s="107" t="n">
        <f aca="false">'Price History'!S3+('Price History'!S158-'Price History'!S3)*0.181818181818182</f>
        <v>74.0472727272727</v>
      </c>
      <c r="AN31" s="107" t="n">
        <f aca="false">'Price History'!T3+('Price History'!T158-'Price History'!T3)*0.181818181818182</f>
        <v>31.0609090909091</v>
      </c>
    </row>
    <row r="32" customFormat="false" ht="15" hidden="false" customHeight="true" outlineLevel="0" collapsed="false">
      <c r="A32" s="104" t="n">
        <f aca="false">IF('Price History'!A33="","",'Price History'!A33)</f>
        <v>45359</v>
      </c>
      <c r="B32" s="105" t="n">
        <f aca="false">IFERROR(IF(OR(NOT(ISNUMBER('Price History'!B33)),NOT(ISNUMBER('Price History'!B32)),'Price History'!B32=0),"",'Price History'!B33/'Price History'!B32-1),"")</f>
        <v>-0.0336994027288807</v>
      </c>
      <c r="C32" s="105" t="n">
        <f aca="false">IFERROR(IF(OR(NOT(ISNUMBER('Price History'!C33)),NOT(ISNUMBER('Price History'!C32)),'Price History'!C32=0),"",'Price History'!C33/'Price History'!C32-1),"")</f>
        <v>-0.0508757297748123</v>
      </c>
      <c r="D32" s="105" t="n">
        <f aca="false">IFERROR(IF(OR(NOT(ISNUMBER('Price History'!D33)),NOT(ISNUMBER('Price History'!D32)),'Price History'!D32=0),"",'Price History'!D33/'Price History'!D32-1),"")</f>
        <v>0.00342099420752007</v>
      </c>
      <c r="E32" s="105" t="n">
        <f aca="false">IFERROR(IF(OR(NOT(ISNUMBER('Price History'!E33)),NOT(ISNUMBER('Price History'!E32)),'Price History'!E32=0),"",'Price History'!E33/'Price History'!E32-1),"")</f>
        <v>-0.0646798170383075</v>
      </c>
      <c r="F32" s="105" t="n">
        <f aca="false">IFERROR(IF(OR(NOT(ISNUMBER('Price History'!F33)),NOT(ISNUMBER('Price History'!F32)),'Price History'!F32=0),"",'Price History'!F33/'Price History'!F32-1),"")</f>
        <v>0.0261919898283534</v>
      </c>
      <c r="G32" s="105" t="n">
        <f aca="false">IFERROR(IF(OR(NOT(ISNUMBER('Price History'!G33)),NOT(ISNUMBER('Price History'!G32)),'Price History'!G32=0),"",'Price History'!G33/'Price History'!G32-1),"")</f>
        <v>-0.0256410256410257</v>
      </c>
      <c r="H32" s="105" t="n">
        <f aca="false">IFERROR(IF(OR(NOT(ISNUMBER('Price History'!H33)),NOT(ISNUMBER('Price History'!H32)),'Price History'!H32=0),"",'Price History'!H33/'Price History'!H32-1),"")</f>
        <v>0.0259590120861797</v>
      </c>
      <c r="I32" s="105" t="n">
        <f aca="false">IFERROR(IF(OR(NOT(ISNUMBER('Price History'!I33)),NOT(ISNUMBER('Price History'!I32)),'Price History'!I32=0),"",'Price History'!I33/'Price History'!I32-1),"")</f>
        <v>0.0638065143412736</v>
      </c>
      <c r="J32" s="105" t="n">
        <f aca="false">IFERROR(IF(OR(NOT(ISNUMBER('Price History'!J33)),NOT(ISNUMBER('Price History'!J32)),'Price History'!J32=0),"",'Price History'!J33/'Price History'!J32-1),"")</f>
        <v>0.00349182763744427</v>
      </c>
      <c r="K32" s="105" t="n">
        <f aca="false">IFERROR(IF(OR(NOT(ISNUMBER('Price History'!K33)),NOT(ISNUMBER('Price History'!K32)),'Price History'!K32=0),"",'Price History'!K33/'Price History'!K32-1),"")</f>
        <v>0.0445246690734056</v>
      </c>
      <c r="L32" s="105" t="n">
        <f aca="false">IFERROR(IF(OR(NOT(ISNUMBER('Price History'!L33)),NOT(ISNUMBER('Price History'!L32)),'Price History'!L32=0),"",'Price History'!L33/'Price History'!L32-1),"")</f>
        <v>0.0931292008961913</v>
      </c>
      <c r="M32" s="105" t="n">
        <f aca="false">IFERROR(IF(OR(NOT(ISNUMBER('Price History'!M33)),NOT(ISNUMBER('Price History'!M32)),'Price History'!M32=0),"",'Price History'!M33/'Price History'!M32-1),"")</f>
        <v>-0.0170043928014736</v>
      </c>
      <c r="N32" s="105" t="n">
        <f aca="false">IFERROR(IF(OR(NOT(ISNUMBER('Price History'!N33)),NOT(ISNUMBER('Price History'!N32)),'Price History'!N32=0),"",'Price History'!N33/'Price History'!N32-1),"")</f>
        <v>-0.0442970699694981</v>
      </c>
      <c r="O32" s="105" t="n">
        <f aca="false">IFERROR(IF(OR(NOT(ISNUMBER('Price History'!O33)),NOT(ISNUMBER('Price History'!O32)),'Price History'!O32=0),"",'Price History'!O33/'Price History'!O32-1),"")</f>
        <v>0.00111569786901722</v>
      </c>
      <c r="P32" s="105" t="str">
        <f aca="false">IFERROR(IF(OR(NOT(ISNUMBER('Price History'!P33)),NOT(ISNUMBER('Price History'!P32)),'Price History'!P32=0),"",'Price History'!P33/'Price History'!P32-1),"")</f>
        <v/>
      </c>
      <c r="Q32" s="105" t="n">
        <f aca="false">IFERROR(IF(OR(NOT(ISNUMBER('Price History'!Q33)),NOT(ISNUMBER('Price History'!Q32)),'Price History'!Q32=0),"",'Price History'!Q33/'Price History'!Q32-1),"")</f>
        <v>0.0206147616418186</v>
      </c>
      <c r="R32" s="105" t="n">
        <f aca="false">IFERROR(IF(OR(NOT(ISNUMBER('Price History'!R33)),NOT(ISNUMBER('Price History'!R32)),'Price History'!R32=0),"",'Price History'!R33/'Price History'!R32-1),"")</f>
        <v>-0.00131430717236203</v>
      </c>
      <c r="S32" s="105" t="n">
        <f aca="false">IFERROR(IF(OR(NOT(ISNUMBER('Price History'!S33)),NOT(ISNUMBER('Price History'!S32)),'Price History'!S32=0),"",'Price History'!S33/'Price History'!S32-1),"")</f>
        <v>0.00381194409148655</v>
      </c>
      <c r="T32" s="105" t="n">
        <f aca="false">IFERROR(IF(OR(NOT(ISNUMBER('Price History'!T33)),NOT(ISNUMBER('Price History'!T32)),'Price History'!T32=0),"",'Price History'!T33/'Price History'!T32-1),"")</f>
        <v>0.0195688225538972</v>
      </c>
      <c r="U32" s="105" t="str">
        <f aca="false">IFERROR(IF(OR(NOT(ISNUMBER('Price History'!U33)),NOT(ISNUMBER('Price History'!U32)),'Price History'!U32=0),"",'Price History'!U33/'Price History'!U32-1),"")</f>
        <v/>
      </c>
      <c r="V32" s="106" t="n">
        <f aca="false">IFERROR(IF(OR(NOT(ISNUMBER('Price History'!V33)),NOT(ISNUMBER('Price History'!V32)),'Price History'!V32=0),"",'Price History'!V33/'Price History'!V32-1),"")</f>
        <v>-0.0110119476032819</v>
      </c>
      <c r="W32" s="107" t="n">
        <f aca="false">'Price History'!B3+('Price History'!B158-'Price History'!B3)*0.188311688311688</f>
        <v>459.858051948052</v>
      </c>
      <c r="X32" s="107" t="n">
        <f aca="false">'Price History'!C3+('Price History'!C158-'Price History'!C3)*0.188311688311688</f>
        <v>69.4652597402597</v>
      </c>
      <c r="Y32" s="107" t="n">
        <f aca="false">'Price History'!D3+('Price History'!D158-'Price History'!D3)*0.188311688311688</f>
        <v>843.918831168831</v>
      </c>
      <c r="Z32" s="107" t="n">
        <f aca="false">'Price History'!E3+('Price History'!E158-'Price History'!E3)*0.188311688311688</f>
        <v>140.65987012987</v>
      </c>
      <c r="AA32" s="107" t="n">
        <f aca="false">'Price History'!F3+('Price History'!F158-'Price History'!F3)*0.188311688311688</f>
        <v>66.0223376623376</v>
      </c>
      <c r="AB32" s="107" t="n">
        <f aca="false">'Price History'!G3+('Price History'!G158-'Price History'!G3)*0.188311688311688</f>
        <v>73.3070129870129</v>
      </c>
      <c r="AC32" s="107" t="n">
        <f aca="false">'Price History'!H3+('Price History'!H158-'Price History'!H3)*0.188311688311688</f>
        <v>207.234545454545</v>
      </c>
      <c r="AD32" s="107" t="n">
        <f aca="false">'Price History'!I3+('Price History'!I158-'Price History'!I3)*0.188311688311688</f>
        <v>70.9610389610389</v>
      </c>
      <c r="AE32" s="107" t="n">
        <f aca="false">'Price History'!J3+('Price History'!J158-'Price History'!J3)*0.188311688311688</f>
        <v>127.483376623377</v>
      </c>
      <c r="AF32" s="107" t="n">
        <f aca="false">'Price History'!K3+('Price History'!K158-'Price History'!K3)*0.188311688311688</f>
        <v>35.6817532467532</v>
      </c>
      <c r="AG32" s="107" t="n">
        <f aca="false">'Price History'!L3+('Price History'!L158-'Price History'!L3)*0.188311688311688</f>
        <v>150.792207792208</v>
      </c>
      <c r="AH32" s="107" t="n">
        <f aca="false">'Price History'!M3+('Price History'!M158-'Price History'!M3)*0.188311688311688</f>
        <v>72.6901298701298</v>
      </c>
      <c r="AI32" s="107" t="n">
        <f aca="false">'Price History'!N3+('Price History'!N158-'Price History'!N3)*0.188311688311688</f>
        <v>373.820779220779</v>
      </c>
      <c r="AJ32" s="107" t="n">
        <f aca="false">'Price History'!O3+('Price History'!O158-'Price History'!O3)*0.188311688311688</f>
        <v>90.8400649350649</v>
      </c>
      <c r="AK32" s="107" t="n">
        <f aca="false">'Price History'!Q3+('Price History'!Q151-'Price History'!Q3)*0.188311688311688</f>
        <v>53.3444805194805</v>
      </c>
      <c r="AL32" s="107" t="n">
        <f aca="false">'Price History'!R3+('Price History'!R158-'Price History'!R3)*0.188311688311688</f>
        <v>49.7840909090909</v>
      </c>
      <c r="AM32" s="107" t="n">
        <f aca="false">'Price History'!S3+('Price History'!S158-'Price History'!S3)*0.188311688311688</f>
        <v>74.6011038961039</v>
      </c>
      <c r="AN32" s="107" t="n">
        <f aca="false">'Price History'!T3+('Price History'!T158-'Price History'!T3)*0.188311688311688</f>
        <v>31.2091558441558</v>
      </c>
    </row>
    <row r="33" customFormat="false" ht="15" hidden="false" customHeight="true" outlineLevel="0" collapsed="false">
      <c r="A33" s="104" t="n">
        <f aca="false">IF('Price History'!A34="","",'Price History'!A34)</f>
        <v>45366</v>
      </c>
      <c r="B33" s="105" t="n">
        <f aca="false">IFERROR(IF(OR(NOT(ISNUMBER('Price History'!B34)),NOT(ISNUMBER('Price History'!B33)),'Price History'!B33=0),"",'Price History'!B34/'Price History'!B33-1),"")</f>
        <v>-0.107361017962987</v>
      </c>
      <c r="C33" s="105" t="n">
        <f aca="false">IFERROR(IF(OR(NOT(ISNUMBER('Price History'!C34)),NOT(ISNUMBER('Price History'!C33)),'Price History'!C33=0),"",'Price History'!C34/'Price History'!C33-1),"")</f>
        <v>0.0168424135910956</v>
      </c>
      <c r="D33" s="105" t="n">
        <f aca="false">IFERROR(IF(OR(NOT(ISNUMBER('Price History'!D34)),NOT(ISNUMBER('Price History'!D33)),'Price History'!D33=0),"",'Price History'!D34/'Price History'!D33-1),"")</f>
        <v>-0.0544286102199471</v>
      </c>
      <c r="E33" s="105" t="n">
        <f aca="false">IFERROR(IF(OR(NOT(ISNUMBER('Price History'!E34)),NOT(ISNUMBER('Price History'!E33)),'Price History'!E33=0),"",'Price History'!E34/'Price History'!E33-1),"")</f>
        <v>-0.0559333689921296</v>
      </c>
      <c r="F33" s="105" t="n">
        <f aca="false">IFERROR(IF(OR(NOT(ISNUMBER('Price History'!F34)),NOT(ISNUMBER('Price History'!F33)),'Price History'!F33=0),"",'Price History'!F34/'Price History'!F33-1),"")</f>
        <v>-0.0223020691364143</v>
      </c>
      <c r="G33" s="105" t="n">
        <f aca="false">IFERROR(IF(OR(NOT(ISNUMBER('Price History'!G34)),NOT(ISNUMBER('Price History'!G33)),'Price History'!G33=0),"",'Price History'!G34/'Price History'!G33-1),"")</f>
        <v>-0.0218821510297483</v>
      </c>
      <c r="H33" s="105" t="n">
        <f aca="false">IFERROR(IF(OR(NOT(ISNUMBER('Price History'!H34)),NOT(ISNUMBER('Price History'!H33)),'Price History'!H33=0),"",'Price History'!H34/'Price History'!H33-1),"")</f>
        <v>-0.0447654169227618</v>
      </c>
      <c r="I33" s="105" t="n">
        <f aca="false">IFERROR(IF(OR(NOT(ISNUMBER('Price History'!I34)),NOT(ISNUMBER('Price History'!I33)),'Price History'!I33=0),"",'Price History'!I34/'Price History'!I33-1),"")</f>
        <v>0.00354164286530345</v>
      </c>
      <c r="J33" s="105" t="n">
        <f aca="false">IFERROR(IF(OR(NOT(ISNUMBER('Price History'!J34)),NOT(ISNUMBER('Price History'!J33)),'Price History'!J33=0),"",'Price History'!J34/'Price History'!J33-1),"")</f>
        <v>-0.0447915895461611</v>
      </c>
      <c r="K33" s="105" t="n">
        <f aca="false">IFERROR(IF(OR(NOT(ISNUMBER('Price History'!K34)),NOT(ISNUMBER('Price History'!K33)),'Price History'!K33=0),"",'Price History'!K34/'Price History'!K33-1),"")</f>
        <v>-0.097926267281106</v>
      </c>
      <c r="L33" s="105" t="n">
        <f aca="false">IFERROR(IF(OR(NOT(ISNUMBER('Price History'!L34)),NOT(ISNUMBER('Price History'!L33)),'Price History'!L33=0),"",'Price History'!L34/'Price History'!L33-1),"")</f>
        <v>-0.0641524902643985</v>
      </c>
      <c r="M33" s="105" t="n">
        <f aca="false">IFERROR(IF(OR(NOT(ISNUMBER('Price History'!M34)),NOT(ISNUMBER('Price History'!M33)),'Price History'!M33=0),"",'Price History'!M34/'Price History'!M33-1),"")</f>
        <v>0.06905002162318</v>
      </c>
      <c r="N33" s="105" t="n">
        <f aca="false">IFERROR(IF(OR(NOT(ISNUMBER('Price History'!N34)),NOT(ISNUMBER('Price History'!N33)),'Price History'!N33=0),"",'Price History'!N34/'Price History'!N33-1),"")</f>
        <v>-0.014265335235378</v>
      </c>
      <c r="O33" s="105" t="n">
        <f aca="false">IFERROR(IF(OR(NOT(ISNUMBER('Price History'!O34)),NOT(ISNUMBER('Price History'!O33)),'Price History'!O33=0),"",'Price History'!O34/'Price History'!O33-1),"")</f>
        <v>-0.00846985400646394</v>
      </c>
      <c r="P33" s="105" t="str">
        <f aca="false">IFERROR(IF(OR(NOT(ISNUMBER('Price History'!P34)),NOT(ISNUMBER('Price History'!P33)),'Price History'!P33=0),"",'Price History'!P34/'Price History'!P33-1),"")</f>
        <v/>
      </c>
      <c r="Q33" s="105" t="n">
        <f aca="false">IFERROR(IF(OR(NOT(ISNUMBER('Price History'!Q34)),NOT(ISNUMBER('Price History'!Q33)),'Price History'!Q33=0),"",'Price History'!Q34/'Price History'!Q33-1),"")</f>
        <v>0.00414788097385022</v>
      </c>
      <c r="R33" s="105" t="n">
        <f aca="false">IFERROR(IF(OR(NOT(ISNUMBER('Price History'!R34)),NOT(ISNUMBER('Price History'!R33)),'Price History'!R33=0),"",'Price History'!R34/'Price History'!R33-1),"")</f>
        <v>-0.00526414739612713</v>
      </c>
      <c r="S33" s="105" t="n">
        <f aca="false">IFERROR(IF(OR(NOT(ISNUMBER('Price History'!S34)),NOT(ISNUMBER('Price History'!S33)),'Price History'!S33=0),"",'Price History'!S34/'Price History'!S33-1),"")</f>
        <v>-0.00518987341772148</v>
      </c>
      <c r="T33" s="105" t="n">
        <f aca="false">IFERROR(IF(OR(NOT(ISNUMBER('Price History'!T34)),NOT(ISNUMBER('Price History'!T33)),'Price History'!T33=0),"",'Price History'!T34/'Price History'!T33-1),"")</f>
        <v>0.0136629798308394</v>
      </c>
      <c r="U33" s="105" t="str">
        <f aca="false">IFERROR(IF(OR(NOT(ISNUMBER('Price History'!U34)),NOT(ISNUMBER('Price History'!U33)),'Price History'!U33=0),"",'Price History'!U34/'Price History'!U33-1),"")</f>
        <v/>
      </c>
      <c r="V33" s="106" t="n">
        <f aca="false">IFERROR(IF(OR(NOT(ISNUMBER('Price History'!V34)),NOT(ISNUMBER('Price History'!V33)),'Price History'!V33=0),"",'Price History'!V34/'Price History'!V33-1),"")</f>
        <v>0.0106979113601631</v>
      </c>
      <c r="W33" s="107" t="n">
        <f aca="false">'Price History'!B3+('Price History'!B158-'Price History'!B3)*0.194805194805195</f>
        <v>458.182467532467</v>
      </c>
      <c r="X33" s="107" t="n">
        <f aca="false">'Price History'!C3+('Price History'!C158-'Price History'!C3)*0.194805194805195</f>
        <v>70.3523376623377</v>
      </c>
      <c r="Y33" s="107" t="n">
        <f aca="false">'Price History'!D3+('Price History'!D158-'Price History'!D3)*0.194805194805195</f>
        <v>850.199480519481</v>
      </c>
      <c r="Z33" s="107" t="n">
        <f aca="false">'Price History'!E3+('Price History'!E158-'Price History'!E3)*0.194805194805195</f>
        <v>142.648831168831</v>
      </c>
      <c r="AA33" s="107" t="n">
        <f aca="false">'Price History'!F3+('Price History'!F158-'Price History'!F3)*0.194805194805195</f>
        <v>67.021038961039</v>
      </c>
      <c r="AB33" s="107" t="n">
        <f aca="false">'Price History'!G3+('Price History'!G158-'Price History'!G3)*0.194805194805195</f>
        <v>74.1831168831169</v>
      </c>
      <c r="AC33" s="107" t="n">
        <f aca="false">'Price History'!H3+('Price History'!H158-'Price History'!H3)*0.194805194805195</f>
        <v>212.160909090909</v>
      </c>
      <c r="AD33" s="107" t="n">
        <f aca="false">'Price History'!I3+('Price History'!I158-'Price History'!I3)*0.194805194805195</f>
        <v>71.9993506493507</v>
      </c>
      <c r="AE33" s="107" t="n">
        <f aca="false">'Price History'!J3+('Price History'!J158-'Price History'!J3)*0.194805194805195</f>
        <v>127.62038961039</v>
      </c>
      <c r="AF33" s="107" t="n">
        <f aca="false">'Price History'!K3+('Price History'!K158-'Price History'!K3)*0.194805194805195</f>
        <v>36.3807792207792</v>
      </c>
      <c r="AG33" s="107" t="n">
        <f aca="false">'Price History'!L3+('Price History'!L158-'Price History'!L3)*0.194805194805195</f>
        <v>152.81987012987</v>
      </c>
      <c r="AH33" s="107" t="n">
        <f aca="false">'Price History'!M3+('Price History'!M158-'Price History'!M3)*0.194805194805195</f>
        <v>74.0411688311689</v>
      </c>
      <c r="AI33" s="107" t="n">
        <f aca="false">'Price History'!N3+('Price History'!N158-'Price History'!N3)*0.194805194805195</f>
        <v>374.647012987013</v>
      </c>
      <c r="AJ33" s="107" t="n">
        <f aca="false">'Price History'!O3+('Price History'!O158-'Price History'!O3)*0.194805194805195</f>
        <v>91.1155844155844</v>
      </c>
      <c r="AK33" s="107" t="n">
        <f aca="false">'Price History'!Q3+('Price History'!Q151-'Price History'!Q3)*0.194805194805195</f>
        <v>53.4653246753247</v>
      </c>
      <c r="AL33" s="107" t="n">
        <f aca="false">'Price History'!R3+('Price History'!R158-'Price History'!R3)*0.194805194805195</f>
        <v>49.8518181818182</v>
      </c>
      <c r="AM33" s="107" t="n">
        <f aca="false">'Price History'!S3+('Price History'!S158-'Price History'!S3)*0.194805194805195</f>
        <v>75.1549350649351</v>
      </c>
      <c r="AN33" s="107" t="n">
        <f aca="false">'Price History'!T3+('Price History'!T158-'Price History'!T3)*0.194805194805195</f>
        <v>31.3574025974026</v>
      </c>
    </row>
    <row r="34" customFormat="false" ht="15" hidden="false" customHeight="true" outlineLevel="0" collapsed="false">
      <c r="A34" s="104" t="n">
        <f aca="false">IF('Price History'!A35="","",'Price History'!A35)</f>
        <v>45373</v>
      </c>
      <c r="B34" s="105" t="n">
        <f aca="false">IFERROR(IF(OR(NOT(ISNUMBER('Price History'!B35)),NOT(ISNUMBER('Price History'!B34)),'Price History'!B34=0),"",'Price History'!B35/'Price History'!B34-1),"")</f>
        <v>0.0143361897412988</v>
      </c>
      <c r="C34" s="105" t="n">
        <f aca="false">IFERROR(IF(OR(NOT(ISNUMBER('Price History'!C35)),NOT(ISNUMBER('Price History'!C34)),'Price History'!C34=0),"",'Price History'!C35/'Price History'!C34-1),"")</f>
        <v>0.103413510010082</v>
      </c>
      <c r="D34" s="105" t="n">
        <f aca="false">IFERROR(IF(OR(NOT(ISNUMBER('Price History'!D35)),NOT(ISNUMBER('Price History'!D34)),'Price History'!D34=0),"",'Price History'!D35/'Price History'!D34-1),"")</f>
        <v>0.042277789004584</v>
      </c>
      <c r="E34" s="105" t="n">
        <f aca="false">IFERROR(IF(OR(NOT(ISNUMBER('Price History'!E35)),NOT(ISNUMBER('Price History'!E34)),'Price History'!E34=0),"",'Price History'!E35/'Price History'!E34-1),"")</f>
        <v>0.0955078915418859</v>
      </c>
      <c r="F34" s="105" t="n">
        <f aca="false">IFERROR(IF(OR(NOT(ISNUMBER('Price History'!F35)),NOT(ISNUMBER('Price History'!F34)),'Price History'!F34=0),"",'Price History'!F35/'Price History'!F34-1),"")</f>
        <v>0.0378912685337727</v>
      </c>
      <c r="G34" s="105" t="n">
        <f aca="false">IFERROR(IF(OR(NOT(ISNUMBER('Price History'!G35)),NOT(ISNUMBER('Price History'!G34)),'Price History'!G34=0),"",'Price History'!G35/'Price History'!G34-1),"")</f>
        <v>0.0390407954379295</v>
      </c>
      <c r="H34" s="105" t="n">
        <f aca="false">IFERROR(IF(OR(NOT(ISNUMBER('Price History'!H35)),NOT(ISNUMBER('Price History'!H34)),'Price History'!H34=0),"",'Price History'!H35/'Price History'!H34-1),"")</f>
        <v>0.181876675603217</v>
      </c>
      <c r="I34" s="105" t="n">
        <f aca="false">IFERROR(IF(OR(NOT(ISNUMBER('Price History'!I35)),NOT(ISNUMBER('Price History'!I34)),'Price History'!I34=0),"",'Price History'!I35/'Price History'!I34-1),"")</f>
        <v>0.0734289617486339</v>
      </c>
      <c r="J34" s="105" t="n">
        <f aca="false">IFERROR(IF(OR(NOT(ISNUMBER('Price History'!J35)),NOT(ISNUMBER('Price History'!J34)),'Price History'!J34=0),"",'Price History'!J35/'Price History'!J34-1),"")</f>
        <v>-0.00310029452798022</v>
      </c>
      <c r="K34" s="105" t="n">
        <f aca="false">IFERROR(IF(OR(NOT(ISNUMBER('Price History'!K35)),NOT(ISNUMBER('Price History'!K34)),'Price History'!K34=0),"",'Price History'!K35/'Price History'!K34-1),"")</f>
        <v>0.029374201787995</v>
      </c>
      <c r="L34" s="105" t="n">
        <f aca="false">IFERROR(IF(OR(NOT(ISNUMBER('Price History'!L35)),NOT(ISNUMBER('Price History'!L34)),'Price History'!L34=0),"",'Price History'!L35/'Price History'!L34-1),"")</f>
        <v>0.0259891955029932</v>
      </c>
      <c r="M34" s="105" t="n">
        <f aca="false">IFERROR(IF(OR(NOT(ISNUMBER('Price History'!M35)),NOT(ISNUMBER('Price History'!M34)),'Price History'!M34=0),"",'Price History'!M35/'Price History'!M34-1),"")</f>
        <v>0.112459546925566</v>
      </c>
      <c r="N34" s="105" t="n">
        <f aca="false">IFERROR(IF(OR(NOT(ISNUMBER('Price History'!N35)),NOT(ISNUMBER('Price History'!N34)),'Price History'!N34=0),"",'Price History'!N35/'Price History'!N34-1),"")</f>
        <v>0.0195491672594375</v>
      </c>
      <c r="O34" s="105" t="n">
        <f aca="false">IFERROR(IF(OR(NOT(ISNUMBER('Price History'!O35)),NOT(ISNUMBER('Price History'!O34)),'Price History'!O34=0),"",'Price History'!O35/'Price History'!O34-1),"")</f>
        <v>0.0239406541530853</v>
      </c>
      <c r="P34" s="105" t="str">
        <f aca="false">IFERROR(IF(OR(NOT(ISNUMBER('Price History'!P35)),NOT(ISNUMBER('Price History'!P34)),'Price History'!P34=0),"",'Price History'!P35/'Price History'!P34-1),"")</f>
        <v/>
      </c>
      <c r="Q34" s="105" t="n">
        <f aca="false">IFERROR(IF(OR(NOT(ISNUMBER('Price History'!Q35)),NOT(ISNUMBER('Price History'!Q34)),'Price History'!Q34=0),"",'Price History'!Q35/'Price History'!Q34-1),"")</f>
        <v>0.0154454022988506</v>
      </c>
      <c r="R34" s="105" t="n">
        <f aca="false">IFERROR(IF(OR(NOT(ISNUMBER('Price History'!R35)),NOT(ISNUMBER('Price History'!R34)),'Price History'!R34=0),"",'Price History'!R35/'Price History'!R34-1),"")</f>
        <v>0.0255150255150256</v>
      </c>
      <c r="S34" s="105" t="n">
        <f aca="false">IFERROR(IF(OR(NOT(ISNUMBER('Price History'!S35)),NOT(ISNUMBER('Price History'!S34)),'Price History'!S34=0),"",'Price History'!S35/'Price History'!S34-1),"")</f>
        <v>0.028502353989057</v>
      </c>
      <c r="T34" s="105" t="n">
        <f aca="false">IFERROR(IF(OR(NOT(ISNUMBER('Price History'!T35)),NOT(ISNUMBER('Price History'!T34)),'Price History'!T34=0),"",'Price History'!T35/'Price History'!T34-1),"")</f>
        <v>0.0240693196405648</v>
      </c>
      <c r="U34" s="105" t="str">
        <f aca="false">IFERROR(IF(OR(NOT(ISNUMBER('Price History'!U35)),NOT(ISNUMBER('Price History'!U34)),'Price History'!U34=0),"",'Price History'!U35/'Price History'!U34-1),"")</f>
        <v/>
      </c>
      <c r="V34" s="106" t="n">
        <f aca="false">IFERROR(IF(OR(NOT(ISNUMBER('Price History'!V35)),NOT(ISNUMBER('Price History'!V34)),'Price History'!V34=0),"",'Price History'!V35/'Price History'!V34-1),"")</f>
        <v>0.000792050691244439</v>
      </c>
      <c r="W34" s="107" t="n">
        <f aca="false">'Price History'!B3+('Price History'!B158-'Price History'!B3)*0.201298701298701</f>
        <v>456.506883116883</v>
      </c>
      <c r="X34" s="107" t="n">
        <f aca="false">'Price History'!C3+('Price History'!C158-'Price History'!C3)*0.201298701298701</f>
        <v>71.2394155844155</v>
      </c>
      <c r="Y34" s="107" t="n">
        <f aca="false">'Price History'!D3+('Price History'!D158-'Price History'!D3)*0.201298701298701</f>
        <v>856.48012987013</v>
      </c>
      <c r="Z34" s="107" t="n">
        <f aca="false">'Price History'!E3+('Price History'!E158-'Price History'!E3)*0.201298701298701</f>
        <v>144.637792207792</v>
      </c>
      <c r="AA34" s="107" t="n">
        <f aca="false">'Price History'!F3+('Price History'!F158-'Price History'!F3)*0.201298701298701</f>
        <v>68.0197402597402</v>
      </c>
      <c r="AB34" s="107" t="n">
        <f aca="false">'Price History'!G3+('Price History'!G158-'Price History'!G3)*0.201298701298701</f>
        <v>75.0592207792207</v>
      </c>
      <c r="AC34" s="107" t="n">
        <f aca="false">'Price History'!H3+('Price History'!H158-'Price History'!H3)*0.201298701298701</f>
        <v>217.087272727273</v>
      </c>
      <c r="AD34" s="107" t="n">
        <f aca="false">'Price History'!I3+('Price History'!I158-'Price History'!I3)*0.201298701298701</f>
        <v>73.0376623376623</v>
      </c>
      <c r="AE34" s="107" t="n">
        <f aca="false">'Price History'!J3+('Price History'!J158-'Price History'!J3)*0.201298701298701</f>
        <v>127.757402597403</v>
      </c>
      <c r="AF34" s="107" t="n">
        <f aca="false">'Price History'!K3+('Price History'!K158-'Price History'!K3)*0.201298701298701</f>
        <v>37.0798051948052</v>
      </c>
      <c r="AG34" s="107" t="n">
        <f aca="false">'Price History'!L3+('Price History'!L158-'Price History'!L3)*0.201298701298701</f>
        <v>154.847532467532</v>
      </c>
      <c r="AH34" s="107" t="n">
        <f aca="false">'Price History'!M3+('Price History'!M158-'Price History'!M3)*0.201298701298701</f>
        <v>75.3922077922077</v>
      </c>
      <c r="AI34" s="107" t="n">
        <f aca="false">'Price History'!N3+('Price History'!N158-'Price History'!N3)*0.201298701298701</f>
        <v>375.473246753247</v>
      </c>
      <c r="AJ34" s="107" t="n">
        <f aca="false">'Price History'!O3+('Price History'!O158-'Price History'!O3)*0.201298701298701</f>
        <v>91.3911038961039</v>
      </c>
      <c r="AK34" s="107" t="n">
        <f aca="false">'Price History'!Q3+('Price History'!Q151-'Price History'!Q3)*0.201298701298701</f>
        <v>53.5861688311688</v>
      </c>
      <c r="AL34" s="107" t="n">
        <f aca="false">'Price History'!R3+('Price History'!R158-'Price History'!R3)*0.201298701298701</f>
        <v>49.9195454545455</v>
      </c>
      <c r="AM34" s="107" t="n">
        <f aca="false">'Price History'!S3+('Price History'!S158-'Price History'!S3)*0.201298701298701</f>
        <v>75.7087662337662</v>
      </c>
      <c r="AN34" s="107" t="n">
        <f aca="false">'Price History'!T3+('Price History'!T158-'Price History'!T3)*0.201298701298701</f>
        <v>31.5056493506493</v>
      </c>
    </row>
    <row r="35" customFormat="false" ht="15" hidden="false" customHeight="true" outlineLevel="0" collapsed="false">
      <c r="A35" s="104" t="n">
        <f aca="false">IF('Price History'!A36="","",'Price History'!A36)</f>
        <v>45379</v>
      </c>
      <c r="B35" s="105" t="n">
        <f aca="false">IFERROR(IF(OR(NOT(ISNUMBER('Price History'!B36)),NOT(ISNUMBER('Price History'!B35)),'Price History'!B35=0),"",'Price History'!B36/'Price History'!B35-1),"")</f>
        <v>0.0101697629724535</v>
      </c>
      <c r="C35" s="105" t="n">
        <f aca="false">IFERROR(IF(OR(NOT(ISNUMBER('Price History'!C36)),NOT(ISNUMBER('Price History'!C35)),'Price History'!C35=0),"",'Price History'!C36/'Price History'!C35-1),"")</f>
        <v>-0.0536483487795327</v>
      </c>
      <c r="D35" s="105" t="n">
        <f aca="false">IFERROR(IF(OR(NOT(ISNUMBER('Price History'!D36)),NOT(ISNUMBER('Price History'!D35)),'Price History'!D35=0),"",'Price History'!D36/'Price History'!D35-1),"")</f>
        <v>-0.0096840687374995</v>
      </c>
      <c r="E35" s="105" t="n">
        <f aca="false">IFERROR(IF(OR(NOT(ISNUMBER('Price History'!E36)),NOT(ISNUMBER('Price History'!E35)),'Price History'!E35=0),"",'Price History'!E36/'Price History'!E35-1),"")</f>
        <v>-0.0207609900258589</v>
      </c>
      <c r="F35" s="105" t="n">
        <f aca="false">IFERROR(IF(OR(NOT(ISNUMBER('Price History'!F36)),NOT(ISNUMBER('Price History'!F35)),'Price History'!F35=0),"",'Price History'!F36/'Price History'!F35-1),"")</f>
        <v>-0.0213675213675214</v>
      </c>
      <c r="G35" s="105" t="n">
        <f aca="false">IFERROR(IF(OR(NOT(ISNUMBER('Price History'!G36)),NOT(ISNUMBER('Price History'!G35)),'Price History'!G35=0),"",'Price History'!G36/'Price History'!G35-1),"")</f>
        <v>-0.0168871376301717</v>
      </c>
      <c r="H35" s="105" t="n">
        <f aca="false">IFERROR(IF(OR(NOT(ISNUMBER('Price History'!H36)),NOT(ISNUMBER('Price History'!H35)),'Price History'!H35=0),"",'Price History'!H36/'Price History'!H35-1),"")</f>
        <v>0.0696851465384267</v>
      </c>
      <c r="I35" s="105" t="n">
        <f aca="false">IFERROR(IF(OR(NOT(ISNUMBER('Price History'!I36)),NOT(ISNUMBER('Price History'!I35)),'Price History'!I35=0),"",'Price History'!I36/'Price History'!I35-1),"")</f>
        <v>-0.0416799236398346</v>
      </c>
      <c r="J35" s="105" t="n">
        <f aca="false">IFERROR(IF(OR(NOT(ISNUMBER('Price History'!J36)),NOT(ISNUMBER('Price History'!J35)),'Price History'!J35=0),"",'Price History'!J36/'Price History'!J35-1),"")</f>
        <v>0.0124397449852278</v>
      </c>
      <c r="K35" s="105" t="n">
        <f aca="false">IFERROR(IF(OR(NOT(ISNUMBER('Price History'!K36)),NOT(ISNUMBER('Price History'!K35)),'Price History'!K35=0),"",'Price History'!K36/'Price History'!K35-1),"")</f>
        <v>-0.0483870967741935</v>
      </c>
      <c r="L35" s="105" t="n">
        <f aca="false">IFERROR(IF(OR(NOT(ISNUMBER('Price History'!L36)),NOT(ISNUMBER('Price History'!L35)),'Price History'!L35=0),"",'Price History'!L36/'Price History'!L35-1),"")</f>
        <v>-0.0319481998007684</v>
      </c>
      <c r="M35" s="105" t="n">
        <f aca="false">IFERROR(IF(OR(NOT(ISNUMBER('Price History'!M36)),NOT(ISNUMBER('Price History'!M35)),'Price History'!M35=0),"",'Price History'!M36/'Price History'!M35-1),"")</f>
        <v>-0.010060606060606</v>
      </c>
      <c r="N35" s="105" t="n">
        <f aca="false">IFERROR(IF(OR(NOT(ISNUMBER('Price History'!N36)),NOT(ISNUMBER('Price History'!N35)),'Price History'!N35=0),"",'Price History'!N36/'Price History'!N35-1),"")</f>
        <v>0.00565365924072547</v>
      </c>
      <c r="O35" s="105" t="n">
        <f aca="false">IFERROR(IF(OR(NOT(ISNUMBER('Price History'!O36)),NOT(ISNUMBER('Price History'!O35)),'Price History'!O35=0),"",'Price History'!O36/'Price History'!O35-1),"")</f>
        <v>0.0286498353457738</v>
      </c>
      <c r="P35" s="105" t="str">
        <f aca="false">IFERROR(IF(OR(NOT(ISNUMBER('Price History'!P36)),NOT(ISNUMBER('Price History'!P35)),'Price History'!P35=0),"",'Price History'!P36/'Price History'!P35-1),"")</f>
        <v/>
      </c>
      <c r="Q35" s="105" t="n">
        <f aca="false">IFERROR(IF(OR(NOT(ISNUMBER('Price History'!Q36)),NOT(ISNUMBER('Price History'!Q35)),'Price History'!Q35=0),"",'Price History'!Q36/'Price History'!Q35-1),"")</f>
        <v>0.0107888220728687</v>
      </c>
      <c r="R35" s="105" t="n">
        <f aca="false">IFERROR(IF(OR(NOT(ISNUMBER('Price History'!R36)),NOT(ISNUMBER('Price History'!R35)),'Price History'!R35=0),"",'Price History'!R36/'Price History'!R35-1),"")</f>
        <v>-0.000368595650571235</v>
      </c>
      <c r="S35" s="105" t="n">
        <f aca="false">IFERROR(IF(OR(NOT(ISNUMBER('Price History'!S36)),NOT(ISNUMBER('Price History'!S35)),'Price History'!S35=0),"",'Price History'!S36/'Price History'!S35-1),"")</f>
        <v>-0.00754670295682292</v>
      </c>
      <c r="T35" s="105" t="n">
        <f aca="false">IFERROR(IF(OR(NOT(ISNUMBER('Price History'!T36)),NOT(ISNUMBER('Price History'!T35)),'Price History'!T35=0),"",'Price History'!T36/'Price History'!T35-1),"")</f>
        <v>0.0156690692572861</v>
      </c>
      <c r="U35" s="105" t="str">
        <f aca="false">IFERROR(IF(OR(NOT(ISNUMBER('Price History'!U36)),NOT(ISNUMBER('Price History'!U35)),'Price History'!U35=0),"",'Price History'!U36/'Price History'!U35-1),"")</f>
        <v/>
      </c>
      <c r="V35" s="106" t="str">
        <f aca="false">IFERROR(IF(OR(NOT(ISNUMBER('Price History'!V36)),NOT(ISNUMBER('Price History'!V35)),'Price History'!V35=0),"",'Price History'!V36/'Price History'!V35-1),"")</f>
        <v/>
      </c>
      <c r="W35" s="107" t="n">
        <f aca="false">'Price History'!B3+('Price History'!B158-'Price History'!B3)*0.207792207792208</f>
        <v>454.831298701299</v>
      </c>
      <c r="X35" s="107" t="n">
        <f aca="false">'Price History'!C3+('Price History'!C158-'Price History'!C3)*0.207792207792208</f>
        <v>72.1264935064935</v>
      </c>
      <c r="Y35" s="107" t="n">
        <f aca="false">'Price History'!D3+('Price History'!D158-'Price History'!D3)*0.207792207792208</f>
        <v>862.760779220779</v>
      </c>
      <c r="Z35" s="107" t="n">
        <f aca="false">'Price History'!E3+('Price History'!E158-'Price History'!E3)*0.207792207792208</f>
        <v>146.626753246753</v>
      </c>
      <c r="AA35" s="107" t="n">
        <f aca="false">'Price History'!F3+('Price History'!F158-'Price History'!F3)*0.207792207792208</f>
        <v>69.0184415584416</v>
      </c>
      <c r="AB35" s="107" t="n">
        <f aca="false">'Price History'!G3+('Price History'!G158-'Price History'!G3)*0.207792207792208</f>
        <v>75.9353246753247</v>
      </c>
      <c r="AC35" s="107" t="n">
        <f aca="false">'Price History'!H3+('Price History'!H158-'Price History'!H3)*0.207792207792208</f>
        <v>222.013636363637</v>
      </c>
      <c r="AD35" s="107" t="n">
        <f aca="false">'Price History'!I3+('Price History'!I158-'Price History'!I3)*0.207792207792208</f>
        <v>74.0759740259741</v>
      </c>
      <c r="AE35" s="107" t="n">
        <f aca="false">'Price History'!J3+('Price History'!J158-'Price History'!J3)*0.207792207792208</f>
        <v>127.894415584416</v>
      </c>
      <c r="AF35" s="107" t="n">
        <f aca="false">'Price History'!K3+('Price History'!K158-'Price History'!K3)*0.207792207792208</f>
        <v>37.7788311688312</v>
      </c>
      <c r="AG35" s="107" t="n">
        <f aca="false">'Price History'!L3+('Price History'!L158-'Price History'!L3)*0.207792207792208</f>
        <v>156.875194805195</v>
      </c>
      <c r="AH35" s="107" t="n">
        <f aca="false">'Price History'!M3+('Price History'!M158-'Price History'!M3)*0.207792207792208</f>
        <v>76.7432467532468</v>
      </c>
      <c r="AI35" s="107" t="n">
        <f aca="false">'Price History'!N3+('Price History'!N158-'Price History'!N3)*0.207792207792208</f>
        <v>376.299480519481</v>
      </c>
      <c r="AJ35" s="107" t="n">
        <f aca="false">'Price History'!O3+('Price History'!O158-'Price History'!O3)*0.207792207792208</f>
        <v>91.6666233766234</v>
      </c>
      <c r="AK35" s="107" t="n">
        <f aca="false">'Price History'!Q3+('Price History'!Q151-'Price History'!Q3)*0.207792207792208</f>
        <v>53.707012987013</v>
      </c>
      <c r="AL35" s="107" t="n">
        <f aca="false">'Price History'!R3+('Price History'!R158-'Price History'!R3)*0.207792207792208</f>
        <v>49.9872727272727</v>
      </c>
      <c r="AM35" s="107" t="n">
        <f aca="false">'Price History'!S3+('Price History'!S158-'Price History'!S3)*0.207792207792208</f>
        <v>76.2625974025974</v>
      </c>
      <c r="AN35" s="107" t="n">
        <f aca="false">'Price History'!T3+('Price History'!T158-'Price History'!T3)*0.207792207792208</f>
        <v>31.6538961038961</v>
      </c>
    </row>
    <row r="36" customFormat="false" ht="15" hidden="false" customHeight="true" outlineLevel="0" collapsed="false">
      <c r="A36" s="104" t="n">
        <f aca="false">IF('Price History'!A37="","",'Price History'!A37)</f>
        <v>45387</v>
      </c>
      <c r="B36" s="105" t="n">
        <f aca="false">IFERROR(IF(OR(NOT(ISNUMBER('Price History'!B37)),NOT(ISNUMBER('Price History'!B36)),'Price History'!B36=0),"",'Price History'!B37/'Price History'!B36-1),"")</f>
        <v>-0.0386048355132779</v>
      </c>
      <c r="C36" s="105" t="n">
        <f aca="false">IFERROR(IF(OR(NOT(ISNUMBER('Price History'!C37)),NOT(ISNUMBER('Price History'!C36)),'Price History'!C36=0),"",'Price History'!C37/'Price History'!C36-1),"")</f>
        <v>0.0262068965517241</v>
      </c>
      <c r="D36" s="105" t="n">
        <f aca="false">IFERROR(IF(OR(NOT(ISNUMBER('Price History'!D37)),NOT(ISNUMBER('Price History'!D36)),'Price History'!D36=0),"",'Price History'!D37/'Price History'!D36-1),"")</f>
        <v>0.00935629128154392</v>
      </c>
      <c r="E36" s="105" t="n">
        <f aca="false">IFERROR(IF(OR(NOT(ISNUMBER('Price History'!E37)),NOT(ISNUMBER('Price History'!E36)),'Price History'!E36=0),"",'Price History'!E37/'Price History'!E36-1),"")</f>
        <v>0.0105628489512601</v>
      </c>
      <c r="F36" s="105" t="n">
        <f aca="false">IFERROR(IF(OR(NOT(ISNUMBER('Price History'!F37)),NOT(ISNUMBER('Price History'!F36)),'Price History'!F36=0),"",'Price History'!F37/'Price History'!F36-1),"")</f>
        <v>-0.015845290081098</v>
      </c>
      <c r="G36" s="105" t="n">
        <f aca="false">IFERROR(IF(OR(NOT(ISNUMBER('Price History'!G37)),NOT(ISNUMBER('Price History'!G36)),'Price History'!G36=0),"",'Price History'!G37/'Price History'!G36-1),"")</f>
        <v>-0.0226166618952189</v>
      </c>
      <c r="H36" s="105" t="n">
        <f aca="false">IFERROR(IF(OR(NOT(ISNUMBER('Price History'!H37)),NOT(ISNUMBER('Price History'!H36)),'Price History'!H36=0),"",'Price History'!H37/'Price History'!H36-1),"")</f>
        <v>0.0482653320892357</v>
      </c>
      <c r="I36" s="105" t="n">
        <f aca="false">IFERROR(IF(OR(NOT(ISNUMBER('Price History'!I37)),NOT(ISNUMBER('Price History'!I36)),'Price History'!I36=0),"",'Price History'!I37/'Price History'!I36-1),"")</f>
        <v>-0.0260070827799911</v>
      </c>
      <c r="J36" s="105" t="n">
        <f aca="false">IFERROR(IF(OR(NOT(ISNUMBER('Price History'!J37)),NOT(ISNUMBER('Price History'!J36)),'Price History'!J36=0),"",'Price History'!J37/'Price History'!J36-1),"")</f>
        <v>-0.0420826293964062</v>
      </c>
      <c r="K36" s="105" t="n">
        <f aca="false">IFERROR(IF(OR(NOT(ISNUMBER('Price History'!K37)),NOT(ISNUMBER('Price History'!K36)),'Price History'!K36=0),"",'Price History'!K37/'Price History'!K36-1),"")</f>
        <v>-0.00217296827466318</v>
      </c>
      <c r="L36" s="105" t="n">
        <f aca="false">IFERROR(IF(OR(NOT(ISNUMBER('Price History'!L37)),NOT(ISNUMBER('Price History'!L36)),'Price History'!L36=0),"",'Price History'!L37/'Price History'!L36-1),"")</f>
        <v>0.0390297684674752</v>
      </c>
      <c r="M36" s="105" t="n">
        <f aca="false">IFERROR(IF(OR(NOT(ISNUMBER('Price History'!M37)),NOT(ISNUMBER('Price History'!M36)),'Price History'!M36=0),"",'Price History'!M37/'Price History'!M36-1),"")</f>
        <v>0.0449369413493328</v>
      </c>
      <c r="N36" s="105" t="n">
        <f aca="false">IFERROR(IF(OR(NOT(ISNUMBER('Price History'!N37)),NOT(ISNUMBER('Price History'!N36)),'Price History'!N36=0),"",'Price History'!N37/'Price History'!N36-1),"")</f>
        <v>-0.0271285375947943</v>
      </c>
      <c r="O36" s="105" t="n">
        <f aca="false">IFERROR(IF(OR(NOT(ISNUMBER('Price History'!O37)),NOT(ISNUMBER('Price History'!O36)),'Price History'!O36=0),"",'Price History'!O37/'Price History'!O36-1),"")</f>
        <v>-0.0215558638352363</v>
      </c>
      <c r="P36" s="105" t="str">
        <f aca="false">IFERROR(IF(OR(NOT(ISNUMBER('Price History'!P37)),NOT(ISNUMBER('Price History'!P36)),'Price History'!P36=0),"",'Price History'!P37/'Price History'!P36-1),"")</f>
        <v/>
      </c>
      <c r="Q36" s="105" t="n">
        <f aca="false">IFERROR(IF(OR(NOT(ISNUMBER('Price History'!Q37)),NOT(ISNUMBER('Price History'!Q36)),'Price History'!Q36=0),"",'Price History'!Q37/'Price History'!Q36-1),"")</f>
        <v>0.00104986876640423</v>
      </c>
      <c r="R36" s="105" t="n">
        <f aca="false">IFERROR(IF(OR(NOT(ISNUMBER('Price History'!R37)),NOT(ISNUMBER('Price History'!R36)),'Price History'!R36=0),"",'Price History'!R37/'Price History'!R36-1),"")</f>
        <v>-0.0119837758112095</v>
      </c>
      <c r="S36" s="105" t="n">
        <f aca="false">IFERROR(IF(OR(NOT(ISNUMBER('Price History'!S37)),NOT(ISNUMBER('Price History'!S36)),'Price History'!S36=0),"",'Price History'!S37/'Price History'!S36-1),"")</f>
        <v>0.00286711543256057</v>
      </c>
      <c r="T36" s="105" t="n">
        <f aca="false">IFERROR(IF(OR(NOT(ISNUMBER('Price History'!T37)),NOT(ISNUMBER('Price History'!T36)),'Price History'!T36=0),"",'Price History'!T37/'Price History'!T36-1),"")</f>
        <v>-0.00246837395865474</v>
      </c>
      <c r="U36" s="105" t="str">
        <f aca="false">IFERROR(IF(OR(NOT(ISNUMBER('Price History'!U37)),NOT(ISNUMBER('Price History'!U36)),'Price History'!U36=0),"",'Price History'!U37/'Price History'!U36-1),"")</f>
        <v/>
      </c>
      <c r="V36" s="106" t="str">
        <f aca="false">IFERROR(IF(OR(NOT(ISNUMBER('Price History'!V37)),NOT(ISNUMBER('Price History'!V36)),'Price History'!V36=0),"",'Price History'!V37/'Price History'!V36-1),"")</f>
        <v/>
      </c>
      <c r="W36" s="107" t="n">
        <f aca="false">'Price History'!B3+('Price History'!B158-'Price History'!B3)*0.214285714285714</f>
        <v>453.155714285714</v>
      </c>
      <c r="X36" s="107" t="n">
        <f aca="false">'Price History'!C3+('Price History'!C158-'Price History'!C3)*0.214285714285714</f>
        <v>73.0135714285714</v>
      </c>
      <c r="Y36" s="107" t="n">
        <f aca="false">'Price History'!D3+('Price History'!D158-'Price History'!D3)*0.214285714285714</f>
        <v>869.041428571428</v>
      </c>
      <c r="Z36" s="107" t="n">
        <f aca="false">'Price History'!E3+('Price History'!E158-'Price History'!E3)*0.214285714285714</f>
        <v>148.615714285714</v>
      </c>
      <c r="AA36" s="107" t="n">
        <f aca="false">'Price History'!F3+('Price History'!F158-'Price History'!F3)*0.214285714285714</f>
        <v>70.0171428571428</v>
      </c>
      <c r="AB36" s="107" t="n">
        <f aca="false">'Price History'!G3+('Price History'!G158-'Price History'!G3)*0.214285714285714</f>
        <v>76.8114285714285</v>
      </c>
      <c r="AC36" s="107" t="n">
        <f aca="false">'Price History'!H3+('Price History'!H158-'Price History'!H3)*0.214285714285714</f>
        <v>226.94</v>
      </c>
      <c r="AD36" s="107" t="n">
        <f aca="false">'Price History'!I3+('Price History'!I158-'Price History'!I3)*0.214285714285714</f>
        <v>75.1142857142857</v>
      </c>
      <c r="AE36" s="107" t="n">
        <f aca="false">'Price History'!J3+('Price History'!J158-'Price History'!J3)*0.214285714285714</f>
        <v>128.031428571429</v>
      </c>
      <c r="AF36" s="107" t="n">
        <f aca="false">'Price History'!K3+('Price History'!K158-'Price History'!K3)*0.214285714285714</f>
        <v>38.4778571428571</v>
      </c>
      <c r="AG36" s="107" t="n">
        <f aca="false">'Price History'!L3+('Price History'!L158-'Price History'!L3)*0.214285714285714</f>
        <v>158.902857142857</v>
      </c>
      <c r="AH36" s="107" t="n">
        <f aca="false">'Price History'!M3+('Price History'!M158-'Price History'!M3)*0.214285714285714</f>
        <v>78.0942857142857</v>
      </c>
      <c r="AI36" s="107" t="n">
        <f aca="false">'Price History'!N3+('Price History'!N158-'Price History'!N3)*0.214285714285714</f>
        <v>377.125714285714</v>
      </c>
      <c r="AJ36" s="107" t="n">
        <f aca="false">'Price History'!O3+('Price History'!O158-'Price History'!O3)*0.214285714285714</f>
        <v>91.9421428571428</v>
      </c>
      <c r="AK36" s="107" t="n">
        <f aca="false">'Price History'!Q3+('Price History'!Q151-'Price History'!Q3)*0.214285714285714</f>
        <v>53.8278571428571</v>
      </c>
      <c r="AL36" s="107" t="n">
        <f aca="false">'Price History'!R3+('Price History'!R158-'Price History'!R3)*0.214285714285714</f>
        <v>50.055</v>
      </c>
      <c r="AM36" s="107" t="n">
        <f aca="false">'Price History'!S3+('Price History'!S158-'Price History'!S3)*0.214285714285714</f>
        <v>76.8164285714286</v>
      </c>
      <c r="AN36" s="107" t="n">
        <f aca="false">'Price History'!T3+('Price History'!T158-'Price History'!T3)*0.214285714285714</f>
        <v>31.8021428571429</v>
      </c>
    </row>
    <row r="37" customFormat="false" ht="15" hidden="false" customHeight="true" outlineLevel="0" collapsed="false">
      <c r="A37" s="104" t="n">
        <f aca="false">IF('Price History'!A38="","",'Price History'!A38)</f>
        <v>45394</v>
      </c>
      <c r="B37" s="105" t="n">
        <f aca="false">IFERROR(IF(OR(NOT(ISNUMBER('Price History'!B38)),NOT(ISNUMBER('Price History'!B37)),'Price History'!B37=0),"",'Price History'!B38/'Price History'!B37-1),"")</f>
        <v>-0.0227366424802111</v>
      </c>
      <c r="C37" s="105" t="n">
        <f aca="false">IFERROR(IF(OR(NOT(ISNUMBER('Price History'!C38)),NOT(ISNUMBER('Price History'!C37)),'Price History'!C37=0),"",'Price History'!C38/'Price History'!C37-1),"")</f>
        <v>-0.0885752688172043</v>
      </c>
      <c r="D37" s="105" t="n">
        <f aca="false">IFERROR(IF(OR(NOT(ISNUMBER('Price History'!D38)),NOT(ISNUMBER('Price History'!D37)),'Price History'!D37=0),"",'Price History'!D38/'Price History'!D37-1),"")</f>
        <v>-0.0180797304884895</v>
      </c>
      <c r="E37" s="105" t="n">
        <f aca="false">IFERROR(IF(OR(NOT(ISNUMBER('Price History'!E38)),NOT(ISNUMBER('Price History'!E37)),'Price History'!E37=0),"",'Price History'!E38/'Price History'!E37-1),"")</f>
        <v>0.00350903389577417</v>
      </c>
      <c r="F37" s="105" t="n">
        <f aca="false">IFERROR(IF(OR(NOT(ISNUMBER('Price History'!F38)),NOT(ISNUMBER('Price History'!F37)),'Price History'!F37=0),"",'Price History'!F38/'Price History'!F37-1),"")</f>
        <v>-0.0205375253549694</v>
      </c>
      <c r="G37" s="105" t="n">
        <f aca="false">IFERROR(IF(OR(NOT(ISNUMBER('Price History'!G38)),NOT(ISNUMBER('Price History'!G37)),'Price History'!G37=0),"",'Price History'!G38/'Price History'!G37-1),"")</f>
        <v>-0.00292911540714713</v>
      </c>
      <c r="H37" s="105" t="n">
        <f aca="false">IFERROR(IF(OR(NOT(ISNUMBER('Price History'!H38)),NOT(ISNUMBER('Price History'!H37)),'Price History'!H37=0),"",'Price History'!H38/'Price History'!H37-1),"")</f>
        <v>-0.00857743971516434</v>
      </c>
      <c r="I37" s="105" t="n">
        <f aca="false">IFERROR(IF(OR(NOT(ISNUMBER('Price History'!I38)),NOT(ISNUMBER('Price History'!I37)),'Price History'!I37=0),"",'Price History'!I38/'Price History'!I37-1),"")</f>
        <v>0.00204522213384828</v>
      </c>
      <c r="J37" s="105" t="n">
        <f aca="false">IFERROR(IF(OR(NOT(ISNUMBER('Price History'!J38)),NOT(ISNUMBER('Price History'!J37)),'Price History'!J37=0),"",'Price History'!J38/'Price History'!J37-1),"")</f>
        <v>-0.0460157126823794</v>
      </c>
      <c r="K37" s="105" t="n">
        <f aca="false">IFERROR(IF(OR(NOT(ISNUMBER('Price History'!K38)),NOT(ISNUMBER('Price History'!K37)),'Price History'!K37=0),"",'Price History'!K38/'Price History'!K37-1),"")</f>
        <v>-0.0126306620209059</v>
      </c>
      <c r="L37" s="105" t="n">
        <f aca="false">IFERROR(IF(OR(NOT(ISNUMBER('Price History'!L38)),NOT(ISNUMBER('Price History'!L37)),'Price History'!L37=0),"",'Price History'!L38/'Price History'!L37-1),"")</f>
        <v>0.008205998868138</v>
      </c>
      <c r="M37" s="105" t="n">
        <f aca="false">IFERROR(IF(OR(NOT(ISNUMBER('Price History'!M38)),NOT(ISNUMBER('Price History'!M37)),'Price History'!M37=0),"",'Price History'!M38/'Price History'!M37-1),"")</f>
        <v>-0.0169908600890556</v>
      </c>
      <c r="N37" s="105" t="n">
        <f aca="false">IFERROR(IF(OR(NOT(ISNUMBER('Price History'!N38)),NOT(ISNUMBER('Price History'!N37)),'Price History'!N37=0),"",'Price History'!N38/'Price History'!N37-1),"")</f>
        <v>-0.0248850419258858</v>
      </c>
      <c r="O37" s="105" t="n">
        <f aca="false">IFERROR(IF(OR(NOT(ISNUMBER('Price History'!O38)),NOT(ISNUMBER('Price History'!O37)),'Price History'!O37=0),"",'Price History'!O38/'Price History'!O37-1),"")</f>
        <v>-0.0308648707601701</v>
      </c>
      <c r="P37" s="105" t="str">
        <f aca="false">IFERROR(IF(OR(NOT(ISNUMBER('Price History'!P38)),NOT(ISNUMBER('Price History'!P37)),'Price History'!P37=0),"",'Price History'!P38/'Price History'!P37-1),"")</f>
        <v/>
      </c>
      <c r="Q37" s="105" t="n">
        <f aca="false">IFERROR(IF(OR(NOT(ISNUMBER('Price History'!Q38)),NOT(ISNUMBER('Price History'!Q37)),'Price History'!Q37=0),"",'Price History'!Q38/'Price History'!Q37-1),"")</f>
        <v>-0.00262191924488719</v>
      </c>
      <c r="R37" s="105" t="n">
        <f aca="false">IFERROR(IF(OR(NOT(ISNUMBER('Price History'!R38)),NOT(ISNUMBER('Price History'!R37)),'Price History'!R37=0),"",'Price History'!R38/'Price History'!R37-1),"")</f>
        <v>-0.0035454375816385</v>
      </c>
      <c r="S37" s="105" t="n">
        <f aca="false">IFERROR(IF(OR(NOT(ISNUMBER('Price History'!S38)),NOT(ISNUMBER('Price History'!S37)),'Price History'!S37=0),"",'Price History'!S38/'Price History'!S37-1),"")</f>
        <v>-0.0140459912989436</v>
      </c>
      <c r="T37" s="105" t="n">
        <f aca="false">IFERROR(IF(OR(NOT(ISNUMBER('Price History'!T38)),NOT(ISNUMBER('Price History'!T37)),'Price History'!T37=0),"",'Price History'!T38/'Price History'!T37-1),"")</f>
        <v>-0.0259820600061862</v>
      </c>
      <c r="U37" s="105" t="str">
        <f aca="false">IFERROR(IF(OR(NOT(ISNUMBER('Price History'!U38)),NOT(ISNUMBER('Price History'!U37)),'Price History'!U37=0),"",'Price History'!U38/'Price History'!U37-1),"")</f>
        <v/>
      </c>
      <c r="V37" s="106" t="n">
        <f aca="false">IFERROR(IF(OR(NOT(ISNUMBER('Price History'!V38)),NOT(ISNUMBER('Price History'!V37)),'Price History'!V37=0),"",'Price History'!V38/'Price History'!V37-1),"")</f>
        <v>-0.00422840754494991</v>
      </c>
      <c r="W37" s="107" t="n">
        <f aca="false">'Price History'!B3+('Price History'!B158-'Price History'!B3)*0.220779220779221</f>
        <v>451.48012987013</v>
      </c>
      <c r="X37" s="107" t="n">
        <f aca="false">'Price History'!C3+('Price History'!C158-'Price History'!C3)*0.220779220779221</f>
        <v>73.9006493506494</v>
      </c>
      <c r="Y37" s="107" t="n">
        <f aca="false">'Price History'!D3+('Price History'!D158-'Price History'!D3)*0.220779220779221</f>
        <v>875.322077922078</v>
      </c>
      <c r="Z37" s="107" t="n">
        <f aca="false">'Price History'!E3+('Price History'!E158-'Price History'!E3)*0.220779220779221</f>
        <v>150.604675324675</v>
      </c>
      <c r="AA37" s="107" t="n">
        <f aca="false">'Price History'!F3+('Price History'!F158-'Price History'!F3)*0.220779220779221</f>
        <v>71.0158441558442</v>
      </c>
      <c r="AB37" s="107" t="n">
        <f aca="false">'Price History'!G3+('Price History'!G158-'Price History'!G3)*0.220779220779221</f>
        <v>77.6875324675325</v>
      </c>
      <c r="AC37" s="107" t="n">
        <f aca="false">'Price History'!H3+('Price History'!H158-'Price History'!H3)*0.220779220779221</f>
        <v>231.866363636364</v>
      </c>
      <c r="AD37" s="107" t="n">
        <f aca="false">'Price History'!I3+('Price History'!I158-'Price History'!I3)*0.220779220779221</f>
        <v>76.1525974025974</v>
      </c>
      <c r="AE37" s="107" t="n">
        <f aca="false">'Price History'!J3+('Price History'!J158-'Price History'!J3)*0.220779220779221</f>
        <v>128.168441558442</v>
      </c>
      <c r="AF37" s="107" t="n">
        <f aca="false">'Price History'!K3+('Price History'!K158-'Price History'!K3)*0.220779220779221</f>
        <v>39.1768831168831</v>
      </c>
      <c r="AG37" s="107" t="n">
        <f aca="false">'Price History'!L3+('Price History'!L158-'Price History'!L3)*0.220779220779221</f>
        <v>160.93051948052</v>
      </c>
      <c r="AH37" s="107" t="n">
        <f aca="false">'Price History'!M3+('Price History'!M158-'Price History'!M3)*0.220779220779221</f>
        <v>79.4453246753247</v>
      </c>
      <c r="AI37" s="107" t="n">
        <f aca="false">'Price History'!N3+('Price History'!N158-'Price History'!N3)*0.220779220779221</f>
        <v>377.951948051948</v>
      </c>
      <c r="AJ37" s="107" t="n">
        <f aca="false">'Price History'!O3+('Price History'!O158-'Price History'!O3)*0.220779220779221</f>
        <v>92.2176623376624</v>
      </c>
      <c r="AK37" s="107" t="n">
        <f aca="false">'Price History'!Q3+('Price History'!Q151-'Price History'!Q3)*0.220779220779221</f>
        <v>53.9487012987013</v>
      </c>
      <c r="AL37" s="107" t="n">
        <f aca="false">'Price History'!R3+('Price History'!R158-'Price History'!R3)*0.220779220779221</f>
        <v>50.1227272727273</v>
      </c>
      <c r="AM37" s="107" t="n">
        <f aca="false">'Price History'!S3+('Price History'!S158-'Price History'!S3)*0.220779220779221</f>
        <v>77.3702597402598</v>
      </c>
      <c r="AN37" s="107" t="n">
        <f aca="false">'Price History'!T3+('Price History'!T158-'Price History'!T3)*0.220779220779221</f>
        <v>31.9503896103896</v>
      </c>
    </row>
    <row r="38" customFormat="false" ht="15" hidden="false" customHeight="true" outlineLevel="0" collapsed="false">
      <c r="A38" s="104" t="n">
        <f aca="false">IF('Price History'!A39="","",'Price History'!A39)</f>
        <v>45401</v>
      </c>
      <c r="B38" s="105" t="n">
        <f aca="false">IFERROR(IF(OR(NOT(ISNUMBER('Price History'!B39)),NOT(ISNUMBER('Price History'!B38)),'Price History'!B38=0),"",'Price History'!B39/'Price History'!B38-1),"")</f>
        <v>-0.0191313885549157</v>
      </c>
      <c r="C38" s="105" t="n">
        <f aca="false">IFERROR(IF(OR(NOT(ISNUMBER('Price History'!C39)),NOT(ISNUMBER('Price History'!C38)),'Price History'!C38=0),"",'Price History'!C39/'Price History'!C38-1),"")</f>
        <v>-0.0927591800619377</v>
      </c>
      <c r="D38" s="105" t="n">
        <f aca="false">IFERROR(IF(OR(NOT(ISNUMBER('Price History'!D39)),NOT(ISNUMBER('Price History'!D38)),'Price History'!D38=0),"",'Price History'!D39/'Price History'!D38-1),"")</f>
        <v>-0.106358645928637</v>
      </c>
      <c r="E38" s="105" t="n">
        <f aca="false">IFERROR(IF(OR(NOT(ISNUMBER('Price History'!E39)),NOT(ISNUMBER('Price History'!E38)),'Price History'!E38=0),"",'Price History'!E39/'Price History'!E38-1),"")</f>
        <v>-0.103712521389777</v>
      </c>
      <c r="F38" s="105" t="n">
        <f aca="false">IFERROR(IF(OR(NOT(ISNUMBER('Price History'!F39)),NOT(ISNUMBER('Price History'!F38)),'Price History'!F38=0),"",'Price History'!F39/'Price History'!F38-1),"")</f>
        <v>-0.0854258348433861</v>
      </c>
      <c r="G38" s="105" t="n">
        <f aca="false">IFERROR(IF(OR(NOT(ISNUMBER('Price History'!G39)),NOT(ISNUMBER('Price History'!G38)),'Price History'!G38=0),"",'Price History'!G39/'Price History'!G38-1),"")</f>
        <v>-0.077262044653349</v>
      </c>
      <c r="H38" s="105" t="n">
        <f aca="false">IFERROR(IF(OR(NOT(ISNUMBER('Price History'!H39)),NOT(ISNUMBER('Price History'!H38)),'Price History'!H38=0),"",'Price History'!H39/'Price History'!H38-1),"")</f>
        <v>-0.128550440744368</v>
      </c>
      <c r="I38" s="105" t="n">
        <f aca="false">IFERROR(IF(OR(NOT(ISNUMBER('Price History'!I39)),NOT(ISNUMBER('Price History'!I38)),'Price History'!I38=0),"",'Price History'!I39/'Price History'!I38-1),"")</f>
        <v>-0.135956457648259</v>
      </c>
      <c r="J38" s="105" t="n">
        <f aca="false">IFERROR(IF(OR(NOT(ISNUMBER('Price History'!J39)),NOT(ISNUMBER('Price History'!J38)),'Price History'!J38=0),"",'Price History'!J39/'Price History'!J38-1),"")</f>
        <v>-0.130336134453782</v>
      </c>
      <c r="K38" s="105" t="n">
        <f aca="false">IFERROR(IF(OR(NOT(ISNUMBER('Price History'!K39)),NOT(ISNUMBER('Price History'!K38)),'Price History'!K38=0),"",'Price History'!K39/'Price History'!K38-1),"")</f>
        <v>-0.0970445522717248</v>
      </c>
      <c r="L38" s="105" t="n">
        <f aca="false">IFERROR(IF(OR(NOT(ISNUMBER('Price History'!L39)),NOT(ISNUMBER('Price History'!L38)),'Price History'!L38=0),"",'Price History'!L39/'Price History'!L38-1),"")</f>
        <v>-0.103985405557115</v>
      </c>
      <c r="M38" s="105" t="n">
        <f aca="false">IFERROR(IF(OR(NOT(ISNUMBER('Price History'!M39)),NOT(ISNUMBER('Price History'!M38)),'Price History'!M38=0),"",'Price History'!M39/'Price History'!M38-1),"")</f>
        <v>-0.105852902610561</v>
      </c>
      <c r="N38" s="105" t="n">
        <f aca="false">IFERROR(IF(OR(NOT(ISNUMBER('Price History'!N39)),NOT(ISNUMBER('Price History'!N38)),'Price History'!N38=0),"",'Price History'!N39/'Price History'!N38-1),"")</f>
        <v>-0.00572437271466408</v>
      </c>
      <c r="O38" s="105" t="n">
        <f aca="false">IFERROR(IF(OR(NOT(ISNUMBER('Price History'!O39)),NOT(ISNUMBER('Price History'!O38)),'Price History'!O38=0),"",'Price History'!O39/'Price History'!O38-1),"")</f>
        <v>-0.00900292595093399</v>
      </c>
      <c r="P38" s="105" t="str">
        <f aca="false">IFERROR(IF(OR(NOT(ISNUMBER('Price History'!P39)),NOT(ISNUMBER('Price History'!P38)),'Price History'!P38=0),"",'Price History'!P39/'Price History'!P38-1),"")</f>
        <v/>
      </c>
      <c r="Q38" s="105" t="n">
        <f aca="false">IFERROR(IF(OR(NOT(ISNUMBER('Price History'!Q39)),NOT(ISNUMBER('Price History'!Q38)),'Price History'!Q38=0),"",'Price History'!Q39/'Price History'!Q38-1),"")</f>
        <v>0.0110410094637223</v>
      </c>
      <c r="R38" s="105" t="n">
        <f aca="false">IFERROR(IF(OR(NOT(ISNUMBER('Price History'!R39)),NOT(ISNUMBER('Price History'!R38)),'Price History'!R38=0),"",'Price History'!R39/'Price History'!R38-1),"")</f>
        <v>-0.047940074906367</v>
      </c>
      <c r="S38" s="105" t="n">
        <f aca="false">IFERROR(IF(OR(NOT(ISNUMBER('Price History'!S39)),NOT(ISNUMBER('Price History'!S38)),'Price History'!S38=0),"",'Price History'!S39/'Price History'!S38-1),"")</f>
        <v>-0.0568582955118506</v>
      </c>
      <c r="T38" s="105" t="n">
        <f aca="false">IFERROR(IF(OR(NOT(ISNUMBER('Price History'!T39)),NOT(ISNUMBER('Price History'!T38)),'Price History'!T38=0),"",'Price History'!T39/'Price History'!T38-1),"")</f>
        <v>-0.017783423308987</v>
      </c>
      <c r="U38" s="105" t="str">
        <f aca="false">IFERROR(IF(OR(NOT(ISNUMBER('Price History'!U39)),NOT(ISNUMBER('Price History'!U38)),'Price History'!U38=0),"",'Price History'!U39/'Price History'!U38-1),"")</f>
        <v/>
      </c>
      <c r="V38" s="106" t="n">
        <f aca="false">IFERROR(IF(OR(NOT(ISNUMBER('Price History'!V39)),NOT(ISNUMBER('Price History'!V38)),'Price History'!V38=0),"",'Price History'!V39/'Price History'!V38-1),"")</f>
        <v>-0.0224134111217783</v>
      </c>
      <c r="W38" s="107" t="n">
        <f aca="false">'Price History'!B3+('Price History'!B158-'Price History'!B3)*0.227272727272727</f>
        <v>449.804545454546</v>
      </c>
      <c r="X38" s="107" t="n">
        <f aca="false">'Price History'!C3+('Price History'!C158-'Price History'!C3)*0.227272727272727</f>
        <v>74.7877272727272</v>
      </c>
      <c r="Y38" s="107" t="n">
        <f aca="false">'Price History'!D3+('Price History'!D158-'Price History'!D3)*0.227272727272727</f>
        <v>881.602727272727</v>
      </c>
      <c r="Z38" s="107" t="n">
        <f aca="false">'Price History'!E3+('Price History'!E158-'Price History'!E3)*0.227272727272727</f>
        <v>152.593636363636</v>
      </c>
      <c r="AA38" s="107" t="n">
        <f aca="false">'Price History'!F3+('Price History'!F158-'Price History'!F3)*0.227272727272727</f>
        <v>72.0145454545454</v>
      </c>
      <c r="AB38" s="107" t="n">
        <f aca="false">'Price History'!G3+('Price History'!G158-'Price History'!G3)*0.227272727272727</f>
        <v>78.5636363636363</v>
      </c>
      <c r="AC38" s="107" t="n">
        <f aca="false">'Price History'!H3+('Price History'!H158-'Price History'!H3)*0.227272727272727</f>
        <v>236.792727272727</v>
      </c>
      <c r="AD38" s="107" t="n">
        <f aca="false">'Price History'!I3+('Price History'!I158-'Price History'!I3)*0.227272727272727</f>
        <v>77.1909090909091</v>
      </c>
      <c r="AE38" s="107" t="n">
        <f aca="false">'Price History'!J3+('Price History'!J158-'Price History'!J3)*0.227272727272727</f>
        <v>128.305454545455</v>
      </c>
      <c r="AF38" s="107" t="n">
        <f aca="false">'Price History'!K3+('Price History'!K158-'Price History'!K3)*0.227272727272727</f>
        <v>39.8759090909091</v>
      </c>
      <c r="AG38" s="107" t="n">
        <f aca="false">'Price History'!L3+('Price History'!L158-'Price History'!L3)*0.227272727272727</f>
        <v>162.958181818182</v>
      </c>
      <c r="AH38" s="107" t="n">
        <f aca="false">'Price History'!M3+('Price History'!M158-'Price History'!M3)*0.227272727272727</f>
        <v>80.7963636363636</v>
      </c>
      <c r="AI38" s="107" t="n">
        <f aca="false">'Price History'!N3+('Price History'!N158-'Price History'!N3)*0.227272727272727</f>
        <v>378.778181818182</v>
      </c>
      <c r="AJ38" s="107" t="n">
        <f aca="false">'Price History'!O3+('Price History'!O158-'Price History'!O3)*0.227272727272727</f>
        <v>92.4931818181818</v>
      </c>
      <c r="AK38" s="107" t="n">
        <f aca="false">'Price History'!Q3+('Price History'!Q151-'Price History'!Q3)*0.227272727272727</f>
        <v>54.0695454545455</v>
      </c>
      <c r="AL38" s="107" t="n">
        <f aca="false">'Price History'!R3+('Price History'!R158-'Price History'!R3)*0.227272727272727</f>
        <v>50.1904545454545</v>
      </c>
      <c r="AM38" s="107" t="n">
        <f aca="false">'Price History'!S3+('Price History'!S158-'Price History'!S3)*0.227272727272727</f>
        <v>77.9240909090909</v>
      </c>
      <c r="AN38" s="107" t="n">
        <f aca="false">'Price History'!T3+('Price History'!T158-'Price History'!T3)*0.227272727272727</f>
        <v>32.0986363636364</v>
      </c>
    </row>
    <row r="39" customFormat="false" ht="15" hidden="false" customHeight="true" outlineLevel="0" collapsed="false">
      <c r="A39" s="104" t="n">
        <f aca="false">IF('Price History'!A40="","",'Price History'!A40)</f>
        <v>45408</v>
      </c>
      <c r="B39" s="105" t="n">
        <f aca="false">IFERROR(IF(OR(NOT(ISNUMBER('Price History'!B40)),NOT(ISNUMBER('Price History'!B39)),'Price History'!B39=0),"",'Price History'!B40/'Price History'!B39-1),"")</f>
        <v>0.0269665820824911</v>
      </c>
      <c r="C39" s="105" t="n">
        <f aca="false">IFERROR(IF(OR(NOT(ISNUMBER('Price History'!C40)),NOT(ISNUMBER('Price History'!C39)),'Price History'!C39=0),"",'Price History'!C40/'Price History'!C39-1),"")</f>
        <v>0.0757477243172953</v>
      </c>
      <c r="D39" s="105" t="n">
        <f aca="false">IFERROR(IF(OR(NOT(ISNUMBER('Price History'!D40)),NOT(ISNUMBER('Price History'!D39)),'Price History'!D39=0),"",'Price History'!D40/'Price History'!D39-1),"")</f>
        <v>0.0691416338972009</v>
      </c>
      <c r="E39" s="105" t="n">
        <f aca="false">IFERROR(IF(OR(NOT(ISNUMBER('Price History'!E40)),NOT(ISNUMBER('Price History'!E39)),'Price History'!E39=0),"",'Price History'!E40/'Price History'!E39-1),"")</f>
        <v>0.115713455632108</v>
      </c>
      <c r="F39" s="105" t="n">
        <f aca="false">IFERROR(IF(OR(NOT(ISNUMBER('Price History'!F40)),NOT(ISNUMBER('Price History'!F39)),'Price History'!F39=0),"",'Price History'!F40/'Price History'!F39-1),"")</f>
        <v>0.0758562128502689</v>
      </c>
      <c r="G39" s="105" t="n">
        <f aca="false">IFERROR(IF(OR(NOT(ISNUMBER('Price History'!G40)),NOT(ISNUMBER('Price History'!G39)),'Price History'!G39=0),"",'Price History'!G40/'Price History'!G39-1),"")</f>
        <v>0.124323463865011</v>
      </c>
      <c r="H39" s="105" t="n">
        <f aca="false">IFERROR(IF(OR(NOT(ISNUMBER('Price History'!H40)),NOT(ISNUMBER('Price History'!H39)),'Price History'!H39=0),"",'Price History'!H40/'Price History'!H39-1),"")</f>
        <v>0.0755830289407138</v>
      </c>
      <c r="I39" s="105" t="n">
        <f aca="false">IFERROR(IF(OR(NOT(ISNUMBER('Price History'!I40)),NOT(ISNUMBER('Price History'!I39)),'Price History'!I39=0),"",'Price History'!I40/'Price History'!I39-1),"")</f>
        <v>0.151443569553806</v>
      </c>
      <c r="J39" s="105" t="n">
        <f aca="false">IFERROR(IF(OR(NOT(ISNUMBER('Price History'!J40)),NOT(ISNUMBER('Price History'!J39)),'Price History'!J39=0),"",'Price History'!J40/'Price History'!J39-1),"")</f>
        <v>0.00550777852932649</v>
      </c>
      <c r="K39" s="105" t="n">
        <f aca="false">IFERROR(IF(OR(NOT(ISNUMBER('Price History'!K40)),NOT(ISNUMBER('Price History'!K39)),'Price History'!K39=0),"",'Price History'!K40/'Price History'!K39-1),"")</f>
        <v>0.100146555935515</v>
      </c>
      <c r="L39" s="105" t="n">
        <f aca="false">IFERROR(IF(OR(NOT(ISNUMBER('Price History'!L40)),NOT(ISNUMBER('Price History'!L39)),'Price History'!L39=0),"",'Price History'!L40/'Price History'!L39-1),"")</f>
        <v>0.0830070477682068</v>
      </c>
      <c r="M39" s="105" t="n">
        <f aca="false">IFERROR(IF(OR(NOT(ISNUMBER('Price History'!M40)),NOT(ISNUMBER('Price History'!M39)),'Price History'!M39=0),"",'Price History'!M40/'Price History'!M39-1),"")</f>
        <v>0.246367151046527</v>
      </c>
      <c r="N39" s="105" t="n">
        <f aca="false">IFERROR(IF(OR(NOT(ISNUMBER('Price History'!N40)),NOT(ISNUMBER('Price History'!N39)),'Price History'!N39=0),"",'Price History'!N40/'Price History'!N39-1),"")</f>
        <v>0.00811605965303852</v>
      </c>
      <c r="O39" s="105" t="n">
        <f aca="false">IFERROR(IF(OR(NOT(ISNUMBER('Price History'!O40)),NOT(ISNUMBER('Price History'!O39)),'Price History'!O39=0),"",'Price History'!O40/'Price History'!O39-1),"")</f>
        <v>0.0247558482852599</v>
      </c>
      <c r="P39" s="105" t="str">
        <f aca="false">IFERROR(IF(OR(NOT(ISNUMBER('Price History'!P40)),NOT(ISNUMBER('Price History'!P39)),'Price History'!P39=0),"",'Price History'!P40/'Price History'!P39-1),"")</f>
        <v/>
      </c>
      <c r="Q39" s="105" t="n">
        <f aca="false">IFERROR(IF(OR(NOT(ISNUMBER('Price History'!Q40)),NOT(ISNUMBER('Price History'!Q39)),'Price History'!Q39=0),"",'Price History'!Q40/'Price History'!Q39-1),"")</f>
        <v>0.00901369388108853</v>
      </c>
      <c r="R39" s="105" t="n">
        <f aca="false">IFERROR(IF(OR(NOT(ISNUMBER('Price History'!R40)),NOT(ISNUMBER('Price History'!R39)),'Price History'!R39=0),"",'Price History'!R40/'Price History'!R39-1),"")</f>
        <v>0.0357985837922894</v>
      </c>
      <c r="S39" s="105" t="n">
        <f aca="false">IFERROR(IF(OR(NOT(ISNUMBER('Price History'!S40)),NOT(ISNUMBER('Price History'!S39)),'Price History'!S39=0),"",'Price History'!S40/'Price History'!S39-1),"")</f>
        <v>0.0300761930223232</v>
      </c>
      <c r="T39" s="105" t="n">
        <f aca="false">IFERROR(IF(OR(NOT(ISNUMBER('Price History'!T40)),NOT(ISNUMBER('Price History'!T39)),'Price History'!T39=0),"",'Price History'!T40/'Price History'!T39-1),"")</f>
        <v>0.0126091173617846</v>
      </c>
      <c r="U39" s="105" t="str">
        <f aca="false">IFERROR(IF(OR(NOT(ISNUMBER('Price History'!U40)),NOT(ISNUMBER('Price History'!U39)),'Price History'!U39=0),"",'Price History'!U40/'Price History'!U39-1),"")</f>
        <v/>
      </c>
      <c r="V39" s="106" t="n">
        <f aca="false">IFERROR(IF(OR(NOT(ISNUMBER('Price History'!V40)),NOT(ISNUMBER('Price History'!V39)),'Price History'!V39=0),"",'Price History'!V40/'Price History'!V39-1),"")</f>
        <v>0.0175637393767705</v>
      </c>
      <c r="W39" s="107" t="n">
        <f aca="false">'Price History'!B3+('Price History'!B158-'Price History'!B3)*0.233766233766234</f>
        <v>448.128961038961</v>
      </c>
      <c r="X39" s="107" t="n">
        <f aca="false">'Price History'!C3+('Price History'!C158-'Price History'!C3)*0.233766233766234</f>
        <v>75.6748051948052</v>
      </c>
      <c r="Y39" s="107" t="n">
        <f aca="false">'Price History'!D3+('Price History'!D158-'Price History'!D3)*0.233766233766234</f>
        <v>887.883376623377</v>
      </c>
      <c r="Z39" s="107" t="n">
        <f aca="false">'Price History'!E3+('Price History'!E158-'Price History'!E3)*0.233766233766234</f>
        <v>154.582597402597</v>
      </c>
      <c r="AA39" s="107" t="n">
        <f aca="false">'Price History'!F3+('Price History'!F158-'Price History'!F3)*0.233766233766234</f>
        <v>73.0132467532468</v>
      </c>
      <c r="AB39" s="107" t="n">
        <f aca="false">'Price History'!G3+('Price History'!G158-'Price History'!G3)*0.233766233766234</f>
        <v>79.4397402597403</v>
      </c>
      <c r="AC39" s="107" t="n">
        <f aca="false">'Price History'!H3+('Price History'!H158-'Price History'!H3)*0.233766233766234</f>
        <v>241.719090909091</v>
      </c>
      <c r="AD39" s="107" t="n">
        <f aca="false">'Price History'!I3+('Price History'!I158-'Price History'!I3)*0.233766233766234</f>
        <v>78.2292207792208</v>
      </c>
      <c r="AE39" s="107" t="n">
        <f aca="false">'Price History'!J3+('Price History'!J158-'Price History'!J3)*0.233766233766234</f>
        <v>128.442467532468</v>
      </c>
      <c r="AF39" s="107" t="n">
        <f aca="false">'Price History'!K3+('Price History'!K158-'Price History'!K3)*0.233766233766234</f>
        <v>40.5749350649351</v>
      </c>
      <c r="AG39" s="107" t="n">
        <f aca="false">'Price History'!L3+('Price History'!L158-'Price History'!L3)*0.233766233766234</f>
        <v>164.985844155844</v>
      </c>
      <c r="AH39" s="107" t="n">
        <f aca="false">'Price History'!M3+('Price History'!M158-'Price History'!M3)*0.233766233766234</f>
        <v>82.1474025974027</v>
      </c>
      <c r="AI39" s="107" t="n">
        <f aca="false">'Price History'!N3+('Price History'!N158-'Price History'!N3)*0.233766233766234</f>
        <v>379.604415584416</v>
      </c>
      <c r="AJ39" s="107" t="n">
        <f aca="false">'Price History'!O3+('Price History'!O158-'Price History'!O3)*0.233766233766234</f>
        <v>92.7687012987013</v>
      </c>
      <c r="AK39" s="107" t="n">
        <f aca="false">'Price History'!Q3+('Price History'!Q151-'Price History'!Q3)*0.233766233766234</f>
        <v>54.1903896103896</v>
      </c>
      <c r="AL39" s="107" t="n">
        <f aca="false">'Price History'!R3+('Price History'!R158-'Price History'!R3)*0.233766233766234</f>
        <v>50.2581818181818</v>
      </c>
      <c r="AM39" s="107" t="n">
        <f aca="false">'Price History'!S3+('Price History'!S158-'Price History'!S3)*0.233766233766234</f>
        <v>78.4779220779221</v>
      </c>
      <c r="AN39" s="107" t="n">
        <f aca="false">'Price History'!T3+('Price History'!T158-'Price History'!T3)*0.233766233766234</f>
        <v>32.2468831168831</v>
      </c>
    </row>
    <row r="40" customFormat="false" ht="15" hidden="false" customHeight="true" outlineLevel="0" collapsed="false">
      <c r="A40" s="104" t="n">
        <f aca="false">IF('Price History'!A41="","",'Price History'!A41)</f>
        <v>45415</v>
      </c>
      <c r="B40" s="105" t="n">
        <f aca="false">IFERROR(IF(OR(NOT(ISNUMBER('Price History'!B41)),NOT(ISNUMBER('Price History'!B40)),'Price History'!B40=0),"",'Price History'!B41/'Price History'!B40-1),"")</f>
        <v>0.0180500879470642</v>
      </c>
      <c r="C40" s="105" t="n">
        <f aca="false">IFERROR(IF(OR(NOT(ISNUMBER('Price History'!C41)),NOT(ISNUMBER('Price History'!C40)),'Price History'!C40=0),"",'Price History'!C41/'Price History'!C40-1),"")</f>
        <v>0.0365669386521605</v>
      </c>
      <c r="D40" s="105" t="n">
        <f aca="false">IFERROR(IF(OR(NOT(ISNUMBER('Price History'!D41)),NOT(ISNUMBER('Price History'!D40)),'Price History'!D40=0),"",'Price History'!D41/'Price History'!D40-1),"")</f>
        <v>-0.0188689511083061</v>
      </c>
      <c r="E40" s="105" t="n">
        <f aca="false">IFERROR(IF(OR(NOT(ISNUMBER('Price History'!E41)),NOT(ISNUMBER('Price History'!E40)),'Price History'!E40=0),"",'Price History'!E41/'Price History'!E40-1),"")</f>
        <v>-0.049103489323711</v>
      </c>
      <c r="F40" s="105" t="n">
        <f aca="false">IFERROR(IF(OR(NOT(ISNUMBER('Price History'!F41)),NOT(ISNUMBER('Price History'!F40)),'Price History'!F40=0),"",'Price History'!F41/'Price History'!F40-1),"")</f>
        <v>0.0201262825572217</v>
      </c>
      <c r="G40" s="105" t="n">
        <f aca="false">IFERROR(IF(OR(NOT(ISNUMBER('Price History'!G41)),NOT(ISNUMBER('Price History'!G40)),'Price History'!G40=0),"",'Price History'!G41/'Price History'!G40-1),"")</f>
        <v>-0.0137335409882486</v>
      </c>
      <c r="H40" s="105" t="n">
        <f aca="false">IFERROR(IF(OR(NOT(ISNUMBER('Price History'!H41)),NOT(ISNUMBER('Price History'!H40)),'Price History'!H40=0),"",'Price History'!H41/'Price History'!H40-1),"")</f>
        <v>-0.00121908742598398</v>
      </c>
      <c r="I40" s="105" t="n">
        <f aca="false">IFERROR(IF(OR(NOT(ISNUMBER('Price History'!I41)),NOT(ISNUMBER('Price History'!I40)),'Price History'!I40=0),"",'Price History'!I41/'Price History'!I40-1),"")</f>
        <v>0.0119671757465241</v>
      </c>
      <c r="J40" s="105" t="n">
        <f aca="false">IFERROR(IF(OR(NOT(ISNUMBER('Price History'!J41)),NOT(ISNUMBER('Price History'!J40)),'Price History'!J40=0),"",'Price History'!J41/'Price History'!J40-1),"")</f>
        <v>0.0175860080722661</v>
      </c>
      <c r="K40" s="105" t="n">
        <f aca="false">IFERROR(IF(OR(NOT(ISNUMBER('Price History'!K41)),NOT(ISNUMBER('Price History'!K40)),'Price History'!K40=0),"",'Price History'!K41/'Price History'!K40-1),"")</f>
        <v>0.0359680284191828</v>
      </c>
      <c r="L40" s="105" t="n">
        <f aca="false">IFERROR(IF(OR(NOT(ISNUMBER('Price History'!L41)),NOT(ISNUMBER('Price History'!L40)),'Price History'!L40=0),"",'Price History'!L41/'Price History'!L40-1),"")</f>
        <v>0.0235719450469991</v>
      </c>
      <c r="M40" s="105" t="n">
        <f aca="false">IFERROR(IF(OR(NOT(ISNUMBER('Price History'!M41)),NOT(ISNUMBER('Price History'!M40)),'Price History'!M40=0),"",'Price History'!M41/'Price History'!M40-1),"")</f>
        <v>-0.00513423895603793</v>
      </c>
      <c r="N40" s="105" t="n">
        <f aca="false">IFERROR(IF(OR(NOT(ISNUMBER('Price History'!N41)),NOT(ISNUMBER('Price History'!N40)),'Price History'!N40=0),"",'Price History'!N41/'Price History'!N40-1),"")</f>
        <v>0.00905705947469038</v>
      </c>
      <c r="O40" s="105" t="n">
        <f aca="false">IFERROR(IF(OR(NOT(ISNUMBER('Price History'!O41)),NOT(ISNUMBER('Price History'!O40)),'Price History'!O40=0),"",'Price History'!O41/'Price History'!O40-1),"")</f>
        <v>0.00687056737588665</v>
      </c>
      <c r="P40" s="105" t="str">
        <f aca="false">IFERROR(IF(OR(NOT(ISNUMBER('Price History'!P41)),NOT(ISNUMBER('Price History'!P40)),'Price History'!P40=0),"",'Price History'!P41/'Price History'!P40-1),"")</f>
        <v/>
      </c>
      <c r="Q40" s="105" t="n">
        <f aca="false">IFERROR(IF(OR(NOT(ISNUMBER('Price History'!Q41)),NOT(ISNUMBER('Price History'!Q40)),'Price History'!Q40=0),"",'Price History'!Q41/'Price History'!Q40-1),"")</f>
        <v>0.00326404397869773</v>
      </c>
      <c r="R40" s="105" t="n">
        <f aca="false">IFERROR(IF(OR(NOT(ISNUMBER('Price History'!R41)),NOT(ISNUMBER('Price History'!R40)),'Price History'!R40=0),"",'Price History'!R41/'Price History'!R40-1),"")</f>
        <v>0.00170907709836698</v>
      </c>
      <c r="S40" s="105" t="n">
        <f aca="false">IFERROR(IF(OR(NOT(ISNUMBER('Price History'!S41)),NOT(ISNUMBER('Price History'!S40)),'Price History'!S40=0),"",'Price History'!S41/'Price History'!S40-1),"")</f>
        <v>0.00986244484817012</v>
      </c>
      <c r="T40" s="105" t="n">
        <f aca="false">IFERROR(IF(OR(NOT(ISNUMBER('Price History'!T41)),NOT(ISNUMBER('Price History'!T40)),'Price History'!T40=0),"",'Price History'!T41/'Price History'!T40-1),"")</f>
        <v>-0.0156449553001278</v>
      </c>
      <c r="U40" s="105" t="str">
        <f aca="false">IFERROR(IF(OR(NOT(ISNUMBER('Price History'!U41)),NOT(ISNUMBER('Price History'!U40)),'Price History'!U40=0),"",'Price History'!U41/'Price History'!U40-1),"")</f>
        <v/>
      </c>
      <c r="V40" s="106" t="n">
        <f aca="false">IFERROR(IF(OR(NOT(ISNUMBER('Price History'!V41)),NOT(ISNUMBER('Price History'!V40)),'Price History'!V40=0),"",'Price History'!V41/'Price History'!V40-1),"")</f>
        <v>-0.0219376391982181</v>
      </c>
      <c r="W40" s="107" t="n">
        <f aca="false">'Price History'!B3+('Price History'!B158-'Price History'!B3)*0.24025974025974</f>
        <v>446.453376623377</v>
      </c>
      <c r="X40" s="107" t="n">
        <f aca="false">'Price History'!C3+('Price History'!C158-'Price History'!C3)*0.24025974025974</f>
        <v>76.5618831168831</v>
      </c>
      <c r="Y40" s="107" t="n">
        <f aca="false">'Price History'!D3+('Price History'!D158-'Price History'!D3)*0.24025974025974</f>
        <v>894.164025974026</v>
      </c>
      <c r="Z40" s="107" t="n">
        <f aca="false">'Price History'!E3+('Price History'!E158-'Price History'!E3)*0.24025974025974</f>
        <v>156.571558441558</v>
      </c>
      <c r="AA40" s="107" t="n">
        <f aca="false">'Price History'!F3+('Price History'!F158-'Price History'!F3)*0.24025974025974</f>
        <v>74.011948051948</v>
      </c>
      <c r="AB40" s="107" t="n">
        <f aca="false">'Price History'!G3+('Price History'!G158-'Price History'!G3)*0.24025974025974</f>
        <v>80.3158441558441</v>
      </c>
      <c r="AC40" s="107" t="n">
        <f aca="false">'Price History'!H3+('Price History'!H158-'Price History'!H3)*0.24025974025974</f>
        <v>246.645454545454</v>
      </c>
      <c r="AD40" s="107" t="n">
        <f aca="false">'Price History'!I3+('Price History'!I158-'Price History'!I3)*0.24025974025974</f>
        <v>79.2675324675324</v>
      </c>
      <c r="AE40" s="107" t="n">
        <f aca="false">'Price History'!J3+('Price History'!J158-'Price History'!J3)*0.24025974025974</f>
        <v>128.579480519481</v>
      </c>
      <c r="AF40" s="107" t="n">
        <f aca="false">'Price History'!K3+('Price History'!K158-'Price History'!K3)*0.24025974025974</f>
        <v>41.273961038961</v>
      </c>
      <c r="AG40" s="107" t="n">
        <f aca="false">'Price History'!L3+('Price History'!L158-'Price History'!L3)*0.24025974025974</f>
        <v>167.013506493506</v>
      </c>
      <c r="AH40" s="107" t="n">
        <f aca="false">'Price History'!M3+('Price History'!M158-'Price History'!M3)*0.24025974025974</f>
        <v>83.4984415584415</v>
      </c>
      <c r="AI40" s="107" t="n">
        <f aca="false">'Price History'!N3+('Price History'!N158-'Price History'!N3)*0.24025974025974</f>
        <v>380.430649350649</v>
      </c>
      <c r="AJ40" s="107" t="n">
        <f aca="false">'Price History'!O3+('Price History'!O158-'Price History'!O3)*0.24025974025974</f>
        <v>93.0442207792208</v>
      </c>
      <c r="AK40" s="107" t="n">
        <f aca="false">'Price History'!Q3+('Price History'!Q151-'Price History'!Q3)*0.24025974025974</f>
        <v>54.3112337662338</v>
      </c>
      <c r="AL40" s="107" t="n">
        <f aca="false">'Price History'!R3+('Price History'!R158-'Price History'!R3)*0.24025974025974</f>
        <v>50.3259090909091</v>
      </c>
      <c r="AM40" s="107" t="n">
        <f aca="false">'Price History'!S3+('Price History'!S158-'Price History'!S3)*0.24025974025974</f>
        <v>79.0317532467532</v>
      </c>
      <c r="AN40" s="107" t="n">
        <f aca="false">'Price History'!T3+('Price History'!T158-'Price History'!T3)*0.24025974025974</f>
        <v>32.3951298701299</v>
      </c>
    </row>
    <row r="41" customFormat="false" ht="15" hidden="false" customHeight="true" outlineLevel="0" collapsed="false">
      <c r="A41" s="104" t="n">
        <f aca="false">IF('Price History'!A42="","",'Price History'!A42)</f>
        <v>45422</v>
      </c>
      <c r="B41" s="105" t="n">
        <f aca="false">IFERROR(IF(OR(NOT(ISNUMBER('Price History'!B42)),NOT(ISNUMBER('Price History'!B41)),'Price History'!B41=0),"",'Price History'!B42/'Price History'!B41-1),"")</f>
        <v>-0.00800115183676819</v>
      </c>
      <c r="C41" s="105" t="n">
        <f aca="false">IFERROR(IF(OR(NOT(ISNUMBER('Price History'!C42)),NOT(ISNUMBER('Price History'!C41)),'Price History'!C41=0),"",'Price History'!C42/'Price History'!C41-1),"")</f>
        <v>0.144460641399417</v>
      </c>
      <c r="D41" s="105" t="n">
        <f aca="false">IFERROR(IF(OR(NOT(ISNUMBER('Price History'!D42)),NOT(ISNUMBER('Price History'!D41)),'Price History'!D41=0),"",'Price History'!D42/'Price History'!D41-1),"")</f>
        <v>0.0317868748821579</v>
      </c>
      <c r="E41" s="105" t="n">
        <f aca="false">IFERROR(IF(OR(NOT(ISNUMBER('Price History'!E42)),NOT(ISNUMBER('Price History'!E41)),'Price History'!E41=0),"",'Price History'!E42/'Price History'!E41-1),"")</f>
        <v>0.0427979031374697</v>
      </c>
      <c r="F41" s="105" t="n">
        <f aca="false">IFERROR(IF(OR(NOT(ISNUMBER('Price History'!F42)),NOT(ISNUMBER('Price History'!F41)),'Price History'!F41=0),"",'Price History'!F42/'Price History'!F41-1),"")</f>
        <v>0.0340425531914894</v>
      </c>
      <c r="G41" s="105" t="n">
        <f aca="false">IFERROR(IF(OR(NOT(ISNUMBER('Price History'!G42)),NOT(ISNUMBER('Price History'!G41)),'Price History'!G41=0),"",'Price History'!G42/'Price History'!G41-1),"")</f>
        <v>0.0311513063451048</v>
      </c>
      <c r="H41" s="105" t="n">
        <f aca="false">IFERROR(IF(OR(NOT(ISNUMBER('Price History'!H42)),NOT(ISNUMBER('Price History'!H41)),'Price History'!H41=0),"",'Price History'!H42/'Price History'!H41-1),"")</f>
        <v>0.0570183086312117</v>
      </c>
      <c r="I41" s="105" t="n">
        <f aca="false">IFERROR(IF(OR(NOT(ISNUMBER('Price History'!I42)),NOT(ISNUMBER('Price History'!I41)),'Price History'!I41=0),"",'Price History'!I42/'Price History'!I41-1),"")</f>
        <v>0.0122761572249126</v>
      </c>
      <c r="J41" s="105" t="n">
        <f aca="false">IFERROR(IF(OR(NOT(ISNUMBER('Price History'!J42)),NOT(ISNUMBER('Price History'!J41)),'Price History'!J41=0),"",'Price History'!J42/'Price History'!J41-1),"")</f>
        <v>0.015110019831901</v>
      </c>
      <c r="K41" s="105" t="n">
        <f aca="false">IFERROR(IF(OR(NOT(ISNUMBER('Price History'!K42)),NOT(ISNUMBER('Price History'!K41)),'Price History'!K41=0),"",'Price History'!K42/'Price History'!K41-1),"")</f>
        <v>-0.11701671667381</v>
      </c>
      <c r="L41" s="105" t="n">
        <f aca="false">IFERROR(IF(OR(NOT(ISNUMBER('Price History'!L42)),NOT(ISNUMBER('Price History'!L41)),'Price History'!L41=0),"",'Price History'!L42/'Price History'!L41-1),"")</f>
        <v>0.054393896580955</v>
      </c>
      <c r="M41" s="105" t="n">
        <f aca="false">IFERROR(IF(OR(NOT(ISNUMBER('Price History'!M42)),NOT(ISNUMBER('Price History'!M41)),'Price History'!M41=0),"",'Price History'!M42/'Price History'!M41-1),"")</f>
        <v>0.0256961617030427</v>
      </c>
      <c r="N41" s="105" t="n">
        <f aca="false">IFERROR(IF(OR(NOT(ISNUMBER('Price History'!N42)),NOT(ISNUMBER('Price History'!N41)),'Price History'!N41=0),"",'Price History'!N42/'Price History'!N41-1),"")</f>
        <v>0.0541039194175725</v>
      </c>
      <c r="O41" s="105" t="n">
        <f aca="false">IFERROR(IF(OR(NOT(ISNUMBER('Price History'!O42)),NOT(ISNUMBER('Price History'!O41)),'Price History'!O41=0),"",'Price History'!O42/'Price History'!O41-1),"")</f>
        <v>0.017279330838653</v>
      </c>
      <c r="P41" s="105" t="str">
        <f aca="false">IFERROR(IF(OR(NOT(ISNUMBER('Price History'!P42)),NOT(ISNUMBER('Price History'!P41)),'Price History'!P41=0),"",'Price History'!P42/'Price History'!P41-1),"")</f>
        <v/>
      </c>
      <c r="Q41" s="105" t="n">
        <f aca="false">IFERROR(IF(OR(NOT(ISNUMBER('Price History'!Q42)),NOT(ISNUMBER('Price History'!Q41)),'Price History'!Q41=0),"",'Price History'!Q42/'Price History'!Q41-1),"")</f>
        <v>0.00273972602739736</v>
      </c>
      <c r="R41" s="105" t="n">
        <f aca="false">IFERROR(IF(OR(NOT(ISNUMBER('Price History'!R42)),NOT(ISNUMBER('Price History'!R41)),'Price History'!R41=0),"",'Price History'!R42/'Price History'!R41-1),"")</f>
        <v>0.0138388625592416</v>
      </c>
      <c r="S41" s="105" t="n">
        <f aca="false">IFERROR(IF(OR(NOT(ISNUMBER('Price History'!S42)),NOT(ISNUMBER('Price History'!S41)),'Price History'!S41=0),"",'Price History'!S42/'Price History'!S41-1),"")</f>
        <v>0.0222307890002571</v>
      </c>
      <c r="T41" s="105" t="n">
        <f aca="false">IFERROR(IF(OR(NOT(ISNUMBER('Price History'!T42)),NOT(ISNUMBER('Price History'!T41)),'Price History'!T41=0),"",'Price History'!T42/'Price History'!T41-1),"")</f>
        <v>0.0220564385338957</v>
      </c>
      <c r="U41" s="105" t="str">
        <f aca="false">IFERROR(IF(OR(NOT(ISNUMBER('Price History'!U42)),NOT(ISNUMBER('Price History'!U41)),'Price History'!U41=0),"",'Price History'!U42/'Price History'!U41-1),"")</f>
        <v/>
      </c>
      <c r="V41" s="106" t="n">
        <f aca="false">IFERROR(IF(OR(NOT(ISNUMBER('Price History'!V42)),NOT(ISNUMBER('Price History'!V41)),'Price History'!V41=0),"",'Price History'!V42/'Price History'!V41-1),"")</f>
        <v>0.045618429541918</v>
      </c>
      <c r="W41" s="107" t="n">
        <f aca="false">'Price History'!B3+('Price History'!B158-'Price History'!B3)*0.246753246753247</f>
        <v>444.777792207792</v>
      </c>
      <c r="X41" s="107" t="n">
        <f aca="false">'Price History'!C3+('Price History'!C158-'Price History'!C3)*0.246753246753247</f>
        <v>77.4489610389611</v>
      </c>
      <c r="Y41" s="107" t="n">
        <f aca="false">'Price History'!D3+('Price History'!D158-'Price History'!D3)*0.246753246753247</f>
        <v>900.444675324676</v>
      </c>
      <c r="Z41" s="107" t="n">
        <f aca="false">'Price History'!E3+('Price History'!E158-'Price History'!E3)*0.246753246753247</f>
        <v>158.56051948052</v>
      </c>
      <c r="AA41" s="107" t="n">
        <f aca="false">'Price History'!F3+('Price History'!F158-'Price History'!F3)*0.246753246753247</f>
        <v>75.0106493506494</v>
      </c>
      <c r="AB41" s="107" t="n">
        <f aca="false">'Price History'!G3+('Price History'!G158-'Price History'!G3)*0.246753246753247</f>
        <v>81.1919480519481</v>
      </c>
      <c r="AC41" s="107" t="n">
        <f aca="false">'Price History'!H3+('Price History'!H158-'Price History'!H3)*0.246753246753247</f>
        <v>251.571818181818</v>
      </c>
      <c r="AD41" s="107" t="n">
        <f aca="false">'Price History'!I3+('Price History'!I158-'Price History'!I3)*0.246753246753247</f>
        <v>80.3058441558442</v>
      </c>
      <c r="AE41" s="107" t="n">
        <f aca="false">'Price History'!J3+('Price History'!J158-'Price History'!J3)*0.246753246753247</f>
        <v>128.716493506494</v>
      </c>
      <c r="AF41" s="107" t="n">
        <f aca="false">'Price History'!K3+('Price History'!K158-'Price History'!K3)*0.246753246753247</f>
        <v>41.972987012987</v>
      </c>
      <c r="AG41" s="107" t="n">
        <f aca="false">'Price History'!L3+('Price History'!L158-'Price History'!L3)*0.246753246753247</f>
        <v>169.041168831169</v>
      </c>
      <c r="AH41" s="107" t="n">
        <f aca="false">'Price History'!M3+('Price History'!M158-'Price History'!M3)*0.246753246753247</f>
        <v>84.8494805194806</v>
      </c>
      <c r="AI41" s="107" t="n">
        <f aca="false">'Price History'!N3+('Price History'!N158-'Price History'!N3)*0.246753246753247</f>
        <v>381.256883116883</v>
      </c>
      <c r="AJ41" s="107" t="n">
        <f aca="false">'Price History'!O3+('Price History'!O158-'Price History'!O3)*0.246753246753247</f>
        <v>93.3197402597403</v>
      </c>
      <c r="AK41" s="107" t="n">
        <f aca="false">'Price History'!Q3+('Price History'!Q151-'Price History'!Q3)*0.246753246753247</f>
        <v>54.4320779220779</v>
      </c>
      <c r="AL41" s="107" t="n">
        <f aca="false">'Price History'!R3+('Price History'!R158-'Price History'!R3)*0.246753246753247</f>
        <v>50.3936363636364</v>
      </c>
      <c r="AM41" s="107" t="n">
        <f aca="false">'Price History'!S3+('Price History'!S158-'Price History'!S3)*0.246753246753247</f>
        <v>79.5855844155844</v>
      </c>
      <c r="AN41" s="107" t="n">
        <f aca="false">'Price History'!T3+('Price History'!T158-'Price History'!T3)*0.246753246753247</f>
        <v>32.5433766233766</v>
      </c>
    </row>
    <row r="42" customFormat="false" ht="15" hidden="false" customHeight="true" outlineLevel="0" collapsed="false">
      <c r="A42" s="104" t="n">
        <f aca="false">IF('Price History'!A43="","",'Price History'!A43)</f>
        <v>45429</v>
      </c>
      <c r="B42" s="105" t="n">
        <f aca="false">IFERROR(IF(OR(NOT(ISNUMBER('Price History'!B43)),NOT(ISNUMBER('Price History'!B42)),'Price History'!B42=0),"",'Price History'!B43/'Price History'!B42-1),"")</f>
        <v>0.00236372307118127</v>
      </c>
      <c r="C42" s="105" t="n">
        <f aca="false">IFERROR(IF(OR(NOT(ISNUMBER('Price History'!C43)),NOT(ISNUMBER('Price History'!C42)),'Price History'!C42=0),"",'Price History'!C43/'Price History'!C42-1),"")</f>
        <v>0.0185963571519552</v>
      </c>
      <c r="D42" s="105" t="n">
        <f aca="false">IFERROR(IF(OR(NOT(ISNUMBER('Price History'!D43)),NOT(ISNUMBER('Price History'!D42)),'Price History'!D42=0),"",'Price History'!D43/'Price History'!D42-1),"")</f>
        <v>-0.0057186468735555</v>
      </c>
      <c r="E42" s="105" t="n">
        <f aca="false">IFERROR(IF(OR(NOT(ISNUMBER('Price History'!E43)),NOT(ISNUMBER('Price History'!E42)),'Price History'!E42=0),"",'Price History'!E43/'Price History'!E42-1),"")</f>
        <v>0.0468937575030013</v>
      </c>
      <c r="F42" s="105" t="n">
        <f aca="false">IFERROR(IF(OR(NOT(ISNUMBER('Price History'!F43)),NOT(ISNUMBER('Price History'!F42)),'Price History'!F42=0),"",'Price History'!F43/'Price History'!F42-1),"")</f>
        <v>0.0784387080683378</v>
      </c>
      <c r="G42" s="105" t="n">
        <f aca="false">IFERROR(IF(OR(NOT(ISNUMBER('Price History'!G43)),NOT(ISNUMBER('Price History'!G42)),'Price History'!G42=0),"",'Price History'!G43/'Price History'!G42-1),"")</f>
        <v>0.0409299735486566</v>
      </c>
      <c r="H42" s="105" t="n">
        <f aca="false">IFERROR(IF(OR(NOT(ISNUMBER('Price History'!H43)),NOT(ISNUMBER('Price History'!H42)),'Price History'!H42=0),"",'Price History'!H43/'Price History'!H42-1),"")</f>
        <v>0.0334048168921148</v>
      </c>
      <c r="I42" s="105" t="n">
        <f aca="false">IFERROR(IF(OR(NOT(ISNUMBER('Price History'!I43)),NOT(ISNUMBER('Price History'!I42)),'Price History'!I42=0),"",'Price History'!I43/'Price History'!I42-1),"")</f>
        <v>0.0289274588340009</v>
      </c>
      <c r="J42" s="105" t="n">
        <f aca="false">IFERROR(IF(OR(NOT(ISNUMBER('Price History'!J43)),NOT(ISNUMBER('Price History'!J42)),'Price History'!J42=0),"",'Price History'!J43/'Price History'!J42-1),"")</f>
        <v>0.0373057958879897</v>
      </c>
      <c r="K42" s="105" t="n">
        <f aca="false">IFERROR(IF(OR(NOT(ISNUMBER('Price History'!K43)),NOT(ISNUMBER('Price History'!K42)),'Price History'!K42=0),"",'Price History'!K43/'Price History'!K42-1),"")</f>
        <v>0.0563106796116506</v>
      </c>
      <c r="L42" s="105" t="n">
        <f aca="false">IFERROR(IF(OR(NOT(ISNUMBER('Price History'!L43)),NOT(ISNUMBER('Price History'!L42)),'Price History'!L42=0),"",'Price History'!L43/'Price History'!L42-1),"")</f>
        <v>0.0162133190406004</v>
      </c>
      <c r="M42" s="105" t="n">
        <f aca="false">IFERROR(IF(OR(NOT(ISNUMBER('Price History'!M43)),NOT(ISNUMBER('Price History'!M42)),'Price History'!M42=0),"",'Price History'!M43/'Price History'!M42-1),"")</f>
        <v>0.0147798742138365</v>
      </c>
      <c r="N42" s="105" t="n">
        <f aca="false">IFERROR(IF(OR(NOT(ISNUMBER('Price History'!N43)),NOT(ISNUMBER('Price History'!N42)),'Price History'!N42=0),"",'Price History'!N43/'Price History'!N42-1),"")</f>
        <v>0.0530535976157813</v>
      </c>
      <c r="O42" s="105" t="n">
        <f aca="false">IFERROR(IF(OR(NOT(ISNUMBER('Price History'!O43)),NOT(ISNUMBER('Price History'!O42)),'Price History'!O42=0),"",'Price History'!O43/'Price History'!O42-1),"")</f>
        <v>0.0110353781239856</v>
      </c>
      <c r="P42" s="105" t="str">
        <f aca="false">IFERROR(IF(OR(NOT(ISNUMBER('Price History'!P43)),NOT(ISNUMBER('Price History'!P42)),'Price History'!P42=0),"",'Price History'!P43/'Price History'!P42-1),"")</f>
        <v/>
      </c>
      <c r="Q42" s="105" t="n">
        <f aca="false">IFERROR(IF(OR(NOT(ISNUMBER('Price History'!Q43)),NOT(ISNUMBER('Price History'!Q42)),'Price History'!Q42=0),"",'Price History'!Q43/'Price History'!Q42-1),"")</f>
        <v>0.00717213114754078</v>
      </c>
      <c r="R42" s="105" t="n">
        <f aca="false">IFERROR(IF(OR(NOT(ISNUMBER('Price History'!R43)),NOT(ISNUMBER('Price History'!R42)),'Price History'!R42=0),"",'Price History'!R43/'Price History'!R42-1),"")</f>
        <v>0.011967090501122</v>
      </c>
      <c r="S42" s="105" t="n">
        <f aca="false">IFERROR(IF(OR(NOT(ISNUMBER('Price History'!S43)),NOT(ISNUMBER('Price History'!S42)),'Price History'!S42=0),"",'Price History'!S43/'Price History'!S42-1),"")</f>
        <v>0.0150848522941547</v>
      </c>
      <c r="T42" s="105" t="n">
        <f aca="false">IFERROR(IF(OR(NOT(ISNUMBER('Price History'!T43)),NOT(ISNUMBER('Price History'!T42)),'Price History'!T42=0),"",'Price History'!T43/'Price History'!T42-1),"")</f>
        <v>0.00920342748333858</v>
      </c>
      <c r="U42" s="105" t="str">
        <f aca="false">IFERROR(IF(OR(NOT(ISNUMBER('Price History'!U43)),NOT(ISNUMBER('Price History'!U42)),'Price History'!U42=0),"",'Price History'!U43/'Price History'!U42-1),"")</f>
        <v/>
      </c>
      <c r="V42" s="106" t="n">
        <f aca="false">IFERROR(IF(OR(NOT(ISNUMBER('Price History'!V43)),NOT(ISNUMBER('Price History'!V42)),'Price History'!V42=0),"",'Price History'!V43/'Price History'!V42-1),"")</f>
        <v>-0.000435555878189553</v>
      </c>
      <c r="W42" s="107" t="n">
        <f aca="false">'Price History'!B3+('Price History'!B158-'Price History'!B3)*0.253246753246753</f>
        <v>443.102207792208</v>
      </c>
      <c r="X42" s="107" t="n">
        <f aca="false">'Price History'!C3+('Price History'!C158-'Price History'!C3)*0.253246753246753</f>
        <v>78.3360389610389</v>
      </c>
      <c r="Y42" s="107" t="n">
        <f aca="false">'Price History'!D3+('Price History'!D158-'Price History'!D3)*0.253246753246753</f>
        <v>906.725324675324</v>
      </c>
      <c r="Z42" s="107" t="n">
        <f aca="false">'Price History'!E3+('Price History'!E158-'Price History'!E3)*0.253246753246753</f>
        <v>160.54948051948</v>
      </c>
      <c r="AA42" s="107" t="n">
        <f aca="false">'Price History'!F3+('Price History'!F158-'Price History'!F3)*0.253246753246753</f>
        <v>76.0093506493506</v>
      </c>
      <c r="AB42" s="107" t="n">
        <f aca="false">'Price History'!G3+('Price History'!G158-'Price History'!G3)*0.253246753246753</f>
        <v>82.0680519480519</v>
      </c>
      <c r="AC42" s="107" t="n">
        <f aca="false">'Price History'!H3+('Price History'!H158-'Price History'!H3)*0.253246753246753</f>
        <v>256.498181818182</v>
      </c>
      <c r="AD42" s="107" t="n">
        <f aca="false">'Price History'!I3+('Price History'!I158-'Price History'!I3)*0.253246753246753</f>
        <v>81.3441558441558</v>
      </c>
      <c r="AE42" s="107" t="n">
        <f aca="false">'Price History'!J3+('Price History'!J158-'Price History'!J3)*0.253246753246753</f>
        <v>128.853506493507</v>
      </c>
      <c r="AF42" s="107" t="n">
        <f aca="false">'Price History'!K3+('Price History'!K158-'Price History'!K3)*0.253246753246753</f>
        <v>42.672012987013</v>
      </c>
      <c r="AG42" s="107" t="n">
        <f aca="false">'Price History'!L3+('Price History'!L158-'Price History'!L3)*0.253246753246753</f>
        <v>171.068831168831</v>
      </c>
      <c r="AH42" s="107" t="n">
        <f aca="false">'Price History'!M3+('Price History'!M158-'Price History'!M3)*0.253246753246753</f>
        <v>86.2005194805194</v>
      </c>
      <c r="AI42" s="107" t="n">
        <f aca="false">'Price History'!N3+('Price History'!N158-'Price History'!N3)*0.253246753246753</f>
        <v>382.083116883117</v>
      </c>
      <c r="AJ42" s="107" t="n">
        <f aca="false">'Price History'!O3+('Price History'!O158-'Price History'!O3)*0.253246753246753</f>
        <v>93.5952597402597</v>
      </c>
      <c r="AK42" s="107" t="n">
        <f aca="false">'Price History'!Q3+('Price History'!Q151-'Price History'!Q3)*0.253246753246753</f>
        <v>54.5529220779221</v>
      </c>
      <c r="AL42" s="107" t="n">
        <f aca="false">'Price History'!R3+('Price History'!R158-'Price History'!R3)*0.253246753246753</f>
        <v>50.4613636363636</v>
      </c>
      <c r="AM42" s="107" t="n">
        <f aca="false">'Price History'!S3+('Price History'!S158-'Price History'!S3)*0.253246753246753</f>
        <v>80.1394155844156</v>
      </c>
      <c r="AN42" s="107" t="n">
        <f aca="false">'Price History'!T3+('Price History'!T158-'Price History'!T3)*0.253246753246753</f>
        <v>32.6916233766234</v>
      </c>
    </row>
    <row r="43" customFormat="false" ht="15" hidden="false" customHeight="true" outlineLevel="0" collapsed="false">
      <c r="A43" s="104" t="n">
        <f aca="false">IF('Price History'!A44="","",'Price History'!A44)</f>
        <v>45436</v>
      </c>
      <c r="B43" s="105" t="n">
        <f aca="false">IFERROR(IF(OR(NOT(ISNUMBER('Price History'!B44)),NOT(ISNUMBER('Price History'!B43)),'Price History'!B43=0),"",'Price History'!B44/'Price History'!B43-1),"")</f>
        <v>-0.0165484144550401</v>
      </c>
      <c r="C43" s="105" t="n">
        <f aca="false">IFERROR(IF(OR(NOT(ISNUMBER('Price History'!C44)),NOT(ISNUMBER('Price History'!C43)),'Price History'!C43=0),"",'Price History'!C44/'Price History'!C43-1),"")</f>
        <v>-0.0416406152307115</v>
      </c>
      <c r="D43" s="105" t="n">
        <f aca="false">IFERROR(IF(OR(NOT(ISNUMBER('Price History'!D44)),NOT(ISNUMBER('Price History'!D43)),'Price History'!D43=0),"",'Price History'!D44/'Price History'!D43-1),"")</f>
        <v>0.0337848795096056</v>
      </c>
      <c r="E43" s="105" t="n">
        <f aca="false">IFERROR(IF(OR(NOT(ISNUMBER('Price History'!E44)),NOT(ISNUMBER('Price History'!E43)),'Price History'!E43=0),"",'Price History'!E44/'Price History'!E43-1),"")</f>
        <v>0.00895864688597436</v>
      </c>
      <c r="F43" s="105" t="n">
        <f aca="false">IFERROR(IF(OR(NOT(ISNUMBER('Price History'!F44)),NOT(ISNUMBER('Price History'!F43)),'Price History'!F43=0),"",'Price History'!F44/'Price History'!F43-1),"")</f>
        <v>0.0160730804810361</v>
      </c>
      <c r="G43" s="105" t="n">
        <f aca="false">IFERROR(IF(OR(NOT(ISNUMBER('Price History'!G44)),NOT(ISNUMBER('Price History'!G43)),'Price History'!G43=0),"",'Price History'!G44/'Price History'!G43-1),"")</f>
        <v>0.0419954527216799</v>
      </c>
      <c r="H43" s="105" t="n">
        <f aca="false">IFERROR(IF(OR(NOT(ISNUMBER('Price History'!H44)),NOT(ISNUMBER('Price History'!H43)),'Price History'!H43=0),"",'Price History'!H44/'Price History'!H43-1),"")</f>
        <v>0.0335222284300423</v>
      </c>
      <c r="I43" s="105" t="n">
        <f aca="false">IFERROR(IF(OR(NOT(ISNUMBER('Price History'!I44)),NOT(ISNUMBER('Price History'!I43)),'Price History'!I43=0),"",'Price History'!I44/'Price History'!I43-1),"")</f>
        <v>0.151275951557093</v>
      </c>
      <c r="J43" s="105" t="n">
        <f aca="false">IFERROR(IF(OR(NOT(ISNUMBER('Price History'!J44)),NOT(ISNUMBER('Price History'!J43)),'Price History'!J43=0),"",'Price History'!J44/'Price History'!J43-1),"")</f>
        <v>-0.0605381165919282</v>
      </c>
      <c r="K43" s="105" t="n">
        <f aca="false">IFERROR(IF(OR(NOT(ISNUMBER('Price History'!K44)),NOT(ISNUMBER('Price History'!K43)),'Price History'!K43=0),"",'Price History'!K44/'Price History'!K43-1),"")</f>
        <v>-0.0344669117647058</v>
      </c>
      <c r="L43" s="105" t="n">
        <f aca="false">IFERROR(IF(OR(NOT(ISNUMBER('Price History'!L44)),NOT(ISNUMBER('Price History'!L43)),'Price History'!L43=0),"",'Price History'!L44/'Price History'!L43-1),"")</f>
        <v>0.0548523206751055</v>
      </c>
      <c r="M43" s="105" t="n">
        <f aca="false">IFERROR(IF(OR(NOT(ISNUMBER('Price History'!M44)),NOT(ISNUMBER('Price History'!M43)),'Price History'!M43=0),"",'Price History'!M44/'Price History'!M43-1),"")</f>
        <v>0.0966842268360706</v>
      </c>
      <c r="N43" s="105" t="n">
        <f aca="false">IFERROR(IF(OR(NOT(ISNUMBER('Price History'!N44)),NOT(ISNUMBER('Price History'!N43)),'Price History'!N43=0),"",'Price History'!N44/'Price History'!N43-1),"")</f>
        <v>0.0263695784012039</v>
      </c>
      <c r="O43" s="105" t="n">
        <f aca="false">IFERROR(IF(OR(NOT(ISNUMBER('Price History'!O44)),NOT(ISNUMBER('Price History'!O43)),'Price History'!O43=0),"",'Price History'!O44/'Price History'!O43-1),"")</f>
        <v>-0.0148742643124665</v>
      </c>
      <c r="P43" s="105" t="str">
        <f aca="false">IFERROR(IF(OR(NOT(ISNUMBER('Price History'!P44)),NOT(ISNUMBER('Price History'!P43)),'Price History'!P43=0),"",'Price History'!P44/'Price History'!P43-1),"")</f>
        <v/>
      </c>
      <c r="Q43" s="105" t="n">
        <f aca="false">IFERROR(IF(OR(NOT(ISNUMBER('Price History'!Q44)),NOT(ISNUMBER('Price History'!Q43)),'Price History'!Q43=0),"",'Price History'!Q44/'Price History'!Q43-1),"")</f>
        <v>0.00339097999321814</v>
      </c>
      <c r="R43" s="105" t="n">
        <f aca="false">IFERROR(IF(OR(NOT(ISNUMBER('Price History'!R44)),NOT(ISNUMBER('Price History'!R43)),'Price History'!R43=0),"",'Price History'!R44/'Price History'!R43-1),"")</f>
        <v>0.00480413895048049</v>
      </c>
      <c r="S43" s="105" t="n">
        <f aca="false">IFERROR(IF(OR(NOT(ISNUMBER('Price History'!S44)),NOT(ISNUMBER('Price History'!S43)),'Price History'!S43=0),"",'Price History'!S44/'Price History'!S43-1),"")</f>
        <v>0.0194427244582043</v>
      </c>
      <c r="T43" s="105" t="n">
        <f aca="false">IFERROR(IF(OR(NOT(ISNUMBER('Price History'!T44)),NOT(ISNUMBER('Price History'!T43)),'Price History'!T43=0),"",'Price History'!T44/'Price History'!T43-1),"")</f>
        <v>-0.0169811320754717</v>
      </c>
      <c r="U43" s="105" t="str">
        <f aca="false">IFERROR(IF(OR(NOT(ISNUMBER('Price History'!U44)),NOT(ISNUMBER('Price History'!U43)),'Price History'!U43=0),"",'Price History'!U44/'Price History'!U43-1),"")</f>
        <v/>
      </c>
      <c r="V43" s="106" t="n">
        <f aca="false">IFERROR(IF(OR(NOT(ISNUMBER('Price History'!V44)),NOT(ISNUMBER('Price History'!V43)),'Price History'!V43=0),"",'Price History'!V44/'Price History'!V43-1),"")</f>
        <v>-0.0200443008097606</v>
      </c>
      <c r="W43" s="107" t="n">
        <f aca="false">'Price History'!B3+('Price History'!B158-'Price History'!B3)*0.25974025974026</f>
        <v>441.426623376623</v>
      </c>
      <c r="X43" s="107" t="n">
        <f aca="false">'Price History'!C3+('Price History'!C158-'Price History'!C3)*0.25974025974026</f>
        <v>79.2231168831169</v>
      </c>
      <c r="Y43" s="107" t="n">
        <f aca="false">'Price History'!D3+('Price History'!D158-'Price History'!D3)*0.25974025974026</f>
        <v>913.005974025974</v>
      </c>
      <c r="Z43" s="107" t="n">
        <f aca="false">'Price History'!E3+('Price History'!E158-'Price History'!E3)*0.25974025974026</f>
        <v>162.538441558442</v>
      </c>
      <c r="AA43" s="107" t="n">
        <f aca="false">'Price History'!F3+('Price History'!F158-'Price History'!F3)*0.25974025974026</f>
        <v>77.008051948052</v>
      </c>
      <c r="AB43" s="107" t="n">
        <f aca="false">'Price History'!G3+('Price History'!G158-'Price History'!G3)*0.25974025974026</f>
        <v>82.9441558441559</v>
      </c>
      <c r="AC43" s="107" t="n">
        <f aca="false">'Price History'!H3+('Price History'!H158-'Price History'!H3)*0.25974025974026</f>
        <v>261.424545454546</v>
      </c>
      <c r="AD43" s="107" t="n">
        <f aca="false">'Price History'!I3+('Price History'!I158-'Price History'!I3)*0.25974025974026</f>
        <v>82.3824675324676</v>
      </c>
      <c r="AE43" s="107" t="n">
        <f aca="false">'Price History'!J3+('Price History'!J158-'Price History'!J3)*0.25974025974026</f>
        <v>128.990519480519</v>
      </c>
      <c r="AF43" s="107" t="n">
        <f aca="false">'Price History'!K3+('Price History'!K158-'Price History'!K3)*0.25974025974026</f>
        <v>43.371038961039</v>
      </c>
      <c r="AG43" s="107" t="n">
        <f aca="false">'Price History'!L3+('Price History'!L158-'Price History'!L3)*0.25974025974026</f>
        <v>173.096493506494</v>
      </c>
      <c r="AH43" s="107" t="n">
        <f aca="false">'Price History'!M3+('Price History'!M158-'Price History'!M3)*0.25974025974026</f>
        <v>87.5515584415585</v>
      </c>
      <c r="AI43" s="107" t="n">
        <f aca="false">'Price History'!N3+('Price History'!N158-'Price History'!N3)*0.25974025974026</f>
        <v>382.909350649351</v>
      </c>
      <c r="AJ43" s="107" t="n">
        <f aca="false">'Price History'!O3+('Price History'!O158-'Price History'!O3)*0.25974025974026</f>
        <v>93.8707792207792</v>
      </c>
      <c r="AK43" s="107" t="n">
        <f aca="false">'Price History'!Q3+('Price History'!Q151-'Price History'!Q3)*0.25974025974026</f>
        <v>54.6737662337662</v>
      </c>
      <c r="AL43" s="107" t="n">
        <f aca="false">'Price History'!R3+('Price History'!R158-'Price History'!R3)*0.25974025974026</f>
        <v>50.5290909090909</v>
      </c>
      <c r="AM43" s="107" t="n">
        <f aca="false">'Price History'!S3+('Price History'!S158-'Price History'!S3)*0.25974025974026</f>
        <v>80.6932467532468</v>
      </c>
      <c r="AN43" s="107" t="n">
        <f aca="false">'Price History'!T3+('Price History'!T158-'Price History'!T3)*0.25974025974026</f>
        <v>32.8398701298701</v>
      </c>
    </row>
    <row r="44" customFormat="false" ht="15" hidden="false" customHeight="true" outlineLevel="0" collapsed="false">
      <c r="A44" s="104" t="n">
        <f aca="false">IF('Price History'!A45="","",'Price History'!A45)</f>
        <v>45443</v>
      </c>
      <c r="B44" s="105" t="n">
        <f aca="false">IFERROR(IF(OR(NOT(ISNUMBER('Price History'!B45)),NOT(ISNUMBER('Price History'!B44)),'Price History'!B44=0),"",'Price History'!B45/'Price History'!B44-1),"")</f>
        <v>-0.0645100225059421</v>
      </c>
      <c r="C44" s="105" t="n">
        <f aca="false">IFERROR(IF(OR(NOT(ISNUMBER('Price History'!C45)),NOT(ISNUMBER('Price History'!C44)),'Price History'!C44=0),"",'Price History'!C45/'Price History'!C44-1),"")</f>
        <v>-0.0290970772442589</v>
      </c>
      <c r="D44" s="105" t="n">
        <f aca="false">IFERROR(IF(OR(NOT(ISNUMBER('Price History'!D45)),NOT(ISNUMBER('Price History'!D44)),'Price History'!D44=0),"",'Price History'!D45/'Price History'!D44-1),"")</f>
        <v>0.00431908974922091</v>
      </c>
      <c r="E44" s="105" t="n">
        <f aca="false">IFERROR(IF(OR(NOT(ISNUMBER('Price History'!E45)),NOT(ISNUMBER('Price History'!E44)),'Price History'!E44=0),"",'Price History'!E45/'Price History'!E44-1),"")</f>
        <v>-0.0563290240090922</v>
      </c>
      <c r="F44" s="105" t="n">
        <f aca="false">IFERROR(IF(OR(NOT(ISNUMBER('Price History'!F45)),NOT(ISNUMBER('Price History'!F44)),'Price History'!F44=0),"",'Price History'!F45/'Price History'!F44-1),"")</f>
        <v>-0.107545237282349</v>
      </c>
      <c r="G44" s="105" t="n">
        <f aca="false">IFERROR(IF(OR(NOT(ISNUMBER('Price History'!G45)),NOT(ISNUMBER('Price History'!G44)),'Price History'!G44=0),"",'Price History'!G45/'Price History'!G44-1),"")</f>
        <v>-0.0251572327044024</v>
      </c>
      <c r="H44" s="105" t="n">
        <f aca="false">IFERROR(IF(OR(NOT(ISNUMBER('Price History'!H45)),NOT(ISNUMBER('Price History'!H44)),'Price History'!H44=0),"",'Price History'!H45/'Price History'!H44-1),"")</f>
        <v>-0.0346744922387829</v>
      </c>
      <c r="I44" s="105" t="n">
        <f aca="false">IFERROR(IF(OR(NOT(ISNUMBER('Price History'!I45)),NOT(ISNUMBER('Price History'!I44)),'Price History'!I44=0),"",'Price History'!I45/'Price History'!I44-1),"")</f>
        <v>0.0296797219874143</v>
      </c>
      <c r="J44" s="105" t="n">
        <f aca="false">IFERROR(IF(OR(NOT(ISNUMBER('Price History'!J45)),NOT(ISNUMBER('Price History'!J44)),'Price History'!J44=0),"",'Price History'!J45/'Price History'!J44-1),"")</f>
        <v>0.054797136038186</v>
      </c>
      <c r="K44" s="105" t="n">
        <f aca="false">IFERROR(IF(OR(NOT(ISNUMBER('Price History'!K45)),NOT(ISNUMBER('Price History'!K44)),'Price History'!K44=0),"",'Price History'!K45/'Price History'!K44-1),"")</f>
        <v>0.031889576392194</v>
      </c>
      <c r="L44" s="105" t="n">
        <f aca="false">IFERROR(IF(OR(NOT(ISNUMBER('Price History'!L45)),NOT(ISNUMBER('Price History'!L44)),'Price History'!L44=0),"",'Price History'!L45/'Price History'!L44-1),"")</f>
        <v>-0.0560000000000001</v>
      </c>
      <c r="M44" s="105" t="n">
        <f aca="false">IFERROR(IF(OR(NOT(ISNUMBER('Price History'!M45)),NOT(ISNUMBER('Price History'!M44)),'Price History'!M44=0),"",'Price History'!M45/'Price History'!M44-1),"")</f>
        <v>-0.0762927380615994</v>
      </c>
      <c r="N44" s="105" t="n">
        <f aca="false">IFERROR(IF(OR(NOT(ISNUMBER('Price History'!N45)),NOT(ISNUMBER('Price History'!N44)),'Price History'!N44=0),"",'Price History'!N45/'Price History'!N44-1),"")</f>
        <v>-0.00352336141809828</v>
      </c>
      <c r="O44" s="105" t="n">
        <f aca="false">IFERROR(IF(OR(NOT(ISNUMBER('Price History'!O45)),NOT(ISNUMBER('Price History'!O44)),'Price History'!O44=0),"",'Price History'!O45/'Price History'!O44-1),"")</f>
        <v>0.0107538561807516</v>
      </c>
      <c r="P44" s="105" t="str">
        <f aca="false">IFERROR(IF(OR(NOT(ISNUMBER('Price History'!P45)),NOT(ISNUMBER('Price History'!P44)),'Price History'!P44=0),"",'Price History'!P45/'Price History'!P44-1),"")</f>
        <v/>
      </c>
      <c r="Q44" s="105" t="n">
        <f aca="false">IFERROR(IF(OR(NOT(ISNUMBER('Price History'!Q45)),NOT(ISNUMBER('Price History'!Q44)),'Price History'!Q44=0),"",'Price History'!Q45/'Price History'!Q44-1),"")</f>
        <v>-0.00659006421088204</v>
      </c>
      <c r="R44" s="105" t="n">
        <f aca="false">IFERROR(IF(OR(NOT(ISNUMBER('Price History'!R45)),NOT(ISNUMBER('Price History'!R44)),'Price History'!R44=0),"",'Price History'!R45/'Price History'!R44-1),"")</f>
        <v>-0.00349393159249733</v>
      </c>
      <c r="S44" s="105" t="n">
        <f aca="false">IFERROR(IF(OR(NOT(ISNUMBER('Price History'!S45)),NOT(ISNUMBER('Price History'!S44)),'Price History'!S44=0),"",'Price History'!S45/'Price History'!S44-1),"")</f>
        <v>-0.0109329446064139</v>
      </c>
      <c r="T44" s="105" t="n">
        <f aca="false">IFERROR(IF(OR(NOT(ISNUMBER('Price History'!T45)),NOT(ISNUMBER('Price History'!T44)),'Price History'!T44=0),"",'Price History'!T45/'Price History'!T44-1),"")</f>
        <v>0.0115163147792705</v>
      </c>
      <c r="U44" s="105" t="str">
        <f aca="false">IFERROR(IF(OR(NOT(ISNUMBER('Price History'!U45)),NOT(ISNUMBER('Price History'!U44)),'Price History'!U44=0),"",'Price History'!U45/'Price History'!U44-1),"")</f>
        <v/>
      </c>
      <c r="V44" s="106" t="n">
        <f aca="false">IFERROR(IF(OR(NOT(ISNUMBER('Price History'!V45)),NOT(ISNUMBER('Price History'!V44)),'Price History'!V44=0),"",'Price History'!V45/'Price History'!V44-1),"")</f>
        <v>-0.00737392077667032</v>
      </c>
      <c r="W44" s="107" t="n">
        <f aca="false">'Price History'!B3+('Price History'!B158-'Price History'!B3)*0.266233766233766</f>
        <v>439.751038961039</v>
      </c>
      <c r="X44" s="107" t="n">
        <f aca="false">'Price History'!C3+('Price History'!C158-'Price History'!C3)*0.266233766233766</f>
        <v>80.1101948051948</v>
      </c>
      <c r="Y44" s="107" t="n">
        <f aca="false">'Price History'!D3+('Price History'!D158-'Price History'!D3)*0.266233766233766</f>
        <v>919.286623376623</v>
      </c>
      <c r="Z44" s="107" t="n">
        <f aca="false">'Price History'!E3+('Price History'!E158-'Price History'!E3)*0.266233766233766</f>
        <v>164.527402597403</v>
      </c>
      <c r="AA44" s="107" t="n">
        <f aca="false">'Price History'!F3+('Price History'!F158-'Price History'!F3)*0.266233766233766</f>
        <v>78.0067532467532</v>
      </c>
      <c r="AB44" s="107" t="n">
        <f aca="false">'Price History'!G3+('Price History'!G158-'Price History'!G3)*0.266233766233766</f>
        <v>83.8202597402597</v>
      </c>
      <c r="AC44" s="107" t="n">
        <f aca="false">'Price History'!H3+('Price History'!H158-'Price History'!H3)*0.266233766233766</f>
        <v>266.350909090909</v>
      </c>
      <c r="AD44" s="107" t="n">
        <f aca="false">'Price History'!I3+('Price History'!I158-'Price History'!I3)*0.266233766233766</f>
        <v>83.4207792207792</v>
      </c>
      <c r="AE44" s="107" t="n">
        <f aca="false">'Price History'!J3+('Price History'!J158-'Price History'!J3)*0.266233766233766</f>
        <v>129.127532467532</v>
      </c>
      <c r="AF44" s="107" t="n">
        <f aca="false">'Price History'!K3+('Price History'!K158-'Price History'!K3)*0.266233766233766</f>
        <v>44.0700649350649</v>
      </c>
      <c r="AG44" s="107" t="n">
        <f aca="false">'Price History'!L3+('Price History'!L158-'Price History'!L3)*0.266233766233766</f>
        <v>175.124155844156</v>
      </c>
      <c r="AH44" s="107" t="n">
        <f aca="false">'Price History'!M3+('Price History'!M158-'Price History'!M3)*0.266233766233766</f>
        <v>88.9025974025974</v>
      </c>
      <c r="AI44" s="107" t="n">
        <f aca="false">'Price History'!N3+('Price History'!N158-'Price History'!N3)*0.266233766233766</f>
        <v>383.735584415584</v>
      </c>
      <c r="AJ44" s="107" t="n">
        <f aca="false">'Price History'!O3+('Price History'!O158-'Price History'!O3)*0.266233766233766</f>
        <v>94.1462987012987</v>
      </c>
      <c r="AK44" s="107" t="n">
        <f aca="false">'Price History'!Q3+('Price History'!Q151-'Price History'!Q3)*0.266233766233766</f>
        <v>54.7946103896104</v>
      </c>
      <c r="AL44" s="107" t="n">
        <f aca="false">'Price History'!R3+('Price History'!R158-'Price History'!R3)*0.266233766233766</f>
        <v>50.5968181818182</v>
      </c>
      <c r="AM44" s="107" t="n">
        <f aca="false">'Price History'!S3+('Price History'!S158-'Price History'!S3)*0.266233766233766</f>
        <v>81.2470779220779</v>
      </c>
      <c r="AN44" s="107" t="n">
        <f aca="false">'Price History'!T3+('Price History'!T158-'Price History'!T3)*0.266233766233766</f>
        <v>32.9881168831169</v>
      </c>
    </row>
    <row r="45" customFormat="false" ht="15" hidden="false" customHeight="true" outlineLevel="0" collapsed="false">
      <c r="A45" s="104" t="n">
        <f aca="false">IF('Price History'!A46="","",'Price History'!A46)</f>
        <v>45450</v>
      </c>
      <c r="B45" s="105" t="n">
        <f aca="false">IFERROR(IF(OR(NOT(ISNUMBER('Price History'!B46)),NOT(ISNUMBER('Price History'!B45)),'Price History'!B45=0),"",'Price History'!B46/'Price History'!B45-1),"")</f>
        <v>0.0464745031027971</v>
      </c>
      <c r="C45" s="105" t="n">
        <f aca="false">IFERROR(IF(OR(NOT(ISNUMBER('Price History'!C46)),NOT(ISNUMBER('Price History'!C45)),'Price History'!C45=0),"",'Price History'!C46/'Price History'!C45-1),"")</f>
        <v>-0.00282220131702715</v>
      </c>
      <c r="D45" s="105" t="n">
        <f aca="false">IFERROR(IF(OR(NOT(ISNUMBER('Price History'!D46)),NOT(ISNUMBER('Price History'!D45)),'Price History'!D45=0),"",'Price History'!D46/'Price History'!D45-1),"")</f>
        <v>0.070880408184516</v>
      </c>
      <c r="E45" s="105" t="n">
        <f aca="false">IFERROR(IF(OR(NOT(ISNUMBER('Price History'!E46)),NOT(ISNUMBER('Price History'!E45)),'Price History'!E45=0),"",'Price History'!E46/'Price History'!E45-1),"")</f>
        <v>0.0587881068874672</v>
      </c>
      <c r="F45" s="105" t="n">
        <f aca="false">IFERROR(IF(OR(NOT(ISNUMBER('Price History'!F46)),NOT(ISNUMBER('Price History'!F45)),'Price History'!F45=0),"",'Price History'!F46/'Price History'!F45-1),"")</f>
        <v>0.112981382300434</v>
      </c>
      <c r="G45" s="105" t="n">
        <f aca="false">IFERROR(IF(OR(NOT(ISNUMBER('Price History'!G46)),NOT(ISNUMBER('Price History'!G45)),'Price History'!G45=0),"",'Price History'!G46/'Price History'!G45-1),"")</f>
        <v>0.0125082290980909</v>
      </c>
      <c r="H45" s="105" t="n">
        <f aca="false">IFERROR(IF(OR(NOT(ISNUMBER('Price History'!H46)),NOT(ISNUMBER('Price History'!H45)),'Price History'!H45=0),"",'Price History'!H46/'Price History'!H45-1),"")</f>
        <v>0.04752</v>
      </c>
      <c r="I45" s="105" t="n">
        <f aca="false">IFERROR(IF(OR(NOT(ISNUMBER('Price History'!I46)),NOT(ISNUMBER('Price History'!I45)),'Price History'!I45=0),"",'Price History'!I46/'Price History'!I45-1),"")</f>
        <v>0.102709112469215</v>
      </c>
      <c r="J45" s="105" t="n">
        <f aca="false">IFERROR(IF(OR(NOT(ISNUMBER('Price History'!J46)),NOT(ISNUMBER('Price History'!J45)),'Price History'!J45=0),"",'Price History'!J46/'Price History'!J45-1),"")</f>
        <v>-0.00262467191601046</v>
      </c>
      <c r="K45" s="105" t="n">
        <f aca="false">IFERROR(IF(OR(NOT(ISNUMBER('Price History'!K46)),NOT(ISNUMBER('Price History'!K45)),'Price History'!K45=0),"",'Price History'!K46/'Price History'!K45-1),"")</f>
        <v>0.0751845018450184</v>
      </c>
      <c r="L45" s="105" t="n">
        <f aca="false">IFERROR(IF(OR(NOT(ISNUMBER('Price History'!L46)),NOT(ISNUMBER('Price History'!L45)),'Price History'!L45=0),"",'Price History'!L46/'Price History'!L45-1),"")</f>
        <v>0.0883871822033897</v>
      </c>
      <c r="M45" s="105" t="n">
        <f aca="false">IFERROR(IF(OR(NOT(ISNUMBER('Price History'!M46)),NOT(ISNUMBER('Price History'!M45)),'Price History'!M45=0),"",'Price History'!M46/'Price History'!M45-1),"")</f>
        <v>-0.105944733353727</v>
      </c>
      <c r="N45" s="105" t="n">
        <f aca="false">IFERROR(IF(OR(NOT(ISNUMBER('Price History'!N46)),NOT(ISNUMBER('Price History'!N45)),'Price History'!N45=0),"",'Price History'!N46/'Price History'!N45-1),"")</f>
        <v>0.0608336627574999</v>
      </c>
      <c r="O45" s="105" t="n">
        <f aca="false">IFERROR(IF(OR(NOT(ISNUMBER('Price History'!O46)),NOT(ISNUMBER('Price History'!O45)),'Price History'!O45=0),"",'Price History'!O46/'Price History'!O45-1),"")</f>
        <v>-0.0340677055346588</v>
      </c>
      <c r="P45" s="105" t="str">
        <f aca="false">IFERROR(IF(OR(NOT(ISNUMBER('Price History'!P46)),NOT(ISNUMBER('Price History'!P45)),'Price History'!P45=0),"",'Price History'!P46/'Price History'!P45-1),"")</f>
        <v/>
      </c>
      <c r="Q45" s="105" t="n">
        <f aca="false">IFERROR(IF(OR(NOT(ISNUMBER('Price History'!Q46)),NOT(ISNUMBER('Price History'!Q45)),'Price History'!Q45=0),"",'Price History'!Q46/'Price History'!Q45-1),"")</f>
        <v>-0.00425242388161251</v>
      </c>
      <c r="R45" s="105" t="n">
        <f aca="false">IFERROR(IF(OR(NOT(ISNUMBER('Price History'!R46)),NOT(ISNUMBER('Price History'!R45)),'Price History'!R45=0),"",'Price History'!R46/'Price History'!R45-1),"")</f>
        <v>0.00553607676693124</v>
      </c>
      <c r="S45" s="105" t="n">
        <f aca="false">IFERROR(IF(OR(NOT(ISNUMBER('Price History'!S46)),NOT(ISNUMBER('Price History'!S45)),'Price History'!S45=0),"",'Price History'!S46/'Price History'!S45-1),"")</f>
        <v>0.0303365266519282</v>
      </c>
      <c r="T45" s="105" t="n">
        <f aca="false">IFERROR(IF(OR(NOT(ISNUMBER('Price History'!T46)),NOT(ISNUMBER('Price History'!T45)),'Price History'!T45=0),"",'Price History'!T46/'Price History'!T45-1),"")</f>
        <v>-0.0211891208096142</v>
      </c>
      <c r="U45" s="105" t="str">
        <f aca="false">IFERROR(IF(OR(NOT(ISNUMBER('Price History'!U46)),NOT(ISNUMBER('Price History'!U45)),'Price History'!U45=0),"",'Price History'!U46/'Price History'!U45-1),"")</f>
        <v/>
      </c>
      <c r="V45" s="106" t="n">
        <f aca="false">IFERROR(IF(OR(NOT(ISNUMBER('Price History'!V46)),NOT(ISNUMBER('Price History'!V45)),'Price History'!V45=0),"",'Price History'!V46/'Price History'!V45-1),"")</f>
        <v>0.0227713901747051</v>
      </c>
      <c r="W45" s="107" t="n">
        <f aca="false">'Price History'!B3+('Price History'!B158-'Price History'!B3)*0.272727272727273</f>
        <v>438.075454545455</v>
      </c>
      <c r="X45" s="107" t="n">
        <f aca="false">'Price History'!C3+('Price History'!C158-'Price History'!C3)*0.272727272727273</f>
        <v>80.9972727272728</v>
      </c>
      <c r="Y45" s="107" t="n">
        <f aca="false">'Price History'!D3+('Price History'!D158-'Price History'!D3)*0.272727272727273</f>
        <v>925.567272727273</v>
      </c>
      <c r="Z45" s="107" t="n">
        <f aca="false">'Price History'!E3+('Price History'!E158-'Price History'!E3)*0.272727272727273</f>
        <v>166.516363636364</v>
      </c>
      <c r="AA45" s="107" t="n">
        <f aca="false">'Price History'!F3+('Price History'!F158-'Price History'!F3)*0.272727272727273</f>
        <v>79.0054545454546</v>
      </c>
      <c r="AB45" s="107" t="n">
        <f aca="false">'Price History'!G3+('Price History'!G158-'Price History'!G3)*0.272727272727273</f>
        <v>84.6963636363637</v>
      </c>
      <c r="AC45" s="107" t="n">
        <f aca="false">'Price History'!H3+('Price History'!H158-'Price History'!H3)*0.272727272727273</f>
        <v>271.277272727273</v>
      </c>
      <c r="AD45" s="107" t="n">
        <f aca="false">'Price History'!I3+('Price History'!I158-'Price History'!I3)*0.272727272727273</f>
        <v>84.459090909091</v>
      </c>
      <c r="AE45" s="107" t="n">
        <f aca="false">'Price History'!J3+('Price History'!J158-'Price History'!J3)*0.272727272727273</f>
        <v>129.264545454545</v>
      </c>
      <c r="AF45" s="107" t="n">
        <f aca="false">'Price History'!K3+('Price History'!K158-'Price History'!K3)*0.272727272727273</f>
        <v>44.7690909090909</v>
      </c>
      <c r="AG45" s="107" t="n">
        <f aca="false">'Price History'!L3+('Price History'!L158-'Price History'!L3)*0.272727272727273</f>
        <v>177.151818181818</v>
      </c>
      <c r="AH45" s="107" t="n">
        <f aca="false">'Price History'!M3+('Price History'!M158-'Price History'!M3)*0.272727272727273</f>
        <v>90.2536363636364</v>
      </c>
      <c r="AI45" s="107" t="n">
        <f aca="false">'Price History'!N3+('Price History'!N158-'Price History'!N3)*0.272727272727273</f>
        <v>384.561818181818</v>
      </c>
      <c r="AJ45" s="107" t="n">
        <f aca="false">'Price History'!O3+('Price History'!O158-'Price History'!O3)*0.272727272727273</f>
        <v>94.4218181818182</v>
      </c>
      <c r="AK45" s="107" t="n">
        <f aca="false">'Price History'!Q3+('Price History'!Q151-'Price History'!Q3)*0.272727272727273</f>
        <v>54.9154545454546</v>
      </c>
      <c r="AL45" s="107" t="n">
        <f aca="false">'Price History'!R3+('Price History'!R158-'Price History'!R3)*0.272727272727273</f>
        <v>50.6645454545455</v>
      </c>
      <c r="AM45" s="107" t="n">
        <f aca="false">'Price History'!S3+('Price History'!S158-'Price History'!S3)*0.272727272727273</f>
        <v>81.8009090909091</v>
      </c>
      <c r="AN45" s="107" t="n">
        <f aca="false">'Price History'!T3+('Price History'!T158-'Price History'!T3)*0.272727272727273</f>
        <v>33.1363636363636</v>
      </c>
    </row>
    <row r="46" customFormat="false" ht="15" hidden="false" customHeight="true" outlineLevel="0" collapsed="false">
      <c r="A46" s="104" t="n">
        <f aca="false">IF('Price History'!A47="","",'Price History'!A47)</f>
        <v>45457</v>
      </c>
      <c r="B46" s="105" t="n">
        <f aca="false">IFERROR(IF(OR(NOT(ISNUMBER('Price History'!B47)),NOT(ISNUMBER('Price History'!B46)),'Price History'!B46=0),"",'Price History'!B47/'Price History'!B46-1),"")</f>
        <v>0.128655222052725</v>
      </c>
      <c r="C46" s="105" t="n">
        <f aca="false">IFERROR(IF(OR(NOT(ISNUMBER('Price History'!C47)),NOT(ISNUMBER('Price History'!C46)),'Price History'!C46=0),"",'Price History'!C47/'Price History'!C46-1),"")</f>
        <v>0.106873315363881</v>
      </c>
      <c r="D46" s="105" t="n">
        <f aca="false">IFERROR(IF(OR(NOT(ISNUMBER('Price History'!D47)),NOT(ISNUMBER('Price History'!D46)),'Price History'!D46=0),"",'Price History'!D47/'Price History'!D46-1),"")</f>
        <v>-0.000505629995527057</v>
      </c>
      <c r="E46" s="105" t="n">
        <f aca="false">IFERROR(IF(OR(NOT(ISNUMBER('Price History'!E47)),NOT(ISNUMBER('Price History'!E46)),'Price History'!E46=0),"",'Price History'!E47/'Price History'!E46-1),"")</f>
        <v>0.233470780605716</v>
      </c>
      <c r="F46" s="105" t="n">
        <f aca="false">IFERROR(IF(OR(NOT(ISNUMBER('Price History'!F47)),NOT(ISNUMBER('Price History'!F46)),'Price History'!F46=0),"",'Price History'!F47/'Price History'!F46-1),"")</f>
        <v>0.104032997250229</v>
      </c>
      <c r="G46" s="105" t="n">
        <f aca="false">IFERROR(IF(OR(NOT(ISNUMBER('Price History'!G47)),NOT(ISNUMBER('Price History'!G46)),'Price History'!G46=0),"",'Price History'!G47/'Price History'!G46-1),"")</f>
        <v>0.0725617685305591</v>
      </c>
      <c r="H46" s="105" t="n">
        <f aca="false">IFERROR(IF(OR(NOT(ISNUMBER('Price History'!H47)),NOT(ISNUMBER('Price History'!H46)),'Price History'!H46=0),"",'Price History'!H47/'Price History'!H46-1),"")</f>
        <v>0.0795784328700169</v>
      </c>
      <c r="I46" s="105" t="n">
        <f aca="false">IFERROR(IF(OR(NOT(ISNUMBER('Price History'!I47)),NOT(ISNUMBER('Price History'!I46)),'Price History'!I46=0),"",'Price History'!I47/'Price History'!I46-1),"")</f>
        <v>0.0909090909090908</v>
      </c>
      <c r="J46" s="105" t="n">
        <f aca="false">IFERROR(IF(OR(NOT(ISNUMBER('Price History'!J47)),NOT(ISNUMBER('Price History'!J46)),'Price History'!J46=0),"",'Price History'!J47/'Price History'!J46-1),"")</f>
        <v>0.0189655172413794</v>
      </c>
      <c r="K46" s="105" t="n">
        <f aca="false">IFERROR(IF(OR(NOT(ISNUMBER('Price History'!K47)),NOT(ISNUMBER('Price History'!K46)),'Price History'!K46=0),"",'Price History'!K47/'Price History'!K46-1),"")</f>
        <v>0.0111540111540112</v>
      </c>
      <c r="L46" s="105" t="n">
        <f aca="false">IFERROR(IF(OR(NOT(ISNUMBER('Price History'!L47)),NOT(ISNUMBER('Price History'!L46)),'Price History'!L46=0),"",'Price History'!L47/'Price History'!L46-1),"")</f>
        <v>0.0493947320396617</v>
      </c>
      <c r="M46" s="105" t="n">
        <f aca="false">IFERROR(IF(OR(NOT(ISNUMBER('Price History'!M47)),NOT(ISNUMBER('Price History'!M46)),'Price History'!M46=0),"",'Price History'!M47/'Price History'!M46-1),"")</f>
        <v>0.0433394160583942</v>
      </c>
      <c r="N46" s="105" t="n">
        <f aca="false">IFERROR(IF(OR(NOT(ISNUMBER('Price History'!N47)),NOT(ISNUMBER('Price History'!N46)),'Price History'!N46=0),"",'Price History'!N47/'Price History'!N46-1),"")</f>
        <v>-0.00478221265319645</v>
      </c>
      <c r="O46" s="105" t="n">
        <f aca="false">IFERROR(IF(OR(NOT(ISNUMBER('Price History'!O47)),NOT(ISNUMBER('Price History'!O46)),'Price History'!O46=0),"",'Price History'!O47/'Price History'!O46-1),"")</f>
        <v>-0.0239207832665775</v>
      </c>
      <c r="P46" s="105" t="str">
        <f aca="false">IFERROR(IF(OR(NOT(ISNUMBER('Price History'!P47)),NOT(ISNUMBER('Price History'!P46)),'Price History'!P46=0),"",'Price History'!P47/'Price History'!P46-1),"")</f>
        <v/>
      </c>
      <c r="Q46" s="105" t="n">
        <f aca="false">IFERROR(IF(OR(NOT(ISNUMBER('Price History'!Q47)),NOT(ISNUMBER('Price History'!Q46)),'Price History'!Q46=0),"",'Price History'!Q47/'Price History'!Q46-1),"")</f>
        <v>-0.0107618722241203</v>
      </c>
      <c r="R46" s="105" t="n">
        <f aca="false">IFERROR(IF(OR(NOT(ISNUMBER('Price History'!R47)),NOT(ISNUMBER('Price History'!R46)),'Price History'!R46=0),"",'Price History'!R47/'Price History'!R46-1),"")</f>
        <v>0.0126628739218204</v>
      </c>
      <c r="S46" s="105" t="n">
        <f aca="false">IFERROR(IF(OR(NOT(ISNUMBER('Price History'!S47)),NOT(ISNUMBER('Price History'!S46)),'Price History'!S46=0),"",'Price History'!S47/'Price History'!S46-1),"")</f>
        <v>0.0421981165812375</v>
      </c>
      <c r="T46" s="105" t="n">
        <f aca="false">IFERROR(IF(OR(NOT(ISNUMBER('Price History'!T47)),NOT(ISNUMBER('Price History'!T46)),'Price History'!T46=0),"",'Price History'!T47/'Price History'!T46-1),"")</f>
        <v>-0.00420032310177698</v>
      </c>
      <c r="U46" s="105" t="str">
        <f aca="false">IFERROR(IF(OR(NOT(ISNUMBER('Price History'!U47)),NOT(ISNUMBER('Price History'!U46)),'Price History'!U46=0),"",'Price History'!U47/'Price History'!U46-1),"")</f>
        <v/>
      </c>
      <c r="V46" s="106" t="n">
        <f aca="false">IFERROR(IF(OR(NOT(ISNUMBER('Price History'!V47)),NOT(ISNUMBER('Price History'!V46)),'Price History'!V46=0),"",'Price History'!V47/'Price History'!V46-1),"")</f>
        <v>-0.0287247244324403</v>
      </c>
      <c r="W46" s="107" t="n">
        <f aca="false">'Price History'!B3+('Price History'!B158-'Price History'!B3)*0.279220779220779</f>
        <v>436.39987012987</v>
      </c>
      <c r="X46" s="107" t="n">
        <f aca="false">'Price History'!C3+('Price History'!C158-'Price History'!C3)*0.279220779220779</f>
        <v>81.8843506493506</v>
      </c>
      <c r="Y46" s="107" t="n">
        <f aca="false">'Price History'!D3+('Price History'!D158-'Price History'!D3)*0.279220779220779</f>
        <v>931.847922077922</v>
      </c>
      <c r="Z46" s="107" t="n">
        <f aca="false">'Price History'!E3+('Price History'!E158-'Price History'!E3)*0.279220779220779</f>
        <v>168.505324675325</v>
      </c>
      <c r="AA46" s="107" t="n">
        <f aca="false">'Price History'!F3+('Price History'!F158-'Price History'!F3)*0.279220779220779</f>
        <v>80.0041558441558</v>
      </c>
      <c r="AB46" s="107" t="n">
        <f aca="false">'Price History'!G3+('Price History'!G158-'Price History'!G3)*0.279220779220779</f>
        <v>85.5724675324675</v>
      </c>
      <c r="AC46" s="107" t="n">
        <f aca="false">'Price History'!H3+('Price History'!H158-'Price History'!H3)*0.279220779220779</f>
        <v>276.203636363636</v>
      </c>
      <c r="AD46" s="107" t="n">
        <f aca="false">'Price History'!I3+('Price History'!I158-'Price History'!I3)*0.279220779220779</f>
        <v>85.4974025974026</v>
      </c>
      <c r="AE46" s="107" t="n">
        <f aca="false">'Price History'!J3+('Price History'!J158-'Price History'!J3)*0.279220779220779</f>
        <v>129.401558441558</v>
      </c>
      <c r="AF46" s="107" t="n">
        <f aca="false">'Price History'!K3+('Price History'!K158-'Price History'!K3)*0.279220779220779</f>
        <v>45.4681168831169</v>
      </c>
      <c r="AG46" s="107" t="n">
        <f aca="false">'Price History'!L3+('Price History'!L158-'Price History'!L3)*0.279220779220779</f>
        <v>179.17948051948</v>
      </c>
      <c r="AH46" s="107" t="n">
        <f aca="false">'Price History'!M3+('Price History'!M158-'Price History'!M3)*0.279220779220779</f>
        <v>91.6046753246753</v>
      </c>
      <c r="AI46" s="107" t="n">
        <f aca="false">'Price History'!N3+('Price History'!N158-'Price History'!N3)*0.279220779220779</f>
        <v>385.388051948052</v>
      </c>
      <c r="AJ46" s="107" t="n">
        <f aca="false">'Price History'!O3+('Price History'!O158-'Price History'!O3)*0.279220779220779</f>
        <v>94.6973376623377</v>
      </c>
      <c r="AK46" s="107" t="n">
        <f aca="false">'Price History'!Q3+('Price History'!Q151-'Price History'!Q3)*0.279220779220779</f>
        <v>55.0362987012987</v>
      </c>
      <c r="AL46" s="107" t="n">
        <f aca="false">'Price History'!R3+('Price History'!R158-'Price History'!R3)*0.279220779220779</f>
        <v>50.7322727272727</v>
      </c>
      <c r="AM46" s="107" t="n">
        <f aca="false">'Price History'!S3+('Price History'!S158-'Price History'!S3)*0.279220779220779</f>
        <v>82.3547402597402</v>
      </c>
      <c r="AN46" s="107" t="n">
        <f aca="false">'Price History'!T3+('Price History'!T158-'Price History'!T3)*0.279220779220779</f>
        <v>33.2846103896104</v>
      </c>
    </row>
    <row r="47" customFormat="false" ht="15" hidden="false" customHeight="true" outlineLevel="0" collapsed="false">
      <c r="A47" s="104" t="n">
        <f aca="false">IF('Price History'!A48="","",'Price History'!A48)</f>
        <v>45464</v>
      </c>
      <c r="B47" s="105" t="n">
        <f aca="false">IFERROR(IF(OR(NOT(ISNUMBER('Price History'!B48)),NOT(ISNUMBER('Price History'!B47)),'Price History'!B47=0),"",'Price History'!B48/'Price History'!B47-1),"")</f>
        <v>0.0154765757362321</v>
      </c>
      <c r="C47" s="105" t="n">
        <f aca="false">IFERROR(IF(OR(NOT(ISNUMBER('Price History'!C48)),NOT(ISNUMBER('Price History'!C47)),'Price History'!C47=0),"",'Price History'!C48/'Price History'!C47-1),"")</f>
        <v>0.0269085596006333</v>
      </c>
      <c r="D47" s="105" t="n">
        <f aca="false">IFERROR(IF(OR(NOT(ISNUMBER('Price History'!D48)),NOT(ISNUMBER('Price History'!D47)),'Price History'!D47=0),"",'Price History'!D48/'Price History'!D47-1),"")</f>
        <v>0.0084638583519796</v>
      </c>
      <c r="E47" s="105" t="n">
        <f aca="false">IFERROR(IF(OR(NOT(ISNUMBER('Price History'!E48)),NOT(ISNUMBER('Price History'!E47)),'Price History'!E47=0),"",'Price History'!E48/'Price History'!E47-1),"")</f>
        <v>-0.0440345821325647</v>
      </c>
      <c r="F47" s="105" t="n">
        <f aca="false">IFERROR(IF(OR(NOT(ISNUMBER('Price History'!F48)),NOT(ISNUMBER('Price History'!F47)),'Price History'!F47=0),"",'Price History'!F48/'Price History'!F47-1),"")</f>
        <v>-0.0124533001245331</v>
      </c>
      <c r="G47" s="105" t="n">
        <f aca="false">IFERROR(IF(OR(NOT(ISNUMBER('Price History'!G48)),NOT(ISNUMBER('Price History'!G47)),'Price History'!G47=0),"",'Price History'!G48/'Price History'!G47-1),"")</f>
        <v>-0.00994180407371492</v>
      </c>
      <c r="H47" s="105" t="n">
        <f aca="false">IFERROR(IF(OR(NOT(ISNUMBER('Price History'!H48)),NOT(ISNUMBER('Price History'!H47)),'Price History'!H47=0),"",'Price History'!H48/'Price History'!H47-1),"")</f>
        <v>-0.0128749292586307</v>
      </c>
      <c r="I47" s="105" t="n">
        <f aca="false">IFERROR(IF(OR(NOT(ISNUMBER('Price History'!I48)),NOT(ISNUMBER('Price History'!I47)),'Price History'!I47=0),"",'Price History'!I48/'Price History'!I47-1),"")</f>
        <v>-0.0402638762511374</v>
      </c>
      <c r="J47" s="105" t="n">
        <f aca="false">IFERROR(IF(OR(NOT(ISNUMBER('Price History'!J48)),NOT(ISNUMBER('Price History'!J47)),'Price History'!J47=0),"",'Price History'!J48/'Price History'!J47-1),"")</f>
        <v>-0.0257369311603883</v>
      </c>
      <c r="K47" s="105" t="n">
        <f aca="false">IFERROR(IF(OR(NOT(ISNUMBER('Price History'!K48)),NOT(ISNUMBER('Price History'!K47)),'Price History'!K47=0),"",'Price History'!K48/'Price History'!K47-1),"")</f>
        <v>0.0114552397114978</v>
      </c>
      <c r="L47" s="105" t="n">
        <f aca="false">IFERROR(IF(OR(NOT(ISNUMBER('Price History'!L48)),NOT(ISNUMBER('Price History'!L47)),'Price History'!L47=0),"",'Price History'!L48/'Price History'!L47-1),"")</f>
        <v>0.00840530983711108</v>
      </c>
      <c r="M47" s="105" t="n">
        <f aca="false">IFERROR(IF(OR(NOT(ISNUMBER('Price History'!M48)),NOT(ISNUMBER('Price History'!M47)),'Price History'!M47=0),"",'Price History'!M48/'Price History'!M47-1),"")</f>
        <v>-0.00940096195889817</v>
      </c>
      <c r="N47" s="105" t="n">
        <f aca="false">IFERROR(IF(OR(NOT(ISNUMBER('Price History'!N48)),NOT(ISNUMBER('Price History'!N47)),'Price History'!N47=0),"",'Price History'!N48/'Price History'!N47-1),"")</f>
        <v>-0.0250036402970483</v>
      </c>
      <c r="O47" s="105" t="n">
        <f aca="false">IFERROR(IF(OR(NOT(ISNUMBER('Price History'!O48)),NOT(ISNUMBER('Price History'!O47)),'Price History'!O47=0),"",'Price History'!O48/'Price History'!O47-1),"")</f>
        <v>0.010828678901174</v>
      </c>
      <c r="P47" s="105" t="str">
        <f aca="false">IFERROR(IF(OR(NOT(ISNUMBER('Price History'!P48)),NOT(ISNUMBER('Price History'!P47)),'Price History'!P47=0),"",'Price History'!P48/'Price History'!P47-1),"")</f>
        <v/>
      </c>
      <c r="Q47" s="105" t="n">
        <f aca="false">IFERROR(IF(OR(NOT(ISNUMBER('Price History'!Q48)),NOT(ISNUMBER('Price History'!Q47)),'Price History'!Q47=0),"",'Price History'!Q48/'Price History'!Q47-1),"")</f>
        <v>0.000690726990157264</v>
      </c>
      <c r="R47" s="105" t="n">
        <f aca="false">IFERROR(IF(OR(NOT(ISNUMBER('Price History'!R48)),NOT(ISNUMBER('Price History'!R47)),'Price History'!R47=0),"",'Price History'!R48/'Price History'!R47-1),"")</f>
        <v>0.00108735048930786</v>
      </c>
      <c r="S47" s="105" t="n">
        <f aca="false">IFERROR(IF(OR(NOT(ISNUMBER('Price History'!S48)),NOT(ISNUMBER('Price History'!S47)),'Price History'!S47=0),"",'Price History'!S48/'Price History'!S47-1),"")</f>
        <v>-0.000800640512410022</v>
      </c>
      <c r="T47" s="105" t="n">
        <f aca="false">IFERROR(IF(OR(NOT(ISNUMBER('Price History'!T48)),NOT(ISNUMBER('Price History'!T47)),'Price History'!T47=0),"",'Price History'!T48/'Price History'!T47-1),"")</f>
        <v>0.00973393900064901</v>
      </c>
      <c r="U47" s="105" t="str">
        <f aca="false">IFERROR(IF(OR(NOT(ISNUMBER('Price History'!U48)),NOT(ISNUMBER('Price History'!U47)),'Price History'!U47=0),"",'Price History'!U48/'Price History'!U47-1),"")</f>
        <v/>
      </c>
      <c r="V47" s="106" t="n">
        <f aca="false">IFERROR(IF(OR(NOT(ISNUMBER('Price History'!V48)),NOT(ISNUMBER('Price History'!V47)),'Price History'!V47=0),"",'Price History'!V48/'Price History'!V47-1),"")</f>
        <v>0.0168351433617675</v>
      </c>
      <c r="W47" s="107" t="n">
        <f aca="false">'Price History'!B3+('Price History'!B158-'Price History'!B3)*0.285714285714286</f>
        <v>434.724285714286</v>
      </c>
      <c r="X47" s="107" t="n">
        <f aca="false">'Price History'!C3+('Price History'!C158-'Price History'!C3)*0.285714285714286</f>
        <v>82.7714285714286</v>
      </c>
      <c r="Y47" s="107" t="n">
        <f aca="false">'Price History'!D3+('Price History'!D158-'Price History'!D3)*0.285714285714286</f>
        <v>938.128571428572</v>
      </c>
      <c r="Z47" s="107" t="n">
        <f aca="false">'Price History'!E3+('Price History'!E158-'Price History'!E3)*0.285714285714286</f>
        <v>170.494285714286</v>
      </c>
      <c r="AA47" s="107" t="n">
        <f aca="false">'Price History'!F3+('Price History'!F158-'Price History'!F3)*0.285714285714286</f>
        <v>81.0028571428572</v>
      </c>
      <c r="AB47" s="107" t="n">
        <f aca="false">'Price History'!G3+('Price History'!G158-'Price History'!G3)*0.285714285714286</f>
        <v>86.4485714285715</v>
      </c>
      <c r="AC47" s="107" t="n">
        <f aca="false">'Price History'!H3+('Price History'!H158-'Price History'!H3)*0.285714285714286</f>
        <v>281.13</v>
      </c>
      <c r="AD47" s="107" t="n">
        <f aca="false">'Price History'!I3+('Price History'!I158-'Price History'!I3)*0.285714285714286</f>
        <v>86.5357142857143</v>
      </c>
      <c r="AE47" s="107" t="n">
        <f aca="false">'Price History'!J3+('Price History'!J158-'Price History'!J3)*0.285714285714286</f>
        <v>129.538571428571</v>
      </c>
      <c r="AF47" s="107" t="n">
        <f aca="false">'Price History'!K3+('Price History'!K158-'Price History'!K3)*0.285714285714286</f>
        <v>46.1671428571429</v>
      </c>
      <c r="AG47" s="107" t="n">
        <f aca="false">'Price History'!L3+('Price History'!L158-'Price History'!L3)*0.285714285714286</f>
        <v>181.207142857143</v>
      </c>
      <c r="AH47" s="107" t="n">
        <f aca="false">'Price History'!M3+('Price History'!M158-'Price History'!M3)*0.285714285714286</f>
        <v>92.9557142857143</v>
      </c>
      <c r="AI47" s="107" t="n">
        <f aca="false">'Price History'!N3+('Price History'!N158-'Price History'!N3)*0.285714285714286</f>
        <v>386.214285714286</v>
      </c>
      <c r="AJ47" s="107" t="n">
        <f aca="false">'Price History'!O3+('Price History'!O158-'Price History'!O3)*0.285714285714286</f>
        <v>94.9728571428572</v>
      </c>
      <c r="AK47" s="107" t="n">
        <f aca="false">'Price History'!Q3+('Price History'!Q151-'Price History'!Q3)*0.285714285714286</f>
        <v>55.1571428571429</v>
      </c>
      <c r="AL47" s="107" t="n">
        <f aca="false">'Price History'!R3+('Price History'!R158-'Price History'!R3)*0.285714285714286</f>
        <v>50.8</v>
      </c>
      <c r="AM47" s="107" t="n">
        <f aca="false">'Price History'!S3+('Price History'!S158-'Price History'!S3)*0.285714285714286</f>
        <v>82.9085714285715</v>
      </c>
      <c r="AN47" s="107" t="n">
        <f aca="false">'Price History'!T3+('Price History'!T158-'Price History'!T3)*0.285714285714286</f>
        <v>33.4328571428572</v>
      </c>
    </row>
    <row r="48" customFormat="false" ht="15" hidden="false" customHeight="true" outlineLevel="0" collapsed="false">
      <c r="A48" s="104" t="n">
        <f aca="false">IF('Price History'!A49="","",'Price History'!A49)</f>
        <v>45471</v>
      </c>
      <c r="B48" s="105" t="n">
        <f aca="false">IFERROR(IF(OR(NOT(ISNUMBER('Price History'!B49)),NOT(ISNUMBER('Price History'!B48)),'Price History'!B48=0),"",'Price History'!B49/'Price History'!B48-1),"")</f>
        <v>0.0414292141571684</v>
      </c>
      <c r="C48" s="105" t="n">
        <f aca="false">IFERROR(IF(OR(NOT(ISNUMBER('Price History'!C49)),NOT(ISNUMBER('Price History'!C48)),'Price History'!C48=0),"",'Price History'!C49/'Price History'!C48-1),"")</f>
        <v>0.0388902063078018</v>
      </c>
      <c r="D48" s="105" t="n">
        <f aca="false">IFERROR(IF(OR(NOT(ISNUMBER('Price History'!D49)),NOT(ISNUMBER('Price History'!D48)),'Price History'!D48=0),"",'Price History'!D49/'Price History'!D48-1),"")</f>
        <v>-0.0133802816901407</v>
      </c>
      <c r="E48" s="105" t="n">
        <f aca="false">IFERROR(IF(OR(NOT(ISNUMBER('Price History'!E49)),NOT(ISNUMBER('Price History'!E48)),'Price History'!E48=0),"",'Price History'!E49/'Price History'!E48-1),"")</f>
        <v>-0.0320149523694683</v>
      </c>
      <c r="F48" s="105" t="n">
        <f aca="false">IFERROR(IF(OR(NOT(ISNUMBER('Price History'!F49)),NOT(ISNUMBER('Price History'!F48)),'Price History'!F48=0),"",'Price History'!F49/'Price History'!F48-1),"")</f>
        <v>0.00672551492223628</v>
      </c>
      <c r="G48" s="105" t="n">
        <f aca="false">IFERROR(IF(OR(NOT(ISNUMBER('Price History'!G49)),NOT(ISNUMBER('Price History'!G48)),'Price History'!G48=0),"",'Price History'!G49/'Price History'!G48-1),"")</f>
        <v>0.00967425912319375</v>
      </c>
      <c r="H48" s="105" t="n">
        <f aca="false">IFERROR(IF(OR(NOT(ISNUMBER('Price History'!H49)),NOT(ISNUMBER('Price History'!H48)),'Price History'!H48=0),"",'Price History'!H49/'Price History'!H48-1),"")</f>
        <v>-0.0574028952271749</v>
      </c>
      <c r="I48" s="105" t="n">
        <f aca="false">IFERROR(IF(OR(NOT(ISNUMBER('Price History'!I49)),NOT(ISNUMBER('Price History'!I48)),'Price History'!I48=0),"",'Price History'!I49/'Price History'!I48-1),"")</f>
        <v>-0.023939322114245</v>
      </c>
      <c r="J48" s="105" t="n">
        <f aca="false">IFERROR(IF(OR(NOT(ISNUMBER('Price History'!J49)),NOT(ISNUMBER('Price History'!J48)),'Price History'!J48=0),"",'Price History'!J49/'Price History'!J48-1),"")</f>
        <v>0.0265996343692869</v>
      </c>
      <c r="K48" s="105" t="n">
        <f aca="false">IFERROR(IF(OR(NOT(ISNUMBER('Price History'!K49)),NOT(ISNUMBER('Price History'!K48)),'Price History'!K48=0),"",'Price History'!K49/'Price History'!K48-1),"")</f>
        <v>0.0625</v>
      </c>
      <c r="L48" s="105" t="n">
        <f aca="false">IFERROR(IF(OR(NOT(ISNUMBER('Price History'!L49)),NOT(ISNUMBER('Price History'!L48)),'Price History'!L48=0),"",'Price History'!L49/'Price History'!L48-1),"")</f>
        <v>-0.000862267187859311</v>
      </c>
      <c r="M48" s="105" t="n">
        <f aca="false">IFERROR(IF(OR(NOT(ISNUMBER('Price History'!M49)),NOT(ISNUMBER('Price History'!M48)),'Price History'!M48=0),"",'Price History'!M49/'Price History'!M48-1),"")</f>
        <v>-0.044692120944604</v>
      </c>
      <c r="N48" s="105" t="n">
        <f aca="false">IFERROR(IF(OR(NOT(ISNUMBER('Price History'!N49)),NOT(ISNUMBER('Price History'!N48)),'Price History'!N48=0),"",'Price History'!N49/'Price History'!N48-1),"")</f>
        <v>2.13351539333218E-005</v>
      </c>
      <c r="O48" s="105" t="n">
        <f aca="false">IFERROR(IF(OR(NOT(ISNUMBER('Price History'!O49)),NOT(ISNUMBER('Price History'!O48)),'Price History'!O48=0),"",'Price History'!O49/'Price History'!O48-1),"")</f>
        <v>0.0117275597654487</v>
      </c>
      <c r="P48" s="105" t="str">
        <f aca="false">IFERROR(IF(OR(NOT(ISNUMBER('Price History'!P49)),NOT(ISNUMBER('Price History'!P48)),'Price History'!P48=0),"",'Price History'!P49/'Price History'!P48-1),"")</f>
        <v/>
      </c>
      <c r="Q48" s="105" t="n">
        <f aca="false">IFERROR(IF(OR(NOT(ISNUMBER('Price History'!Q49)),NOT(ISNUMBER('Price History'!Q48)),'Price History'!Q48=0),"",'Price History'!Q49/'Price History'!Q48-1),"")</f>
        <v>0.0262295081967212</v>
      </c>
      <c r="R48" s="105" t="n">
        <f aca="false">IFERROR(IF(OR(NOT(ISNUMBER('Price History'!R49)),NOT(ISNUMBER('Price History'!R48)),'Price History'!R48=0),"",'Price History'!R49/'Price History'!R48-1),"")</f>
        <v>0.00470673425054313</v>
      </c>
      <c r="S48" s="105" t="n">
        <f aca="false">IFERROR(IF(OR(NOT(ISNUMBER('Price History'!S49)),NOT(ISNUMBER('Price History'!S48)),'Price History'!S48=0),"",'Price History'!S49/'Price History'!S48-1),"")</f>
        <v>0.00114468864468864</v>
      </c>
      <c r="T48" s="105" t="n">
        <f aca="false">IFERROR(IF(OR(NOT(ISNUMBER('Price History'!T49)),NOT(ISNUMBER('Price History'!T48)),'Price History'!T48=0),"",'Price History'!T49/'Price History'!T48-1),"")</f>
        <v>-0.00642673521850901</v>
      </c>
      <c r="U48" s="105" t="str">
        <f aca="false">IFERROR(IF(OR(NOT(ISNUMBER('Price History'!U49)),NOT(ISNUMBER('Price History'!U48)),'Price History'!U48=0),"",'Price History'!U49/'Price History'!U48-1),"")</f>
        <v/>
      </c>
      <c r="V48" s="106" t="n">
        <f aca="false">IFERROR(IF(OR(NOT(ISNUMBER('Price History'!V49)),NOT(ISNUMBER('Price History'!V48)),'Price History'!V48=0),"",'Price History'!V49/'Price History'!V48-1),"")</f>
        <v>-0.0463431760227649</v>
      </c>
      <c r="W48" s="107" t="n">
        <f aca="false">'Price History'!B3+('Price History'!B158-'Price History'!B3)*0.292207792207792</f>
        <v>433.048701298701</v>
      </c>
      <c r="X48" s="107" t="n">
        <f aca="false">'Price History'!C3+('Price History'!C158-'Price History'!C3)*0.292207792207792</f>
        <v>83.6585064935065</v>
      </c>
      <c r="Y48" s="107" t="n">
        <f aca="false">'Price History'!D3+('Price History'!D158-'Price History'!D3)*0.292207792207792</f>
        <v>944.409220779221</v>
      </c>
      <c r="Z48" s="107" t="n">
        <f aca="false">'Price History'!E3+('Price History'!E158-'Price History'!E3)*0.292207792207792</f>
        <v>172.483246753247</v>
      </c>
      <c r="AA48" s="107" t="n">
        <f aca="false">'Price History'!F3+('Price History'!F158-'Price History'!F3)*0.292207792207792</f>
        <v>82.0015584415584</v>
      </c>
      <c r="AB48" s="107" t="n">
        <f aca="false">'Price History'!G3+('Price History'!G158-'Price History'!G3)*0.292207792207792</f>
        <v>87.3246753246753</v>
      </c>
      <c r="AC48" s="107" t="n">
        <f aca="false">'Price History'!H3+('Price History'!H158-'Price History'!H3)*0.292207792207792</f>
        <v>286.056363636363</v>
      </c>
      <c r="AD48" s="107" t="n">
        <f aca="false">'Price History'!I3+('Price History'!I158-'Price History'!I3)*0.292207792207792</f>
        <v>87.5740259740259</v>
      </c>
      <c r="AE48" s="107" t="n">
        <f aca="false">'Price History'!J3+('Price History'!J158-'Price History'!J3)*0.292207792207792</f>
        <v>129.675584415584</v>
      </c>
      <c r="AF48" s="107" t="n">
        <f aca="false">'Price History'!K3+('Price History'!K158-'Price History'!K3)*0.292207792207792</f>
        <v>46.8661688311688</v>
      </c>
      <c r="AG48" s="107" t="n">
        <f aca="false">'Price History'!L3+('Price History'!L158-'Price History'!L3)*0.292207792207792</f>
        <v>183.234805194805</v>
      </c>
      <c r="AH48" s="107" t="n">
        <f aca="false">'Price History'!M3+('Price History'!M158-'Price History'!M3)*0.292207792207792</f>
        <v>94.3067532467532</v>
      </c>
      <c r="AI48" s="107" t="n">
        <f aca="false">'Price History'!N3+('Price History'!N158-'Price History'!N3)*0.292207792207792</f>
        <v>387.04051948052</v>
      </c>
      <c r="AJ48" s="107" t="n">
        <f aca="false">'Price History'!O3+('Price History'!O158-'Price History'!O3)*0.292207792207792</f>
        <v>95.2483766233766</v>
      </c>
      <c r="AK48" s="107" t="n">
        <f aca="false">'Price History'!Q3+('Price History'!Q151-'Price History'!Q3)*0.292207792207792</f>
        <v>55.277987012987</v>
      </c>
      <c r="AL48" s="107" t="n">
        <f aca="false">'Price History'!R3+('Price History'!R158-'Price History'!R3)*0.292207792207792</f>
        <v>50.8677272727273</v>
      </c>
      <c r="AM48" s="107" t="n">
        <f aca="false">'Price History'!S3+('Price History'!S158-'Price History'!S3)*0.292207792207792</f>
        <v>83.4624025974026</v>
      </c>
      <c r="AN48" s="107" t="n">
        <f aca="false">'Price History'!T3+('Price History'!T158-'Price History'!T3)*0.292207792207792</f>
        <v>33.5811038961039</v>
      </c>
    </row>
    <row r="49" customFormat="false" ht="15" hidden="false" customHeight="true" outlineLevel="0" collapsed="false">
      <c r="A49" s="104" t="n">
        <f aca="false">IF('Price History'!A50="","",'Price History'!A50)</f>
        <v>45478</v>
      </c>
      <c r="B49" s="105" t="n">
        <f aca="false">IFERROR(IF(OR(NOT(ISNUMBER('Price History'!B50)),NOT(ISNUMBER('Price History'!B49)),'Price History'!B49=0),"",'Price History'!B50/'Price History'!B49-1),"")</f>
        <v>0.0410411491521765</v>
      </c>
      <c r="C49" s="105" t="n">
        <f aca="false">IFERROR(IF(OR(NOT(ISNUMBER('Price History'!C50)),NOT(ISNUMBER('Price History'!C49)),'Price History'!C49=0),"",'Price History'!C50/'Price History'!C49-1),"")</f>
        <v>0.0447386441451723</v>
      </c>
      <c r="D49" s="105" t="n">
        <f aca="false">IFERROR(IF(OR(NOT(ISNUMBER('Price History'!D50)),NOT(ISNUMBER('Price History'!D49)),'Price History'!D49=0),"",'Price History'!D50/'Price History'!D49-1),"")</f>
        <v>0.0505998650670265</v>
      </c>
      <c r="E49" s="105" t="n">
        <f aca="false">IFERROR(IF(OR(NOT(ISNUMBER('Price History'!E50)),NOT(ISNUMBER('Price History'!E49)),'Price History'!E49=0),"",'Price History'!E50/'Price History'!E49-1),"")</f>
        <v>0.0609156026160074</v>
      </c>
      <c r="F49" s="105" t="n">
        <f aca="false">IFERROR(IF(OR(NOT(ISNUMBER('Price History'!F50)),NOT(ISNUMBER('Price History'!F49)),'Price History'!F49=0),"",'Price History'!F50/'Price History'!F49-1),"")</f>
        <v>0.016910229645094</v>
      </c>
      <c r="G49" s="105" t="n">
        <f aca="false">IFERROR(IF(OR(NOT(ISNUMBER('Price History'!G50)),NOT(ISNUMBER('Price History'!G49)),'Price History'!G49=0),"",'Price History'!G50/'Price History'!G49-1),"")</f>
        <v>0.0372346876895087</v>
      </c>
      <c r="H49" s="105" t="n">
        <f aca="false">IFERROR(IF(OR(NOT(ISNUMBER('Price History'!H50)),NOT(ISNUMBER('Price History'!H49)),'Price History'!H49=0),"",'Price History'!H50/'Price History'!H49-1),"")</f>
        <v>0.000532197977647586</v>
      </c>
      <c r="I49" s="105" t="n">
        <f aca="false">IFERROR(IF(OR(NOT(ISNUMBER('Price History'!I50)),NOT(ISNUMBER('Price History'!I49)),'Price History'!I49=0),"",'Price History'!I50/'Price History'!I49-1),"")</f>
        <v>0.0185365063946898</v>
      </c>
      <c r="J49" s="105" t="n">
        <f aca="false">IFERROR(IF(OR(NOT(ISNUMBER('Price History'!J50)),NOT(ISNUMBER('Price History'!J49)),'Price History'!J49=0),"",'Price History'!J50/'Price History'!J49-1),"")</f>
        <v>0.0191434422580357</v>
      </c>
      <c r="K49" s="105" t="n">
        <f aca="false">IFERROR(IF(OR(NOT(ISNUMBER('Price History'!K50)),NOT(ISNUMBER('Price History'!K49)),'Price History'!K49=0),"",'Price History'!K50/'Price History'!K49-1),"")</f>
        <v>0.0750098697197001</v>
      </c>
      <c r="L49" s="105" t="n">
        <f aca="false">IFERROR(IF(OR(NOT(ISNUMBER('Price History'!L50)),NOT(ISNUMBER('Price History'!L49)),'Price History'!L49=0),"",'Price History'!L50/'Price History'!L49-1),"")</f>
        <v>0.0585697025487602</v>
      </c>
      <c r="M49" s="105" t="n">
        <f aca="false">IFERROR(IF(OR(NOT(ISNUMBER('Price History'!M50)),NOT(ISNUMBER('Price History'!M49)),'Price History'!M49=0),"",'Price History'!M50/'Price History'!M49-1),"")</f>
        <v>0.0601825112625622</v>
      </c>
      <c r="N49" s="105" t="n">
        <f aca="false">IFERROR(IF(OR(NOT(ISNUMBER('Price History'!N50)),NOT(ISNUMBER('Price History'!N49)),'Price History'!N49=0),"",'Price History'!N50/'Price History'!N49-1),"")</f>
        <v>0.0124807987711213</v>
      </c>
      <c r="O49" s="105" t="n">
        <f aca="false">IFERROR(IF(OR(NOT(ISNUMBER('Price History'!O50)),NOT(ISNUMBER('Price History'!O49)),'Price History'!O49=0),"",'Price History'!O50/'Price History'!O49-1),"")</f>
        <v>-0.0164957646009809</v>
      </c>
      <c r="P49" s="105" t="str">
        <f aca="false">IFERROR(IF(OR(NOT(ISNUMBER('Price History'!P50)),NOT(ISNUMBER('Price History'!P49)),'Price History'!P49=0),"",'Price History'!P50/'Price History'!P49-1),"")</f>
        <v/>
      </c>
      <c r="Q49" s="105" t="n">
        <f aca="false">IFERROR(IF(OR(NOT(ISNUMBER('Price History'!Q50)),NOT(ISNUMBER('Price History'!Q49)),'Price History'!Q49=0),"",'Price History'!Q50/'Price History'!Q49-1),"")</f>
        <v>0.00874390448965867</v>
      </c>
      <c r="R49" s="105" t="n">
        <f aca="false">IFERROR(IF(OR(NOT(ISNUMBER('Price History'!R50)),NOT(ISNUMBER('Price History'!R49)),'Price History'!R49=0),"",'Price History'!R50/'Price History'!R49-1),"")</f>
        <v>0.006846846846847</v>
      </c>
      <c r="S49" s="105" t="n">
        <f aca="false">IFERROR(IF(OR(NOT(ISNUMBER('Price History'!S50)),NOT(ISNUMBER('Price History'!S49)),'Price History'!S49=0),"",'Price History'!S50/'Price History'!S49-1),"")</f>
        <v>0.0309855934141323</v>
      </c>
      <c r="T49" s="105" t="n">
        <f aca="false">IFERROR(IF(OR(NOT(ISNUMBER('Price History'!T50)),NOT(ISNUMBER('Price History'!T49)),'Price History'!T49=0),"",'Price History'!T50/'Price History'!T49-1),"")</f>
        <v>-0.0200517464424321</v>
      </c>
      <c r="U49" s="105" t="str">
        <f aca="false">IFERROR(IF(OR(NOT(ISNUMBER('Price History'!U50)),NOT(ISNUMBER('Price History'!U49)),'Price History'!U49=0),"",'Price History'!U50/'Price History'!U49-1),"")</f>
        <v/>
      </c>
      <c r="V49" s="106" t="n">
        <f aca="false">IFERROR(IF(OR(NOT(ISNUMBER('Price History'!V50)),NOT(ISNUMBER('Price History'!V49)),'Price History'!V49=0),"",'Price History'!V50/'Price History'!V49-1),"")</f>
        <v>0.0300716915326487</v>
      </c>
      <c r="W49" s="107" t="n">
        <f aca="false">'Price History'!B3+('Price History'!B158-'Price History'!B3)*0.298701298701299</f>
        <v>431.373116883117</v>
      </c>
      <c r="X49" s="107" t="n">
        <f aca="false">'Price History'!C3+('Price History'!C158-'Price History'!C3)*0.298701298701299</f>
        <v>84.5455844155845</v>
      </c>
      <c r="Y49" s="107" t="n">
        <f aca="false">'Price History'!D3+('Price History'!D158-'Price History'!D3)*0.298701298701299</f>
        <v>950.68987012987</v>
      </c>
      <c r="Z49" s="107" t="n">
        <f aca="false">'Price History'!E3+('Price History'!E158-'Price History'!E3)*0.298701298701299</f>
        <v>174.472207792208</v>
      </c>
      <c r="AA49" s="107" t="n">
        <f aca="false">'Price History'!F3+('Price History'!F158-'Price History'!F3)*0.298701298701299</f>
        <v>83.0002597402598</v>
      </c>
      <c r="AB49" s="107" t="n">
        <f aca="false">'Price History'!G3+('Price History'!G158-'Price History'!G3)*0.298701298701299</f>
        <v>88.2007792207793</v>
      </c>
      <c r="AC49" s="107" t="n">
        <f aca="false">'Price History'!H3+('Price History'!H158-'Price History'!H3)*0.298701298701299</f>
        <v>290.982727272728</v>
      </c>
      <c r="AD49" s="107" t="n">
        <f aca="false">'Price History'!I3+('Price History'!I158-'Price History'!I3)*0.298701298701299</f>
        <v>88.6123376623377</v>
      </c>
      <c r="AE49" s="107" t="n">
        <f aca="false">'Price History'!J3+('Price History'!J158-'Price History'!J3)*0.298701298701299</f>
        <v>129.812597402597</v>
      </c>
      <c r="AF49" s="107" t="n">
        <f aca="false">'Price History'!K3+('Price History'!K158-'Price History'!K3)*0.298701298701299</f>
        <v>47.5651948051948</v>
      </c>
      <c r="AG49" s="107" t="n">
        <f aca="false">'Price History'!L3+('Price History'!L158-'Price History'!L3)*0.298701298701299</f>
        <v>185.262467532468</v>
      </c>
      <c r="AH49" s="107" t="n">
        <f aca="false">'Price History'!M3+('Price History'!M158-'Price History'!M3)*0.298701298701299</f>
        <v>95.6577922077923</v>
      </c>
      <c r="AI49" s="107" t="n">
        <f aca="false">'Price History'!N3+('Price History'!N158-'Price History'!N3)*0.298701298701299</f>
        <v>387.866753246753</v>
      </c>
      <c r="AJ49" s="107" t="n">
        <f aca="false">'Price History'!O3+('Price History'!O158-'Price History'!O3)*0.298701298701299</f>
        <v>95.5238961038961</v>
      </c>
      <c r="AK49" s="107" t="n">
        <f aca="false">'Price History'!Q3+('Price History'!Q151-'Price History'!Q3)*0.298701298701299</f>
        <v>55.3988311688312</v>
      </c>
      <c r="AL49" s="107" t="n">
        <f aca="false">'Price History'!R3+('Price History'!R158-'Price History'!R3)*0.298701298701299</f>
        <v>50.9354545454546</v>
      </c>
      <c r="AM49" s="107" t="n">
        <f aca="false">'Price History'!S3+('Price History'!S158-'Price History'!S3)*0.298701298701299</f>
        <v>84.0162337662338</v>
      </c>
      <c r="AN49" s="107" t="n">
        <f aca="false">'Price History'!T3+('Price History'!T158-'Price History'!T3)*0.298701298701299</f>
        <v>33.7293506493507</v>
      </c>
    </row>
    <row r="50" customFormat="false" ht="15" hidden="false" customHeight="true" outlineLevel="0" collapsed="false">
      <c r="A50" s="104" t="n">
        <f aca="false">IF('Price History'!A51="","",'Price History'!A51)</f>
        <v>45485</v>
      </c>
      <c r="B50" s="105" t="n">
        <f aca="false">IFERROR(IF(OR(NOT(ISNUMBER('Price History'!B51)),NOT(ISNUMBER('Price History'!B50)),'Price History'!B50=0),"",'Price History'!B51/'Price History'!B50-1),"")</f>
        <v>-0.0333540823736903</v>
      </c>
      <c r="C50" s="105" t="n">
        <f aca="false">IFERROR(IF(OR(NOT(ISNUMBER('Price History'!C51)),NOT(ISNUMBER('Price History'!C50)),'Price History'!C50=0),"",'Price History'!C51/'Price History'!C50-1),"")</f>
        <v>-0.0115796373170199</v>
      </c>
      <c r="D50" s="105" t="n">
        <f aca="false">IFERROR(IF(OR(NOT(ISNUMBER('Price History'!D51)),NOT(ISNUMBER('Price History'!D50)),'Price History'!D50=0),"",'Price History'!D51/'Price History'!D50-1),"")</f>
        <v>0.0100327600327601</v>
      </c>
      <c r="E50" s="105" t="n">
        <f aca="false">IFERROR(IF(OR(NOT(ISNUMBER('Price History'!E51)),NOT(ISNUMBER('Price History'!E50)),'Price History'!E50=0),"",'Price History'!E51/'Price History'!E50-1),"")</f>
        <v>-0.00152644865848661</v>
      </c>
      <c r="F50" s="105" t="n">
        <f aca="false">IFERROR(IF(OR(NOT(ISNUMBER('Price History'!F51)),NOT(ISNUMBER('Price History'!F50)),'Price History'!F50=0),"",'Price History'!F51/'Price History'!F50-1),"")</f>
        <v>-0.0471155820160132</v>
      </c>
      <c r="G50" s="105" t="n">
        <f aca="false">IFERROR(IF(OR(NOT(ISNUMBER('Price History'!G51)),NOT(ISNUMBER('Price History'!G50)),'Price History'!G50=0),"",'Price History'!G51/'Price History'!G50-1),"")</f>
        <v>0.00292329279700665</v>
      </c>
      <c r="H50" s="105" t="n">
        <f aca="false">IFERROR(IF(OR(NOT(ISNUMBER('Price History'!H51)),NOT(ISNUMBER('Price History'!H50)),'Price History'!H50=0),"",'Price History'!H51/'Price History'!H50-1),"")</f>
        <v>0.0148176291793314</v>
      </c>
      <c r="I50" s="105" t="n">
        <f aca="false">IFERROR(IF(OR(NOT(ISNUMBER('Price History'!I51)),NOT(ISNUMBER('Price History'!I50)),'Price History'!I50=0),"",'Price History'!I51/'Price History'!I50-1),"")</f>
        <v>0.0271000556306129</v>
      </c>
      <c r="J50" s="105" t="n">
        <f aca="false">IFERROR(IF(OR(NOT(ISNUMBER('Price History'!J51)),NOT(ISNUMBER('Price History'!J50)),'Price History'!J50=0),"",'Price History'!J51/'Price History'!J50-1),"")</f>
        <v>0.0497116896732484</v>
      </c>
      <c r="K50" s="105" t="n">
        <f aca="false">IFERROR(IF(OR(NOT(ISNUMBER('Price History'!K51)),NOT(ISNUMBER('Price History'!K50)),'Price History'!K50=0),"",'Price History'!K51/'Price History'!K50-1),"")</f>
        <v>0.0308483290488433</v>
      </c>
      <c r="L50" s="105" t="n">
        <f aca="false">IFERROR(IF(OR(NOT(ISNUMBER('Price History'!L51)),NOT(ISNUMBER('Price History'!L50)),'Price History'!L50=0),"",'Price History'!L51/'Price History'!L50-1),"")</f>
        <v>0.0182618620577204</v>
      </c>
      <c r="M50" s="105" t="n">
        <f aca="false">IFERROR(IF(OR(NOT(ISNUMBER('Price History'!M51)),NOT(ISNUMBER('Price History'!M50)),'Price History'!M50=0),"",'Price History'!M51/'Price History'!M50-1),"")</f>
        <v>-0.0229897581172369</v>
      </c>
      <c r="N50" s="105" t="n">
        <f aca="false">IFERROR(IF(OR(NOT(ISNUMBER('Price History'!N51)),NOT(ISNUMBER('Price History'!N50)),'Price History'!N50=0),"",'Price History'!N51/'Price History'!N50-1),"")</f>
        <v>0.0298586088459027</v>
      </c>
      <c r="O50" s="105" t="n">
        <f aca="false">IFERROR(IF(OR(NOT(ISNUMBER('Price History'!O51)),NOT(ISNUMBER('Price History'!O50)),'Price History'!O50=0),"",'Price History'!O51/'Price History'!O50-1),"")</f>
        <v>0.0557570262919311</v>
      </c>
      <c r="P50" s="105" t="str">
        <f aca="false">IFERROR(IF(OR(NOT(ISNUMBER('Price History'!P51)),NOT(ISNUMBER('Price History'!P50)),'Price History'!P50=0),"",'Price History'!P51/'Price History'!P50-1),"")</f>
        <v/>
      </c>
      <c r="Q50" s="105" t="n">
        <f aca="false">IFERROR(IF(OR(NOT(ISNUMBER('Price History'!Q51)),NOT(ISNUMBER('Price History'!Q50)),'Price History'!Q50=0),"",'Price History'!Q51/'Price History'!Q50-1),"")</f>
        <v>0.00366727787964649</v>
      </c>
      <c r="R50" s="105" t="n">
        <f aca="false">IFERROR(IF(OR(NOT(ISNUMBER('Price History'!R51)),NOT(ISNUMBER('Price History'!R50)),'Price History'!R50=0),"",'Price History'!R51/'Price History'!R50-1),"")</f>
        <v>-0.000715819613457347</v>
      </c>
      <c r="S50" s="105" t="n">
        <f aca="false">IFERROR(IF(OR(NOT(ISNUMBER('Price History'!S51)),NOT(ISNUMBER('Price History'!S50)),'Price History'!S50=0),"",'Price History'!S51/'Price History'!S50-1),"")</f>
        <v>-0.00199622934457144</v>
      </c>
      <c r="T50" s="105" t="n">
        <f aca="false">IFERROR(IF(OR(NOT(ISNUMBER('Price History'!T51)),NOT(ISNUMBER('Price History'!T50)),'Price History'!T50=0),"",'Price History'!T51/'Price History'!T50-1),"")</f>
        <v>0.0382838283828384</v>
      </c>
      <c r="U50" s="105" t="str">
        <f aca="false">IFERROR(IF(OR(NOT(ISNUMBER('Price History'!U51)),NOT(ISNUMBER('Price History'!U50)),'Price History'!U50=0),"",'Price History'!U51/'Price History'!U50-1),"")</f>
        <v/>
      </c>
      <c r="V50" s="106" t="n">
        <f aca="false">IFERROR(IF(OR(NOT(ISNUMBER('Price History'!V51)),NOT(ISNUMBER('Price History'!V50)),'Price History'!V50=0),"",'Price History'!V51/'Price History'!V50-1),"")</f>
        <v>-0.0170798690794177</v>
      </c>
      <c r="W50" s="107" t="n">
        <f aca="false">'Price History'!B3+('Price History'!B158-'Price History'!B3)*0.305194805194805</f>
        <v>429.697532467533</v>
      </c>
      <c r="X50" s="107" t="n">
        <f aca="false">'Price History'!C3+('Price History'!C158-'Price History'!C3)*0.305194805194805</f>
        <v>85.4326623376623</v>
      </c>
      <c r="Y50" s="107" t="n">
        <f aca="false">'Price History'!D3+('Price History'!D158-'Price History'!D3)*0.305194805194805</f>
        <v>956.970519480519</v>
      </c>
      <c r="Z50" s="107" t="n">
        <f aca="false">'Price History'!E3+('Price History'!E158-'Price History'!E3)*0.305194805194805</f>
        <v>176.461168831169</v>
      </c>
      <c r="AA50" s="107" t="n">
        <f aca="false">'Price History'!F3+('Price History'!F158-'Price History'!F3)*0.305194805194805</f>
        <v>83.998961038961</v>
      </c>
      <c r="AB50" s="107" t="n">
        <f aca="false">'Price History'!G3+('Price History'!G158-'Price History'!G3)*0.305194805194805</f>
        <v>89.0768831168831</v>
      </c>
      <c r="AC50" s="107" t="n">
        <f aca="false">'Price History'!H3+('Price History'!H158-'Price History'!H3)*0.305194805194805</f>
        <v>295.909090909091</v>
      </c>
      <c r="AD50" s="107" t="n">
        <f aca="false">'Price History'!I3+('Price History'!I158-'Price History'!I3)*0.305194805194805</f>
        <v>89.6506493506493</v>
      </c>
      <c r="AE50" s="107" t="n">
        <f aca="false">'Price History'!J3+('Price History'!J158-'Price History'!J3)*0.305194805194805</f>
        <v>129.94961038961</v>
      </c>
      <c r="AF50" s="107" t="n">
        <f aca="false">'Price History'!K3+('Price History'!K158-'Price History'!K3)*0.305194805194805</f>
        <v>48.2642207792208</v>
      </c>
      <c r="AG50" s="107" t="n">
        <f aca="false">'Price History'!L3+('Price History'!L158-'Price History'!L3)*0.305194805194805</f>
        <v>187.29012987013</v>
      </c>
      <c r="AH50" s="107" t="n">
        <f aca="false">'Price History'!M3+('Price History'!M158-'Price History'!M3)*0.305194805194805</f>
        <v>97.0088311688311</v>
      </c>
      <c r="AI50" s="107" t="n">
        <f aca="false">'Price History'!N3+('Price History'!N158-'Price History'!N3)*0.305194805194805</f>
        <v>388.692987012987</v>
      </c>
      <c r="AJ50" s="107" t="n">
        <f aca="false">'Price History'!O3+('Price History'!O158-'Price History'!O3)*0.305194805194805</f>
        <v>95.7994155844156</v>
      </c>
      <c r="AK50" s="107" t="n">
        <f aca="false">'Price History'!Q3+('Price History'!Q151-'Price History'!Q3)*0.305194805194805</f>
        <v>55.5196753246753</v>
      </c>
      <c r="AL50" s="107" t="n">
        <f aca="false">'Price History'!R3+('Price History'!R158-'Price History'!R3)*0.305194805194805</f>
        <v>51.0031818181818</v>
      </c>
      <c r="AM50" s="107" t="n">
        <f aca="false">'Price History'!S3+('Price History'!S158-'Price History'!S3)*0.305194805194805</f>
        <v>84.5700649350649</v>
      </c>
      <c r="AN50" s="107" t="n">
        <f aca="false">'Price History'!T3+('Price History'!T158-'Price History'!T3)*0.305194805194805</f>
        <v>33.8775974025974</v>
      </c>
    </row>
    <row r="51" customFormat="false" ht="15" hidden="false" customHeight="true" outlineLevel="0" collapsed="false">
      <c r="A51" s="104" t="n">
        <f aca="false">IF('Price History'!A52="","",'Price History'!A52)</f>
        <v>45492</v>
      </c>
      <c r="B51" s="105" t="n">
        <f aca="false">IFERROR(IF(OR(NOT(ISNUMBER('Price History'!B52)),NOT(ISNUMBER('Price History'!B51)),'Price History'!B51=0),"",'Price History'!B52/'Price History'!B51-1),"")</f>
        <v>-0.0143994276003935</v>
      </c>
      <c r="C51" s="105" t="n">
        <f aca="false">IFERROR(IF(OR(NOT(ISNUMBER('Price History'!C52)),NOT(ISNUMBER('Price History'!C51)),'Price History'!C51=0),"",'Price History'!C52/'Price History'!C51-1),"")</f>
        <v>-0.0866489832007074</v>
      </c>
      <c r="D51" s="105" t="n">
        <f aca="false">IFERROR(IF(OR(NOT(ISNUMBER('Price History'!D52)),NOT(ISNUMBER('Price History'!D51)),'Price History'!D51=0),"",'Price History'!D52/'Price History'!D51-1),"")</f>
        <v>-0.174971896135488</v>
      </c>
      <c r="E51" s="105" t="n">
        <f aca="false">IFERROR(IF(OR(NOT(ISNUMBER('Price History'!E52)),NOT(ISNUMBER('Price History'!E51)),'Price History'!E51=0),"",'Price History'!E52/'Price History'!E51-1),"")</f>
        <v>-0.0747927324043041</v>
      </c>
      <c r="F51" s="105" t="n">
        <f aca="false">IFERROR(IF(OR(NOT(ISNUMBER('Price History'!F52)),NOT(ISNUMBER('Price History'!F51)),'Price History'!F51=0),"",'Price History'!F52/'Price History'!F51-1),"")</f>
        <v>-0.178713777873532</v>
      </c>
      <c r="G51" s="105" t="n">
        <f aca="false">IFERROR(IF(OR(NOT(ISNUMBER('Price History'!G52)),NOT(ISNUMBER('Price History'!G51)),'Price History'!G51=0),"",'Price History'!G52/'Price History'!G51-1),"")</f>
        <v>-0.110877929345925</v>
      </c>
      <c r="H51" s="105" t="n">
        <f aca="false">IFERROR(IF(OR(NOT(ISNUMBER('Price History'!H52)),NOT(ISNUMBER('Price History'!H51)),'Price History'!H51=0),"",'Price History'!H52/'Price History'!H51-1),"")</f>
        <v>-0.144440284537626</v>
      </c>
      <c r="I51" s="105" t="n">
        <f aca="false">IFERROR(IF(OR(NOT(ISNUMBER('Price History'!I52)),NOT(ISNUMBER('Price History'!I51)),'Price History'!I51=0),"",'Price History'!I52/'Price History'!I51-1),"")</f>
        <v>-0.0875116063138347</v>
      </c>
      <c r="J51" s="105" t="n">
        <f aca="false">IFERROR(IF(OR(NOT(ISNUMBER('Price History'!J52)),NOT(ISNUMBER('Price History'!J51)),'Price History'!J51=0),"",'Price History'!J52/'Price History'!J51-1),"")</f>
        <v>0.0299625468164793</v>
      </c>
      <c r="K51" s="105" t="n">
        <f aca="false">IFERROR(IF(OR(NOT(ISNUMBER('Price History'!K52)),NOT(ISNUMBER('Price History'!K51)),'Price History'!K51=0),"",'Price History'!K52/'Price History'!K51-1),"")</f>
        <v>0.0181688635553972</v>
      </c>
      <c r="L51" s="105" t="n">
        <f aca="false">IFERROR(IF(OR(NOT(ISNUMBER('Price History'!L52)),NOT(ISNUMBER('Price History'!L51)),'Price History'!L51=0),"",'Price History'!L52/'Price History'!L51-1),"")</f>
        <v>-0.115185481718708</v>
      </c>
      <c r="M51" s="105" t="n">
        <f aca="false">IFERROR(IF(OR(NOT(ISNUMBER('Price History'!M52)),NOT(ISNUMBER('Price History'!M51)),'Price History'!M51=0),"",'Price History'!M52/'Price History'!M51-1),"")</f>
        <v>-0.0486227277796364</v>
      </c>
      <c r="N51" s="105" t="n">
        <f aca="false">IFERROR(IF(OR(NOT(ISNUMBER('Price History'!N52)),NOT(ISNUMBER('Price History'!N51)),'Price History'!N51=0),"",'Price History'!N52/'Price History'!N51-1),"")</f>
        <v>0.00579039980357643</v>
      </c>
      <c r="O51" s="105" t="n">
        <f aca="false">IFERROR(IF(OR(NOT(ISNUMBER('Price History'!O52)),NOT(ISNUMBER('Price History'!O51)),'Price History'!O51=0),"",'Price History'!O52/'Price History'!O51-1),"")</f>
        <v>0.0264061829111208</v>
      </c>
      <c r="P51" s="105" t="str">
        <f aca="false">IFERROR(IF(OR(NOT(ISNUMBER('Price History'!P52)),NOT(ISNUMBER('Price History'!P51)),'Price History'!P51=0),"",'Price History'!P52/'Price History'!P51-1),"")</f>
        <v/>
      </c>
      <c r="Q51" s="105" t="n">
        <f aca="false">IFERROR(IF(OR(NOT(ISNUMBER('Price History'!Q52)),NOT(ISNUMBER('Price History'!Q51)),'Price History'!Q51=0),"",'Price History'!Q52/'Price History'!Q51-1),"")</f>
        <v>-0.0270719149642917</v>
      </c>
      <c r="R51" s="105" t="n">
        <f aca="false">IFERROR(IF(OR(NOT(ISNUMBER('Price History'!R52)),NOT(ISNUMBER('Price History'!R51)),'Price History'!R51=0),"",'Price History'!R52/'Price History'!R51-1),"")</f>
        <v>-0.0295487106017193</v>
      </c>
      <c r="S51" s="105" t="n">
        <f aca="false">IFERROR(IF(OR(NOT(ISNUMBER('Price History'!S52)),NOT(ISNUMBER('Price History'!S51)),'Price History'!S51=0),"",'Price History'!S52/'Price History'!S51-1),"")</f>
        <v>-0.0404489387709746</v>
      </c>
      <c r="T51" s="105" t="n">
        <f aca="false">IFERROR(IF(OR(NOT(ISNUMBER('Price History'!T52)),NOT(ISNUMBER('Price History'!T51)),'Price History'!T51=0),"",'Price History'!T52/'Price History'!T51-1),"")</f>
        <v>0.0152574698029244</v>
      </c>
      <c r="U51" s="105" t="str">
        <f aca="false">IFERROR(IF(OR(NOT(ISNUMBER('Price History'!U52)),NOT(ISNUMBER('Price History'!U51)),'Price History'!U51=0),"",'Price History'!U52/'Price History'!U51-1),"")</f>
        <v/>
      </c>
      <c r="V51" s="106" t="n">
        <f aca="false">IFERROR(IF(OR(NOT(ISNUMBER('Price History'!V52)),NOT(ISNUMBER('Price History'!V51)),'Price History'!V51=0),"",'Price History'!V52/'Price History'!V51-1),"")</f>
        <v>-0.00107168829180526</v>
      </c>
      <c r="W51" s="107" t="n">
        <f aca="false">'Price History'!B3+('Price History'!B158-'Price History'!B3)*0.311688311688312</f>
        <v>428.021948051948</v>
      </c>
      <c r="X51" s="107" t="n">
        <f aca="false">'Price History'!C3+('Price History'!C158-'Price History'!C3)*0.311688311688312</f>
        <v>86.3197402597403</v>
      </c>
      <c r="Y51" s="107" t="n">
        <f aca="false">'Price History'!D3+('Price History'!D158-'Price History'!D3)*0.311688311688312</f>
        <v>963.251168831169</v>
      </c>
      <c r="Z51" s="107" t="n">
        <f aca="false">'Price History'!E3+('Price History'!E158-'Price History'!E3)*0.311688311688312</f>
        <v>178.45012987013</v>
      </c>
      <c r="AA51" s="107" t="n">
        <f aca="false">'Price History'!F3+('Price History'!F158-'Price History'!F3)*0.311688311688312</f>
        <v>84.9976623376624</v>
      </c>
      <c r="AB51" s="107" t="n">
        <f aca="false">'Price History'!G3+('Price History'!G158-'Price History'!G3)*0.311688311688312</f>
        <v>89.9529870129871</v>
      </c>
      <c r="AC51" s="107" t="n">
        <f aca="false">'Price History'!H3+('Price History'!H158-'Price History'!H3)*0.311688311688312</f>
        <v>300.835454545455</v>
      </c>
      <c r="AD51" s="107" t="n">
        <f aca="false">'Price History'!I3+('Price History'!I158-'Price History'!I3)*0.311688311688312</f>
        <v>90.6889610389611</v>
      </c>
      <c r="AE51" s="107" t="n">
        <f aca="false">'Price History'!J3+('Price History'!J158-'Price History'!J3)*0.311688311688312</f>
        <v>130.086623376623</v>
      </c>
      <c r="AF51" s="107" t="n">
        <f aca="false">'Price History'!K3+('Price History'!K158-'Price History'!K3)*0.311688311688312</f>
        <v>48.9632467532468</v>
      </c>
      <c r="AG51" s="107" t="n">
        <f aca="false">'Price History'!L3+('Price History'!L158-'Price History'!L3)*0.311688311688312</f>
        <v>189.317792207792</v>
      </c>
      <c r="AH51" s="107" t="n">
        <f aca="false">'Price History'!M3+('Price History'!M158-'Price History'!M3)*0.311688311688312</f>
        <v>98.3598701298702</v>
      </c>
      <c r="AI51" s="107" t="n">
        <f aca="false">'Price History'!N3+('Price History'!N158-'Price History'!N3)*0.311688311688312</f>
        <v>389.519220779221</v>
      </c>
      <c r="AJ51" s="107" t="n">
        <f aca="false">'Price History'!O3+('Price History'!O158-'Price History'!O3)*0.311688311688312</f>
        <v>96.0749350649351</v>
      </c>
      <c r="AK51" s="107" t="n">
        <f aca="false">'Price History'!Q3+('Price History'!Q151-'Price History'!Q3)*0.311688311688312</f>
        <v>55.6405194805195</v>
      </c>
      <c r="AL51" s="107" t="n">
        <f aca="false">'Price History'!R3+('Price History'!R158-'Price History'!R3)*0.311688311688312</f>
        <v>51.0709090909091</v>
      </c>
      <c r="AM51" s="107" t="n">
        <f aca="false">'Price History'!S3+('Price History'!S158-'Price History'!S3)*0.311688311688312</f>
        <v>85.1238961038961</v>
      </c>
      <c r="AN51" s="107" t="n">
        <f aca="false">'Price History'!T3+('Price History'!T158-'Price History'!T3)*0.311688311688312</f>
        <v>34.0258441558442</v>
      </c>
    </row>
    <row r="52" customFormat="false" ht="15" hidden="false" customHeight="true" outlineLevel="0" collapsed="false">
      <c r="A52" s="104" t="n">
        <f aca="false">IF('Price History'!A53="","",'Price History'!A53)</f>
        <v>45499</v>
      </c>
      <c r="B52" s="105" t="n">
        <f aca="false">IFERROR(IF(OR(NOT(ISNUMBER('Price History'!B53)),NOT(ISNUMBER('Price History'!B52)),'Price History'!B52=0),"",'Price History'!B53/'Price History'!B52-1),"")</f>
        <v>-0.0155353901996369</v>
      </c>
      <c r="C52" s="105" t="n">
        <f aca="false">IFERROR(IF(OR(NOT(ISNUMBER('Price History'!C53)),NOT(ISNUMBER('Price History'!C52)),'Price History'!C52=0),"",'Price History'!C53/'Price History'!C52-1),"")</f>
        <v>-0.0343659244917716</v>
      </c>
      <c r="D52" s="105" t="n">
        <f aca="false">IFERROR(IF(OR(NOT(ISNUMBER('Price History'!D53)),NOT(ISNUMBER('Price History'!D52)),'Price History'!D52=0),"",'Price History'!D53/'Price History'!D52-1),"")</f>
        <v>-0.00779565989479214</v>
      </c>
      <c r="E52" s="105" t="n">
        <f aca="false">IFERROR(IF(OR(NOT(ISNUMBER('Price History'!E53)),NOT(ISNUMBER('Price History'!E52)),'Price History'!E52=0),"",'Price History'!E53/'Price History'!E52-1),"")</f>
        <v>-0.0363520813473149</v>
      </c>
      <c r="F52" s="105" t="n">
        <f aca="false">IFERROR(IF(OR(NOT(ISNUMBER('Price History'!F53)),NOT(ISNUMBER('Price History'!F52)),'Price History'!F52=0),"",'Price History'!F53/'Price History'!F52-1),"")</f>
        <v>-0.160020986358867</v>
      </c>
      <c r="G52" s="105" t="n">
        <f aca="false">IFERROR(IF(OR(NOT(ISNUMBER('Price History'!G53)),NOT(ISNUMBER('Price History'!G52)),'Price History'!G52=0),"",'Price History'!G53/'Price History'!G52-1),"")</f>
        <v>0.032520325203252</v>
      </c>
      <c r="H52" s="105" t="n">
        <f aca="false">IFERROR(IF(OR(NOT(ISNUMBER('Price History'!H53)),NOT(ISNUMBER('Price History'!H52)),'Price History'!H52=0),"",'Price History'!H53/'Price History'!H52-1),"")</f>
        <v>-0.042447050586382</v>
      </c>
      <c r="I52" s="105" t="n">
        <f aca="false">IFERROR(IF(OR(NOT(ISNUMBER('Price History'!I53)),NOT(ISNUMBER('Price History'!I52)),'Price History'!I52=0),"",'Price History'!I53/'Price History'!I52-1),"")</f>
        <v>-0.0412956838802679</v>
      </c>
      <c r="J52" s="105" t="n">
        <f aca="false">IFERROR(IF(OR(NOT(ISNUMBER('Price History'!J53)),NOT(ISNUMBER('Price History'!J52)),'Price History'!J52=0),"",'Price History'!J53/'Price History'!J52-1),"")</f>
        <v>-0.00864646464646457</v>
      </c>
      <c r="K52" s="105" t="n">
        <f aca="false">IFERROR(IF(OR(NOT(ISNUMBER('Price History'!K53)),NOT(ISNUMBER('Price History'!K52)),'Price History'!K52=0),"",'Price History'!K53/'Price History'!K52-1),"")</f>
        <v>-0.0489853044086773</v>
      </c>
      <c r="L52" s="105" t="n">
        <f aca="false">IFERROR(IF(OR(NOT(ISNUMBER('Price History'!L53)),NOT(ISNUMBER('Price History'!L52)),'Price History'!L52=0),"",'Price History'!L53/'Price History'!L52-1),"")</f>
        <v>-0.023104301140134</v>
      </c>
      <c r="M52" s="105" t="n">
        <f aca="false">IFERROR(IF(OR(NOT(ISNUMBER('Price History'!M53)),NOT(ISNUMBER('Price History'!M52)),'Price History'!M52=0),"",'Price History'!M53/'Price History'!M52-1),"")</f>
        <v>-0.0960028132692533</v>
      </c>
      <c r="N52" s="105" t="n">
        <f aca="false">IFERROR(IF(OR(NOT(ISNUMBER('Price History'!N53)),NOT(ISNUMBER('Price History'!N52)),'Price History'!N52=0),"",'Price History'!N53/'Price History'!N52-1),"")</f>
        <v>0.0075065606119169</v>
      </c>
      <c r="O52" s="105" t="n">
        <f aca="false">IFERROR(IF(OR(NOT(ISNUMBER('Price History'!O53)),NOT(ISNUMBER('Price History'!O52)),'Price History'!O52=0),"",'Price History'!O53/'Price History'!O52-1),"")</f>
        <v>0.0362894791884543</v>
      </c>
      <c r="P52" s="105" t="str">
        <f aca="false">IFERROR(IF(OR(NOT(ISNUMBER('Price History'!P53)),NOT(ISNUMBER('Price History'!P52)),'Price History'!P52=0),"",'Price History'!P53/'Price History'!P52-1),"")</f>
        <v/>
      </c>
      <c r="Q52" s="105" t="n">
        <f aca="false">IFERROR(IF(OR(NOT(ISNUMBER('Price History'!Q53)),NOT(ISNUMBER('Price History'!Q52)),'Price History'!Q52=0),"",'Price History'!Q53/'Price History'!Q52-1),"")</f>
        <v>0.0259474223284397</v>
      </c>
      <c r="R52" s="105" t="n">
        <f aca="false">IFERROR(IF(OR(NOT(ISNUMBER('Price History'!R53)),NOT(ISNUMBER('Price History'!R52)),'Price History'!R52=0),"",'Price History'!R53/'Price History'!R52-1),"")</f>
        <v>-0.0226979147444177</v>
      </c>
      <c r="S52" s="105" t="n">
        <f aca="false">IFERROR(IF(OR(NOT(ISNUMBER('Price History'!S53)),NOT(ISNUMBER('Price History'!S52)),'Price History'!S52=0),"",'Price History'!S53/'Price History'!S52-1),"")</f>
        <v>-0.0188766647365373</v>
      </c>
      <c r="T52" s="105" t="n">
        <f aca="false">IFERROR(IF(OR(NOT(ISNUMBER('Price History'!T53)),NOT(ISNUMBER('Price History'!T52)),'Price History'!T52=0),"",'Price History'!T53/'Price History'!T52-1),"")</f>
        <v>0.0178459611772073</v>
      </c>
      <c r="U52" s="105" t="str">
        <f aca="false">IFERROR(IF(OR(NOT(ISNUMBER('Price History'!U53)),NOT(ISNUMBER('Price History'!U52)),'Price History'!U52=0),"",'Price History'!U53/'Price History'!U52-1),"")</f>
        <v/>
      </c>
      <c r="V52" s="106" t="n">
        <f aca="false">IFERROR(IF(OR(NOT(ISNUMBER('Price History'!V53)),NOT(ISNUMBER('Price History'!V52)),'Price History'!V52=0),"",'Price History'!V53/'Price History'!V52-1),"")</f>
        <v>-0.0226062301237595</v>
      </c>
      <c r="W52" s="107" t="n">
        <f aca="false">'Price History'!B3+('Price History'!B158-'Price History'!B3)*0.318181818181818</f>
        <v>426.346363636364</v>
      </c>
      <c r="X52" s="107" t="n">
        <f aca="false">'Price History'!C3+('Price History'!C158-'Price History'!C3)*0.318181818181818</f>
        <v>87.2068181818182</v>
      </c>
      <c r="Y52" s="107" t="n">
        <f aca="false">'Price History'!D3+('Price History'!D158-'Price History'!D3)*0.318181818181818</f>
        <v>969.531818181818</v>
      </c>
      <c r="Z52" s="107" t="n">
        <f aca="false">'Price History'!E3+('Price History'!E158-'Price History'!E3)*0.318181818181818</f>
        <v>180.439090909091</v>
      </c>
      <c r="AA52" s="107" t="n">
        <f aca="false">'Price History'!F3+('Price History'!F158-'Price History'!F3)*0.318181818181818</f>
        <v>85.9963636363636</v>
      </c>
      <c r="AB52" s="107" t="n">
        <f aca="false">'Price History'!G3+('Price History'!G158-'Price History'!G3)*0.318181818181818</f>
        <v>90.8290909090909</v>
      </c>
      <c r="AC52" s="107" t="n">
        <f aca="false">'Price History'!H3+('Price History'!H158-'Price History'!H3)*0.318181818181818</f>
        <v>305.761818181818</v>
      </c>
      <c r="AD52" s="107" t="n">
        <f aca="false">'Price History'!I3+('Price History'!I158-'Price History'!I3)*0.318181818181818</f>
        <v>91.7272727272727</v>
      </c>
      <c r="AE52" s="107" t="n">
        <f aca="false">'Price History'!J3+('Price History'!J158-'Price History'!J3)*0.318181818181818</f>
        <v>130.223636363636</v>
      </c>
      <c r="AF52" s="107" t="n">
        <f aca="false">'Price History'!K3+('Price History'!K158-'Price History'!K3)*0.318181818181818</f>
        <v>49.6622727272727</v>
      </c>
      <c r="AG52" s="107" t="n">
        <f aca="false">'Price History'!L3+('Price History'!L158-'Price History'!L3)*0.318181818181818</f>
        <v>191.345454545455</v>
      </c>
      <c r="AH52" s="107" t="n">
        <f aca="false">'Price History'!M3+('Price History'!M158-'Price History'!M3)*0.318181818181818</f>
        <v>99.710909090909</v>
      </c>
      <c r="AI52" s="107" t="n">
        <f aca="false">'Price History'!N3+('Price History'!N158-'Price History'!N3)*0.318181818181818</f>
        <v>390.345454545455</v>
      </c>
      <c r="AJ52" s="107" t="n">
        <f aca="false">'Price History'!O3+('Price History'!O158-'Price History'!O3)*0.318181818181818</f>
        <v>96.3504545454545</v>
      </c>
      <c r="AK52" s="107" t="n">
        <f aca="false">'Price History'!Q3+('Price History'!Q151-'Price History'!Q3)*0.318181818181818</f>
        <v>55.7613636363636</v>
      </c>
      <c r="AL52" s="107" t="n">
        <f aca="false">'Price History'!R3+('Price History'!R158-'Price History'!R3)*0.318181818181818</f>
        <v>51.1386363636364</v>
      </c>
      <c r="AM52" s="107" t="n">
        <f aca="false">'Price History'!S3+('Price History'!S158-'Price History'!S3)*0.318181818181818</f>
        <v>85.6777272727273</v>
      </c>
      <c r="AN52" s="107" t="n">
        <f aca="false">'Price History'!T3+('Price History'!T158-'Price History'!T3)*0.318181818181818</f>
        <v>34.1740909090909</v>
      </c>
    </row>
    <row r="53" customFormat="false" ht="15" hidden="false" customHeight="true" outlineLevel="0" collapsed="false">
      <c r="A53" s="104" t="n">
        <f aca="false">IF('Price History'!A54="","",'Price History'!A54)</f>
        <v>45506</v>
      </c>
      <c r="B53" s="105" t="n">
        <f aca="false">IFERROR(IF(OR(NOT(ISNUMBER('Price History'!B54)),NOT(ISNUMBER('Price History'!B53)),'Price History'!B53=0),"",'Price History'!B54/'Price History'!B53-1),"")</f>
        <v>-0.0299941007300348</v>
      </c>
      <c r="C53" s="105" t="n">
        <f aca="false">IFERROR(IF(OR(NOT(ISNUMBER('Price History'!C54)),NOT(ISNUMBER('Price History'!C53)),'Price History'!C53=0),"",'Price History'!C54/'Price History'!C53-1),"")</f>
        <v>0.000375939849624141</v>
      </c>
      <c r="D53" s="105" t="n">
        <f aca="false">IFERROR(IF(OR(NOT(ISNUMBER('Price History'!D54)),NOT(ISNUMBER('Price History'!D53)),'Price History'!D53=0),"",'Price History'!D54/'Price History'!D53-1),"")</f>
        <v>-0.0889699343756684</v>
      </c>
      <c r="E53" s="105" t="n">
        <f aca="false">IFERROR(IF(OR(NOT(ISNUMBER('Price History'!E54)),NOT(ISNUMBER('Price History'!E53)),'Price History'!E53=0),"",'Price History'!E54/'Price History'!E53-1),"")</f>
        <v>-0.0515069577260436</v>
      </c>
      <c r="F53" s="105" t="n">
        <f aca="false">IFERROR(IF(OR(NOT(ISNUMBER('Price History'!F54)),NOT(ISNUMBER('Price History'!F53)),'Price History'!F53=0),"",'Price History'!F54/'Price History'!F53-1),"")</f>
        <v>-0.149437851342911</v>
      </c>
      <c r="G53" s="105" t="n">
        <f aca="false">IFERROR(IF(OR(NOT(ISNUMBER('Price History'!G54)),NOT(ISNUMBER('Price History'!G53)),'Price History'!G53=0),"",'Price History'!G54/'Price History'!G53-1),"")</f>
        <v>-0.115824231648463</v>
      </c>
      <c r="H53" s="105" t="n">
        <f aca="false">IFERROR(IF(OR(NOT(ISNUMBER('Price History'!H54)),NOT(ISNUMBER('Price History'!H53)),'Price History'!H53=0),"",'Price History'!H54/'Price History'!H53-1),"")</f>
        <v>-0.152728269810803</v>
      </c>
      <c r="I53" s="105" t="n">
        <f aca="false">IFERROR(IF(OR(NOT(ISNUMBER('Price History'!I54)),NOT(ISNUMBER('Price History'!I53)),'Price History'!I53=0),"",'Price History'!I54/'Price History'!I53-1),"")</f>
        <v>-0.0512117459755882</v>
      </c>
      <c r="J53" s="105" t="n">
        <f aca="false">IFERROR(IF(OR(NOT(ISNUMBER('Price History'!J54)),NOT(ISNUMBER('Price History'!J53)),'Price History'!J53=0),"",'Price History'!J54/'Price History'!J53-1),"")</f>
        <v>0.0105966742745354</v>
      </c>
      <c r="K53" s="105" t="n">
        <f aca="false">IFERROR(IF(OR(NOT(ISNUMBER('Price History'!K54)),NOT(ISNUMBER('Price History'!K53)),'Price History'!K53=0),"",'Price History'!K54/'Price History'!K53-1),"")</f>
        <v>-0.0897718910963945</v>
      </c>
      <c r="L53" s="105" t="n">
        <f aca="false">IFERROR(IF(OR(NOT(ISNUMBER('Price History'!L54)),NOT(ISNUMBER('Price History'!L53)),'Price History'!L53=0),"",'Price History'!L54/'Price History'!L53-1),"")</f>
        <v>-0.0745955292083487</v>
      </c>
      <c r="M53" s="105" t="n">
        <f aca="false">IFERROR(IF(OR(NOT(ISNUMBER('Price History'!M54)),NOT(ISNUMBER('Price History'!M53)),'Price History'!M53=0),"",'Price History'!M54/'Price History'!M53-1),"")</f>
        <v>-0.0993257261410789</v>
      </c>
      <c r="N53" s="105" t="n">
        <f aca="false">IFERROR(IF(OR(NOT(ISNUMBER('Price History'!N54)),NOT(ISNUMBER('Price History'!N53)),'Price History'!N53=0),"",'Price History'!N54/'Price History'!N53-1),"")</f>
        <v>-0.00161531316884067</v>
      </c>
      <c r="O53" s="105" t="n">
        <f aca="false">IFERROR(IF(OR(NOT(ISNUMBER('Price History'!O54)),NOT(ISNUMBER('Price History'!O53)),'Price History'!O53=0),"",'Price History'!O54/'Price History'!O53-1),"")</f>
        <v>-0.0714501967907962</v>
      </c>
      <c r="P53" s="105" t="str">
        <f aca="false">IFERROR(IF(OR(NOT(ISNUMBER('Price History'!P54)),NOT(ISNUMBER('Price History'!P53)),'Price History'!P53=0),"",'Price History'!P54/'Price History'!P53-1),"")</f>
        <v/>
      </c>
      <c r="Q53" s="105" t="n">
        <f aca="false">IFERROR(IF(OR(NOT(ISNUMBER('Price History'!Q54)),NOT(ISNUMBER('Price History'!Q53)),'Price History'!Q53=0),"",'Price History'!Q54/'Price History'!Q53-1),"")</f>
        <v>0.00831946755407653</v>
      </c>
      <c r="R53" s="105" t="n">
        <f aca="false">IFERROR(IF(OR(NOT(ISNUMBER('Price History'!R54)),NOT(ISNUMBER('Price History'!R53)),'Price History'!R53=0),"",'Price History'!R54/'Price History'!R53-1),"")</f>
        <v>-0.0343655589123867</v>
      </c>
      <c r="S53" s="105" t="n">
        <f aca="false">IFERROR(IF(OR(NOT(ISNUMBER('Price History'!S54)),NOT(ISNUMBER('Price History'!S53)),'Price History'!S53=0),"",'Price History'!S54/'Price History'!S53-1),"")</f>
        <v>-0.0297450424929178</v>
      </c>
      <c r="T53" s="105" t="n">
        <f aca="false">IFERROR(IF(OR(NOT(ISNUMBER('Price History'!T54)),NOT(ISNUMBER('Price History'!T53)),'Price History'!T53=0),"",'Price History'!T54/'Price History'!T53-1),"")</f>
        <v>-0.0286065825899723</v>
      </c>
      <c r="U53" s="105" t="str">
        <f aca="false">IFERROR(IF(OR(NOT(ISNUMBER('Price History'!U54)),NOT(ISNUMBER('Price History'!U53)),'Price History'!U53=0),"",'Price History'!U54/'Price History'!U53-1),"")</f>
        <v/>
      </c>
      <c r="V53" s="106" t="n">
        <f aca="false">IFERROR(IF(OR(NOT(ISNUMBER('Price History'!V54)),NOT(ISNUMBER('Price History'!V53)),'Price History'!V53=0),"",'Price History'!V54/'Price History'!V53-1),"")</f>
        <v>0.0274804970794622</v>
      </c>
      <c r="W53" s="107" t="n">
        <f aca="false">'Price History'!B3+('Price History'!B158-'Price History'!B3)*0.324675324675325</f>
        <v>424.670779220779</v>
      </c>
      <c r="X53" s="107" t="n">
        <f aca="false">'Price History'!C3+('Price History'!C158-'Price History'!C3)*0.324675324675325</f>
        <v>88.0938961038962</v>
      </c>
      <c r="Y53" s="107" t="n">
        <f aca="false">'Price History'!D3+('Price History'!D158-'Price History'!D3)*0.324675324675325</f>
        <v>975.812467532468</v>
      </c>
      <c r="Z53" s="107" t="n">
        <f aca="false">'Price History'!E3+('Price History'!E158-'Price History'!E3)*0.324675324675325</f>
        <v>182.428051948052</v>
      </c>
      <c r="AA53" s="107" t="n">
        <f aca="false">'Price History'!F3+('Price History'!F158-'Price History'!F3)*0.324675324675325</f>
        <v>86.995064935065</v>
      </c>
      <c r="AB53" s="107" t="n">
        <f aca="false">'Price History'!G3+('Price History'!G158-'Price History'!G3)*0.324675324675325</f>
        <v>91.7051948051949</v>
      </c>
      <c r="AC53" s="107" t="n">
        <f aca="false">'Price History'!H3+('Price History'!H158-'Price History'!H3)*0.324675324675325</f>
        <v>310.688181818182</v>
      </c>
      <c r="AD53" s="107" t="n">
        <f aca="false">'Price History'!I3+('Price History'!I158-'Price History'!I3)*0.324675324675325</f>
        <v>92.7655844155845</v>
      </c>
      <c r="AE53" s="107" t="n">
        <f aca="false">'Price History'!J3+('Price History'!J158-'Price History'!J3)*0.324675324675325</f>
        <v>130.360649350649</v>
      </c>
      <c r="AF53" s="107" t="n">
        <f aca="false">'Price History'!K3+('Price History'!K158-'Price History'!K3)*0.324675324675325</f>
        <v>50.3612987012987</v>
      </c>
      <c r="AG53" s="107" t="n">
        <f aca="false">'Price History'!L3+('Price History'!L158-'Price History'!L3)*0.324675324675325</f>
        <v>193.373116883117</v>
      </c>
      <c r="AH53" s="107" t="n">
        <f aca="false">'Price History'!M3+('Price History'!M158-'Price History'!M3)*0.324675324675325</f>
        <v>101.061948051948</v>
      </c>
      <c r="AI53" s="107" t="n">
        <f aca="false">'Price History'!N3+('Price History'!N158-'Price History'!N3)*0.324675324675325</f>
        <v>391.171688311688</v>
      </c>
      <c r="AJ53" s="107" t="n">
        <f aca="false">'Price History'!O3+('Price History'!O158-'Price History'!O3)*0.324675324675325</f>
        <v>96.625974025974</v>
      </c>
      <c r="AK53" s="107" t="n">
        <f aca="false">'Price History'!Q3+('Price History'!Q151-'Price History'!Q3)*0.324675324675325</f>
        <v>55.8822077922078</v>
      </c>
      <c r="AL53" s="107" t="n">
        <f aca="false">'Price History'!R3+('Price History'!R158-'Price History'!R3)*0.324675324675325</f>
        <v>51.2063636363636</v>
      </c>
      <c r="AM53" s="107" t="n">
        <f aca="false">'Price History'!S3+('Price History'!S158-'Price History'!S3)*0.324675324675325</f>
        <v>86.2315584415585</v>
      </c>
      <c r="AN53" s="107" t="n">
        <f aca="false">'Price History'!T3+('Price History'!T158-'Price History'!T3)*0.324675324675325</f>
        <v>34.3223376623377</v>
      </c>
    </row>
    <row r="54" customFormat="false" ht="15" hidden="false" customHeight="true" outlineLevel="0" collapsed="false">
      <c r="A54" s="104" t="n">
        <f aca="false">IF('Price History'!A55="","",'Price History'!A55)</f>
        <v>45513</v>
      </c>
      <c r="B54" s="105" t="n">
        <f aca="false">IFERROR(IF(OR(NOT(ISNUMBER('Price History'!B55)),NOT(ISNUMBER('Price History'!B54)),'Price History'!B54=0),"",'Price History'!B55/'Price History'!B54-1),"")</f>
        <v>0.0192523328962122</v>
      </c>
      <c r="C54" s="105" t="n">
        <f aca="false">IFERROR(IF(OR(NOT(ISNUMBER('Price History'!C55)),NOT(ISNUMBER('Price History'!C54)),'Price History'!C54=0),"",'Price History'!C55/'Price History'!C54-1),"")</f>
        <v>0.0516096705499187</v>
      </c>
      <c r="D54" s="105" t="n">
        <f aca="false">IFERROR(IF(OR(NOT(ISNUMBER('Price History'!D55)),NOT(ISNUMBER('Price History'!D54)),'Price History'!D54=0),"",'Price History'!D55/'Price History'!D54-1),"")</f>
        <v>0.0632606412553283</v>
      </c>
      <c r="E54" s="105" t="n">
        <f aca="false">IFERROR(IF(OR(NOT(ISNUMBER('Price History'!E55)),NOT(ISNUMBER('Price History'!E54)),'Price History'!E54=0),"",'Price History'!E55/'Price History'!E54-1),"")</f>
        <v>0.03087192323738</v>
      </c>
      <c r="F54" s="105" t="n">
        <f aca="false">IFERROR(IF(OR(NOT(ISNUMBER('Price History'!F55)),NOT(ISNUMBER('Price History'!F54)),'Price History'!F54=0),"",'Price History'!F55/'Price History'!F54-1),"")</f>
        <v>0.105746282357261</v>
      </c>
      <c r="G54" s="105" t="n">
        <f aca="false">IFERROR(IF(OR(NOT(ISNUMBER('Price History'!G55)),NOT(ISNUMBER('Price History'!G54)),'Price History'!G54=0),"",'Price History'!G55/'Price History'!G54-1),"")</f>
        <v>0.0726802642918702</v>
      </c>
      <c r="H54" s="105" t="n">
        <f aca="false">IFERROR(IF(OR(NOT(ISNUMBER('Price History'!H55)),NOT(ISNUMBER('Price History'!H54)),'Price History'!H54=0),"",'Price History'!H55/'Price History'!H54-1),"")</f>
        <v>0.00409924487594382</v>
      </c>
      <c r="I54" s="105" t="n">
        <f aca="false">IFERROR(IF(OR(NOT(ISNUMBER('Price History'!I55)),NOT(ISNUMBER('Price History'!I54)),'Price History'!I54=0),"",'Price History'!I55/'Price History'!I54-1),"")</f>
        <v>-0.023492122681085</v>
      </c>
      <c r="J54" s="105" t="n">
        <f aca="false">IFERROR(IF(OR(NOT(ISNUMBER('Price History'!J55)),NOT(ISNUMBER('Price History'!J54)),'Price History'!J54=0),"",'Price History'!J55/'Price History'!J54-1),"")</f>
        <v>-0.0167768994999193</v>
      </c>
      <c r="K54" s="105" t="n">
        <f aca="false">IFERROR(IF(OR(NOT(ISNUMBER('Price History'!K55)),NOT(ISNUMBER('Price History'!K54)),'Price History'!K54=0),"",'Price History'!K55/'Price History'!K54-1),"")</f>
        <v>0.21301535974131</v>
      </c>
      <c r="L54" s="105" t="n">
        <f aca="false">IFERROR(IF(OR(NOT(ISNUMBER('Price History'!L55)),NOT(ISNUMBER('Price History'!L54)),'Price History'!L54=0),"",'Price History'!L55/'Price History'!L54-1),"")</f>
        <v>0.115174162551715</v>
      </c>
      <c r="M54" s="105" t="n">
        <f aca="false">IFERROR(IF(OR(NOT(ISNUMBER('Price History'!M55)),NOT(ISNUMBER('Price History'!M54)),'Price History'!M54=0),"",'Price History'!M55/'Price History'!M54-1),"")</f>
        <v>0.0287935502447452</v>
      </c>
      <c r="N54" s="105" t="n">
        <f aca="false">IFERROR(IF(OR(NOT(ISNUMBER('Price History'!N55)),NOT(ISNUMBER('Price History'!N54)),'Price History'!N54=0),"",'Price History'!N55/'Price History'!N54-1),"")</f>
        <v>-0.0526028394612305</v>
      </c>
      <c r="O54" s="105" t="n">
        <f aca="false">IFERROR(IF(OR(NOT(ISNUMBER('Price History'!O55)),NOT(ISNUMBER('Price History'!O54)),'Price History'!O54=0),"",'Price History'!O55/'Price History'!O54-1),"")</f>
        <v>-0.0176067818715357</v>
      </c>
      <c r="P54" s="105" t="str">
        <f aca="false">IFERROR(IF(OR(NOT(ISNUMBER('Price History'!P55)),NOT(ISNUMBER('Price History'!P54)),'Price History'!P54=0),"",'Price History'!P55/'Price History'!P54-1),"")</f>
        <v/>
      </c>
      <c r="Q54" s="105" t="n">
        <f aca="false">IFERROR(IF(OR(NOT(ISNUMBER('Price History'!Q55)),NOT(ISNUMBER('Price History'!Q54)),'Price History'!Q54=0),"",'Price History'!Q55/'Price History'!Q54-1),"")</f>
        <v>0.00561056105610547</v>
      </c>
      <c r="R54" s="105" t="n">
        <f aca="false">IFERROR(IF(OR(NOT(ISNUMBER('Price History'!R55)),NOT(ISNUMBER('Price History'!R54)),'Price History'!R54=0),"",'Price History'!R55/'Price History'!R54-1),"")</f>
        <v>0.00293312475557284</v>
      </c>
      <c r="S54" s="105" t="n">
        <f aca="false">IFERROR(IF(OR(NOT(ISNUMBER('Price History'!S55)),NOT(ISNUMBER('Price History'!S54)),'Price History'!S54=0),"",'Price History'!S55/'Price History'!S54-1),"")</f>
        <v>0.0172749391727494</v>
      </c>
      <c r="T54" s="105" t="n">
        <f aca="false">IFERROR(IF(OR(NOT(ISNUMBER('Price History'!T55)),NOT(ISNUMBER('Price History'!T54)),'Price History'!T54=0),"",'Price History'!T55/'Price History'!T54-1),"")</f>
        <v>-0.00158328055731471</v>
      </c>
      <c r="U54" s="105" t="str">
        <f aca="false">IFERROR(IF(OR(NOT(ISNUMBER('Price History'!U55)),NOT(ISNUMBER('Price History'!U54)),'Price History'!U54=0),"",'Price History'!U55/'Price History'!U54-1),"")</f>
        <v/>
      </c>
      <c r="V54" s="106" t="n">
        <f aca="false">IFERROR(IF(OR(NOT(ISNUMBER('Price History'!V55)),NOT(ISNUMBER('Price History'!V54)),'Price History'!V54=0),"",'Price History'!V55/'Price History'!V54-1),"")</f>
        <v>-0.0236550934757727</v>
      </c>
      <c r="W54" s="107" t="n">
        <f aca="false">'Price History'!B3+('Price History'!B158-'Price History'!B3)*0.331168831168831</f>
        <v>422.995194805195</v>
      </c>
      <c r="X54" s="107" t="n">
        <f aca="false">'Price History'!C3+('Price History'!C158-'Price History'!C3)*0.331168831168831</f>
        <v>88.980974025974</v>
      </c>
      <c r="Y54" s="107" t="n">
        <f aca="false">'Price History'!D3+('Price History'!D158-'Price History'!D3)*0.331168831168831</f>
        <v>982.093116883117</v>
      </c>
      <c r="Z54" s="107" t="n">
        <f aca="false">'Price History'!E3+('Price History'!E158-'Price History'!E3)*0.331168831168831</f>
        <v>184.417012987013</v>
      </c>
      <c r="AA54" s="107" t="n">
        <f aca="false">'Price History'!F3+('Price History'!F158-'Price History'!F3)*0.331168831168831</f>
        <v>87.9937662337662</v>
      </c>
      <c r="AB54" s="107" t="n">
        <f aca="false">'Price History'!G3+('Price History'!G158-'Price History'!G3)*0.331168831168831</f>
        <v>92.5812987012987</v>
      </c>
      <c r="AC54" s="107" t="n">
        <f aca="false">'Price History'!H3+('Price History'!H158-'Price History'!H3)*0.331168831168831</f>
        <v>315.614545454545</v>
      </c>
      <c r="AD54" s="107" t="n">
        <f aca="false">'Price History'!I3+('Price History'!I158-'Price History'!I3)*0.331168831168831</f>
        <v>93.8038961038961</v>
      </c>
      <c r="AE54" s="107" t="n">
        <f aca="false">'Price History'!J3+('Price History'!J158-'Price History'!J3)*0.331168831168831</f>
        <v>130.497662337662</v>
      </c>
      <c r="AF54" s="107" t="n">
        <f aca="false">'Price History'!K3+('Price History'!K158-'Price History'!K3)*0.331168831168831</f>
        <v>51.0603246753247</v>
      </c>
      <c r="AG54" s="107" t="n">
        <f aca="false">'Price History'!L3+('Price History'!L158-'Price History'!L3)*0.331168831168831</f>
        <v>195.400779220779</v>
      </c>
      <c r="AH54" s="107" t="n">
        <f aca="false">'Price History'!M3+('Price History'!M158-'Price History'!M3)*0.331168831168831</f>
        <v>102.412987012987</v>
      </c>
      <c r="AI54" s="107" t="n">
        <f aca="false">'Price History'!N3+('Price History'!N158-'Price History'!N3)*0.331168831168831</f>
        <v>391.997922077922</v>
      </c>
      <c r="AJ54" s="107" t="n">
        <f aca="false">'Price History'!O3+('Price History'!O158-'Price History'!O3)*0.331168831168831</f>
        <v>96.9014935064935</v>
      </c>
      <c r="AK54" s="107" t="n">
        <f aca="false">'Price History'!Q3+('Price History'!Q151-'Price History'!Q3)*0.331168831168831</f>
        <v>56.003051948052</v>
      </c>
      <c r="AL54" s="107" t="n">
        <f aca="false">'Price History'!R3+('Price History'!R158-'Price History'!R3)*0.331168831168831</f>
        <v>51.2740909090909</v>
      </c>
      <c r="AM54" s="107" t="n">
        <f aca="false">'Price History'!S3+('Price History'!S158-'Price History'!S3)*0.331168831168831</f>
        <v>86.7853896103896</v>
      </c>
      <c r="AN54" s="107" t="n">
        <f aca="false">'Price History'!T3+('Price History'!T158-'Price History'!T3)*0.331168831168831</f>
        <v>34.4705844155844</v>
      </c>
    </row>
    <row r="55" customFormat="false" ht="15" hidden="false" customHeight="true" outlineLevel="0" collapsed="false">
      <c r="A55" s="104" t="n">
        <f aca="false">IF('Price History'!A56="","",'Price History'!A56)</f>
        <v>45520</v>
      </c>
      <c r="B55" s="105" t="n">
        <f aca="false">IFERROR(IF(OR(NOT(ISNUMBER('Price History'!B56)),NOT(ISNUMBER('Price History'!B55)),'Price History'!B55=0),"",'Price History'!B56/'Price History'!B55-1),"")</f>
        <v>0.0319970165951895</v>
      </c>
      <c r="C55" s="105" t="n">
        <f aca="false">IFERROR(IF(OR(NOT(ISNUMBER('Price History'!C56)),NOT(ISNUMBER('Price History'!C55)),'Price History'!C55=0),"",'Price History'!C56/'Price History'!C55-1),"")</f>
        <v>0.0538415723645027</v>
      </c>
      <c r="D55" s="105" t="n">
        <f aca="false">IFERROR(IF(OR(NOT(ISNUMBER('Price History'!D56)),NOT(ISNUMBER('Price History'!D55)),'Price History'!D55=0),"",'Price History'!D56/'Price History'!D55-1),"")</f>
        <v>0.0675265818371971</v>
      </c>
      <c r="E55" s="105" t="n">
        <f aca="false">IFERROR(IF(OR(NOT(ISNUMBER('Price History'!E56)),NOT(ISNUMBER('Price History'!E55)),'Price History'!E55=0),"",'Price History'!E56/'Price History'!E55-1),"")</f>
        <v>0.117766086604614</v>
      </c>
      <c r="F55" s="105" t="n">
        <f aca="false">IFERROR(IF(OR(NOT(ISNUMBER('Price History'!F56)),NOT(ISNUMBER('Price History'!F55)),'Price History'!F55=0),"",'Price History'!F56/'Price History'!F55-1),"")</f>
        <v>0.0898223476672755</v>
      </c>
      <c r="G55" s="105" t="n">
        <f aca="false">IFERROR(IF(OR(NOT(ISNUMBER('Price History'!G56)),NOT(ISNUMBER('Price History'!G55)),'Price History'!G55=0),"",'Price History'!G56/'Price History'!G55-1),"")</f>
        <v>0.0974825923942151</v>
      </c>
      <c r="H55" s="105" t="n">
        <f aca="false">IFERROR(IF(OR(NOT(ISNUMBER('Price History'!H56)),NOT(ISNUMBER('Price History'!H55)),'Price History'!H55=0),"",'Price History'!H56/'Price History'!H55-1),"")</f>
        <v>0.160184787279759</v>
      </c>
      <c r="I55" s="105" t="n">
        <f aca="false">IFERROR(IF(OR(NOT(ISNUMBER('Price History'!I56)),NOT(ISNUMBER('Price History'!I55)),'Price History'!I55=0),"",'Price History'!I56/'Price History'!I55-1),"")</f>
        <v>0.189307875894988</v>
      </c>
      <c r="J55" s="105" t="n">
        <f aca="false">IFERROR(IF(OR(NOT(ISNUMBER('Price History'!J56)),NOT(ISNUMBER('Price History'!J55)),'Price History'!J55=0),"",'Price History'!J56/'Price History'!J55-1),"")</f>
        <v>0.00779327317473322</v>
      </c>
      <c r="K55" s="105" t="n">
        <f aca="false">IFERROR(IF(OR(NOT(ISNUMBER('Price History'!K56)),NOT(ISNUMBER('Price History'!K55)),'Price History'!K55=0),"",'Price History'!K56/'Price History'!K55-1),"")</f>
        <v>0.0689770076641119</v>
      </c>
      <c r="L55" s="105" t="n">
        <f aca="false">IFERROR(IF(OR(NOT(ISNUMBER('Price History'!L56)),NOT(ISNUMBER('Price History'!L55)),'Price History'!L55=0),"",'Price History'!L56/'Price History'!L55-1),"")</f>
        <v>0.0443992340832933</v>
      </c>
      <c r="M55" s="105" t="n">
        <f aca="false">IFERROR(IF(OR(NOT(ISNUMBER('Price History'!M56)),NOT(ISNUMBER('Price History'!M55)),'Price History'!M55=0),"",'Price History'!M56/'Price History'!M55-1),"")</f>
        <v>0.111390987965295</v>
      </c>
      <c r="N55" s="105" t="n">
        <f aca="false">IFERROR(IF(OR(NOT(ISNUMBER('Price History'!N56)),NOT(ISNUMBER('Price History'!N55)),'Price History'!N55=0),"",'Price History'!N56/'Price History'!N55-1),"")</f>
        <v>0.0190415199060732</v>
      </c>
      <c r="O55" s="105" t="n">
        <f aca="false">IFERROR(IF(OR(NOT(ISNUMBER('Price History'!O56)),NOT(ISNUMBER('Price History'!O55)),'Price History'!O55=0),"",'Price History'!O56/'Price History'!O55-1),"")</f>
        <v>0.0285429804181878</v>
      </c>
      <c r="P55" s="105" t="str">
        <f aca="false">IFERROR(IF(OR(NOT(ISNUMBER('Price History'!P56)),NOT(ISNUMBER('Price History'!P55)),'Price History'!P55=0),"",'Price History'!P56/'Price History'!P55-1),"")</f>
        <v/>
      </c>
      <c r="Q55" s="105" t="n">
        <f aca="false">IFERROR(IF(OR(NOT(ISNUMBER('Price History'!Q56)),NOT(ISNUMBER('Price History'!Q55)),'Price History'!Q55=0),"",'Price History'!Q56/'Price History'!Q55-1),"")</f>
        <v>0.0013127666557271</v>
      </c>
      <c r="R55" s="105" t="n">
        <f aca="false">IFERROR(IF(OR(NOT(ISNUMBER('Price History'!R56)),NOT(ISNUMBER('Price History'!R55)),'Price History'!R55=0),"",'Price History'!R56/'Price History'!R55-1),"")</f>
        <v>0.0421134724117762</v>
      </c>
      <c r="S55" s="105" t="n">
        <f aca="false">IFERROR(IF(OR(NOT(ISNUMBER('Price History'!S56)),NOT(ISNUMBER('Price History'!S55)),'Price History'!S55=0),"",'Price History'!S56/'Price History'!S55-1),"")</f>
        <v>0.0570437694331498</v>
      </c>
      <c r="T55" s="105" t="n">
        <f aca="false">IFERROR(IF(OR(NOT(ISNUMBER('Price History'!T56)),NOT(ISNUMBER('Price History'!T55)),'Price History'!T55=0),"",'Price History'!T56/'Price History'!T55-1),"")</f>
        <v>0.0161750713606088</v>
      </c>
      <c r="U55" s="105" t="str">
        <f aca="false">IFERROR(IF(OR(NOT(ISNUMBER('Price History'!U56)),NOT(ISNUMBER('Price History'!U55)),'Price History'!U55=0),"",'Price History'!U56/'Price History'!U55-1),"")</f>
        <v/>
      </c>
      <c r="V55" s="106" t="n">
        <f aca="false">IFERROR(IF(OR(NOT(ISNUMBER('Price History'!V56)),NOT(ISNUMBER('Price History'!V55)),'Price History'!V55=0),"",'Price History'!V56/'Price History'!V55-1),"")</f>
        <v>0.0293474013286441</v>
      </c>
      <c r="W55" s="107" t="n">
        <f aca="false">'Price History'!B3+('Price History'!B158-'Price History'!B3)*0.337662337662338</f>
        <v>421.31961038961</v>
      </c>
      <c r="X55" s="107" t="n">
        <f aca="false">'Price History'!C3+('Price History'!C158-'Price History'!C3)*0.337662337662338</f>
        <v>89.868051948052</v>
      </c>
      <c r="Y55" s="107" t="n">
        <f aca="false">'Price History'!D3+('Price History'!D158-'Price History'!D3)*0.337662337662338</f>
        <v>988.373766233767</v>
      </c>
      <c r="Z55" s="107" t="n">
        <f aca="false">'Price History'!E3+('Price History'!E158-'Price History'!E3)*0.337662337662338</f>
        <v>186.405974025974</v>
      </c>
      <c r="AA55" s="107" t="n">
        <f aca="false">'Price History'!F3+('Price History'!F158-'Price History'!F3)*0.337662337662338</f>
        <v>88.9924675324676</v>
      </c>
      <c r="AB55" s="107" t="n">
        <f aca="false">'Price History'!G3+('Price History'!G158-'Price History'!G3)*0.337662337662338</f>
        <v>93.4574025974026</v>
      </c>
      <c r="AC55" s="107" t="n">
        <f aca="false">'Price History'!H3+('Price History'!H158-'Price History'!H3)*0.337662337662338</f>
        <v>320.540909090909</v>
      </c>
      <c r="AD55" s="107" t="n">
        <f aca="false">'Price History'!I3+('Price History'!I158-'Price History'!I3)*0.337662337662338</f>
        <v>94.8422077922079</v>
      </c>
      <c r="AE55" s="107" t="n">
        <f aca="false">'Price History'!J3+('Price History'!J158-'Price History'!J3)*0.337662337662338</f>
        <v>130.634675324675</v>
      </c>
      <c r="AF55" s="107" t="n">
        <f aca="false">'Price History'!K3+('Price History'!K158-'Price History'!K3)*0.337662337662338</f>
        <v>51.7593506493507</v>
      </c>
      <c r="AG55" s="107" t="n">
        <f aca="false">'Price History'!L3+('Price History'!L158-'Price History'!L3)*0.337662337662338</f>
        <v>197.428441558442</v>
      </c>
      <c r="AH55" s="107" t="n">
        <f aca="false">'Price History'!M3+('Price History'!M158-'Price History'!M3)*0.337662337662338</f>
        <v>103.764025974026</v>
      </c>
      <c r="AI55" s="107" t="n">
        <f aca="false">'Price History'!N3+('Price History'!N158-'Price History'!N3)*0.337662337662338</f>
        <v>392.824155844156</v>
      </c>
      <c r="AJ55" s="107" t="n">
        <f aca="false">'Price History'!O3+('Price History'!O158-'Price History'!O3)*0.337662337662338</f>
        <v>97.177012987013</v>
      </c>
      <c r="AK55" s="107" t="n">
        <f aca="false">'Price History'!Q3+('Price History'!Q151-'Price History'!Q3)*0.337662337662338</f>
        <v>56.1238961038961</v>
      </c>
      <c r="AL55" s="107" t="n">
        <f aca="false">'Price History'!R3+('Price History'!R158-'Price History'!R3)*0.337662337662338</f>
        <v>51.3418181818182</v>
      </c>
      <c r="AM55" s="107" t="n">
        <f aca="false">'Price History'!S3+('Price History'!S158-'Price History'!S3)*0.337662337662338</f>
        <v>87.3392207792208</v>
      </c>
      <c r="AN55" s="107" t="n">
        <f aca="false">'Price History'!T3+('Price History'!T158-'Price History'!T3)*0.337662337662338</f>
        <v>34.6188311688312</v>
      </c>
    </row>
    <row r="56" customFormat="false" ht="15" hidden="false" customHeight="true" outlineLevel="0" collapsed="false">
      <c r="A56" s="104" t="n">
        <f aca="false">IF('Price History'!A57="","",'Price History'!A57)</f>
        <v>45527</v>
      </c>
      <c r="B56" s="105" t="n">
        <f aca="false">IFERROR(IF(OR(NOT(ISNUMBER('Price History'!B57)),NOT(ISNUMBER('Price History'!B56)),'Price History'!B56=0),"",'Price History'!B57/'Price History'!B56-1),"")</f>
        <v>0.00874498608752194</v>
      </c>
      <c r="C56" s="105" t="n">
        <f aca="false">IFERROR(IF(OR(NOT(ISNUMBER('Price History'!C57)),NOT(ISNUMBER('Price History'!C56)),'Price History'!C56=0),"",'Price History'!C57/'Price History'!C56-1),"")</f>
        <v>0.00350401265965861</v>
      </c>
      <c r="D56" s="105" t="n">
        <f aca="false">IFERROR(IF(OR(NOT(ISNUMBER('Price History'!D57)),NOT(ISNUMBER('Price History'!D56)),'Price History'!D56=0),"",'Price History'!D57/'Price History'!D56-1),"")</f>
        <v>-0.0124093788779309</v>
      </c>
      <c r="E56" s="105" t="n">
        <f aca="false">IFERROR(IF(OR(NOT(ISNUMBER('Price History'!E57)),NOT(ISNUMBER('Price History'!E56)),'Price History'!E56=0),"",'Price History'!E57/'Price History'!E56-1),"")</f>
        <v>0.00386193579531757</v>
      </c>
      <c r="F56" s="105" t="n">
        <f aca="false">IFERROR(IF(OR(NOT(ISNUMBER('Price History'!F57)),NOT(ISNUMBER('Price History'!F56)),'Price History'!F56=0),"",'Price History'!F57/'Price History'!F56-1),"")</f>
        <v>0.0342778793418648</v>
      </c>
      <c r="G56" s="105" t="n">
        <f aca="false">IFERROR(IF(OR(NOT(ISNUMBER('Price History'!G57)),NOT(ISNUMBER('Price History'!G56)),'Price History'!G56=0),"",'Price History'!G57/'Price History'!G56-1),"")</f>
        <v>-0.0021961932650072</v>
      </c>
      <c r="H56" s="105" t="n">
        <f aca="false">IFERROR(IF(OR(NOT(ISNUMBER('Price History'!H57)),NOT(ISNUMBER('Price History'!H56)),'Price History'!H56=0),"",'Price History'!H57/'Price History'!H56-1),"")</f>
        <v>-0.0475969997221966</v>
      </c>
      <c r="I56" s="105" t="n">
        <f aca="false">IFERROR(IF(OR(NOT(ISNUMBER('Price History'!I57)),NOT(ISNUMBER('Price History'!I56)),'Price History'!I56=0),"",'Price History'!I57/'Price History'!I56-1),"")</f>
        <v>0.0384491892759673</v>
      </c>
      <c r="J56" s="105" t="n">
        <f aca="false">IFERROR(IF(OR(NOT(ISNUMBER('Price History'!J57)),NOT(ISNUMBER('Price History'!J56)),'Price History'!J56=0),"",'Price History'!J57/'Price History'!J56-1),"")</f>
        <v>0.0489214489214491</v>
      </c>
      <c r="K56" s="105" t="n">
        <f aca="false">IFERROR(IF(OR(NOT(ISNUMBER('Price History'!K57)),NOT(ISNUMBER('Price History'!K56)),'Price History'!K56=0),"",'Price History'!K57/'Price History'!K56-1),"")</f>
        <v>-0.00935162094763087</v>
      </c>
      <c r="L56" s="105" t="n">
        <f aca="false">IFERROR(IF(OR(NOT(ISNUMBER('Price History'!L57)),NOT(ISNUMBER('Price History'!L56)),'Price History'!L56=0),"",'Price History'!L57/'Price History'!L56-1),"")</f>
        <v>-0.0186776670104274</v>
      </c>
      <c r="M56" s="105" t="n">
        <f aca="false">IFERROR(IF(OR(NOT(ISNUMBER('Price History'!M57)),NOT(ISNUMBER('Price History'!M56)),'Price History'!M56=0),"",'Price History'!M57/'Price History'!M56-1),"")</f>
        <v>-0.0109544195416772</v>
      </c>
      <c r="N56" s="105" t="n">
        <f aca="false">IFERROR(IF(OR(NOT(ISNUMBER('Price History'!N57)),NOT(ISNUMBER('Price History'!N56)),'Price History'!N56=0),"",'Price History'!N57/'Price History'!N56-1),"")</f>
        <v>0.00810691916123751</v>
      </c>
      <c r="O56" s="105" t="n">
        <f aca="false">IFERROR(IF(OR(NOT(ISNUMBER('Price History'!O57)),NOT(ISNUMBER('Price History'!O56)),'Price History'!O56=0),"",'Price History'!O57/'Price History'!O56-1),"")</f>
        <v>0.0310852963321502</v>
      </c>
      <c r="P56" s="105" t="str">
        <f aca="false">IFERROR(IF(OR(NOT(ISNUMBER('Price History'!P57)),NOT(ISNUMBER('Price History'!P56)),'Price History'!P56=0),"",'Price History'!P57/'Price History'!P56-1),"")</f>
        <v/>
      </c>
      <c r="Q56" s="105" t="n">
        <f aca="false">IFERROR(IF(OR(NOT(ISNUMBER('Price History'!Q57)),NOT(ISNUMBER('Price History'!Q56)),'Price History'!Q56=0),"",'Price History'!Q57/'Price History'!Q56-1),"")</f>
        <v>0.00803015404785312</v>
      </c>
      <c r="R56" s="105" t="n">
        <f aca="false">IFERROR(IF(OR(NOT(ISNUMBER('Price History'!R57)),NOT(ISNUMBER('Price History'!R56)),'Price History'!R56=0),"",'Price History'!R57/'Price History'!R56-1),"")</f>
        <v>0.00841908325537877</v>
      </c>
      <c r="S56" s="105" t="n">
        <f aca="false">IFERROR(IF(OR(NOT(ISNUMBER('Price History'!S57)),NOT(ISNUMBER('Price History'!S56)),'Price History'!S56=0),"",'Price History'!S57/'Price History'!S56-1),"")</f>
        <v>0.0138024663423464</v>
      </c>
      <c r="T56" s="105" t="n">
        <f aca="false">IFERROR(IF(OR(NOT(ISNUMBER('Price History'!T57)),NOT(ISNUMBER('Price History'!T56)),'Price History'!T56=0),"",'Price History'!T57/'Price History'!T56-1),"")</f>
        <v>0.0327715355805245</v>
      </c>
      <c r="U56" s="105" t="str">
        <f aca="false">IFERROR(IF(OR(NOT(ISNUMBER('Price History'!U57)),NOT(ISNUMBER('Price History'!U56)),'Price History'!U56=0),"",'Price History'!U57/'Price History'!U56-1),"")</f>
        <v/>
      </c>
      <c r="V56" s="106" t="n">
        <f aca="false">IFERROR(IF(OR(NOT(ISNUMBER('Price History'!V57)),NOT(ISNUMBER('Price History'!V56)),'Price History'!V56=0),"",'Price History'!V57/'Price History'!V56-1),"")</f>
        <v>0.000227781785050007</v>
      </c>
      <c r="W56" s="107" t="n">
        <f aca="false">'Price History'!B3+('Price History'!B158-'Price History'!B3)*0.344155844155844</f>
        <v>419.644025974026</v>
      </c>
      <c r="X56" s="107" t="n">
        <f aca="false">'Price History'!C3+('Price History'!C158-'Price History'!C3)*0.344155844155844</f>
        <v>90.7551298701299</v>
      </c>
      <c r="Y56" s="107" t="n">
        <f aca="false">'Price History'!D3+('Price History'!D158-'Price History'!D3)*0.344155844155844</f>
        <v>994.654415584415</v>
      </c>
      <c r="Z56" s="107" t="n">
        <f aca="false">'Price History'!E3+('Price History'!E158-'Price History'!E3)*0.344155844155844</f>
        <v>188.394935064935</v>
      </c>
      <c r="AA56" s="107" t="n">
        <f aca="false">'Price History'!F3+('Price History'!F158-'Price History'!F3)*0.344155844155844</f>
        <v>89.9911688311688</v>
      </c>
      <c r="AB56" s="107" t="n">
        <f aca="false">'Price History'!G3+('Price History'!G158-'Price History'!G3)*0.344155844155844</f>
        <v>94.3335064935065</v>
      </c>
      <c r="AC56" s="107" t="n">
        <f aca="false">'Price History'!H3+('Price History'!H158-'Price History'!H3)*0.344155844155844</f>
        <v>325.467272727273</v>
      </c>
      <c r="AD56" s="107" t="n">
        <f aca="false">'Price History'!I3+('Price History'!I158-'Price History'!I3)*0.344155844155844</f>
        <v>95.8805194805195</v>
      </c>
      <c r="AE56" s="107" t="n">
        <f aca="false">'Price History'!J3+('Price History'!J158-'Price History'!J3)*0.344155844155844</f>
        <v>130.771688311688</v>
      </c>
      <c r="AF56" s="107" t="n">
        <f aca="false">'Price History'!K3+('Price History'!K158-'Price History'!K3)*0.344155844155844</f>
        <v>52.4583766233766</v>
      </c>
      <c r="AG56" s="107" t="n">
        <f aca="false">'Price History'!L3+('Price History'!L158-'Price History'!L3)*0.344155844155844</f>
        <v>199.456103896104</v>
      </c>
      <c r="AH56" s="107" t="n">
        <f aca="false">'Price History'!M3+('Price History'!M158-'Price History'!M3)*0.344155844155844</f>
        <v>105.115064935065</v>
      </c>
      <c r="AI56" s="107" t="n">
        <f aca="false">'Price History'!N3+('Price History'!N158-'Price History'!N3)*0.344155844155844</f>
        <v>393.65038961039</v>
      </c>
      <c r="AJ56" s="107" t="n">
        <f aca="false">'Price History'!O3+('Price History'!O158-'Price History'!O3)*0.344155844155844</f>
        <v>97.4525324675325</v>
      </c>
      <c r="AK56" s="107" t="n">
        <f aca="false">'Price History'!Q3+('Price History'!Q151-'Price History'!Q3)*0.344155844155844</f>
        <v>56.2447402597403</v>
      </c>
      <c r="AL56" s="107" t="n">
        <f aca="false">'Price History'!R3+('Price History'!R158-'Price History'!R3)*0.344155844155844</f>
        <v>51.4095454545455</v>
      </c>
      <c r="AM56" s="107" t="n">
        <f aca="false">'Price History'!S3+('Price History'!S158-'Price History'!S3)*0.344155844155844</f>
        <v>87.893051948052</v>
      </c>
      <c r="AN56" s="107" t="n">
        <f aca="false">'Price History'!T3+('Price History'!T158-'Price History'!T3)*0.344155844155844</f>
        <v>34.7670779220779</v>
      </c>
    </row>
    <row r="57" customFormat="false" ht="15" hidden="false" customHeight="true" outlineLevel="0" collapsed="false">
      <c r="A57" s="104" t="n">
        <f aca="false">IF('Price History'!A58="","",'Price History'!A58)</f>
        <v>45534</v>
      </c>
      <c r="B57" s="105" t="n">
        <f aca="false">IFERROR(IF(OR(NOT(ISNUMBER('Price History'!B58)),NOT(ISNUMBER('Price History'!B57)),'Price History'!B57=0),"",'Price History'!B58/'Price History'!B57-1),"")</f>
        <v>0.0288554540569586</v>
      </c>
      <c r="C57" s="105" t="n">
        <f aca="false">IFERROR(IF(OR(NOT(ISNUMBER('Price History'!C58)),NOT(ISNUMBER('Price History'!C57)),'Price History'!C57=0),"",'Price History'!C58/'Price History'!C57-1),"")</f>
        <v>-0.00484343320567704</v>
      </c>
      <c r="D57" s="105" t="n">
        <f aca="false">IFERROR(IF(OR(NOT(ISNUMBER('Price History'!D58)),NOT(ISNUMBER('Price History'!D57)),'Price History'!D57=0),"",'Price History'!D58/'Price History'!D57-1),"")</f>
        <v>-0.00373652536207925</v>
      </c>
      <c r="E57" s="105" t="n">
        <f aca="false">IFERROR(IF(OR(NOT(ISNUMBER('Price History'!E58)),NOT(ISNUMBER('Price History'!E57)),'Price History'!E57=0),"",'Price History'!E58/'Price History'!E57-1),"")</f>
        <v>-0.0212791536427027</v>
      </c>
      <c r="F57" s="105" t="n">
        <f aca="false">IFERROR(IF(OR(NOT(ISNUMBER('Price History'!F58)),NOT(ISNUMBER('Price History'!F57)),'Price History'!F57=0),"",'Price History'!F58/'Price History'!F57-1),"")</f>
        <v>0.0210634850493445</v>
      </c>
      <c r="G57" s="105" t="n">
        <f aca="false">IFERROR(IF(OR(NOT(ISNUMBER('Price History'!G58)),NOT(ISNUMBER('Price History'!G57)),'Price History'!G57=0),"",'Price History'!G58/'Price History'!G57-1),"")</f>
        <v>0.00195646857422349</v>
      </c>
      <c r="H57" s="105" t="n">
        <f aca="false">IFERROR(IF(OR(NOT(ISNUMBER('Price History'!H58)),NOT(ISNUMBER('Price History'!H57)),'Price History'!H57=0),"",'Price History'!H58/'Price History'!H57-1),"")</f>
        <v>-0.0642683519688867</v>
      </c>
      <c r="I57" s="105" t="n">
        <f aca="false">IFERROR(IF(OR(NOT(ISNUMBER('Price History'!I58)),NOT(ISNUMBER('Price History'!I57)),'Price History'!I57=0),"",'Price History'!I58/'Price History'!I57-1),"")</f>
        <v>-0.0772976733400325</v>
      </c>
      <c r="J57" s="105" t="n">
        <f aca="false">IFERROR(IF(OR(NOT(ISNUMBER('Price History'!J58)),NOT(ISNUMBER('Price History'!J57)),'Price History'!J57=0),"",'Price History'!J58/'Price History'!J57-1),"")</f>
        <v>-0.00807077448393623</v>
      </c>
      <c r="K57" s="105" t="n">
        <f aca="false">IFERROR(IF(OR(NOT(ISNUMBER('Price History'!K58)),NOT(ISNUMBER('Price History'!K57)),'Price History'!K57=0),"",'Price History'!K58/'Price History'!K57-1),"")</f>
        <v>-0.0094398993077407</v>
      </c>
      <c r="L57" s="105" t="n">
        <f aca="false">IFERROR(IF(OR(NOT(ISNUMBER('Price History'!L58)),NOT(ISNUMBER('Price History'!L57)),'Price History'!L57=0),"",'Price History'!L58/'Price History'!L57-1),"")</f>
        <v>0.0024521251751517</v>
      </c>
      <c r="M57" s="105" t="n">
        <f aca="false">IFERROR(IF(OR(NOT(ISNUMBER('Price History'!M58)),NOT(ISNUMBER('Price History'!M57)),'Price History'!M57=0),"",'Price History'!M58/'Price History'!M57-1),"")</f>
        <v>0.0570337364735838</v>
      </c>
      <c r="N57" s="105" t="n">
        <f aca="false">IFERROR(IF(OR(NOT(ISNUMBER('Price History'!N58)),NOT(ISNUMBER('Price History'!N57)),'Price History'!N57=0),"",'Price History'!N58/'Price History'!N57-1),"")</f>
        <v>0.0304421910065664</v>
      </c>
      <c r="O57" s="105" t="n">
        <f aca="false">IFERROR(IF(OR(NOT(ISNUMBER('Price History'!O58)),NOT(ISNUMBER('Price History'!O57)),'Price History'!O57=0),"",'Price History'!O58/'Price History'!O57-1),"")</f>
        <v>0.000521593991237301</v>
      </c>
      <c r="P57" s="105" t="str">
        <f aca="false">IFERROR(IF(OR(NOT(ISNUMBER('Price History'!P58)),NOT(ISNUMBER('Price History'!P57)),'Price History'!P57=0),"",'Price History'!P58/'Price History'!P57-1),"")</f>
        <v/>
      </c>
      <c r="Q57" s="105" t="n">
        <f aca="false">IFERROR(IF(OR(NOT(ISNUMBER('Price History'!Q58)),NOT(ISNUMBER('Price History'!Q57)),'Price History'!Q57=0),"",'Price History'!Q58/'Price History'!Q57-1),"")</f>
        <v>0.00829133474231836</v>
      </c>
      <c r="R57" s="105" t="n">
        <f aca="false">IFERROR(IF(OR(NOT(ISNUMBER('Price History'!R58)),NOT(ISNUMBER('Price History'!R57)),'Price History'!R57=0),"",'Price History'!R58/'Price History'!R57-1),"")</f>
        <v>0.00333951762523199</v>
      </c>
      <c r="S57" s="105" t="n">
        <f aca="false">IFERROR(IF(OR(NOT(ISNUMBER('Price History'!S58)),NOT(ISNUMBER('Price History'!S57)),'Price History'!S57=0),"",'Price History'!S58/'Price History'!S57-1),"")</f>
        <v>-0.00401740877134249</v>
      </c>
      <c r="T57" s="105" t="n">
        <f aca="false">IFERROR(IF(OR(NOT(ISNUMBER('Price History'!T58)),NOT(ISNUMBER('Price History'!T57)),'Price History'!T57=0),"",'Price History'!T58/'Price History'!T57-1),"")</f>
        <v>0.00332426715019651</v>
      </c>
      <c r="U57" s="105" t="str">
        <f aca="false">IFERROR(IF(OR(NOT(ISNUMBER('Price History'!U58)),NOT(ISNUMBER('Price History'!U57)),'Price History'!U57=0),"",'Price History'!U58/'Price History'!U57-1),"")</f>
        <v/>
      </c>
      <c r="V57" s="106" t="n">
        <f aca="false">IFERROR(IF(OR(NOT(ISNUMBER('Price History'!V58)),NOT(ISNUMBER('Price History'!V57)),'Price History'!V57=0),"",'Price History'!V58/'Price History'!V57-1),"")</f>
        <v>0.0334003871408508</v>
      </c>
      <c r="W57" s="107" t="n">
        <f aca="false">'Price History'!B3+('Price History'!B158-'Price History'!B3)*0.350649350649351</f>
        <v>417.968441558441</v>
      </c>
      <c r="X57" s="107" t="n">
        <f aca="false">'Price History'!C3+('Price History'!C158-'Price History'!C3)*0.350649350649351</f>
        <v>91.6422077922078</v>
      </c>
      <c r="Y57" s="107" t="n">
        <f aca="false">'Price History'!D3+('Price History'!D158-'Price History'!D3)*0.350649350649351</f>
        <v>1000.93506493507</v>
      </c>
      <c r="Z57" s="107" t="n">
        <f aca="false">'Price History'!E3+('Price History'!E158-'Price History'!E3)*0.350649350649351</f>
        <v>190.383896103896</v>
      </c>
      <c r="AA57" s="107" t="n">
        <f aca="false">'Price History'!F3+('Price History'!F158-'Price History'!F3)*0.350649350649351</f>
        <v>90.9898701298702</v>
      </c>
      <c r="AB57" s="107" t="n">
        <f aca="false">'Price History'!G3+('Price History'!G158-'Price History'!G3)*0.350649350649351</f>
        <v>95.2096103896104</v>
      </c>
      <c r="AC57" s="107" t="n">
        <f aca="false">'Price History'!H3+('Price History'!H158-'Price History'!H3)*0.350649350649351</f>
        <v>330.393636363637</v>
      </c>
      <c r="AD57" s="107" t="n">
        <f aca="false">'Price History'!I3+('Price History'!I158-'Price History'!I3)*0.350649350649351</f>
        <v>96.9188311688312</v>
      </c>
      <c r="AE57" s="107" t="n">
        <f aca="false">'Price History'!J3+('Price History'!J158-'Price History'!J3)*0.350649350649351</f>
        <v>130.908701298701</v>
      </c>
      <c r="AF57" s="107" t="n">
        <f aca="false">'Price History'!K3+('Price History'!K158-'Price History'!K3)*0.350649350649351</f>
        <v>53.1574025974026</v>
      </c>
      <c r="AG57" s="107" t="n">
        <f aca="false">'Price History'!L3+('Price History'!L158-'Price History'!L3)*0.350649350649351</f>
        <v>201.483766233766</v>
      </c>
      <c r="AH57" s="107" t="n">
        <f aca="false">'Price History'!M3+('Price History'!M158-'Price History'!M3)*0.350649350649351</f>
        <v>106.466103896104</v>
      </c>
      <c r="AI57" s="107" t="n">
        <f aca="false">'Price History'!N3+('Price History'!N158-'Price History'!N3)*0.350649350649351</f>
        <v>394.476623376623</v>
      </c>
      <c r="AJ57" s="107" t="n">
        <f aca="false">'Price History'!O3+('Price History'!O158-'Price History'!O3)*0.350649350649351</f>
        <v>97.728051948052</v>
      </c>
      <c r="AK57" s="107" t="n">
        <f aca="false">'Price History'!Q3+('Price History'!Q151-'Price History'!Q3)*0.350649350649351</f>
        <v>56.3655844155844</v>
      </c>
      <c r="AL57" s="107" t="n">
        <f aca="false">'Price History'!R3+('Price History'!R158-'Price History'!R3)*0.350649350649351</f>
        <v>51.4772727272727</v>
      </c>
      <c r="AM57" s="107" t="n">
        <f aca="false">'Price History'!S3+('Price History'!S158-'Price History'!S3)*0.350649350649351</f>
        <v>88.4468831168832</v>
      </c>
      <c r="AN57" s="107" t="n">
        <f aca="false">'Price History'!T3+('Price History'!T158-'Price History'!T3)*0.350649350649351</f>
        <v>34.9153246753247</v>
      </c>
    </row>
    <row r="58" customFormat="false" ht="15" hidden="false" customHeight="true" outlineLevel="0" collapsed="false">
      <c r="A58" s="104" t="n">
        <f aca="false">IF('Price History'!A59="","",'Price History'!A59)</f>
        <v>45541</v>
      </c>
      <c r="B58" s="105" t="n">
        <f aca="false">IFERROR(IF(OR(NOT(ISNUMBER('Price History'!B59)),NOT(ISNUMBER('Price History'!B58)),'Price History'!B58=0),"",'Price History'!B59/'Price History'!B58-1),"")</f>
        <v>-0.0191500844344632</v>
      </c>
      <c r="C58" s="105" t="n">
        <f aca="false">IFERROR(IF(OR(NOT(ISNUMBER('Price History'!C59)),NOT(ISNUMBER('Price History'!C58)),'Price History'!C58=0),"",'Price History'!C59/'Price History'!C58-1),"")</f>
        <v>-0.110582908885116</v>
      </c>
      <c r="D58" s="105" t="n">
        <f aca="false">IFERROR(IF(OR(NOT(ISNUMBER('Price History'!D59)),NOT(ISNUMBER('Price History'!D58)),'Price History'!D58=0),"",'Price History'!D59/'Price History'!D58-1),"")</f>
        <v>-0.167147930565236</v>
      </c>
      <c r="E58" s="105" t="n">
        <f aca="false">IFERROR(IF(OR(NOT(ISNUMBER('Price History'!E59)),NOT(ISNUMBER('Price History'!E58)),'Price History'!E58=0),"",'Price History'!E59/'Price History'!E58-1),"")</f>
        <v>-0.158580027023707</v>
      </c>
      <c r="F58" s="105" t="n">
        <f aca="false">IFERROR(IF(OR(NOT(ISNUMBER('Price History'!F59)),NOT(ISNUMBER('Price History'!F58)),'Price History'!F58=0),"",'Price History'!F59/'Price History'!F58-1),"")</f>
        <v>-0.11136757068667</v>
      </c>
      <c r="G58" s="105" t="n">
        <f aca="false">IFERROR(IF(OR(NOT(ISNUMBER('Price History'!G59)),NOT(ISNUMBER('Price History'!G58)),'Price History'!G58=0),"",'Price History'!G59/'Price History'!G58-1),"")</f>
        <v>-0.142299243348792</v>
      </c>
      <c r="H58" s="105" t="n">
        <f aca="false">IFERROR(IF(OR(NOT(ISNUMBER('Price History'!H59)),NOT(ISNUMBER('Price History'!H58)),'Price History'!H58=0),"",'Price History'!H59/'Price History'!H58-1),"")</f>
        <v>-0.102452202826268</v>
      </c>
      <c r="I58" s="105" t="n">
        <f aca="false">IFERROR(IF(OR(NOT(ISNUMBER('Price History'!I59)),NOT(ISNUMBER('Price History'!I58)),'Price History'!I58=0),"",'Price History'!I59/'Price History'!I58-1),"")</f>
        <v>-0.138560777414761</v>
      </c>
      <c r="J58" s="105" t="n">
        <f aca="false">IFERROR(IF(OR(NOT(ISNUMBER('Price History'!J59)),NOT(ISNUMBER('Price History'!J58)),'Price History'!J58=0),"",'Price History'!J59/'Price History'!J58-1),"")</f>
        <v>-0.0046158660616491</v>
      </c>
      <c r="K58" s="105" t="n">
        <f aca="false">IFERROR(IF(OR(NOT(ISNUMBER('Price History'!K59)),NOT(ISNUMBER('Price History'!K58)),'Price History'!K58=0),"",'Price History'!K59/'Price History'!K58-1),"")</f>
        <v>-0.0365311308767472</v>
      </c>
      <c r="L58" s="105" t="n">
        <f aca="false">IFERROR(IF(OR(NOT(ISNUMBER('Price History'!L59)),NOT(ISNUMBER('Price History'!L58)),'Price History'!L58=0),"",'Price History'!L59/'Price History'!L58-1),"")</f>
        <v>-0.0866627839254514</v>
      </c>
      <c r="M58" s="105" t="n">
        <f aca="false">IFERROR(IF(OR(NOT(ISNUMBER('Price History'!M59)),NOT(ISNUMBER('Price History'!M58)),'Price History'!M58=0),"",'Price History'!M59/'Price History'!M58-1),"")</f>
        <v>-0.1356136336264</v>
      </c>
      <c r="N58" s="105" t="n">
        <f aca="false">IFERROR(IF(OR(NOT(ISNUMBER('Price History'!N59)),NOT(ISNUMBER('Price History'!N58)),'Price History'!N58=0),"",'Price History'!N59/'Price History'!N58-1),"")</f>
        <v>-0.0562423118030208</v>
      </c>
      <c r="O58" s="105" t="n">
        <f aca="false">IFERROR(IF(OR(NOT(ISNUMBER('Price History'!O59)),NOT(ISNUMBER('Price History'!O58)),'Price History'!O58=0),"",'Price History'!O59/'Price History'!O58-1),"")</f>
        <v>-0.0566155771035345</v>
      </c>
      <c r="P58" s="105" t="str">
        <f aca="false">IFERROR(IF(OR(NOT(ISNUMBER('Price History'!P59)),NOT(ISNUMBER('Price History'!P58)),'Price History'!P58=0),"",'Price History'!P59/'Price History'!P58-1),"")</f>
        <v/>
      </c>
      <c r="Q58" s="105" t="n">
        <f aca="false">IFERROR(IF(OR(NOT(ISNUMBER('Price History'!Q59)),NOT(ISNUMBER('Price History'!Q58)),'Price History'!Q58=0),"",'Price History'!Q59/'Price History'!Q58-1),"")</f>
        <v>-0.00274105127378266</v>
      </c>
      <c r="R58" s="105" t="n">
        <f aca="false">IFERROR(IF(OR(NOT(ISNUMBER('Price History'!R59)),NOT(ISNUMBER('Price History'!R58)),'Price History'!R58=0),"",'Price History'!R59/'Price History'!R58-1),"")</f>
        <v>-0.0502958579881657</v>
      </c>
      <c r="S58" s="105" t="n">
        <f aca="false">IFERROR(IF(OR(NOT(ISNUMBER('Price History'!S59)),NOT(ISNUMBER('Price History'!S58)),'Price History'!S58=0),"",'Price History'!S59/'Price History'!S58-1),"")</f>
        <v>-0.059719887955182</v>
      </c>
      <c r="T58" s="105" t="n">
        <f aca="false">IFERROR(IF(OR(NOT(ISNUMBER('Price History'!T59)),NOT(ISNUMBER('Price History'!T58)),'Price History'!T58=0),"",'Price History'!T59/'Price History'!T58-1),"")</f>
        <v>-0.041265060240964</v>
      </c>
      <c r="U58" s="105" t="str">
        <f aca="false">IFERROR(IF(OR(NOT(ISNUMBER('Price History'!U59)),NOT(ISNUMBER('Price History'!U58)),'Price History'!U58=0),"",'Price History'!U59/'Price History'!U58-1),"")</f>
        <v/>
      </c>
      <c r="V58" s="106" t="n">
        <f aca="false">IFERROR(IF(OR(NOT(ISNUMBER('Price History'!V59)),NOT(ISNUMBER('Price History'!V58)),'Price History'!V58=0),"",'Price History'!V59/'Price History'!V58-1),"")</f>
        <v>0.0108348330701145</v>
      </c>
      <c r="W58" s="107" t="n">
        <f aca="false">'Price History'!B3+('Price History'!B158-'Price History'!B3)*0.357142857142857</f>
        <v>416.292857142857</v>
      </c>
      <c r="X58" s="107" t="n">
        <f aca="false">'Price History'!C3+('Price History'!C158-'Price History'!C3)*0.357142857142857</f>
        <v>92.5292857142857</v>
      </c>
      <c r="Y58" s="107" t="n">
        <f aca="false">'Price History'!D3+('Price History'!D158-'Price History'!D3)*0.357142857142857</f>
        <v>1007.21571428571</v>
      </c>
      <c r="Z58" s="107" t="n">
        <f aca="false">'Price History'!E3+('Price History'!E158-'Price History'!E3)*0.357142857142857</f>
        <v>192.372857142857</v>
      </c>
      <c r="AA58" s="107" t="n">
        <f aca="false">'Price History'!F3+('Price History'!F158-'Price History'!F3)*0.357142857142857</f>
        <v>91.9885714285714</v>
      </c>
      <c r="AB58" s="107" t="n">
        <f aca="false">'Price History'!G3+('Price History'!G158-'Price History'!G3)*0.357142857142857</f>
        <v>96.0857142857143</v>
      </c>
      <c r="AC58" s="107" t="n">
        <f aca="false">'Price History'!H3+('Price History'!H158-'Price History'!H3)*0.357142857142857</f>
        <v>335.32</v>
      </c>
      <c r="AD58" s="107" t="n">
        <f aca="false">'Price History'!I3+('Price History'!I158-'Price History'!I3)*0.357142857142857</f>
        <v>97.9571428571428</v>
      </c>
      <c r="AE58" s="107" t="n">
        <f aca="false">'Price History'!J3+('Price History'!J158-'Price History'!J3)*0.357142857142857</f>
        <v>131.045714285714</v>
      </c>
      <c r="AF58" s="107" t="n">
        <f aca="false">'Price History'!K3+('Price History'!K158-'Price History'!K3)*0.357142857142857</f>
        <v>53.8564285714286</v>
      </c>
      <c r="AG58" s="107" t="n">
        <f aca="false">'Price History'!L3+('Price History'!L158-'Price History'!L3)*0.357142857142857</f>
        <v>203.511428571429</v>
      </c>
      <c r="AH58" s="107" t="n">
        <f aca="false">'Price History'!M3+('Price History'!M158-'Price History'!M3)*0.357142857142857</f>
        <v>107.817142857143</v>
      </c>
      <c r="AI58" s="107" t="n">
        <f aca="false">'Price History'!N3+('Price History'!N158-'Price History'!N3)*0.357142857142857</f>
        <v>395.302857142857</v>
      </c>
      <c r="AJ58" s="107" t="n">
        <f aca="false">'Price History'!O3+('Price History'!O158-'Price History'!O3)*0.357142857142857</f>
        <v>98.0035714285714</v>
      </c>
      <c r="AK58" s="107" t="n">
        <f aca="false">'Price History'!Q3+('Price History'!Q151-'Price History'!Q3)*0.357142857142857</f>
        <v>56.4864285714286</v>
      </c>
      <c r="AL58" s="107" t="n">
        <f aca="false">'Price History'!R3+('Price History'!R158-'Price History'!R3)*0.357142857142857</f>
        <v>51.545</v>
      </c>
      <c r="AM58" s="107" t="n">
        <f aca="false">'Price History'!S3+('Price History'!S158-'Price History'!S3)*0.357142857142857</f>
        <v>89.0007142857143</v>
      </c>
      <c r="AN58" s="107" t="n">
        <f aca="false">'Price History'!T3+('Price History'!T158-'Price History'!T3)*0.357142857142857</f>
        <v>35.0635714285714</v>
      </c>
    </row>
    <row r="59" customFormat="false" ht="15" hidden="false" customHeight="true" outlineLevel="0" collapsed="false">
      <c r="A59" s="104" t="n">
        <f aca="false">IF('Price History'!A60="","",'Price History'!A60)</f>
        <v>45548</v>
      </c>
      <c r="B59" s="105" t="n">
        <f aca="false">IFERROR(IF(OR(NOT(ISNUMBER('Price History'!B60)),NOT(ISNUMBER('Price History'!B59)),'Price History'!B59=0),"",'Price History'!B60/'Price History'!B59-1),"")</f>
        <v>-0.0471060151577004</v>
      </c>
      <c r="C59" s="105" t="n">
        <f aca="false">IFERROR(IF(OR(NOT(ISNUMBER('Price History'!C60)),NOT(ISNUMBER('Price History'!C59)),'Price History'!C59=0),"",'Price History'!C60/'Price History'!C59-1),"")</f>
        <v>0.14456604734029</v>
      </c>
      <c r="D59" s="105" t="n">
        <f aca="false">IFERROR(IF(OR(NOT(ISNUMBER('Price History'!D60)),NOT(ISNUMBER('Price History'!D59)),'Price History'!D59=0),"",'Price History'!D60/'Price History'!D59-1),"")</f>
        <v>0.0844458613956085</v>
      </c>
      <c r="E59" s="105" t="n">
        <f aca="false">IFERROR(IF(OR(NOT(ISNUMBER('Price History'!E60)),NOT(ISNUMBER('Price History'!E59)),'Price History'!E59=0),"",'Price History'!E60/'Price History'!E59-1),"")</f>
        <v>0.224014598540146</v>
      </c>
      <c r="F59" s="105" t="n">
        <f aca="false">IFERROR(IF(OR(NOT(ISNUMBER('Price History'!F60)),NOT(ISNUMBER('Price History'!F59)),'Price History'!F59=0),"",'Price History'!F60/'Price History'!F59-1),"")</f>
        <v>0.0516233766233767</v>
      </c>
      <c r="G59" s="105" t="n">
        <f aca="false">IFERROR(IF(OR(NOT(ISNUMBER('Price History'!G60)),NOT(ISNUMBER('Price History'!G59)),'Price History'!G59=0),"",'Price History'!G60/'Price History'!G59-1),"")</f>
        <v>0.069294251565168</v>
      </c>
      <c r="H59" s="105" t="n">
        <f aca="false">IFERROR(IF(OR(NOT(ISNUMBER('Price History'!H60)),NOT(ISNUMBER('Price History'!H59)),'Price History'!H59=0),"",'Price History'!H60/'Price History'!H59-1),"")</f>
        <v>0.0560314887705489</v>
      </c>
      <c r="I59" s="105" t="n">
        <f aca="false">IFERROR(IF(OR(NOT(ISNUMBER('Price History'!I60)),NOT(ISNUMBER('Price History'!I59)),'Price History'!I59=0),"",'Price History'!I60/'Price History'!I59-1),"")</f>
        <v>0.158222308664786</v>
      </c>
      <c r="J59" s="105" t="n">
        <f aca="false">IFERROR(IF(OR(NOT(ISNUMBER('Price History'!J60)),NOT(ISNUMBER('Price History'!J59)),'Price History'!J59=0),"",'Price History'!J60/'Price History'!J59-1),"")</f>
        <v>0.0216143991197044</v>
      </c>
      <c r="K59" s="105" t="n">
        <f aca="false">IFERROR(IF(OR(NOT(ISNUMBER('Price History'!K60)),NOT(ISNUMBER('Price History'!K59)),'Price History'!K59=0),"",'Price History'!K60/'Price History'!K59-1),"")</f>
        <v>0.173425651170458</v>
      </c>
      <c r="L59" s="105" t="n">
        <f aca="false">IFERROR(IF(OR(NOT(ISNUMBER('Price History'!L60)),NOT(ISNUMBER('Price History'!L59)),'Price History'!L59=0),"",'Price History'!L60/'Price History'!L59-1),"")</f>
        <v>0.0999872465246781</v>
      </c>
      <c r="M59" s="105" t="n">
        <f aca="false">IFERROR(IF(OR(NOT(ISNUMBER('Price History'!M60)),NOT(ISNUMBER('Price History'!M59)),'Price History'!M59=0),"",'Price History'!M60/'Price History'!M59-1),"")</f>
        <v>0.194928242998468</v>
      </c>
      <c r="N59" s="105" t="n">
        <f aca="false">IFERROR(IF(OR(NOT(ISNUMBER('Price History'!N60)),NOT(ISNUMBER('Price History'!N59)),'Price History'!N59=0),"",'Price History'!N60/'Price History'!N59-1),"")</f>
        <v>0.0371153846153847</v>
      </c>
      <c r="O59" s="105" t="n">
        <f aca="false">IFERROR(IF(OR(NOT(ISNUMBER('Price History'!O60)),NOT(ISNUMBER('Price History'!O59)),'Price History'!O59=0),"",'Price History'!O60/'Price History'!O59-1),"")</f>
        <v>0.0288461538461537</v>
      </c>
      <c r="P59" s="105" t="str">
        <f aca="false">IFERROR(IF(OR(NOT(ISNUMBER('Price History'!P60)),NOT(ISNUMBER('Price History'!P59)),'Price History'!P59=0),"",'Price History'!P60/'Price History'!P59-1),"")</f>
        <v/>
      </c>
      <c r="Q59" s="105" t="n">
        <f aca="false">IFERROR(IF(OR(NOT(ISNUMBER('Price History'!Q60)),NOT(ISNUMBER('Price History'!Q59)),'Price History'!Q59=0),"",'Price History'!Q60/'Price History'!Q59-1),"")</f>
        <v>-0.00889248181083269</v>
      </c>
      <c r="R59" s="105" t="n">
        <f aca="false">IFERROR(IF(OR(NOT(ISNUMBER('Price History'!R60)),NOT(ISNUMBER('Price History'!R59)),'Price History'!R59=0),"",'Price History'!R60/'Price History'!R59-1),"")</f>
        <v>0.0465342679127725</v>
      </c>
      <c r="S59" s="105" t="n">
        <f aca="false">IFERROR(IF(OR(NOT(ISNUMBER('Price History'!S60)),NOT(ISNUMBER('Price History'!S59)),'Price History'!S59=0),"",'Price History'!S60/'Price History'!S59-1),"")</f>
        <v>0.061487130600572</v>
      </c>
      <c r="T59" s="105" t="n">
        <f aca="false">IFERROR(IF(OR(NOT(ISNUMBER('Price History'!T60)),NOT(ISNUMBER('Price History'!T59)),'Price History'!T59=0),"",'Price History'!T60/'Price History'!T59-1),"")</f>
        <v>0.0235626767200754</v>
      </c>
      <c r="U59" s="105" t="str">
        <f aca="false">IFERROR(IF(OR(NOT(ISNUMBER('Price History'!U60)),NOT(ISNUMBER('Price History'!U59)),'Price History'!U59=0),"",'Price History'!U60/'Price History'!U59-1),"")</f>
        <v/>
      </c>
      <c r="V59" s="106" t="n">
        <f aca="false">IFERROR(IF(OR(NOT(ISNUMBER('Price History'!V60)),NOT(ISNUMBER('Price History'!V59)),'Price History'!V59=0),"",'Price History'!V60/'Price History'!V59-1),"")</f>
        <v>0.028558971005014</v>
      </c>
      <c r="W59" s="107" t="n">
        <f aca="false">'Price History'!B3+('Price History'!B158-'Price History'!B3)*0.363636363636364</f>
        <v>414.617272727273</v>
      </c>
      <c r="X59" s="107" t="n">
        <f aca="false">'Price History'!C3+('Price History'!C158-'Price History'!C3)*0.363636363636364</f>
        <v>93.4163636363637</v>
      </c>
      <c r="Y59" s="107" t="n">
        <f aca="false">'Price History'!D3+('Price History'!D158-'Price History'!D3)*0.363636363636364</f>
        <v>1013.49636363636</v>
      </c>
      <c r="Z59" s="107" t="n">
        <f aca="false">'Price History'!E3+('Price History'!E158-'Price History'!E3)*0.363636363636364</f>
        <v>194.361818181818</v>
      </c>
      <c r="AA59" s="107" t="n">
        <f aca="false">'Price History'!F3+('Price History'!F158-'Price History'!F3)*0.363636363636364</f>
        <v>92.9872727272728</v>
      </c>
      <c r="AB59" s="107" t="n">
        <f aca="false">'Price History'!G3+('Price History'!G158-'Price History'!G3)*0.363636363636364</f>
        <v>96.9618181818182</v>
      </c>
      <c r="AC59" s="107" t="n">
        <f aca="false">'Price History'!H3+('Price History'!H158-'Price History'!H3)*0.363636363636364</f>
        <v>340.246363636364</v>
      </c>
      <c r="AD59" s="107" t="n">
        <f aca="false">'Price History'!I3+('Price History'!I158-'Price History'!I3)*0.363636363636364</f>
        <v>98.9954545454546</v>
      </c>
      <c r="AE59" s="107" t="n">
        <f aca="false">'Price History'!J3+('Price History'!J158-'Price History'!J3)*0.363636363636364</f>
        <v>131.182727272727</v>
      </c>
      <c r="AF59" s="107" t="n">
        <f aca="false">'Price History'!K3+('Price History'!K158-'Price History'!K3)*0.363636363636364</f>
        <v>54.5554545454546</v>
      </c>
      <c r="AG59" s="107" t="n">
        <f aca="false">'Price History'!L3+('Price History'!L158-'Price History'!L3)*0.363636363636364</f>
        <v>205.539090909091</v>
      </c>
      <c r="AH59" s="107" t="n">
        <f aca="false">'Price History'!M3+('Price History'!M158-'Price History'!M3)*0.363636363636364</f>
        <v>109.168181818182</v>
      </c>
      <c r="AI59" s="107" t="n">
        <f aca="false">'Price History'!N3+('Price History'!N158-'Price History'!N3)*0.363636363636364</f>
        <v>396.129090909091</v>
      </c>
      <c r="AJ59" s="107" t="n">
        <f aca="false">'Price History'!O3+('Price History'!O158-'Price History'!O3)*0.363636363636364</f>
        <v>98.2790909090909</v>
      </c>
      <c r="AK59" s="107" t="n">
        <f aca="false">'Price History'!Q3+('Price History'!Q151-'Price History'!Q3)*0.363636363636364</f>
        <v>56.6072727272727</v>
      </c>
      <c r="AL59" s="107" t="n">
        <f aca="false">'Price History'!R3+('Price History'!R158-'Price History'!R3)*0.363636363636364</f>
        <v>51.6127272727273</v>
      </c>
      <c r="AM59" s="107" t="n">
        <f aca="false">'Price History'!S3+('Price History'!S158-'Price History'!S3)*0.363636363636364</f>
        <v>89.5545454545455</v>
      </c>
      <c r="AN59" s="107" t="n">
        <f aca="false">'Price History'!T3+('Price History'!T158-'Price History'!T3)*0.363636363636364</f>
        <v>35.2118181818182</v>
      </c>
    </row>
    <row r="60" customFormat="false" ht="15" hidden="false" customHeight="true" outlineLevel="0" collapsed="false">
      <c r="A60" s="104" t="n">
        <f aca="false">IF('Price History'!A61="","",'Price History'!A61)</f>
        <v>45555</v>
      </c>
      <c r="B60" s="105" t="n">
        <f aca="false">IFERROR(IF(OR(NOT(ISNUMBER('Price History'!B61)),NOT(ISNUMBER('Price History'!B60)),'Price History'!B60=0),"",'Price History'!B61/'Price History'!B60-1),"")</f>
        <v>-0.0271387859258294</v>
      </c>
      <c r="C60" s="105" t="n">
        <f aca="false">IFERROR(IF(OR(NOT(ISNUMBER('Price History'!C61)),NOT(ISNUMBER('Price History'!C60)),'Price History'!C60=0),"",'Price History'!C61/'Price History'!C60-1),"")</f>
        <v>0.0687124749833223</v>
      </c>
      <c r="D60" s="105" t="n">
        <f aca="false">IFERROR(IF(OR(NOT(ISNUMBER('Price History'!D61)),NOT(ISNUMBER('Price History'!D60)),'Price History'!D60=0),"",'Price History'!D61/'Price History'!D60-1),"")</f>
        <v>-0.0258219413004067</v>
      </c>
      <c r="E60" s="105" t="n">
        <f aca="false">IFERROR(IF(OR(NOT(ISNUMBER('Price History'!E61)),NOT(ISNUMBER('Price History'!E60)),'Price History'!E60=0),"",'Price History'!E61/'Price History'!E60-1),"")</f>
        <v>0.0203351422267279</v>
      </c>
      <c r="F60" s="105" t="n">
        <f aca="false">IFERROR(IF(OR(NOT(ISNUMBER('Price History'!F61)),NOT(ISNUMBER('Price History'!F60)),'Price History'!F60=0),"",'Price History'!F61/'Price History'!F60-1),"")</f>
        <v>0.157147267675208</v>
      </c>
      <c r="G60" s="105" t="n">
        <f aca="false">IFERROR(IF(OR(NOT(ISNUMBER('Price History'!G61)),NOT(ISNUMBER('Price History'!G60)),'Price History'!G60=0),"",'Price History'!G61/'Price History'!G60-1),"")</f>
        <v>0.00984697272122426</v>
      </c>
      <c r="H60" s="105" t="n">
        <f aca="false">IFERROR(IF(OR(NOT(ISNUMBER('Price History'!H61)),NOT(ISNUMBER('Price History'!H60)),'Price History'!H60=0),"",'Price History'!H61/'Price History'!H60-1),"")</f>
        <v>-0.00350800263100193</v>
      </c>
      <c r="I60" s="105" t="n">
        <f aca="false">IFERROR(IF(OR(NOT(ISNUMBER('Price History'!I61)),NOT(ISNUMBER('Price History'!I60)),'Price History'!I60=0),"",'Price History'!I61/'Price History'!I60-1),"")</f>
        <v>-0.0260285474391267</v>
      </c>
      <c r="J60" s="105" t="n">
        <f aca="false">IFERROR(IF(OR(NOT(ISNUMBER('Price History'!J61)),NOT(ISNUMBER('Price History'!J60)),'Price History'!J60=0),"",'Price History'!J61/'Price History'!J60-1),"")</f>
        <v>-0.0346976457916602</v>
      </c>
      <c r="K60" s="105" t="n">
        <f aca="false">IFERROR(IF(OR(NOT(ISNUMBER('Price History'!K61)),NOT(ISNUMBER('Price History'!K60)),'Price History'!K60=0),"",'Price History'!K61/'Price History'!K60-1),"")</f>
        <v>0.0452374262433268</v>
      </c>
      <c r="L60" s="105" t="n">
        <f aca="false">IFERROR(IF(OR(NOT(ISNUMBER('Price History'!L61)),NOT(ISNUMBER('Price History'!L60)),'Price History'!L60=0),"",'Price History'!L61/'Price History'!L60-1),"")</f>
        <v>0.00915942028985506</v>
      </c>
      <c r="M60" s="105" t="n">
        <f aca="false">IFERROR(IF(OR(NOT(ISNUMBER('Price History'!M61)),NOT(ISNUMBER('Price History'!M60)),'Price History'!M60=0),"",'Price History'!M61/'Price History'!M60-1),"")</f>
        <v>0.102378731343284</v>
      </c>
      <c r="N60" s="105" t="n">
        <f aca="false">IFERROR(IF(OR(NOT(ISNUMBER('Price History'!N61)),NOT(ISNUMBER('Price History'!N60)),'Price History'!N60=0),"",'Price History'!N61/'Price History'!N60-1),"")</f>
        <v>-0.0421328059006531</v>
      </c>
      <c r="O60" s="105" t="n">
        <f aca="false">IFERROR(IF(OR(NOT(ISNUMBER('Price History'!O61)),NOT(ISNUMBER('Price History'!O60)),'Price History'!O60=0),"",'Price History'!O61/'Price History'!O60-1),"")</f>
        <v>0.03018584165861</v>
      </c>
      <c r="P60" s="105" t="str">
        <f aca="false">IFERROR(IF(OR(NOT(ISNUMBER('Price History'!P61)),NOT(ISNUMBER('Price History'!P60)),'Price History'!P60=0),"",'Price History'!P61/'Price History'!P60-1),"")</f>
        <v/>
      </c>
      <c r="Q60" s="105" t="n">
        <f aca="false">IFERROR(IF(OR(NOT(ISNUMBER('Price History'!Q61)),NOT(ISNUMBER('Price History'!Q60)),'Price History'!Q60=0),"",'Price History'!Q61/'Price History'!Q60-1),"")</f>
        <v>0.0243066884176184</v>
      </c>
      <c r="R60" s="105" t="n">
        <f aca="false">IFERROR(IF(OR(NOT(ISNUMBER('Price History'!R61)),NOT(ISNUMBER('Price History'!R60)),'Price History'!R60=0),"",'Price History'!R61/'Price History'!R60-1),"")</f>
        <v>0.0122790697674418</v>
      </c>
      <c r="S60" s="105" t="n">
        <f aca="false">IFERROR(IF(OR(NOT(ISNUMBER('Price History'!S61)),NOT(ISNUMBER('Price History'!S60)),'Price History'!S60=0),"",'Price History'!S61/'Price History'!S60-1),"")</f>
        <v>0.0162775033677594</v>
      </c>
      <c r="T60" s="105" t="n">
        <f aca="false">IFERROR(IF(OR(NOT(ISNUMBER('Price History'!T61)),NOT(ISNUMBER('Price History'!T60)),'Price History'!T60=0),"",'Price History'!T61/'Price History'!T60-1),"")</f>
        <v>0.0171884591774096</v>
      </c>
      <c r="U60" s="105" t="str">
        <f aca="false">IFERROR(IF(OR(NOT(ISNUMBER('Price History'!U61)),NOT(ISNUMBER('Price History'!U60)),'Price History'!U60=0),"",'Price History'!U61/'Price History'!U60-1),"")</f>
        <v/>
      </c>
      <c r="V60" s="106" t="n">
        <f aca="false">IFERROR(IF(OR(NOT(ISNUMBER('Price History'!V61)),NOT(ISNUMBER('Price History'!V60)),'Price History'!V60=0),"",'Price History'!V61/'Price History'!V60-1),"")</f>
        <v>-0.00897272855729814</v>
      </c>
      <c r="W60" s="107" t="n">
        <f aca="false">'Price History'!B3+('Price History'!B158-'Price History'!B3)*0.37012987012987</f>
        <v>412.941688311688</v>
      </c>
      <c r="X60" s="107" t="n">
        <f aca="false">'Price History'!C3+('Price History'!C158-'Price History'!C3)*0.37012987012987</f>
        <v>94.3034415584415</v>
      </c>
      <c r="Y60" s="107" t="n">
        <f aca="false">'Price History'!D3+('Price History'!D158-'Price History'!D3)*0.37012987012987</f>
        <v>1019.77701298701</v>
      </c>
      <c r="Z60" s="107" t="n">
        <f aca="false">'Price History'!E3+('Price History'!E158-'Price History'!E3)*0.37012987012987</f>
        <v>196.350779220779</v>
      </c>
      <c r="AA60" s="107" t="n">
        <f aca="false">'Price History'!F3+('Price History'!F158-'Price History'!F3)*0.37012987012987</f>
        <v>93.985974025974</v>
      </c>
      <c r="AB60" s="107" t="n">
        <f aca="false">'Price History'!G3+('Price History'!G158-'Price History'!G3)*0.37012987012987</f>
        <v>97.8379220779221</v>
      </c>
      <c r="AC60" s="107" t="n">
        <f aca="false">'Price History'!H3+('Price History'!H158-'Price History'!H3)*0.37012987012987</f>
        <v>345.172727272727</v>
      </c>
      <c r="AD60" s="107" t="n">
        <f aca="false">'Price History'!I3+('Price History'!I158-'Price History'!I3)*0.37012987012987</f>
        <v>100.033766233766</v>
      </c>
      <c r="AE60" s="107" t="n">
        <f aca="false">'Price History'!J3+('Price History'!J158-'Price History'!J3)*0.37012987012987</f>
        <v>131.31974025974</v>
      </c>
      <c r="AF60" s="107" t="n">
        <f aca="false">'Price History'!K3+('Price History'!K158-'Price History'!K3)*0.37012987012987</f>
        <v>55.2544805194805</v>
      </c>
      <c r="AG60" s="107" t="n">
        <f aca="false">'Price History'!L3+('Price History'!L158-'Price History'!L3)*0.37012987012987</f>
        <v>207.566753246753</v>
      </c>
      <c r="AH60" s="107" t="n">
        <f aca="false">'Price History'!M3+('Price History'!M158-'Price History'!M3)*0.37012987012987</f>
        <v>110.519220779221</v>
      </c>
      <c r="AI60" s="107" t="n">
        <f aca="false">'Price History'!N3+('Price History'!N158-'Price History'!N3)*0.37012987012987</f>
        <v>396.955324675325</v>
      </c>
      <c r="AJ60" s="107" t="n">
        <f aca="false">'Price History'!O3+('Price History'!O158-'Price History'!O3)*0.37012987012987</f>
        <v>98.5546103896104</v>
      </c>
      <c r="AK60" s="107" t="n">
        <f aca="false">'Price History'!Q3+('Price History'!Q151-'Price History'!Q3)*0.37012987012987</f>
        <v>56.7281168831169</v>
      </c>
      <c r="AL60" s="107" t="n">
        <f aca="false">'Price History'!R3+('Price History'!R158-'Price History'!R3)*0.37012987012987</f>
        <v>51.6804545454545</v>
      </c>
      <c r="AM60" s="107" t="n">
        <f aca="false">'Price History'!S3+('Price History'!S158-'Price History'!S3)*0.37012987012987</f>
        <v>90.1083766233766</v>
      </c>
      <c r="AN60" s="107" t="n">
        <f aca="false">'Price History'!T3+('Price History'!T158-'Price History'!T3)*0.37012987012987</f>
        <v>35.3600649350649</v>
      </c>
    </row>
    <row r="61" customFormat="false" ht="15" hidden="false" customHeight="true" outlineLevel="0" collapsed="false">
      <c r="A61" s="104" t="n">
        <f aca="false">IF('Price History'!A62="","",'Price History'!A62)</f>
        <v>45562</v>
      </c>
      <c r="B61" s="105" t="n">
        <f aca="false">IFERROR(IF(OR(NOT(ISNUMBER('Price History'!B62)),NOT(ISNUMBER('Price History'!B61)),'Price History'!B61=0),"",'Price History'!B62/'Price History'!B61-1),"")</f>
        <v>-0.0130576297147232</v>
      </c>
      <c r="C61" s="105" t="n">
        <f aca="false">IFERROR(IF(OR(NOT(ISNUMBER('Price History'!C62)),NOT(ISNUMBER('Price History'!C61)),'Price History'!C61=0),"",'Price History'!C62/'Price History'!C61-1),"")</f>
        <v>-0.0109238451935082</v>
      </c>
      <c r="D61" s="105" t="n">
        <f aca="false">IFERROR(IF(OR(NOT(ISNUMBER('Price History'!D62)),NOT(ISNUMBER('Price History'!D61)),'Price History'!D61=0),"",'Price History'!D62/'Price History'!D61-1),"")</f>
        <v>0.0581681923347752</v>
      </c>
      <c r="E61" s="105" t="n">
        <f aca="false">IFERROR(IF(OR(NOT(ISNUMBER('Price History'!E62)),NOT(ISNUMBER('Price History'!E61)),'Price History'!E61=0),"",'Price History'!E62/'Price History'!E61-1),"")</f>
        <v>0.00929281122150782</v>
      </c>
      <c r="F61" s="105" t="n">
        <f aca="false">IFERROR(IF(OR(NOT(ISNUMBER('Price History'!F62)),NOT(ISNUMBER('Price History'!F61)),'Price History'!F61=0),"",'Price History'!F62/'Price History'!F61-1),"")</f>
        <v>-0.0465581643543223</v>
      </c>
      <c r="G61" s="105" t="n">
        <f aca="false">IFERROR(IF(OR(NOT(ISNUMBER('Price History'!G62)),NOT(ISNUMBER('Price History'!G61)),'Price History'!G61=0),"",'Price History'!G62/'Price History'!G61-1),"")</f>
        <v>0.0309658716563446</v>
      </c>
      <c r="H61" s="105" t="n">
        <f aca="false">IFERROR(IF(OR(NOT(ISNUMBER('Price History'!H62)),NOT(ISNUMBER('Price History'!H61)),'Price History'!H61=0),"",'Price History'!H62/'Price History'!H61-1),"")</f>
        <v>0.182618261826182</v>
      </c>
      <c r="I61" s="105" t="n">
        <f aca="false">IFERROR(IF(OR(NOT(ISNUMBER('Price History'!I62)),NOT(ISNUMBER('Price History'!I61)),'Price History'!I61=0),"",'Price History'!I62/'Price History'!I61-1),"")</f>
        <v>0.0465517241379312</v>
      </c>
      <c r="J61" s="105" t="n">
        <f aca="false">IFERROR(IF(OR(NOT(ISNUMBER('Price History'!J62)),NOT(ISNUMBER('Price History'!J61)),'Price History'!J61=0),"",'Price History'!J62/'Price History'!J61-1),"")</f>
        <v>0.000956403921256177</v>
      </c>
      <c r="K61" s="105" t="n">
        <f aca="false">IFERROR(IF(OR(NOT(ISNUMBER('Price History'!K62)),NOT(ISNUMBER('Price History'!K61)),'Price History'!K61=0),"",'Price History'!K62/'Price History'!K61-1),"")</f>
        <v>-0.00967741935483868</v>
      </c>
      <c r="L61" s="105" t="n">
        <f aca="false">IFERROR(IF(OR(NOT(ISNUMBER('Price History'!L62)),NOT(ISNUMBER('Price History'!L61)),'Price History'!L61=0),"",'Price History'!L62/'Price History'!L61-1),"")</f>
        <v>0.0223460477941175</v>
      </c>
      <c r="M61" s="105" t="n">
        <f aca="false">IFERROR(IF(OR(NOT(ISNUMBER('Price History'!M62)),NOT(ISNUMBER('Price History'!M61)),'Price History'!M61=0),"",'Price History'!M62/'Price History'!M61-1),"")</f>
        <v>0.0409350539454199</v>
      </c>
      <c r="N61" s="105" t="n">
        <f aca="false">IFERROR(IF(OR(NOT(ISNUMBER('Price History'!N62)),NOT(ISNUMBER('Price History'!N61)),'Price History'!N61=0),"",'Price History'!N62/'Price History'!N61-1),"")</f>
        <v>-0.00438785167340627</v>
      </c>
      <c r="O61" s="105" t="n">
        <f aca="false">IFERROR(IF(OR(NOT(ISNUMBER('Price History'!O62)),NOT(ISNUMBER('Price History'!O61)),'Price History'!O61=0),"",'Price History'!O62/'Price History'!O61-1),"")</f>
        <v>-0.00354535974973935</v>
      </c>
      <c r="P61" s="105" t="str">
        <f aca="false">IFERROR(IF(OR(NOT(ISNUMBER('Price History'!P62)),NOT(ISNUMBER('Price History'!P61)),'Price History'!P61=0),"",'Price History'!P62/'Price History'!P61-1),"")</f>
        <v/>
      </c>
      <c r="Q61" s="105" t="n">
        <f aca="false">IFERROR(IF(OR(NOT(ISNUMBER('Price History'!Q62)),NOT(ISNUMBER('Price History'!Q61)),'Price History'!Q61=0),"",'Price History'!Q62/'Price History'!Q61-1),"")</f>
        <v>-0.00955566172957478</v>
      </c>
      <c r="R61" s="105" t="n">
        <f aca="false">IFERROR(IF(OR(NOT(ISNUMBER('Price History'!R62)),NOT(ISNUMBER('Price History'!R61)),'Price History'!R61=0),"",'Price History'!R62/'Price History'!R61-1),"")</f>
        <v>0.00716780003675788</v>
      </c>
      <c r="S61" s="105" t="n">
        <f aca="false">IFERROR(IF(OR(NOT(ISNUMBER('Price History'!S62)),NOT(ISNUMBER('Price History'!S61)),'Price History'!S61=0),"",'Price History'!S62/'Price History'!S61-1),"")</f>
        <v>-0.00209875179498509</v>
      </c>
      <c r="T61" s="105" t="n">
        <f aca="false">IFERROR(IF(OR(NOT(ISNUMBER('Price History'!T62)),NOT(ISNUMBER('Price History'!T61)),'Price History'!T61=0),"",'Price History'!T62/'Price History'!T61-1),"")</f>
        <v>0.00211225105612556</v>
      </c>
      <c r="U61" s="105" t="str">
        <f aca="false">IFERROR(IF(OR(NOT(ISNUMBER('Price History'!U62)),NOT(ISNUMBER('Price History'!U61)),'Price History'!U61=0),"",'Price History'!U62/'Price History'!U61-1),"")</f>
        <v/>
      </c>
      <c r="V61" s="106" t="n">
        <f aca="false">IFERROR(IF(OR(NOT(ISNUMBER('Price History'!V62)),NOT(ISNUMBER('Price History'!V61)),'Price History'!V61=0),"",'Price History'!V62/'Price History'!V61-1),"")</f>
        <v>-0.0337206815427391</v>
      </c>
      <c r="W61" s="107" t="n">
        <f aca="false">'Price History'!B3+('Price History'!B158-'Price History'!B3)*0.376623376623377</f>
        <v>411.266103896104</v>
      </c>
      <c r="X61" s="107" t="n">
        <f aca="false">'Price History'!C3+('Price History'!C158-'Price History'!C3)*0.376623376623377</f>
        <v>95.1905194805195</v>
      </c>
      <c r="Y61" s="107" t="n">
        <f aca="false">'Price History'!D3+('Price History'!D158-'Price History'!D3)*0.376623376623377</f>
        <v>1026.05766233766</v>
      </c>
      <c r="Z61" s="107" t="n">
        <f aca="false">'Price History'!E3+('Price History'!E158-'Price History'!E3)*0.376623376623377</f>
        <v>198.33974025974</v>
      </c>
      <c r="AA61" s="107" t="n">
        <f aca="false">'Price History'!F3+('Price History'!F158-'Price History'!F3)*0.376623376623377</f>
        <v>94.9846753246754</v>
      </c>
      <c r="AB61" s="107" t="n">
        <f aca="false">'Price History'!G3+('Price History'!G158-'Price History'!G3)*0.376623376623377</f>
        <v>98.714025974026</v>
      </c>
      <c r="AC61" s="107" t="n">
        <f aca="false">'Price History'!H3+('Price History'!H158-'Price History'!H3)*0.376623376623377</f>
        <v>350.099090909091</v>
      </c>
      <c r="AD61" s="107" t="n">
        <f aca="false">'Price History'!I3+('Price History'!I158-'Price History'!I3)*0.376623376623377</f>
        <v>101.072077922078</v>
      </c>
      <c r="AE61" s="107" t="n">
        <f aca="false">'Price History'!J3+('Price History'!J158-'Price History'!J3)*0.376623376623377</f>
        <v>131.456753246753</v>
      </c>
      <c r="AF61" s="107" t="n">
        <f aca="false">'Price History'!K3+('Price History'!K158-'Price History'!K3)*0.376623376623377</f>
        <v>55.9535064935065</v>
      </c>
      <c r="AG61" s="107" t="n">
        <f aca="false">'Price History'!L3+('Price History'!L158-'Price History'!L3)*0.376623376623377</f>
        <v>209.594415584416</v>
      </c>
      <c r="AH61" s="107" t="n">
        <f aca="false">'Price History'!M3+('Price History'!M158-'Price History'!M3)*0.376623376623377</f>
        <v>111.87025974026</v>
      </c>
      <c r="AI61" s="107" t="n">
        <f aca="false">'Price History'!N3+('Price History'!N158-'Price History'!N3)*0.376623376623377</f>
        <v>397.781558441559</v>
      </c>
      <c r="AJ61" s="107" t="n">
        <f aca="false">'Price History'!O3+('Price History'!O158-'Price History'!O3)*0.376623376623377</f>
        <v>98.8301298701299</v>
      </c>
      <c r="AK61" s="107" t="n">
        <f aca="false">'Price History'!Q3+('Price History'!Q151-'Price History'!Q3)*0.376623376623377</f>
        <v>56.8489610389611</v>
      </c>
      <c r="AL61" s="107" t="n">
        <f aca="false">'Price History'!R3+('Price History'!R158-'Price History'!R3)*0.376623376623377</f>
        <v>51.7481818181818</v>
      </c>
      <c r="AM61" s="107" t="n">
        <f aca="false">'Price History'!S3+('Price History'!S158-'Price History'!S3)*0.376623376623377</f>
        <v>90.6622077922078</v>
      </c>
      <c r="AN61" s="107" t="n">
        <f aca="false">'Price History'!T3+('Price History'!T158-'Price History'!T3)*0.376623376623377</f>
        <v>35.5083116883117</v>
      </c>
    </row>
    <row r="62" customFormat="false" ht="15" hidden="false" customHeight="true" outlineLevel="0" collapsed="false">
      <c r="A62" s="104" t="n">
        <f aca="false">IF('Price History'!A63="","",'Price History'!A63)</f>
        <v>45569</v>
      </c>
      <c r="B62" s="105" t="n">
        <f aca="false">IFERROR(IF(OR(NOT(ISNUMBER('Price History'!B63)),NOT(ISNUMBER('Price History'!B62)),'Price History'!B62=0),"",'Price History'!B63/'Price History'!B62-1),"")</f>
        <v>-0.0160239000543183</v>
      </c>
      <c r="C62" s="105" t="n">
        <f aca="false">IFERROR(IF(OR(NOT(ISNUMBER('Price History'!C63)),NOT(ISNUMBER('Price History'!C62)),'Price History'!C62=0),"",'Price History'!C63/'Price History'!C62-1),"")</f>
        <v>0.0412327758493742</v>
      </c>
      <c r="D62" s="105" t="n">
        <f aca="false">IFERROR(IF(OR(NOT(ISNUMBER('Price History'!D63)),NOT(ISNUMBER('Price History'!D62)),'Price History'!D62=0),"",'Price History'!D63/'Price History'!D62-1),"")</f>
        <v>-0.0101480618865413</v>
      </c>
      <c r="E62" s="105" t="n">
        <f aca="false">IFERROR(IF(OR(NOT(ISNUMBER('Price History'!E63)),NOT(ISNUMBER('Price History'!E62)),'Price History'!E62=0),"",'Price History'!E63/'Price History'!E62-1),"")</f>
        <v>0.0228733568822745</v>
      </c>
      <c r="F62" s="105" t="n">
        <f aca="false">IFERROR(IF(OR(NOT(ISNUMBER('Price History'!F63)),NOT(ISNUMBER('Price History'!F62)),'Price History'!F62=0),"",'Price History'!F63/'Price History'!F62-1),"")</f>
        <v>0.0222470966839234</v>
      </c>
      <c r="G62" s="105" t="n">
        <f aca="false">IFERROR(IF(OR(NOT(ISNUMBER('Price History'!G63)),NOT(ISNUMBER('Price History'!G62)),'Price History'!G62=0),"",'Price History'!G63/'Price History'!G62-1),"")</f>
        <v>0.00639059304703471</v>
      </c>
      <c r="H62" s="105" t="n">
        <f aca="false">IFERROR(IF(OR(NOT(ISNUMBER('Price History'!H63)),NOT(ISNUMBER('Price History'!H62)),'Price History'!H62=0),"",'Price History'!H63/'Price History'!H62-1),"")</f>
        <v>-0.0488372093023256</v>
      </c>
      <c r="I62" s="105" t="n">
        <f aca="false">IFERROR(IF(OR(NOT(ISNUMBER('Price History'!I63)),NOT(ISNUMBER('Price History'!I62)),'Price History'!I62=0),"",'Price History'!I63/'Price History'!I62-1),"")</f>
        <v>0.0289950576606259</v>
      </c>
      <c r="J62" s="105" t="n">
        <f aca="false">IFERROR(IF(OR(NOT(ISNUMBER('Price History'!J63)),NOT(ISNUMBER('Price History'!J62)),'Price History'!J62=0),"",'Price History'!J63/'Price History'!J62-1),"")</f>
        <v>-0.0252408631260451</v>
      </c>
      <c r="K62" s="105" t="n">
        <f aca="false">IFERROR(IF(OR(NOT(ISNUMBER('Price History'!K63)),NOT(ISNUMBER('Price History'!K62)),'Price History'!K62=0),"",'Price History'!K63/'Price History'!K62-1),"")</f>
        <v>0.0860477741585233</v>
      </c>
      <c r="L62" s="105" t="n">
        <f aca="false">IFERROR(IF(OR(NOT(ISNUMBER('Price History'!L63)),NOT(ISNUMBER('Price History'!L62)),'Price History'!L62=0),"",'Price History'!L63/'Price History'!L62-1),"")</f>
        <v>0.0179243692757207</v>
      </c>
      <c r="M62" s="105" t="n">
        <f aca="false">IFERROR(IF(OR(NOT(ISNUMBER('Price History'!M63)),NOT(ISNUMBER('Price History'!M62)),'Price History'!M62=0),"",'Price History'!M63/'Price History'!M62-1),"")</f>
        <v>0.0689970531450057</v>
      </c>
      <c r="N62" s="105" t="n">
        <f aca="false">IFERROR(IF(OR(NOT(ISNUMBER('Price History'!N63)),NOT(ISNUMBER('Price History'!N62)),'Price History'!N62=0),"",'Price History'!N63/'Price History'!N62-1),"")</f>
        <v>-0.0163541306602143</v>
      </c>
      <c r="O62" s="105" t="n">
        <f aca="false">IFERROR(IF(OR(NOT(ISNUMBER('Price History'!O63)),NOT(ISNUMBER('Price History'!O62)),'Price History'!O62=0),"",'Price History'!O63/'Price History'!O62-1),"")</f>
        <v>0.00282544997907075</v>
      </c>
      <c r="P62" s="105" t="str">
        <f aca="false">IFERROR(IF(OR(NOT(ISNUMBER('Price History'!P63)),NOT(ISNUMBER('Price History'!P62)),'Price History'!P62=0),"",'Price History'!P63/'Price History'!P62-1),"")</f>
        <v/>
      </c>
      <c r="Q62" s="105" t="n">
        <f aca="false">IFERROR(IF(OR(NOT(ISNUMBER('Price History'!Q63)),NOT(ISNUMBER('Price History'!Q62)),'Price History'!Q62=0),"",'Price History'!Q63/'Price History'!Q62-1),"")</f>
        <v>0.00755748512622612</v>
      </c>
      <c r="R62" s="105" t="n">
        <f aca="false">IFERROR(IF(OR(NOT(ISNUMBER('Price History'!R63)),NOT(ISNUMBER('Price History'!R62)),'Price History'!R62=0),"",'Price History'!R63/'Price History'!R62-1),"")</f>
        <v>-0.00784671532846715</v>
      </c>
      <c r="S62" s="105" t="n">
        <f aca="false">IFERROR(IF(OR(NOT(ISNUMBER('Price History'!S63)),NOT(ISNUMBER('Price History'!S62)),'Price History'!S62=0),"",'Price History'!S63/'Price History'!S62-1),"")</f>
        <v>0.0149435466017267</v>
      </c>
      <c r="T62" s="105" t="n">
        <f aca="false">IFERROR(IF(OR(NOT(ISNUMBER('Price History'!T63)),NOT(ISNUMBER('Price History'!T62)),'Price History'!T62=0),"",'Price History'!T63/'Price History'!T62-1),"")</f>
        <v>0.0186690755796446</v>
      </c>
      <c r="U62" s="105" t="str">
        <f aca="false">IFERROR(IF(OR(NOT(ISNUMBER('Price History'!U63)),NOT(ISNUMBER('Price History'!U62)),'Price History'!U62=0),"",'Price History'!U63/'Price History'!U62-1),"")</f>
        <v/>
      </c>
      <c r="V62" s="106" t="n">
        <f aca="false">IFERROR(IF(OR(NOT(ISNUMBER('Price History'!V63)),NOT(ISNUMBER('Price History'!V62)),'Price History'!V62=0),"",'Price History'!V63/'Price History'!V62-1),"")</f>
        <v>0.010033938320791</v>
      </c>
      <c r="W62" s="107" t="n">
        <f aca="false">'Price History'!B3+('Price History'!B158-'Price History'!B3)*0.383116883116883</f>
        <v>409.59051948052</v>
      </c>
      <c r="X62" s="107" t="n">
        <f aca="false">'Price History'!C3+('Price History'!C158-'Price History'!C3)*0.383116883116883</f>
        <v>96.0775974025974</v>
      </c>
      <c r="Y62" s="107" t="n">
        <f aca="false">'Price History'!D3+('Price History'!D158-'Price History'!D3)*0.383116883116883</f>
        <v>1032.33831168831</v>
      </c>
      <c r="Z62" s="107" t="n">
        <f aca="false">'Price History'!E3+('Price History'!E158-'Price History'!E3)*0.383116883116883</f>
        <v>200.328701298701</v>
      </c>
      <c r="AA62" s="107" t="n">
        <f aca="false">'Price History'!F3+('Price History'!F158-'Price History'!F3)*0.383116883116883</f>
        <v>95.9833766233766</v>
      </c>
      <c r="AB62" s="107" t="n">
        <f aca="false">'Price History'!G3+('Price History'!G158-'Price History'!G3)*0.383116883116883</f>
        <v>99.5901298701299</v>
      </c>
      <c r="AC62" s="107" t="n">
        <f aca="false">'Price History'!H3+('Price History'!H158-'Price History'!H3)*0.383116883116883</f>
        <v>355.025454545454</v>
      </c>
      <c r="AD62" s="107" t="n">
        <f aca="false">'Price History'!I3+('Price History'!I158-'Price History'!I3)*0.383116883116883</f>
        <v>102.11038961039</v>
      </c>
      <c r="AE62" s="107" t="n">
        <f aca="false">'Price History'!J3+('Price History'!J158-'Price History'!J3)*0.383116883116883</f>
        <v>131.593766233766</v>
      </c>
      <c r="AF62" s="107" t="n">
        <f aca="false">'Price History'!K3+('Price History'!K158-'Price History'!K3)*0.383116883116883</f>
        <v>56.6525324675325</v>
      </c>
      <c r="AG62" s="107" t="n">
        <f aca="false">'Price History'!L3+('Price History'!L158-'Price History'!L3)*0.383116883116883</f>
        <v>211.622077922078</v>
      </c>
      <c r="AH62" s="107" t="n">
        <f aca="false">'Price History'!M3+('Price History'!M158-'Price History'!M3)*0.383116883116883</f>
        <v>113.221298701299</v>
      </c>
      <c r="AI62" s="107" t="n">
        <f aca="false">'Price History'!N3+('Price History'!N158-'Price History'!N3)*0.383116883116883</f>
        <v>398.607792207792</v>
      </c>
      <c r="AJ62" s="107" t="n">
        <f aca="false">'Price History'!O3+('Price History'!O158-'Price History'!O3)*0.383116883116883</f>
        <v>99.1056493506493</v>
      </c>
      <c r="AK62" s="107" t="n">
        <f aca="false">'Price History'!Q3+('Price History'!Q151-'Price History'!Q3)*0.383116883116883</f>
        <v>56.9698051948052</v>
      </c>
      <c r="AL62" s="107" t="n">
        <f aca="false">'Price History'!R3+('Price History'!R158-'Price History'!R3)*0.383116883116883</f>
        <v>51.8159090909091</v>
      </c>
      <c r="AM62" s="107" t="n">
        <f aca="false">'Price History'!S3+('Price History'!S158-'Price History'!S3)*0.383116883116883</f>
        <v>91.216038961039</v>
      </c>
      <c r="AN62" s="107" t="n">
        <f aca="false">'Price History'!T3+('Price History'!T158-'Price History'!T3)*0.383116883116883</f>
        <v>35.6565584415584</v>
      </c>
    </row>
    <row r="63" customFormat="false" ht="15" hidden="false" customHeight="true" outlineLevel="0" collapsed="false">
      <c r="A63" s="104" t="n">
        <f aca="false">IF('Price History'!A64="","",'Price History'!A64)</f>
        <v>45576</v>
      </c>
      <c r="B63" s="105" t="n">
        <f aca="false">IFERROR(IF(OR(NOT(ISNUMBER('Price History'!B64)),NOT(ISNUMBER('Price History'!B63)),'Price History'!B63=0),"",'Price History'!B64/'Price History'!B63-1),"")</f>
        <v>-0.0232640668743346</v>
      </c>
      <c r="C63" s="105" t="n">
        <f aca="false">IFERROR(IF(OR(NOT(ISNUMBER('Price History'!C64)),NOT(ISNUMBER('Price History'!C63)),'Price History'!C63=0),"",'Price History'!C64/'Price History'!C63-1),"")</f>
        <v>0.0529346398626125</v>
      </c>
      <c r="D63" s="105" t="n">
        <f aca="false">IFERROR(IF(OR(NOT(ISNUMBER('Price History'!D64)),NOT(ISNUMBER('Price History'!D63)),'Price History'!D63=0),"",'Price History'!D64/'Price History'!D63-1),"")</f>
        <v>0.0092316926770708</v>
      </c>
      <c r="E63" s="105" t="n">
        <f aca="false">IFERROR(IF(OR(NOT(ISNUMBER('Price History'!E64)),NOT(ISNUMBER('Price History'!E63)),'Price History'!E63=0),"",'Price History'!E64/'Price History'!E63-1),"")</f>
        <v>0.0274003623188406</v>
      </c>
      <c r="F63" s="105" t="n">
        <f aca="false">IFERROR(IF(OR(NOT(ISNUMBER('Price History'!F64)),NOT(ISNUMBER('Price History'!F63)),'Price History'!F63=0),"",'Price History'!F64/'Price History'!F63-1),"")</f>
        <v>0.0956747878456064</v>
      </c>
      <c r="G63" s="105" t="n">
        <f aca="false">IFERROR(IF(OR(NOT(ISNUMBER('Price History'!G64)),NOT(ISNUMBER('Price History'!G63)),'Price History'!G63=0),"",'Price History'!G64/'Price History'!G63-1),"")</f>
        <v>0.020701041402083</v>
      </c>
      <c r="H63" s="105" t="n">
        <f aca="false">IFERROR(IF(OR(NOT(ISNUMBER('Price History'!H64)),NOT(ISNUMBER('Price History'!H63)),'Price History'!H63=0),"",'Price History'!H64/'Price History'!H63-1),"")</f>
        <v>0.0456723716381418</v>
      </c>
      <c r="I63" s="105" t="n">
        <f aca="false">IFERROR(IF(OR(NOT(ISNUMBER('Price History'!I64)),NOT(ISNUMBER('Price History'!I63)),'Price History'!I63=0),"",'Price History'!I64/'Price History'!I63-1),"")</f>
        <v>0.0790906179955173</v>
      </c>
      <c r="J63" s="105" t="n">
        <f aca="false">IFERROR(IF(OR(NOT(ISNUMBER('Price History'!J64)),NOT(ISNUMBER('Price History'!J63)),'Price History'!J63=0),"",'Price History'!J64/'Price History'!J63-1),"")</f>
        <v>-0.0178075477863094</v>
      </c>
      <c r="K63" s="105" t="n">
        <f aca="false">IFERROR(IF(OR(NOT(ISNUMBER('Price History'!K64)),NOT(ISNUMBER('Price History'!K63)),'Price History'!K63=0),"",'Price History'!K64/'Price History'!K63-1),"")</f>
        <v>0.0874781304673831</v>
      </c>
      <c r="L63" s="105" t="n">
        <f aca="false">IFERROR(IF(OR(NOT(ISNUMBER('Price History'!L64)),NOT(ISNUMBER('Price History'!L63)),'Price History'!L63=0),"",'Price History'!L64/'Price History'!L63-1),"")</f>
        <v>0.0532678295429454</v>
      </c>
      <c r="M63" s="105" t="n">
        <f aca="false">IFERROR(IF(OR(NOT(ISNUMBER('Price History'!M64)),NOT(ISNUMBER('Price History'!M63)),'Price History'!M63=0),"",'Price History'!M64/'Price History'!M63-1),"")</f>
        <v>0.0631178707224334</v>
      </c>
      <c r="N63" s="105" t="n">
        <f aca="false">IFERROR(IF(OR(NOT(ISNUMBER('Price History'!N64)),NOT(ISNUMBER('Price History'!N63)),'Price History'!N63=0),"",'Price History'!N64/'Price History'!N63-1),"")</f>
        <v>0.0579824734796073</v>
      </c>
      <c r="O63" s="105" t="n">
        <f aca="false">IFERROR(IF(OR(NOT(ISNUMBER('Price History'!O64)),NOT(ISNUMBER('Price History'!O63)),'Price History'!O63=0),"",'Price History'!O64/'Price History'!O63-1),"")</f>
        <v>0.0118960659501199</v>
      </c>
      <c r="P63" s="105" t="str">
        <f aca="false">IFERROR(IF(OR(NOT(ISNUMBER('Price History'!P64)),NOT(ISNUMBER('Price History'!P63)),'Price History'!P63=0),"",'Price History'!P64/'Price History'!P63-1),"")</f>
        <v/>
      </c>
      <c r="Q63" s="105" t="n">
        <f aca="false">IFERROR(IF(OR(NOT(ISNUMBER('Price History'!Q64)),NOT(ISNUMBER('Price History'!Q63)),'Price History'!Q63=0),"",'Price History'!Q64/'Price History'!Q63-1),"")</f>
        <v>0.00606447494414297</v>
      </c>
      <c r="R63" s="105" t="n">
        <f aca="false">IFERROR(IF(OR(NOT(ISNUMBER('Price History'!R64)),NOT(ISNUMBER('Price History'!R63)),'Price History'!R63=0),"",'Price History'!R64/'Price History'!R63-1),"")</f>
        <v>0.00901232297222743</v>
      </c>
      <c r="S63" s="105" t="n">
        <f aca="false">IFERROR(IF(OR(NOT(ISNUMBER('Price History'!S64)),NOT(ISNUMBER('Price History'!S63)),'Price History'!S63=0),"",'Price History'!S64/'Price History'!S63-1),"")</f>
        <v>0.021594503217363</v>
      </c>
      <c r="T63" s="105" t="n">
        <f aca="false">IFERROR(IF(OR(NOT(ISNUMBER('Price History'!T64)),NOT(ISNUMBER('Price History'!T63)),'Price History'!T63=0),"",'Price History'!T64/'Price History'!T63-1),"")</f>
        <v>0.00354714750221707</v>
      </c>
      <c r="U63" s="105" t="str">
        <f aca="false">IFERROR(IF(OR(NOT(ISNUMBER('Price History'!U64)),NOT(ISNUMBER('Price History'!U63)),'Price History'!U63=0),"",'Price History'!U64/'Price History'!U63-1),"")</f>
        <v/>
      </c>
      <c r="V63" s="106" t="n">
        <f aca="false">IFERROR(IF(OR(NOT(ISNUMBER('Price History'!V64)),NOT(ISNUMBER('Price History'!V63)),'Price History'!V63=0),"",'Price History'!V64/'Price History'!V63-1),"")</f>
        <v>-0.000328707085463953</v>
      </c>
      <c r="W63" s="107" t="n">
        <f aca="false">'Price History'!B3+('Price History'!B158-'Price History'!B3)*0.38961038961039</f>
        <v>407.914935064935</v>
      </c>
      <c r="X63" s="107" t="n">
        <f aca="false">'Price History'!C3+('Price History'!C158-'Price History'!C3)*0.38961038961039</f>
        <v>96.9646753246754</v>
      </c>
      <c r="Y63" s="107" t="n">
        <f aca="false">'Price History'!D3+('Price History'!D158-'Price History'!D3)*0.38961038961039</f>
        <v>1038.61896103896</v>
      </c>
      <c r="Z63" s="107" t="n">
        <f aca="false">'Price History'!E3+('Price History'!E158-'Price History'!E3)*0.38961038961039</f>
        <v>202.317662337662</v>
      </c>
      <c r="AA63" s="107" t="n">
        <f aca="false">'Price History'!F3+('Price History'!F158-'Price History'!F3)*0.38961038961039</f>
        <v>96.982077922078</v>
      </c>
      <c r="AB63" s="107" t="n">
        <f aca="false">'Price History'!G3+('Price History'!G158-'Price History'!G3)*0.38961038961039</f>
        <v>100.466233766234</v>
      </c>
      <c r="AC63" s="107" t="n">
        <f aca="false">'Price History'!H3+('Price History'!H158-'Price History'!H3)*0.38961038961039</f>
        <v>359.951818181819</v>
      </c>
      <c r="AD63" s="107" t="n">
        <f aca="false">'Price History'!I3+('Price History'!I158-'Price History'!I3)*0.38961038961039</f>
        <v>103.148701298701</v>
      </c>
      <c r="AE63" s="107" t="n">
        <f aca="false">'Price History'!J3+('Price History'!J158-'Price History'!J3)*0.38961038961039</f>
        <v>131.730779220779</v>
      </c>
      <c r="AF63" s="107" t="n">
        <f aca="false">'Price History'!K3+('Price History'!K158-'Price History'!K3)*0.38961038961039</f>
        <v>57.3515584415585</v>
      </c>
      <c r="AG63" s="107" t="n">
        <f aca="false">'Price History'!L3+('Price History'!L158-'Price History'!L3)*0.38961038961039</f>
        <v>213.64974025974</v>
      </c>
      <c r="AH63" s="107" t="n">
        <f aca="false">'Price History'!M3+('Price History'!M158-'Price History'!M3)*0.38961038961039</f>
        <v>114.572337662338</v>
      </c>
      <c r="AI63" s="107" t="n">
        <f aca="false">'Price History'!N3+('Price History'!N158-'Price History'!N3)*0.38961038961039</f>
        <v>399.434025974026</v>
      </c>
      <c r="AJ63" s="107" t="n">
        <f aca="false">'Price History'!O3+('Price History'!O158-'Price History'!O3)*0.38961038961039</f>
        <v>99.3811688311689</v>
      </c>
      <c r="AK63" s="107" t="n">
        <f aca="false">'Price History'!Q3+('Price History'!Q151-'Price History'!Q3)*0.38961038961039</f>
        <v>57.0906493506494</v>
      </c>
      <c r="AL63" s="107" t="n">
        <f aca="false">'Price History'!R3+('Price History'!R158-'Price History'!R3)*0.38961038961039</f>
        <v>51.8836363636364</v>
      </c>
      <c r="AM63" s="107" t="n">
        <f aca="false">'Price History'!S3+('Price History'!S158-'Price History'!S3)*0.38961038961039</f>
        <v>91.7698701298702</v>
      </c>
      <c r="AN63" s="107" t="n">
        <f aca="false">'Price History'!T3+('Price History'!T158-'Price History'!T3)*0.38961038961039</f>
        <v>35.8048051948052</v>
      </c>
    </row>
    <row r="64" customFormat="false" ht="15" hidden="false" customHeight="true" outlineLevel="0" collapsed="false">
      <c r="A64" s="104" t="n">
        <f aca="false">IF('Price History'!A65="","",'Price History'!A65)</f>
        <v>45583</v>
      </c>
      <c r="B64" s="105" t="n">
        <f aca="false">IFERROR(IF(OR(NOT(ISNUMBER('Price History'!B65)),NOT(ISNUMBER('Price History'!B64)),'Price History'!B64=0),"",'Price History'!B65/'Price History'!B64-1),"")</f>
        <v>-0.0010496144685318</v>
      </c>
      <c r="C64" s="105" t="n">
        <f aca="false">IFERROR(IF(OR(NOT(ISNUMBER('Price History'!C65)),NOT(ISNUMBER('Price History'!C64)),'Price History'!C64=0),"",'Price History'!C65/'Price History'!C64-1),"")</f>
        <v>-0.0357862419648853</v>
      </c>
      <c r="D64" s="105" t="n">
        <f aca="false">IFERROR(IF(OR(NOT(ISNUMBER('Price History'!D65)),NOT(ISNUMBER('Price History'!D64)),'Price History'!D64=0),"",'Price History'!D65/'Price History'!D64-1),"")</f>
        <v>-0.139682879539426</v>
      </c>
      <c r="E64" s="105" t="n">
        <f aca="false">IFERROR(IF(OR(NOT(ISNUMBER('Price History'!E65)),NOT(ISNUMBER('Price History'!E64)),'Price History'!E64=0),"",'Price History'!E65/'Price History'!E64-1),"")</f>
        <v>-0.00876129601057973</v>
      </c>
      <c r="F64" s="105" t="n">
        <f aca="false">IFERROR(IF(OR(NOT(ISNUMBER('Price History'!F65)),NOT(ISNUMBER('Price History'!F64)),'Price History'!F64=0),"",'Price History'!F65/'Price History'!F64-1),"")</f>
        <v>-0.0313554028732042</v>
      </c>
      <c r="G64" s="105" t="n">
        <f aca="false">IFERROR(IF(OR(NOT(ISNUMBER('Price History'!G65)),NOT(ISNUMBER('Price History'!G64)),'Price History'!G64=0),"",'Price History'!G65/'Price History'!G64-1),"")</f>
        <v>-0.155779519721289</v>
      </c>
      <c r="H64" s="105" t="n">
        <f aca="false">IFERROR(IF(OR(NOT(ISNUMBER('Price History'!H65)),NOT(ISNUMBER('Price History'!H64)),'Price History'!H64=0),"",'Price History'!H65/'Price History'!H64-1),"")</f>
        <v>0.0395622895622896</v>
      </c>
      <c r="I64" s="105" t="n">
        <f aca="false">IFERROR(IF(OR(NOT(ISNUMBER('Price History'!I65)),NOT(ISNUMBER('Price History'!I64)),'Price History'!I64=0),"",'Price History'!I65/'Price History'!I64-1),"")</f>
        <v>0.0237388724035608</v>
      </c>
      <c r="J64" s="105" t="n">
        <f aca="false">IFERROR(IF(OR(NOT(ISNUMBER('Price History'!J65)),NOT(ISNUMBER('Price History'!J64)),'Price History'!J64=0),"",'Price History'!J65/'Price History'!J64-1),"")</f>
        <v>0.0187957418496341</v>
      </c>
      <c r="K64" s="105" t="n">
        <f aca="false">IFERROR(IF(OR(NOT(ISNUMBER('Price History'!K65)),NOT(ISNUMBER('Price History'!K64)),'Price History'!K64=0),"",'Price History'!K65/'Price History'!K64-1),"")</f>
        <v>-0.01241094001379</v>
      </c>
      <c r="L64" s="105" t="n">
        <f aca="false">IFERROR(IF(OR(NOT(ISNUMBER('Price History'!L65)),NOT(ISNUMBER('Price History'!L64)),'Price History'!L64=0),"",'Price History'!L65/'Price History'!L64-1),"")</f>
        <v>0.052250930244746</v>
      </c>
      <c r="M64" s="105" t="n">
        <f aca="false">IFERROR(IF(OR(NOT(ISNUMBER('Price History'!M65)),NOT(ISNUMBER('Price History'!M64)),'Price History'!M64=0),"",'Price History'!M65/'Price History'!M64-1),"")</f>
        <v>0.00366595135908443</v>
      </c>
      <c r="N64" s="105" t="n">
        <f aca="false">IFERROR(IF(OR(NOT(ISNUMBER('Price History'!N65)),NOT(ISNUMBER('Price History'!N64)),'Price History'!N64=0),"",'Price History'!N65/'Price History'!N64-1),"")</f>
        <v>0.0026779597683253</v>
      </c>
      <c r="O64" s="105" t="n">
        <f aca="false">IFERROR(IF(OR(NOT(ISNUMBER('Price History'!O65)),NOT(ISNUMBER('Price History'!O64)),'Price History'!O64=0),"",'Price History'!O65/'Price History'!O64-1),"")</f>
        <v>0.0125812106837166</v>
      </c>
      <c r="P64" s="105" t="str">
        <f aca="false">IFERROR(IF(OR(NOT(ISNUMBER('Price History'!P65)),NOT(ISNUMBER('Price History'!P64)),'Price History'!P64=0),"",'Price History'!P65/'Price History'!P64-1),"")</f>
        <v/>
      </c>
      <c r="Q64" s="105" t="n">
        <f aca="false">IFERROR(IF(OR(NOT(ISNUMBER('Price History'!Q65)),NOT(ISNUMBER('Price History'!Q64)),'Price History'!Q64=0),"",'Price History'!Q65/'Price History'!Q64-1),"")</f>
        <v>0.00380710659898487</v>
      </c>
      <c r="R64" s="105" t="n">
        <f aca="false">IFERROR(IF(OR(NOT(ISNUMBER('Price History'!R65)),NOT(ISNUMBER('Price History'!R64)),'Price History'!R64=0),"",'Price History'!R65/'Price History'!R64-1),"")</f>
        <v>0.00747356908494345</v>
      </c>
      <c r="S64" s="105" t="n">
        <f aca="false">IFERROR(IF(OR(NOT(ISNUMBER('Price History'!S65)),NOT(ISNUMBER('Price History'!S64)),'Price History'!S64=0),"",'Price History'!S65/'Price History'!S64-1),"")</f>
        <v>0.00427031066510075</v>
      </c>
      <c r="T64" s="105" t="n">
        <f aca="false">IFERROR(IF(OR(NOT(ISNUMBER('Price History'!T65)),NOT(ISNUMBER('Price History'!T64)),'Price History'!T64=0),"",'Price History'!T65/'Price History'!T64-1),"")</f>
        <v>-0.00471281296023574</v>
      </c>
      <c r="U64" s="105" t="str">
        <f aca="false">IFERROR(IF(OR(NOT(ISNUMBER('Price History'!U65)),NOT(ISNUMBER('Price History'!U64)),'Price History'!U64=0),"",'Price History'!U65/'Price History'!U64-1),"")</f>
        <v/>
      </c>
      <c r="V64" s="106" t="n">
        <f aca="false">IFERROR(IF(OR(NOT(ISNUMBER('Price History'!V65)),NOT(ISNUMBER('Price History'!V64)),'Price History'!V64=0),"",'Price History'!V65/'Price History'!V64-1),"")</f>
        <v>0.0459975886887583</v>
      </c>
      <c r="W64" s="107" t="n">
        <f aca="false">'Price History'!B3+('Price History'!B158-'Price History'!B3)*0.396103896103896</f>
        <v>406.239350649351</v>
      </c>
      <c r="X64" s="107" t="n">
        <f aca="false">'Price History'!C3+('Price History'!C158-'Price History'!C3)*0.396103896103896</f>
        <v>97.8517532467532</v>
      </c>
      <c r="Y64" s="107" t="n">
        <f aca="false">'Price History'!D3+('Price History'!D158-'Price History'!D3)*0.396103896103896</f>
        <v>1044.89961038961</v>
      </c>
      <c r="Z64" s="107" t="n">
        <f aca="false">'Price History'!E3+('Price History'!E158-'Price History'!E3)*0.396103896103896</f>
        <v>204.306623376623</v>
      </c>
      <c r="AA64" s="107" t="n">
        <f aca="false">'Price History'!F3+('Price History'!F158-'Price History'!F3)*0.396103896103896</f>
        <v>97.9807792207792</v>
      </c>
      <c r="AB64" s="107" t="n">
        <f aca="false">'Price History'!G3+('Price History'!G158-'Price History'!G3)*0.396103896103896</f>
        <v>101.342337662338</v>
      </c>
      <c r="AC64" s="107" t="n">
        <f aca="false">'Price History'!H3+('Price History'!H158-'Price History'!H3)*0.396103896103896</f>
        <v>364.878181818182</v>
      </c>
      <c r="AD64" s="107" t="n">
        <f aca="false">'Price History'!I3+('Price History'!I158-'Price History'!I3)*0.396103896103896</f>
        <v>104.187012987013</v>
      </c>
      <c r="AE64" s="107" t="n">
        <f aca="false">'Price History'!J3+('Price History'!J158-'Price History'!J3)*0.396103896103896</f>
        <v>131.867792207792</v>
      </c>
      <c r="AF64" s="107" t="n">
        <f aca="false">'Price History'!K3+('Price History'!K158-'Price History'!K3)*0.396103896103896</f>
        <v>58.0505844155844</v>
      </c>
      <c r="AG64" s="107" t="n">
        <f aca="false">'Price History'!L3+('Price History'!L158-'Price History'!L3)*0.396103896103896</f>
        <v>215.677402597403</v>
      </c>
      <c r="AH64" s="107" t="n">
        <f aca="false">'Price History'!M3+('Price History'!M158-'Price History'!M3)*0.396103896103896</f>
        <v>115.923376623377</v>
      </c>
      <c r="AI64" s="107" t="n">
        <f aca="false">'Price History'!N3+('Price History'!N158-'Price History'!N3)*0.396103896103896</f>
        <v>400.26025974026</v>
      </c>
      <c r="AJ64" s="107" t="n">
        <f aca="false">'Price History'!O3+('Price History'!O158-'Price History'!O3)*0.396103896103896</f>
        <v>99.6566883116883</v>
      </c>
      <c r="AK64" s="107" t="n">
        <f aca="false">'Price History'!Q3+('Price History'!Q151-'Price History'!Q3)*0.396103896103896</f>
        <v>57.2114935064935</v>
      </c>
      <c r="AL64" s="107" t="n">
        <f aca="false">'Price History'!R3+('Price History'!R158-'Price History'!R3)*0.396103896103896</f>
        <v>51.9513636363636</v>
      </c>
      <c r="AM64" s="107" t="n">
        <f aca="false">'Price History'!S3+('Price History'!S158-'Price History'!S3)*0.396103896103896</f>
        <v>92.3237012987013</v>
      </c>
      <c r="AN64" s="107" t="n">
        <f aca="false">'Price History'!T3+('Price History'!T158-'Price History'!T3)*0.396103896103896</f>
        <v>35.953051948052</v>
      </c>
    </row>
    <row r="65" customFormat="false" ht="15" hidden="false" customHeight="true" outlineLevel="0" collapsed="false">
      <c r="A65" s="104" t="n">
        <f aca="false">IF('Price History'!A66="","",'Price History'!A66)</f>
        <v>45590</v>
      </c>
      <c r="B65" s="105" t="n">
        <f aca="false">IFERROR(IF(OR(NOT(ISNUMBER('Price History'!B66)),NOT(ISNUMBER('Price History'!B65)),'Price History'!B65=0),"",'Price History'!B66/'Price History'!B65-1),"")</f>
        <v>-0.0225904223075368</v>
      </c>
      <c r="C65" s="105" t="n">
        <f aca="false">IFERROR(IF(OR(NOT(ISNUMBER('Price History'!C66)),NOT(ISNUMBER('Price History'!C65)),'Price History'!C65=0),"",'Price History'!C66/'Price History'!C65-1),"")</f>
        <v>-0.0197014925373135</v>
      </c>
      <c r="D65" s="105" t="n">
        <f aca="false">IFERROR(IF(OR(NOT(ISNUMBER('Price History'!D66)),NOT(ISNUMBER('Price History'!D65)),'Price History'!D65=0),"",'Price History'!D66/'Price History'!D65-1),"")</f>
        <v>-0.0159831872355722</v>
      </c>
      <c r="E65" s="105" t="n">
        <f aca="false">IFERROR(IF(OR(NOT(ISNUMBER('Price History'!E66)),NOT(ISNUMBER('Price History'!E65)),'Price History'!E65=0),"",'Price History'!E66/'Price History'!E65-1),"")</f>
        <v>-0.0383011840569236</v>
      </c>
      <c r="F65" s="105" t="n">
        <f aca="false">IFERROR(IF(OR(NOT(ISNUMBER('Price History'!F66)),NOT(ISNUMBER('Price History'!F65)),'Price History'!F65=0),"",'Price History'!F66/'Price History'!F65-1),"")</f>
        <v>-0.0306938354397731</v>
      </c>
      <c r="G65" s="105" t="n">
        <f aca="false">IFERROR(IF(OR(NOT(ISNUMBER('Price History'!G66)),NOT(ISNUMBER('Price History'!G65)),'Price History'!G65=0),"",'Price History'!G66/'Price History'!G65-1),"")</f>
        <v>-0.0079587324981576</v>
      </c>
      <c r="H65" s="105" t="n">
        <f aca="false">IFERROR(IF(OR(NOT(ISNUMBER('Price History'!H66)),NOT(ISNUMBER('Price History'!H65)),'Price History'!H65=0),"",'Price History'!H66/'Price History'!H65-1),"")</f>
        <v>-0.0291497975708502</v>
      </c>
      <c r="I65" s="105" t="n">
        <f aca="false">IFERROR(IF(OR(NOT(ISNUMBER('Price History'!I66)),NOT(ISNUMBER('Price History'!I65)),'Price History'!I65=0),"",'Price History'!I66/'Price History'!I65-1),"")</f>
        <v>0.0256521739130435</v>
      </c>
      <c r="J65" s="105" t="n">
        <f aca="false">IFERROR(IF(OR(NOT(ISNUMBER('Price History'!J66)),NOT(ISNUMBER('Price History'!J65)),'Price History'!J65=0),"",'Price History'!J66/'Price History'!J65-1),"")</f>
        <v>-0.0404897959183673</v>
      </c>
      <c r="K65" s="105" t="n">
        <f aca="false">IFERROR(IF(OR(NOT(ISNUMBER('Price History'!K66)),NOT(ISNUMBER('Price History'!K65)),'Price History'!K65=0),"",'Price History'!K66/'Price History'!K65-1),"")</f>
        <v>0.0439841750058181</v>
      </c>
      <c r="L65" s="105" t="n">
        <f aca="false">IFERROR(IF(OR(NOT(ISNUMBER('Price History'!L66)),NOT(ISNUMBER('Price History'!L65)),'Price History'!L65=0),"",'Price History'!L66/'Price History'!L65-1),"")</f>
        <v>0.0132483315071221</v>
      </c>
      <c r="M65" s="105" t="n">
        <f aca="false">IFERROR(IF(OR(NOT(ISNUMBER('Price History'!M66)),NOT(ISNUMBER('Price History'!M65)),'Price History'!M65=0),"",'Price History'!M66/'Price History'!M65-1),"")</f>
        <v>-0.000712694877505582</v>
      </c>
      <c r="N65" s="105" t="n">
        <f aca="false">IFERROR(IF(OR(NOT(ISNUMBER('Price History'!N66)),NOT(ISNUMBER('Price History'!N65)),'Price History'!N65=0),"",'Price History'!N66/'Price History'!N65-1),"")</f>
        <v>-0.0109730848861284</v>
      </c>
      <c r="O65" s="105" t="n">
        <f aca="false">IFERROR(IF(OR(NOT(ISNUMBER('Price History'!O66)),NOT(ISNUMBER('Price History'!O65)),'Price History'!O65=0),"",'Price History'!O66/'Price History'!O65-1),"")</f>
        <v>-0.0333027803238619</v>
      </c>
      <c r="P65" s="105" t="str">
        <f aca="false">IFERROR(IF(OR(NOT(ISNUMBER('Price History'!P66)),NOT(ISNUMBER('Price History'!P65)),'Price History'!P65=0),"",'Price History'!P66/'Price History'!P65-1),"")</f>
        <v/>
      </c>
      <c r="Q65" s="105" t="n">
        <f aca="false">IFERROR(IF(OR(NOT(ISNUMBER('Price History'!Q66)),NOT(ISNUMBER('Price History'!Q65)),'Price History'!Q65=0),"",'Price History'!Q66/'Price History'!Q65-1),"")</f>
        <v>-0.00173830594184576</v>
      </c>
      <c r="R65" s="105" t="n">
        <f aca="false">IFERROR(IF(OR(NOT(ISNUMBER('Price History'!R66)),NOT(ISNUMBER('Price History'!R65)),'Price History'!R65=0),"",'Price History'!R66/'Price History'!R65-1),"")</f>
        <v>0.0023520897412701</v>
      </c>
      <c r="S65" s="105" t="n">
        <f aca="false">IFERROR(IF(OR(NOT(ISNUMBER('Price History'!S66)),NOT(ISNUMBER('Price History'!S65)),'Price History'!S65=0),"",'Price History'!S66/'Price History'!S65-1),"")</f>
        <v>-0.0146699266503667</v>
      </c>
      <c r="T65" s="105" t="n">
        <f aca="false">IFERROR(IF(OR(NOT(ISNUMBER('Price History'!T66)),NOT(ISNUMBER('Price History'!T65)),'Price History'!T65=0),"",'Price History'!T66/'Price History'!T65-1),"")</f>
        <v>-0.0192364604912696</v>
      </c>
      <c r="U65" s="105" t="str">
        <f aca="false">IFERROR(IF(OR(NOT(ISNUMBER('Price History'!U66)),NOT(ISNUMBER('Price History'!U65)),'Price History'!U65=0),"",'Price History'!U66/'Price History'!U65-1),"")</f>
        <v/>
      </c>
      <c r="V65" s="106" t="n">
        <f aca="false">IFERROR(IF(OR(NOT(ISNUMBER('Price History'!V66)),NOT(ISNUMBER('Price History'!V65)),'Price History'!V65=0),"",'Price History'!V66/'Price History'!V65-1),"")</f>
        <v>-0.030562347188264</v>
      </c>
      <c r="W65" s="107" t="n">
        <f aca="false">'Price History'!B3+('Price History'!B158-'Price History'!B3)*0.402597402597403</f>
        <v>404.563766233766</v>
      </c>
      <c r="X65" s="107" t="n">
        <f aca="false">'Price History'!C3+('Price History'!C158-'Price History'!C3)*0.402597402597403</f>
        <v>98.7388311688312</v>
      </c>
      <c r="Y65" s="107" t="n">
        <f aca="false">'Price History'!D3+('Price History'!D158-'Price History'!D3)*0.402597402597403</f>
        <v>1051.18025974026</v>
      </c>
      <c r="Z65" s="107" t="n">
        <f aca="false">'Price History'!E3+('Price History'!E158-'Price History'!E3)*0.402597402597403</f>
        <v>206.295584415585</v>
      </c>
      <c r="AA65" s="107" t="n">
        <f aca="false">'Price History'!F3+('Price History'!F158-'Price History'!F3)*0.402597402597403</f>
        <v>98.9794805194806</v>
      </c>
      <c r="AB65" s="107" t="n">
        <f aca="false">'Price History'!G3+('Price History'!G158-'Price History'!G3)*0.402597402597403</f>
        <v>102.218441558442</v>
      </c>
      <c r="AC65" s="107" t="n">
        <f aca="false">'Price History'!H3+('Price History'!H158-'Price History'!H3)*0.402597402597403</f>
        <v>369.804545454546</v>
      </c>
      <c r="AD65" s="107" t="n">
        <f aca="false">'Price History'!I3+('Price History'!I158-'Price History'!I3)*0.402597402597403</f>
        <v>105.225324675325</v>
      </c>
      <c r="AE65" s="107" t="n">
        <f aca="false">'Price History'!J3+('Price History'!J158-'Price History'!J3)*0.402597402597403</f>
        <v>132.004805194805</v>
      </c>
      <c r="AF65" s="107" t="n">
        <f aca="false">'Price History'!K3+('Price History'!K158-'Price History'!K3)*0.402597402597403</f>
        <v>58.7496103896104</v>
      </c>
      <c r="AG65" s="107" t="n">
        <f aca="false">'Price History'!L3+('Price History'!L158-'Price History'!L3)*0.402597402597403</f>
        <v>217.705064935065</v>
      </c>
      <c r="AH65" s="107" t="n">
        <f aca="false">'Price History'!M3+('Price History'!M158-'Price History'!M3)*0.402597402597403</f>
        <v>117.274415584416</v>
      </c>
      <c r="AI65" s="107" t="n">
        <f aca="false">'Price History'!N3+('Price History'!N158-'Price History'!N3)*0.402597402597403</f>
        <v>401.086493506494</v>
      </c>
      <c r="AJ65" s="107" t="n">
        <f aca="false">'Price History'!O3+('Price History'!O158-'Price History'!O3)*0.402597402597403</f>
        <v>99.9322077922078</v>
      </c>
      <c r="AK65" s="107" t="n">
        <f aca="false">'Price History'!Q3+('Price History'!Q151-'Price History'!Q3)*0.402597402597403</f>
        <v>57.3323376623377</v>
      </c>
      <c r="AL65" s="107" t="n">
        <f aca="false">'Price History'!R3+('Price History'!R158-'Price History'!R3)*0.402597402597403</f>
        <v>52.0190909090909</v>
      </c>
      <c r="AM65" s="107" t="n">
        <f aca="false">'Price History'!S3+('Price History'!S158-'Price History'!S3)*0.402597402597403</f>
        <v>92.8775324675325</v>
      </c>
      <c r="AN65" s="107" t="n">
        <f aca="false">'Price History'!T3+('Price History'!T158-'Price History'!T3)*0.402597402597403</f>
        <v>36.1012987012987</v>
      </c>
    </row>
    <row r="66" customFormat="false" ht="15" hidden="false" customHeight="true" outlineLevel="0" collapsed="false">
      <c r="A66" s="104" t="n">
        <f aca="false">IF('Price History'!A67="","",'Price History'!A67)</f>
        <v>45597</v>
      </c>
      <c r="B66" s="105" t="n">
        <f aca="false">IFERROR(IF(OR(NOT(ISNUMBER('Price History'!B67)),NOT(ISNUMBER('Price History'!B66)),'Price History'!B66=0),"",'Price History'!B67/'Price History'!B66-1),"")</f>
        <v>-0.00190192673447454</v>
      </c>
      <c r="C66" s="105" t="n">
        <f aca="false">IFERROR(IF(OR(NOT(ISNUMBER('Price History'!C67)),NOT(ISNUMBER('Price History'!C66)),'Price History'!C66=0),"",'Price History'!C67/'Price History'!C66-1),"")</f>
        <v>0.000203004466098333</v>
      </c>
      <c r="D66" s="105" t="n">
        <f aca="false">IFERROR(IF(OR(NOT(ISNUMBER('Price History'!D67)),NOT(ISNUMBER('Price History'!D66)),'Price History'!D66=0),"",'Price History'!D67/'Price History'!D66-1),"")</f>
        <v>-0.051946044681748</v>
      </c>
      <c r="E66" s="105" t="n">
        <f aca="false">IFERROR(IF(OR(NOT(ISNUMBER('Price History'!E67)),NOT(ISNUMBER('Price History'!E66)),'Price History'!E66=0),"",'Price History'!E67/'Price History'!E66-1),"")</f>
        <v>-0.0235838150289018</v>
      </c>
      <c r="F66" s="105" t="n">
        <f aca="false">IFERROR(IF(OR(NOT(ISNUMBER('Price History'!F67)),NOT(ISNUMBER('Price History'!F66)),'Price History'!F66=0),"",'Price History'!F67/'Price History'!F66-1),"")</f>
        <v>0.00824906865353925</v>
      </c>
      <c r="G66" s="105" t="n">
        <f aca="false">IFERROR(IF(OR(NOT(ISNUMBER('Price History'!G67)),NOT(ISNUMBER('Price History'!G66)),'Price History'!G66=0),"",'Price History'!G67/'Price History'!G66-1),"")</f>
        <v>-0.00549695439013531</v>
      </c>
      <c r="H66" s="105" t="n">
        <f aca="false">IFERROR(IF(OR(NOT(ISNUMBER('Price History'!H67)),NOT(ISNUMBER('Price History'!H66)),'Price History'!H66=0),"",'Price History'!H67/'Price History'!H66-1),"")</f>
        <v>-0.0758039106662959</v>
      </c>
      <c r="I66" s="105" t="n">
        <f aca="false">IFERROR(IF(OR(NOT(ISNUMBER('Price History'!I67)),NOT(ISNUMBER('Price History'!I66)),'Price History'!I66=0),"",'Price History'!I67/'Price History'!I66-1),"")</f>
        <v>-0.0433799632612688</v>
      </c>
      <c r="J66" s="105" t="n">
        <f aca="false">IFERROR(IF(OR(NOT(ISNUMBER('Price History'!J67)),NOT(ISNUMBER('Price History'!J66)),'Price History'!J66=0),"",'Price History'!J67/'Price History'!J66-1),"")</f>
        <v>-0.0352220520673813</v>
      </c>
      <c r="K66" s="105" t="n">
        <f aca="false">IFERROR(IF(OR(NOT(ISNUMBER('Price History'!K67)),NOT(ISNUMBER('Price History'!K66)),'Price History'!K66=0),"",'Price History'!K67/'Price History'!K66-1),"")</f>
        <v>-0.0655372269282211</v>
      </c>
      <c r="L66" s="105" t="n">
        <f aca="false">IFERROR(IF(OR(NOT(ISNUMBER('Price History'!L67)),NOT(ISNUMBER('Price History'!L66)),'Price History'!L66=0),"",'Price History'!L67/'Price History'!L66-1),"")</f>
        <v>-0.0515631144317735</v>
      </c>
      <c r="M66" s="105" t="n">
        <f aca="false">IFERROR(IF(OR(NOT(ISNUMBER('Price History'!M67)),NOT(ISNUMBER('Price History'!M66)),'Price History'!M66=0),"",'Price History'!M67/'Price History'!M66-1),"")</f>
        <v>-0.0469822590710528</v>
      </c>
      <c r="N66" s="105" t="n">
        <f aca="false">IFERROR(IF(OR(NOT(ISNUMBER('Price History'!N67)),NOT(ISNUMBER('Price History'!N66)),'Price History'!N66=0),"",'Price History'!N67/'Price History'!N66-1),"")</f>
        <v>-0.0137743353569185</v>
      </c>
      <c r="O66" s="105" t="n">
        <f aca="false">IFERROR(IF(OR(NOT(ISNUMBER('Price History'!O67)),NOT(ISNUMBER('Price History'!O66)),'Price History'!O66=0),"",'Price History'!O67/'Price History'!O66-1),"")</f>
        <v>-0.00242309313105782</v>
      </c>
      <c r="P66" s="105" t="str">
        <f aca="false">IFERROR(IF(OR(NOT(ISNUMBER('Price History'!P67)),NOT(ISNUMBER('Price History'!P66)),'Price History'!P66=0),"",'Price History'!P67/'Price History'!P66-1),"")</f>
        <v/>
      </c>
      <c r="Q66" s="105" t="n">
        <f aca="false">IFERROR(IF(OR(NOT(ISNUMBER('Price History'!Q67)),NOT(ISNUMBER('Price History'!Q66)),'Price History'!Q66=0),"",'Price History'!Q67/'Price History'!Q66-1),"")</f>
        <v>-0.0123476333702707</v>
      </c>
      <c r="R66" s="105" t="n">
        <f aca="false">IFERROR(IF(OR(NOT(ISNUMBER('Price History'!R67)),NOT(ISNUMBER('Price History'!R66)),'Price History'!R66=0),"",'Price History'!R67/'Price History'!R66-1),"")</f>
        <v>-0.0173285198555957</v>
      </c>
      <c r="S66" s="105" t="n">
        <f aca="false">IFERROR(IF(OR(NOT(ISNUMBER('Price History'!S67)),NOT(ISNUMBER('Price History'!S66)),'Price History'!S66=0),"",'Price History'!S67/'Price History'!S66-1),"")</f>
        <v>-0.0137015859315999</v>
      </c>
      <c r="T66" s="105" t="n">
        <f aca="false">IFERROR(IF(OR(NOT(ISNUMBER('Price History'!T67)),NOT(ISNUMBER('Price History'!T66)),'Price History'!T66=0),"",'Price History'!T67/'Price History'!T66-1),"")</f>
        <v>0.000603500301749937</v>
      </c>
      <c r="U66" s="105" t="str">
        <f aca="false">IFERROR(IF(OR(NOT(ISNUMBER('Price History'!U67)),NOT(ISNUMBER('Price History'!U66)),'Price History'!U66=0),"",'Price History'!U67/'Price History'!U66-1),"")</f>
        <v/>
      </c>
      <c r="V66" s="106" t="n">
        <f aca="false">IFERROR(IF(OR(NOT(ISNUMBER('Price History'!V67)),NOT(ISNUMBER('Price History'!V66)),'Price History'!V66=0),"",'Price History'!V67/'Price History'!V66-1),"")</f>
        <v>0.0319582057286976</v>
      </c>
      <c r="W66" s="107" t="n">
        <f aca="false">'Price History'!B3+('Price History'!B158-'Price History'!B3)*0.409090909090909</f>
        <v>402.888181818182</v>
      </c>
      <c r="X66" s="107" t="n">
        <f aca="false">'Price History'!C3+('Price History'!C158-'Price History'!C3)*0.409090909090909</f>
        <v>99.6259090909091</v>
      </c>
      <c r="Y66" s="107" t="n">
        <f aca="false">'Price History'!D3+('Price History'!D158-'Price History'!D3)*0.409090909090909</f>
        <v>1057.46090909091</v>
      </c>
      <c r="Z66" s="107" t="n">
        <f aca="false">'Price History'!E3+('Price History'!E158-'Price History'!E3)*0.409090909090909</f>
        <v>208.284545454545</v>
      </c>
      <c r="AA66" s="107" t="n">
        <f aca="false">'Price History'!F3+('Price History'!F158-'Price History'!F3)*0.409090909090909</f>
        <v>99.9781818181818</v>
      </c>
      <c r="AB66" s="107" t="n">
        <f aca="false">'Price History'!G3+('Price History'!G158-'Price History'!G3)*0.409090909090909</f>
        <v>103.094545454545</v>
      </c>
      <c r="AC66" s="107" t="n">
        <f aca="false">'Price History'!H3+('Price History'!H158-'Price History'!H3)*0.409090909090909</f>
        <v>374.730909090909</v>
      </c>
      <c r="AD66" s="107" t="n">
        <f aca="false">'Price History'!I3+('Price History'!I158-'Price History'!I3)*0.409090909090909</f>
        <v>106.263636363636</v>
      </c>
      <c r="AE66" s="107" t="n">
        <f aca="false">'Price History'!J3+('Price History'!J158-'Price History'!J3)*0.409090909090909</f>
        <v>132.141818181818</v>
      </c>
      <c r="AF66" s="107" t="n">
        <f aca="false">'Price History'!K3+('Price History'!K158-'Price History'!K3)*0.409090909090909</f>
        <v>59.4486363636364</v>
      </c>
      <c r="AG66" s="107" t="n">
        <f aca="false">'Price History'!L3+('Price History'!L158-'Price History'!L3)*0.409090909090909</f>
        <v>219.732727272727</v>
      </c>
      <c r="AH66" s="107" t="n">
        <f aca="false">'Price History'!M3+('Price History'!M158-'Price History'!M3)*0.409090909090909</f>
        <v>118.625454545455</v>
      </c>
      <c r="AI66" s="107" t="n">
        <f aca="false">'Price History'!N3+('Price History'!N158-'Price History'!N3)*0.409090909090909</f>
        <v>401.912727272727</v>
      </c>
      <c r="AJ66" s="107" t="n">
        <f aca="false">'Price History'!O3+('Price History'!O158-'Price History'!O3)*0.409090909090909</f>
        <v>100.207727272727</v>
      </c>
      <c r="AK66" s="107" t="n">
        <f aca="false">'Price History'!Q3+('Price History'!Q151-'Price History'!Q3)*0.409090909090909</f>
        <v>57.4531818181818</v>
      </c>
      <c r="AL66" s="107" t="n">
        <f aca="false">'Price History'!R3+('Price History'!R158-'Price History'!R3)*0.409090909090909</f>
        <v>52.0868181818182</v>
      </c>
      <c r="AM66" s="107" t="n">
        <f aca="false">'Price History'!S3+('Price History'!S158-'Price History'!S3)*0.409090909090909</f>
        <v>93.4313636363636</v>
      </c>
      <c r="AN66" s="107" t="n">
        <f aca="false">'Price History'!T3+('Price History'!T158-'Price History'!T3)*0.409090909090909</f>
        <v>36.2495454545455</v>
      </c>
    </row>
    <row r="67" customFormat="false" ht="15" hidden="false" customHeight="true" outlineLevel="0" collapsed="false">
      <c r="A67" s="104" t="n">
        <f aca="false">IF('Price History'!A68="","",'Price History'!A68)</f>
        <v>45604</v>
      </c>
      <c r="B67" s="105" t="n">
        <f aca="false">IFERROR(IF(OR(NOT(ISNUMBER('Price History'!B68)),NOT(ISNUMBER('Price History'!B67)),'Price History'!B67=0),"",'Price History'!B68/'Price History'!B67-1),"")</f>
        <v>0.0246064623032312</v>
      </c>
      <c r="C67" s="105" t="n">
        <f aca="false">IFERROR(IF(OR(NOT(ISNUMBER('Price History'!C68)),NOT(ISNUMBER('Price History'!C67)),'Price History'!C67=0),"",'Price History'!C68/'Price History'!C67-1),"")</f>
        <v>0.0159326161964684</v>
      </c>
      <c r="D67" s="105" t="n">
        <f aca="false">IFERROR(IF(OR(NOT(ISNUMBER('Price History'!D68)),NOT(ISNUMBER('Price History'!D67)),'Price History'!D67=0),"",'Price History'!D68/'Price History'!D67-1),"")</f>
        <v>-0.00779571087694331</v>
      </c>
      <c r="E67" s="105" t="n">
        <f aca="false">IFERROR(IF(OR(NOT(ISNUMBER('Price History'!E68)),NOT(ISNUMBER('Price History'!E67)),'Price History'!E67=0),"",'Price History'!E68/'Price History'!E67-1),"")</f>
        <v>0.0871418422922092</v>
      </c>
      <c r="F67" s="105" t="n">
        <f aca="false">IFERROR(IF(OR(NOT(ISNUMBER('Price History'!F68)),NOT(ISNUMBER('Price History'!F67)),'Price History'!F67=0),"",'Price History'!F68/'Price History'!F67-1),"")</f>
        <v>0.0888097123251519</v>
      </c>
      <c r="G67" s="105" t="n">
        <f aca="false">IFERROR(IF(OR(NOT(ISNUMBER('Price History'!G68)),NOT(ISNUMBER('Price History'!G67)),'Price History'!G67=0),"",'Price History'!G68/'Price History'!G67-1),"")</f>
        <v>0.0268897520167313</v>
      </c>
      <c r="H67" s="105" t="n">
        <f aca="false">IFERROR(IF(OR(NOT(ISNUMBER('Price History'!H68)),NOT(ISNUMBER('Price History'!H67)),'Price History'!H67=0),"",'Price History'!H68/'Price History'!H67-1),"")</f>
        <v>0.122029479594906</v>
      </c>
      <c r="I67" s="105" t="n">
        <f aca="false">IFERROR(IF(OR(NOT(ISNUMBER('Price History'!I68)),NOT(ISNUMBER('Price History'!I67)),'Price History'!I67=0),"",'Price History'!I68/'Price History'!I67-1),"")</f>
        <v>0.0903249630723781</v>
      </c>
      <c r="J67" s="105" t="n">
        <f aca="false">IFERROR(IF(OR(NOT(ISNUMBER('Price History'!J68)),NOT(ISNUMBER('Price History'!J67)),'Price History'!J67=0),"",'Price History'!J68/'Price History'!J67-1),"")</f>
        <v>0.0214285714285714</v>
      </c>
      <c r="K67" s="105" t="n">
        <f aca="false">IFERROR(IF(OR(NOT(ISNUMBER('Price History'!K68)),NOT(ISNUMBER('Price History'!K67)),'Price History'!K67=0),"",'Price History'!K68/'Price History'!K67-1),"")</f>
        <v>0.392891221374046</v>
      </c>
      <c r="L67" s="105" t="n">
        <f aca="false">IFERROR(IF(OR(NOT(ISNUMBER('Price History'!L68)),NOT(ISNUMBER('Price History'!L67)),'Price History'!L67=0),"",'Price History'!L68/'Price History'!L67-1),"")</f>
        <v>0.0427571909821198</v>
      </c>
      <c r="M67" s="105" t="n">
        <f aca="false">IFERROR(IF(OR(NOT(ISNUMBER('Price History'!M68)),NOT(ISNUMBER('Price History'!M67)),'Price History'!M67=0),"",'Price History'!M68/'Price History'!M67-1),"")</f>
        <v>0.176333021515435</v>
      </c>
      <c r="N67" s="105" t="n">
        <f aca="false">IFERROR(IF(OR(NOT(ISNUMBER('Price History'!N68)),NOT(ISNUMBER('Price History'!N67)),'Price History'!N67=0),"",'Price History'!N68/'Price History'!N67-1),"")</f>
        <v>0.0968330786211582</v>
      </c>
      <c r="O67" s="105" t="n">
        <f aca="false">IFERROR(IF(OR(NOT(ISNUMBER('Price History'!O68)),NOT(ISNUMBER('Price History'!O67)),'Price History'!O67=0),"",'Price History'!O68/'Price History'!O67-1),"")</f>
        <v>0.0886049213222093</v>
      </c>
      <c r="P67" s="105" t="str">
        <f aca="false">IFERROR(IF(OR(NOT(ISNUMBER('Price History'!P68)),NOT(ISNUMBER('Price History'!P67)),'Price History'!P67=0),"",'Price History'!P68/'Price History'!P67-1),"")</f>
        <v/>
      </c>
      <c r="Q67" s="105" t="n">
        <f aca="false">IFERROR(IF(OR(NOT(ISNUMBER('Price History'!Q68)),NOT(ISNUMBER('Price History'!Q67)),'Price History'!Q67=0),"",'Price History'!Q68/'Price History'!Q67-1),"")</f>
        <v>0.00416733450873541</v>
      </c>
      <c r="R67" s="105" t="n">
        <f aca="false">IFERROR(IF(OR(NOT(ISNUMBER('Price History'!R68)),NOT(ISNUMBER('Price History'!R67)),'Price History'!R67=0),"",'Price History'!R68/'Price History'!R67-1),"")</f>
        <v>0.038574577516532</v>
      </c>
      <c r="S67" s="105" t="n">
        <f aca="false">IFERROR(IF(OR(NOT(ISNUMBER('Price History'!S68)),NOT(ISNUMBER('Price History'!S67)),'Price History'!S67=0),"",'Price History'!S68/'Price History'!S67-1),"")</f>
        <v>0.0598337344126012</v>
      </c>
      <c r="T67" s="105" t="n">
        <f aca="false">IFERROR(IF(OR(NOT(ISNUMBER('Price History'!T68)),NOT(ISNUMBER('Price History'!T67)),'Price History'!T67=0),"",'Price History'!T68/'Price History'!T67-1),"")</f>
        <v>0.0775030156815439</v>
      </c>
      <c r="U67" s="105" t="str">
        <f aca="false">IFERROR(IF(OR(NOT(ISNUMBER('Price History'!U68)),NOT(ISNUMBER('Price History'!U67)),'Price History'!U67=0),"",'Price History'!U68/'Price History'!U67-1),"")</f>
        <v/>
      </c>
      <c r="V67" s="106" t="n">
        <f aca="false">IFERROR(IF(OR(NOT(ISNUMBER('Price History'!V68)),NOT(ISNUMBER('Price History'!V67)),'Price History'!V67=0),"",'Price History'!V68/'Price History'!V67-1),"")</f>
        <v>0.0589344319530758</v>
      </c>
      <c r="W67" s="107" t="n">
        <f aca="false">'Price History'!B3+('Price History'!B158-'Price History'!B3)*0.415584415584416</f>
        <v>401.212597402597</v>
      </c>
      <c r="X67" s="107" t="n">
        <f aca="false">'Price History'!C3+('Price History'!C158-'Price History'!C3)*0.415584415584416</f>
        <v>100.512987012987</v>
      </c>
      <c r="Y67" s="107" t="n">
        <f aca="false">'Price History'!D3+('Price History'!D158-'Price History'!D3)*0.415584415584416</f>
        <v>1063.74155844156</v>
      </c>
      <c r="Z67" s="107" t="n">
        <f aca="false">'Price History'!E3+('Price History'!E158-'Price History'!E3)*0.415584415584416</f>
        <v>210.273506493507</v>
      </c>
      <c r="AA67" s="107" t="n">
        <f aca="false">'Price History'!F3+('Price History'!F158-'Price History'!F3)*0.415584415584416</f>
        <v>100.976883116883</v>
      </c>
      <c r="AB67" s="107" t="n">
        <f aca="false">'Price History'!G3+('Price History'!G158-'Price History'!G3)*0.415584415584416</f>
        <v>103.970649350649</v>
      </c>
      <c r="AC67" s="107" t="n">
        <f aca="false">'Price History'!H3+('Price History'!H158-'Price History'!H3)*0.415584415584416</f>
        <v>379.657272727273</v>
      </c>
      <c r="AD67" s="107" t="n">
        <f aca="false">'Price History'!I3+('Price History'!I158-'Price History'!I3)*0.415584415584416</f>
        <v>107.301948051948</v>
      </c>
      <c r="AE67" s="107" t="n">
        <f aca="false">'Price History'!J3+('Price History'!J158-'Price History'!J3)*0.415584415584416</f>
        <v>132.278831168831</v>
      </c>
      <c r="AF67" s="107" t="n">
        <f aca="false">'Price History'!K3+('Price History'!K158-'Price History'!K3)*0.415584415584416</f>
        <v>60.1476623376624</v>
      </c>
      <c r="AG67" s="107" t="n">
        <f aca="false">'Price History'!L3+('Price History'!L158-'Price History'!L3)*0.415584415584416</f>
        <v>221.76038961039</v>
      </c>
      <c r="AH67" s="107" t="n">
        <f aca="false">'Price History'!M3+('Price History'!M158-'Price History'!M3)*0.415584415584416</f>
        <v>119.976493506494</v>
      </c>
      <c r="AI67" s="107" t="n">
        <f aca="false">'Price History'!N3+('Price History'!N158-'Price History'!N3)*0.415584415584416</f>
        <v>402.738961038961</v>
      </c>
      <c r="AJ67" s="107" t="n">
        <f aca="false">'Price History'!O3+('Price History'!O158-'Price History'!O3)*0.415584415584416</f>
        <v>100.483246753247</v>
      </c>
      <c r="AK67" s="107" t="n">
        <f aca="false">'Price History'!Q3+('Price History'!Q151-'Price History'!Q3)*0.415584415584416</f>
        <v>57.574025974026</v>
      </c>
      <c r="AL67" s="107" t="n">
        <f aca="false">'Price History'!R3+('Price History'!R158-'Price History'!R3)*0.415584415584416</f>
        <v>52.1545454545455</v>
      </c>
      <c r="AM67" s="107" t="n">
        <f aca="false">'Price History'!S3+('Price History'!S158-'Price History'!S3)*0.415584415584416</f>
        <v>93.9851948051949</v>
      </c>
      <c r="AN67" s="107" t="n">
        <f aca="false">'Price History'!T3+('Price History'!T158-'Price History'!T3)*0.415584415584416</f>
        <v>36.3977922077922</v>
      </c>
    </row>
    <row r="68" customFormat="false" ht="15" hidden="false" customHeight="true" outlineLevel="0" collapsed="false">
      <c r="A68" s="104" t="n">
        <f aca="false">IF('Price History'!A69="","",'Price History'!A69)</f>
        <v>45611</v>
      </c>
      <c r="B68" s="105" t="n">
        <f aca="false">IFERROR(IF(OR(NOT(ISNUMBER('Price History'!B69)),NOT(ISNUMBER('Price History'!B68)),'Price History'!B68=0),"",'Price History'!B69/'Price History'!B68-1),"")</f>
        <v>0.0175669119430744</v>
      </c>
      <c r="C68" s="105" t="n">
        <f aca="false">IFERROR(IF(OR(NOT(ISNUMBER('Price History'!C69)),NOT(ISNUMBER('Price History'!C68)),'Price History'!C68=0),"",'Price History'!C69/'Price History'!C68-1),"")</f>
        <v>-0.0650284686844471</v>
      </c>
      <c r="D68" s="105" t="n">
        <f aca="false">IFERROR(IF(OR(NOT(ISNUMBER('Price History'!D69)),NOT(ISNUMBER('Price History'!D68)),'Price History'!D68=0),"",'Price History'!D69/'Price History'!D68-1),"")</f>
        <v>-0.0161919130058106</v>
      </c>
      <c r="E68" s="105" t="n">
        <f aca="false">IFERROR(IF(OR(NOT(ISNUMBER('Price History'!E69)),NOT(ISNUMBER('Price History'!E68)),'Price History'!E68=0),"",'Price History'!E69/'Price History'!E68-1),"")</f>
        <v>-0.102374210411675</v>
      </c>
      <c r="F68" s="105" t="n">
        <f aca="false">IFERROR(IF(OR(NOT(ISNUMBER('Price History'!F69)),NOT(ISNUMBER('Price History'!F68)),'Price History'!F68=0),"",'Price History'!F69/'Price History'!F68-1),"")</f>
        <v>0.020361168343231</v>
      </c>
      <c r="G68" s="105" t="n">
        <f aca="false">IFERROR(IF(OR(NOT(ISNUMBER('Price History'!G69)),NOT(ISNUMBER('Price History'!G68)),'Price History'!G68=0),"",'Price History'!G69/'Price History'!G68-1),"")</f>
        <v>-0.106051789351178</v>
      </c>
      <c r="H68" s="105" t="n">
        <f aca="false">IFERROR(IF(OR(NOT(ISNUMBER('Price History'!H69)),NOT(ISNUMBER('Price History'!H68)),'Price History'!H68=0),"",'Price History'!H69/'Price History'!H68-1),"")</f>
        <v>-0.1390527256479</v>
      </c>
      <c r="I68" s="105" t="n">
        <f aca="false">IFERROR(IF(OR(NOT(ISNUMBER('Price History'!I69)),NOT(ISNUMBER('Price History'!I68)),'Price History'!I68=0),"",'Price History'!I69/'Price History'!I68-1),"")</f>
        <v>-0.0382713540608278</v>
      </c>
      <c r="J68" s="105" t="n">
        <f aca="false">IFERROR(IF(OR(NOT(ISNUMBER('Price History'!J69)),NOT(ISNUMBER('Price History'!J68)),'Price History'!J68=0),"",'Price History'!J69/'Price History'!J68-1),"")</f>
        <v>-0.0208063541396875</v>
      </c>
      <c r="K68" s="105" t="n">
        <f aca="false">IFERROR(IF(OR(NOT(ISNUMBER('Price History'!K69)),NOT(ISNUMBER('Price History'!K68)),'Price History'!K68=0),"",'Price History'!K69/'Price History'!K68-1),"")</f>
        <v>0.126391505394759</v>
      </c>
      <c r="L68" s="105" t="n">
        <f aca="false">IFERROR(IF(OR(NOT(ISNUMBER('Price History'!L69)),NOT(ISNUMBER('Price History'!L68)),'Price History'!L68=0),"",'Price History'!L69/'Price History'!L68-1),"")</f>
        <v>-0.0754970178926442</v>
      </c>
      <c r="M68" s="105" t="n">
        <f aca="false">IFERROR(IF(OR(NOT(ISNUMBER('Price History'!M69)),NOT(ISNUMBER('Price History'!M68)),'Price History'!M68=0),"",'Price History'!M69/'Price History'!M68-1),"")</f>
        <v>-0.038807157057654</v>
      </c>
      <c r="N68" s="105" t="n">
        <f aca="false">IFERROR(IF(OR(NOT(ISNUMBER('Price History'!N69)),NOT(ISNUMBER('Price History'!N68)),'Price History'!N68=0),"",'Price History'!N69/'Price History'!N68-1),"")</f>
        <v>-0.0987730773696637</v>
      </c>
      <c r="O68" s="105" t="n">
        <f aca="false">IFERROR(IF(OR(NOT(ISNUMBER('Price History'!O69)),NOT(ISNUMBER('Price History'!O68)),'Price History'!O68=0),"",'Price History'!O69/'Price History'!O68-1),"")</f>
        <v>-0.0194024058983314</v>
      </c>
      <c r="P68" s="105" t="str">
        <f aca="false">IFERROR(IF(OR(NOT(ISNUMBER('Price History'!P69)),NOT(ISNUMBER('Price History'!P68)),'Price History'!P68=0),"",'Price History'!P69/'Price History'!P68-1),"")</f>
        <v/>
      </c>
      <c r="Q68" s="105" t="n">
        <f aca="false">IFERROR(IF(OR(NOT(ISNUMBER('Price History'!Q69)),NOT(ISNUMBER('Price History'!Q68)),'Price History'!Q68=0),"",'Price History'!Q69/'Price History'!Q68-1),"")</f>
        <v>-0.00399042298483643</v>
      </c>
      <c r="R68" s="105" t="n">
        <f aca="false">IFERROR(IF(OR(NOT(ISNUMBER('Price History'!R69)),NOT(ISNUMBER('Price History'!R68)),'Price History'!R68=0),"",'Price History'!R69/'Price History'!R68-1),"")</f>
        <v>-0.0164485320127343</v>
      </c>
      <c r="S68" s="105" t="n">
        <f aca="false">IFERROR(IF(OR(NOT(ISNUMBER('Price History'!S69)),NOT(ISNUMBER('Price History'!S68)),'Price History'!S68=0),"",'Price History'!S69/'Price History'!S68-1),"")</f>
        <v>-0.030859737847043</v>
      </c>
      <c r="T68" s="105" t="n">
        <f aca="false">IFERROR(IF(OR(NOT(ISNUMBER('Price History'!T69)),NOT(ISNUMBER('Price History'!T68)),'Price History'!T68=0),"",'Price History'!T69/'Price History'!T68-1),"")</f>
        <v>-0.0153932269801287</v>
      </c>
      <c r="U68" s="105" t="str">
        <f aca="false">IFERROR(IF(OR(NOT(ISNUMBER('Price History'!U69)),NOT(ISNUMBER('Price History'!U68)),'Price History'!U68=0),"",'Price History'!U69/'Price History'!U68-1),"")</f>
        <v/>
      </c>
      <c r="V68" s="106" t="n">
        <f aca="false">IFERROR(IF(OR(NOT(ISNUMBER('Price History'!V69)),NOT(ISNUMBER('Price History'!V68)),'Price History'!V68=0),"",'Price History'!V69/'Price History'!V68-1),"")</f>
        <v>0.00764919221892524</v>
      </c>
      <c r="W68" s="107" t="n">
        <f aca="false">'Price History'!B3+('Price History'!B158-'Price History'!B3)*0.422077922077922</f>
        <v>399.537012987013</v>
      </c>
      <c r="X68" s="107" t="n">
        <f aca="false">'Price History'!C3+('Price History'!C158-'Price History'!C3)*0.422077922077922</f>
        <v>101.400064935065</v>
      </c>
      <c r="Y68" s="107" t="n">
        <f aca="false">'Price History'!D3+('Price History'!D158-'Price History'!D3)*0.422077922077922</f>
        <v>1070.02220779221</v>
      </c>
      <c r="Z68" s="107" t="n">
        <f aca="false">'Price History'!E3+('Price History'!E158-'Price History'!E3)*0.422077922077922</f>
        <v>212.262467532468</v>
      </c>
      <c r="AA68" s="107" t="n">
        <f aca="false">'Price History'!F3+('Price History'!F158-'Price History'!F3)*0.422077922077922</f>
        <v>101.975584415584</v>
      </c>
      <c r="AB68" s="107" t="n">
        <f aca="false">'Price History'!G3+('Price History'!G158-'Price History'!G3)*0.422077922077922</f>
        <v>104.846753246753</v>
      </c>
      <c r="AC68" s="107" t="n">
        <f aca="false">'Price History'!H3+('Price History'!H158-'Price History'!H3)*0.422077922077922</f>
        <v>384.583636363636</v>
      </c>
      <c r="AD68" s="107" t="n">
        <f aca="false">'Price History'!I3+('Price History'!I158-'Price History'!I3)*0.422077922077922</f>
        <v>108.34025974026</v>
      </c>
      <c r="AE68" s="107" t="n">
        <f aca="false">'Price History'!J3+('Price History'!J158-'Price History'!J3)*0.422077922077922</f>
        <v>132.415844155844</v>
      </c>
      <c r="AF68" s="107" t="n">
        <f aca="false">'Price History'!K3+('Price History'!K158-'Price History'!K3)*0.422077922077922</f>
        <v>60.8466883116883</v>
      </c>
      <c r="AG68" s="107" t="n">
        <f aca="false">'Price History'!L3+('Price History'!L158-'Price History'!L3)*0.422077922077922</f>
        <v>223.788051948052</v>
      </c>
      <c r="AH68" s="107" t="n">
        <f aca="false">'Price History'!M3+('Price History'!M158-'Price History'!M3)*0.422077922077922</f>
        <v>121.327532467532</v>
      </c>
      <c r="AI68" s="107" t="n">
        <f aca="false">'Price History'!N3+('Price History'!N158-'Price History'!N3)*0.422077922077922</f>
        <v>403.565194805195</v>
      </c>
      <c r="AJ68" s="107" t="n">
        <f aca="false">'Price History'!O3+('Price History'!O158-'Price History'!O3)*0.422077922077922</f>
        <v>100.758766233766</v>
      </c>
      <c r="AK68" s="107" t="n">
        <f aca="false">'Price History'!Q3+('Price History'!Q151-'Price History'!Q3)*0.422077922077922</f>
        <v>57.6948701298701</v>
      </c>
      <c r="AL68" s="107" t="n">
        <f aca="false">'Price History'!R3+('Price History'!R158-'Price History'!R3)*0.422077922077922</f>
        <v>52.2222727272727</v>
      </c>
      <c r="AM68" s="107" t="n">
        <f aca="false">'Price History'!S3+('Price History'!S158-'Price History'!S3)*0.422077922077922</f>
        <v>94.539025974026</v>
      </c>
      <c r="AN68" s="107" t="n">
        <f aca="false">'Price History'!T3+('Price History'!T158-'Price History'!T3)*0.422077922077922</f>
        <v>36.546038961039</v>
      </c>
    </row>
    <row r="69" customFormat="false" ht="15" hidden="false" customHeight="true" outlineLevel="0" collapsed="false">
      <c r="A69" s="104" t="n">
        <f aca="false">IF('Price History'!A70="","",'Price History'!A70)</f>
        <v>45618</v>
      </c>
      <c r="B69" s="105" t="n">
        <f aca="false">IFERROR(IF(OR(NOT(ISNUMBER('Price History'!B70)),NOT(ISNUMBER('Price History'!B69)),'Price History'!B69=0),"",'Price History'!B70/'Price History'!B69-1),"")</f>
        <v>0.0174424379680951</v>
      </c>
      <c r="C69" s="105" t="n">
        <f aca="false">IFERROR(IF(OR(NOT(ISNUMBER('Price History'!C70)),NOT(ISNUMBER('Price History'!C69)),'Price History'!C69=0),"",'Price History'!C70/'Price History'!C69-1),"")</f>
        <v>0.0856837606837608</v>
      </c>
      <c r="D69" s="105" t="n">
        <f aca="false">IFERROR(IF(OR(NOT(ISNUMBER('Price History'!D70)),NOT(ISNUMBER('Price History'!D69)),'Price History'!D69=0),"",'Price History'!D70/'Price History'!D69-1),"")</f>
        <v>0.0216358198077828</v>
      </c>
      <c r="E69" s="105" t="n">
        <f aca="false">IFERROR(IF(OR(NOT(ISNUMBER('Price History'!E70)),NOT(ISNUMBER('Price History'!E69)),'Price History'!E69=0),"",'Price History'!E70/'Price History'!E69-1),"")</f>
        <v>-0.00370055811696202</v>
      </c>
      <c r="F69" s="105" t="n">
        <f aca="false">IFERROR(IF(OR(NOT(ISNUMBER('Price History'!F70)),NOT(ISNUMBER('Price History'!F69)),'Price History'!F69=0),"",'Price History'!F70/'Price History'!F69-1),"")</f>
        <v>0.10547570970424</v>
      </c>
      <c r="G69" s="105" t="n">
        <f aca="false">IFERROR(IF(OR(NOT(ISNUMBER('Price History'!G70)),NOT(ISNUMBER('Price History'!G69)),'Price History'!G69=0),"",'Price History'!G70/'Price History'!G69-1),"")</f>
        <v>0.040846216436127</v>
      </c>
      <c r="H69" s="105" t="n">
        <f aca="false">IFERROR(IF(OR(NOT(ISNUMBER('Price History'!H70)),NOT(ISNUMBER('Price History'!H69)),'Price History'!H69=0),"",'Price History'!H70/'Price History'!H69-1),"")</f>
        <v>0.0653933983807349</v>
      </c>
      <c r="I69" s="105" t="n">
        <f aca="false">IFERROR(IF(OR(NOT(ISNUMBER('Price History'!I70)),NOT(ISNUMBER('Price History'!I69)),'Price History'!I69=0),"",'Price History'!I70/'Price History'!I69-1),"")</f>
        <v>-0.000211297365826146</v>
      </c>
      <c r="J69" s="105" t="n">
        <f aca="false">IFERROR(IF(OR(NOT(ISNUMBER('Price History'!J70)),NOT(ISNUMBER('Price History'!J69)),'Price History'!J69=0),"",'Price History'!J70/'Price History'!J69-1),"")</f>
        <v>0.0209839534473637</v>
      </c>
      <c r="K69" s="105" t="n">
        <f aca="false">IFERROR(IF(OR(NOT(ISNUMBER('Price History'!K70)),NOT(ISNUMBER('Price History'!K69)),'Price History'!K69=0),"",'Price History'!K70/'Price History'!K69-1),"")</f>
        <v>-0.0215903907556637</v>
      </c>
      <c r="L69" s="105" t="n">
        <f aca="false">IFERROR(IF(OR(NOT(ISNUMBER('Price History'!L70)),NOT(ISNUMBER('Price History'!L69)),'Price History'!L69=0),"",'Price History'!L70/'Price History'!L69-1),"")</f>
        <v>0.0218805440567713</v>
      </c>
      <c r="M69" s="105" t="n">
        <f aca="false">IFERROR(IF(OR(NOT(ISNUMBER('Price History'!M70)),NOT(ISNUMBER('Price History'!M69)),'Price History'!M69=0),"",'Price History'!M70/'Price History'!M69-1),"")</f>
        <v>0.159510217589145</v>
      </c>
      <c r="N69" s="105" t="n">
        <f aca="false">IFERROR(IF(OR(NOT(ISNUMBER('Price History'!N70)),NOT(ISNUMBER('Price History'!N69)),'Price History'!N69=0),"",'Price History'!N70/'Price History'!N69-1),"")</f>
        <v>-0.0316298045952329</v>
      </c>
      <c r="O69" s="105" t="n">
        <f aca="false">IFERROR(IF(OR(NOT(ISNUMBER('Price History'!O70)),NOT(ISNUMBER('Price History'!O69)),'Price History'!O69=0),"",'Price History'!O70/'Price History'!O69-1),"")</f>
        <v>0.0366046695686586</v>
      </c>
      <c r="P69" s="105" t="str">
        <f aca="false">IFERROR(IF(OR(NOT(ISNUMBER('Price History'!P70)),NOT(ISNUMBER('Price History'!P69)),'Price History'!P69=0),"",'Price History'!P70/'Price History'!P69-1),"")</f>
        <v/>
      </c>
      <c r="Q69" s="105" t="n">
        <f aca="false">IFERROR(IF(OR(NOT(ISNUMBER('Price History'!Q70)),NOT(ISNUMBER('Price History'!Q69)),'Price History'!Q69=0),"",'Price History'!Q70/'Price History'!Q69-1),"")</f>
        <v>-0.0121794871794871</v>
      </c>
      <c r="R69" s="105" t="n">
        <f aca="false">IFERROR(IF(OR(NOT(ISNUMBER('Price History'!R70)),NOT(ISNUMBER('Price History'!R69)),'Price History'!R69=0),"",'Price History'!R70/'Price History'!R69-1),"")</f>
        <v>0.0172630821794642</v>
      </c>
      <c r="S69" s="105" t="n">
        <f aca="false">IFERROR(IF(OR(NOT(ISNUMBER('Price History'!S70)),NOT(ISNUMBER('Price History'!S69)),'Price History'!S69=0),"",'Price History'!S70/'Price History'!S69-1),"")</f>
        <v>0.0178913738019169</v>
      </c>
      <c r="T69" s="105" t="n">
        <f aca="false">IFERROR(IF(OR(NOT(ISNUMBER('Price History'!T70)),NOT(ISNUMBER('Price History'!T69)),'Price History'!T69=0),"",'Price History'!T70/'Price History'!T69-1),"")</f>
        <v>0.0386583285957931</v>
      </c>
      <c r="U69" s="105" t="str">
        <f aca="false">IFERROR(IF(OR(NOT(ISNUMBER('Price History'!U70)),NOT(ISNUMBER('Price History'!U69)),'Price History'!U69=0),"",'Price History'!U70/'Price History'!U69-1),"")</f>
        <v/>
      </c>
      <c r="V69" s="106" t="n">
        <f aca="false">IFERROR(IF(OR(NOT(ISNUMBER('Price History'!V70)),NOT(ISNUMBER('Price History'!V69)),'Price History'!V69=0),"",'Price History'!V70/'Price History'!V69-1),"")</f>
        <v>0.000916170407695649</v>
      </c>
      <c r="W69" s="107" t="n">
        <f aca="false">'Price History'!B3+('Price History'!B158-'Price History'!B3)*0.428571428571429</f>
        <v>397.861428571428</v>
      </c>
      <c r="X69" s="107" t="n">
        <f aca="false">'Price History'!C3+('Price History'!C158-'Price History'!C3)*0.428571428571429</f>
        <v>102.287142857143</v>
      </c>
      <c r="Y69" s="107" t="n">
        <f aca="false">'Price History'!D3+('Price History'!D158-'Price History'!D3)*0.428571428571429</f>
        <v>1076.30285714286</v>
      </c>
      <c r="Z69" s="107" t="n">
        <f aca="false">'Price History'!E3+('Price History'!E158-'Price History'!E3)*0.428571428571429</f>
        <v>214.251428571429</v>
      </c>
      <c r="AA69" s="107" t="n">
        <f aca="false">'Price History'!F3+('Price History'!F158-'Price History'!F3)*0.428571428571429</f>
        <v>102.974285714286</v>
      </c>
      <c r="AB69" s="107" t="n">
        <f aca="false">'Price History'!G3+('Price History'!G158-'Price History'!G3)*0.428571428571429</f>
        <v>105.722857142857</v>
      </c>
      <c r="AC69" s="107" t="n">
        <f aca="false">'Price History'!H3+('Price History'!H158-'Price History'!H3)*0.428571428571429</f>
        <v>389.51</v>
      </c>
      <c r="AD69" s="107" t="n">
        <f aca="false">'Price History'!I3+('Price History'!I158-'Price History'!I3)*0.428571428571429</f>
        <v>109.378571428571</v>
      </c>
      <c r="AE69" s="107" t="n">
        <f aca="false">'Price History'!J3+('Price History'!J158-'Price History'!J3)*0.428571428571429</f>
        <v>132.552857142857</v>
      </c>
      <c r="AF69" s="107" t="n">
        <f aca="false">'Price History'!K3+('Price History'!K158-'Price History'!K3)*0.428571428571429</f>
        <v>61.5457142857143</v>
      </c>
      <c r="AG69" s="107" t="n">
        <f aca="false">'Price History'!L3+('Price History'!L158-'Price History'!L3)*0.428571428571429</f>
        <v>225.815714285714</v>
      </c>
      <c r="AH69" s="107" t="n">
        <f aca="false">'Price History'!M3+('Price History'!M158-'Price History'!M3)*0.428571428571429</f>
        <v>122.678571428572</v>
      </c>
      <c r="AI69" s="107" t="n">
        <f aca="false">'Price History'!N3+('Price History'!N158-'Price History'!N3)*0.428571428571429</f>
        <v>404.391428571429</v>
      </c>
      <c r="AJ69" s="107" t="n">
        <f aca="false">'Price History'!O3+('Price History'!O158-'Price History'!O3)*0.428571428571429</f>
        <v>101.034285714286</v>
      </c>
      <c r="AK69" s="107" t="n">
        <f aca="false">'Price History'!Q3+('Price History'!Q151-'Price History'!Q3)*0.428571428571429</f>
        <v>57.8157142857143</v>
      </c>
      <c r="AL69" s="107" t="n">
        <f aca="false">'Price History'!R3+('Price History'!R158-'Price History'!R3)*0.428571428571429</f>
        <v>52.29</v>
      </c>
      <c r="AM69" s="107" t="n">
        <f aca="false">'Price History'!S3+('Price History'!S158-'Price History'!S3)*0.428571428571429</f>
        <v>95.0928571428572</v>
      </c>
      <c r="AN69" s="107" t="n">
        <f aca="false">'Price History'!T3+('Price History'!T158-'Price History'!T3)*0.428571428571429</f>
        <v>36.6942857142857</v>
      </c>
    </row>
    <row r="70" customFormat="false" ht="15" hidden="false" customHeight="true" outlineLevel="0" collapsed="false">
      <c r="A70" s="104" t="n">
        <f aca="false">IF('Price History'!A71="","",'Price History'!A71)</f>
        <v>45625</v>
      </c>
      <c r="B70" s="105" t="n">
        <f aca="false">IFERROR(IF(OR(NOT(ISNUMBER('Price History'!B71)),NOT(ISNUMBER('Price History'!B70)),'Price History'!B70=0),"",'Price History'!B71/'Price History'!B70-1),"")</f>
        <v>0.00738065020013656</v>
      </c>
      <c r="C70" s="105" t="n">
        <f aca="false">IFERROR(IF(OR(NOT(ISNUMBER('Price History'!C71)),NOT(ISNUMBER('Price History'!C70)),'Price History'!C70=0),"",'Price History'!C71/'Price History'!C70-1),"")</f>
        <v>-0.00157449320999814</v>
      </c>
      <c r="D70" s="105" t="n">
        <f aca="false">IFERROR(IF(OR(NOT(ISNUMBER('Price History'!D71)),NOT(ISNUMBER('Price History'!D70)),'Price History'!D70=0),"",'Price History'!D71/'Price History'!D70-1),"")</f>
        <v>0.0204048270122459</v>
      </c>
      <c r="E70" s="105" t="n">
        <f aca="false">IFERROR(IF(OR(NOT(ISNUMBER('Price History'!E71)),NOT(ISNUMBER('Price History'!E70)),'Price History'!E70=0),"",'Price History'!E71/'Price History'!E70-1),"")</f>
        <v>-0.0130913962126284</v>
      </c>
      <c r="F70" s="105" t="n">
        <f aca="false">IFERROR(IF(OR(NOT(ISNUMBER('Price History'!F71)),NOT(ISNUMBER('Price History'!F70)),'Price History'!F70=0),"",'Price History'!F71/'Price History'!F70-1),"")</f>
        <v>-0.070699473514559</v>
      </c>
      <c r="G70" s="105" t="n">
        <f aca="false">IFERROR(IF(OR(NOT(ISNUMBER('Price History'!G71)),NOT(ISNUMBER('Price History'!G70)),'Price History'!G70=0),"",'Price History'!G71/'Price History'!G70-1),"")</f>
        <v>0.0115697310819263</v>
      </c>
      <c r="H70" s="105" t="n">
        <f aca="false">IFERROR(IF(OR(NOT(ISNUMBER('Price History'!H71)),NOT(ISNUMBER('Price History'!H70)),'Price History'!H70=0),"",'Price History'!H71/'Price History'!H70-1),"")</f>
        <v>-0.0456936866718628</v>
      </c>
      <c r="I70" s="105" t="n">
        <f aca="false">IFERROR(IF(OR(NOT(ISNUMBER('Price History'!I71)),NOT(ISNUMBER('Price History'!I70)),'Price History'!I70=0),"",'Price History'!I71/'Price History'!I70-1),"")</f>
        <v>-0.0260655160267699</v>
      </c>
      <c r="J70" s="105" t="n">
        <f aca="false">IFERROR(IF(OR(NOT(ISNUMBER('Price History'!J71)),NOT(ISNUMBER('Price History'!J70)),'Price History'!J70=0),"",'Price History'!J71/'Price History'!J70-1),"")</f>
        <v>0.00846286701208987</v>
      </c>
      <c r="K70" s="105" t="n">
        <f aca="false">IFERROR(IF(OR(NOT(ISNUMBER('Price History'!K71)),NOT(ISNUMBER('Price History'!K70)),'Price History'!K70=0),"",'Price History'!K71/'Price History'!K70-1),"")</f>
        <v>0.0424242424242425</v>
      </c>
      <c r="L70" s="105" t="n">
        <f aca="false">IFERROR(IF(OR(NOT(ISNUMBER('Price History'!L71)),NOT(ISNUMBER('Price History'!L70)),'Price History'!L70=0),"",'Price History'!L71/'Price History'!L70-1),"")</f>
        <v>-0.0285143097643098</v>
      </c>
      <c r="M70" s="105" t="n">
        <f aca="false">IFERROR(IF(OR(NOT(ISNUMBER('Price History'!M71)),NOT(ISNUMBER('Price History'!M70)),'Price History'!M70=0),"",'Price History'!M71/'Price History'!M70-1),"")</f>
        <v>-0.0895469140206922</v>
      </c>
      <c r="N70" s="105" t="n">
        <f aca="false">IFERROR(IF(OR(NOT(ISNUMBER('Price History'!N71)),NOT(ISNUMBER('Price History'!N70)),'Price History'!N70=0),"",'Price History'!N71/'Price History'!N70-1),"")</f>
        <v>0.0380513116171806</v>
      </c>
      <c r="O70" s="105" t="n">
        <f aca="false">IFERROR(IF(OR(NOT(ISNUMBER('Price History'!O71)),NOT(ISNUMBER('Price History'!O70)),'Price History'!O70=0),"",'Price History'!O71/'Price History'!O70-1),"")</f>
        <v>0.00677610230960091</v>
      </c>
      <c r="P70" s="105" t="str">
        <f aca="false">IFERROR(IF(OR(NOT(ISNUMBER('Price History'!P71)),NOT(ISNUMBER('Price History'!P70)),'Price History'!P70=0),"",'Price History'!P71/'Price History'!P70-1),"")</f>
        <v/>
      </c>
      <c r="Q70" s="105" t="n">
        <f aca="false">IFERROR(IF(OR(NOT(ISNUMBER('Price History'!Q71)),NOT(ISNUMBER('Price History'!Q70)),'Price History'!Q70=0),"",'Price History'!Q71/'Price History'!Q70-1),"")</f>
        <v>0.0171966255678131</v>
      </c>
      <c r="R70" s="105" t="n">
        <f aca="false">IFERROR(IF(OR(NOT(ISNUMBER('Price History'!R71)),NOT(ISNUMBER('Price History'!R70)),'Price History'!R70=0),"",'Price History'!R71/'Price History'!R70-1),"")</f>
        <v>0.00919215131695261</v>
      </c>
      <c r="S70" s="105" t="n">
        <f aca="false">IFERROR(IF(OR(NOT(ISNUMBER('Price History'!S71)),NOT(ISNUMBER('Price History'!S70)),'Price History'!S70=0),"",'Price History'!S71/'Price History'!S70-1),"")</f>
        <v>0.0130780498012137</v>
      </c>
      <c r="T70" s="105" t="n">
        <f aca="false">IFERROR(IF(OR(NOT(ISNUMBER('Price History'!T71)),NOT(ISNUMBER('Price History'!T70)),'Price History'!T70=0),"",'Price History'!T71/'Price History'!T70-1),"")</f>
        <v>0.00191570881226055</v>
      </c>
      <c r="U70" s="105" t="str">
        <f aca="false">IFERROR(IF(OR(NOT(ISNUMBER('Price History'!U71)),NOT(ISNUMBER('Price History'!U70)),'Price History'!U70=0),"",'Price History'!U71/'Price History'!U70-1),"")</f>
        <v/>
      </c>
      <c r="V70" s="106" t="n">
        <f aca="false">IFERROR(IF(OR(NOT(ISNUMBER('Price History'!V71)),NOT(ISNUMBER('Price History'!V70)),'Price History'!V70=0),"",'Price History'!V71/'Price History'!V70-1),"")</f>
        <v>0.0166394246485782</v>
      </c>
      <c r="W70" s="107" t="n">
        <f aca="false">'Price History'!B3+('Price History'!B158-'Price History'!B3)*0.435064935064935</f>
        <v>396.185844155844</v>
      </c>
      <c r="X70" s="107" t="n">
        <f aca="false">'Price History'!C3+('Price History'!C158-'Price History'!C3)*0.435064935064935</f>
        <v>103.174220779221</v>
      </c>
      <c r="Y70" s="107" t="n">
        <f aca="false">'Price History'!D3+('Price History'!D158-'Price History'!D3)*0.435064935064935</f>
        <v>1082.58350649351</v>
      </c>
      <c r="Z70" s="107" t="n">
        <f aca="false">'Price History'!E3+('Price History'!E158-'Price History'!E3)*0.435064935064935</f>
        <v>216.24038961039</v>
      </c>
      <c r="AA70" s="107" t="n">
        <f aca="false">'Price History'!F3+('Price History'!F158-'Price History'!F3)*0.435064935064935</f>
        <v>103.972987012987</v>
      </c>
      <c r="AB70" s="107" t="n">
        <f aca="false">'Price History'!G3+('Price History'!G158-'Price History'!G3)*0.435064935064935</f>
        <v>106.598961038961</v>
      </c>
      <c r="AC70" s="107" t="n">
        <f aca="false">'Price History'!H3+('Price History'!H158-'Price History'!H3)*0.435064935064935</f>
        <v>394.436363636364</v>
      </c>
      <c r="AD70" s="107" t="n">
        <f aca="false">'Price History'!I3+('Price History'!I158-'Price History'!I3)*0.435064935064935</f>
        <v>110.416883116883</v>
      </c>
      <c r="AE70" s="107" t="n">
        <f aca="false">'Price History'!J3+('Price History'!J158-'Price History'!J3)*0.435064935064935</f>
        <v>132.68987012987</v>
      </c>
      <c r="AF70" s="107" t="n">
        <f aca="false">'Price History'!K3+('Price History'!K158-'Price History'!K3)*0.435064935064935</f>
        <v>62.2447402597403</v>
      </c>
      <c r="AG70" s="107" t="n">
        <f aca="false">'Price History'!L3+('Price History'!L158-'Price History'!L3)*0.435064935064935</f>
        <v>227.843376623377</v>
      </c>
      <c r="AH70" s="107" t="n">
        <f aca="false">'Price History'!M3+('Price History'!M158-'Price History'!M3)*0.435064935064935</f>
        <v>124.02961038961</v>
      </c>
      <c r="AI70" s="107" t="n">
        <f aca="false">'Price History'!N3+('Price History'!N158-'Price History'!N3)*0.435064935064935</f>
        <v>405.217662337662</v>
      </c>
      <c r="AJ70" s="107" t="n">
        <f aca="false">'Price History'!O3+('Price History'!O158-'Price History'!O3)*0.435064935064935</f>
        <v>101.309805194805</v>
      </c>
      <c r="AK70" s="107" t="n">
        <f aca="false">'Price History'!Q3+('Price History'!Q151-'Price History'!Q3)*0.435064935064935</f>
        <v>57.9365584415585</v>
      </c>
      <c r="AL70" s="107" t="n">
        <f aca="false">'Price History'!R3+('Price History'!R158-'Price History'!R3)*0.435064935064935</f>
        <v>52.3577272727273</v>
      </c>
      <c r="AM70" s="107" t="n">
        <f aca="false">'Price History'!S3+('Price History'!S158-'Price History'!S3)*0.435064935064935</f>
        <v>95.6466883116883</v>
      </c>
      <c r="AN70" s="107" t="n">
        <f aca="false">'Price History'!T3+('Price History'!T158-'Price History'!T3)*0.435064935064935</f>
        <v>36.8425324675325</v>
      </c>
    </row>
    <row r="71" customFormat="false" ht="15" hidden="false" customHeight="true" outlineLevel="0" collapsed="false">
      <c r="A71" s="104" t="n">
        <f aca="false">IF('Price History'!A72="","",'Price History'!A72)</f>
        <v>45632</v>
      </c>
      <c r="B71" s="105" t="n">
        <f aca="false">IFERROR(IF(OR(NOT(ISNUMBER('Price History'!B72)),NOT(ISNUMBER('Price History'!B71)),'Price History'!B71=0),"",'Price History'!B72/'Price History'!B71-1),"")</f>
        <v>0.0717733025798075</v>
      </c>
      <c r="C71" s="105" t="n">
        <f aca="false">IFERROR(IF(OR(NOT(ISNUMBER('Price History'!C72)),NOT(ISNUMBER('Price History'!C71)),'Price History'!C71=0),"",'Price History'!C72/'Price History'!C71-1),"")</f>
        <v>0.0669229252907551</v>
      </c>
      <c r="D71" s="105" t="n">
        <f aca="false">IFERROR(IF(OR(NOT(ISNUMBER('Price History'!D72)),NOT(ISNUMBER('Price History'!D71)),'Price History'!D71=0),"",'Price History'!D72/'Price History'!D71-1),"")</f>
        <v>0.0325803585732802</v>
      </c>
      <c r="E71" s="105" t="n">
        <f aca="false">IFERROR(IF(OR(NOT(ISNUMBER('Price History'!E72)),NOT(ISNUMBER('Price History'!E71)),'Price History'!E71=0),"",'Price History'!E72/'Price History'!E71-1),"")</f>
        <v>0.107662882527147</v>
      </c>
      <c r="F71" s="105" t="n">
        <f aca="false">IFERROR(IF(OR(NOT(ISNUMBER('Price History'!F72)),NOT(ISNUMBER('Price History'!F71)),'Price History'!F71=0),"",'Price History'!F72/'Price History'!F71-1),"")</f>
        <v>0.0568851890391953</v>
      </c>
      <c r="G71" s="105" t="n">
        <f aca="false">IFERROR(IF(OR(NOT(ISNUMBER('Price History'!G72)),NOT(ISNUMBER('Price History'!G71)),'Price History'!G71=0),"",'Price History'!G72/'Price History'!G71-1),"")</f>
        <v>0.00200927357032454</v>
      </c>
      <c r="H71" s="105" t="n">
        <f aca="false">IFERROR(IF(OR(NOT(ISNUMBER('Price History'!H72)),NOT(ISNUMBER('Price History'!H71)),'Price History'!H71=0),"",'Price History'!H72/'Price History'!H71-1),"")</f>
        <v>0.0328739152628892</v>
      </c>
      <c r="I71" s="105" t="n">
        <f aca="false">IFERROR(IF(OR(NOT(ISNUMBER('Price History'!I72)),NOT(ISNUMBER('Price History'!I71)),'Price History'!I71=0),"",'Price History'!I72/'Price History'!I71-1),"")</f>
        <v>0.0303074141048825</v>
      </c>
      <c r="J71" s="105" t="n">
        <f aca="false">IFERROR(IF(OR(NOT(ISNUMBER('Price History'!J72)),NOT(ISNUMBER('Price History'!J71)),'Price History'!J71=0),"",'Price History'!J72/'Price History'!J71-1),"")</f>
        <v>-0.0409316663812297</v>
      </c>
      <c r="K71" s="105" t="n">
        <f aca="false">IFERROR(IF(OR(NOT(ISNUMBER('Price History'!K72)),NOT(ISNUMBER('Price History'!K71)),'Price History'!K71=0),"",'Price History'!K72/'Price History'!K71-1),"")</f>
        <v>0.13804412641622</v>
      </c>
      <c r="L71" s="105" t="n">
        <f aca="false">IFERROR(IF(OR(NOT(ISNUMBER('Price History'!L72)),NOT(ISNUMBER('Price History'!L71)),'Price History'!L71=0),"",'Price History'!L72/'Price History'!L71-1),"")</f>
        <v>0.099425972056753</v>
      </c>
      <c r="M71" s="105" t="n">
        <f aca="false">IFERROR(IF(OR(NOT(ISNUMBER('Price History'!M72)),NOT(ISNUMBER('Price History'!M71)),'Price History'!M71=0),"",'Price History'!M72/'Price History'!M71-1),"")</f>
        <v>0.0489811912225706</v>
      </c>
      <c r="N71" s="105" t="n">
        <f aca="false">IFERROR(IF(OR(NOT(ISNUMBER('Price History'!N72)),NOT(ISNUMBER('Price History'!N71)),'Price History'!N71=0),"",'Price History'!N72/'Price History'!N71-1),"")</f>
        <v>-0.0128810373186935</v>
      </c>
      <c r="O71" s="105" t="n">
        <f aca="false">IFERROR(IF(OR(NOT(ISNUMBER('Price History'!O72)),NOT(ISNUMBER('Price History'!O71)),'Price History'!O71=0),"",'Price History'!O72/'Price History'!O71-1),"")</f>
        <v>-0.0208550573514076</v>
      </c>
      <c r="P71" s="105" t="str">
        <f aca="false">IFERROR(IF(OR(NOT(ISNUMBER('Price History'!P72)),NOT(ISNUMBER('Price History'!P71)),'Price History'!P71=0),"",'Price History'!P72/'Price History'!P71-1),"")</f>
        <v/>
      </c>
      <c r="Q71" s="105" t="n">
        <f aca="false">IFERROR(IF(OR(NOT(ISNUMBER('Price History'!Q72)),NOT(ISNUMBER('Price History'!Q71)),'Price History'!Q71=0),"",'Price History'!Q72/'Price History'!Q71-1),"")</f>
        <v>0.0103668261562999</v>
      </c>
      <c r="R71" s="105" t="n">
        <f aca="false">IFERROR(IF(OR(NOT(ISNUMBER('Price History'!R72)),NOT(ISNUMBER('Price History'!R71)),'Price History'!R71=0),"",'Price History'!R72/'Price History'!R71-1),"")</f>
        <v>0.00928358731826928</v>
      </c>
      <c r="S71" s="105" t="n">
        <f aca="false">IFERROR(IF(OR(NOT(ISNUMBER('Price History'!S72)),NOT(ISNUMBER('Price History'!S71)),'Price History'!S71=0),"",'Price History'!S72/'Price History'!S71-1),"")</f>
        <v>0.0193121966332748</v>
      </c>
      <c r="T71" s="105" t="n">
        <f aca="false">IFERROR(IF(OR(NOT(ISNUMBER('Price History'!T72)),NOT(ISNUMBER('Price History'!T71)),'Price History'!T71=0),"",'Price History'!T72/'Price History'!T71-1),"")</f>
        <v>-0.00081944823818636</v>
      </c>
      <c r="U71" s="105" t="str">
        <f aca="false">IFERROR(IF(OR(NOT(ISNUMBER('Price History'!U72)),NOT(ISNUMBER('Price History'!U71)),'Price History'!U71=0),"",'Price History'!U72/'Price History'!U71-1),"")</f>
        <v/>
      </c>
      <c r="V71" s="106" t="n">
        <f aca="false">IFERROR(IF(OR(NOT(ISNUMBER('Price History'!V72)),NOT(ISNUMBER('Price History'!V71)),'Price History'!V71=0),"",'Price History'!V72/'Price History'!V71-1),"")</f>
        <v>-0.0129264606578989</v>
      </c>
      <c r="W71" s="107" t="n">
        <f aca="false">'Price History'!B3+('Price History'!B158-'Price History'!B3)*0.441558441558442</f>
        <v>394.51025974026</v>
      </c>
      <c r="X71" s="107" t="n">
        <f aca="false">'Price History'!C3+('Price History'!C158-'Price History'!C3)*0.441558441558442</f>
        <v>104.061298701299</v>
      </c>
      <c r="Y71" s="107" t="n">
        <f aca="false">'Price History'!D3+('Price History'!D158-'Price History'!D3)*0.441558441558442</f>
        <v>1088.86415584416</v>
      </c>
      <c r="Z71" s="107" t="n">
        <f aca="false">'Price History'!E3+('Price History'!E158-'Price History'!E3)*0.441558441558442</f>
        <v>218.229350649351</v>
      </c>
      <c r="AA71" s="107" t="n">
        <f aca="false">'Price History'!F3+('Price History'!F158-'Price History'!F3)*0.441558441558442</f>
        <v>104.971688311688</v>
      </c>
      <c r="AB71" s="107" t="n">
        <f aca="false">'Price History'!G3+('Price History'!G158-'Price History'!G3)*0.441558441558442</f>
        <v>107.475064935065</v>
      </c>
      <c r="AC71" s="107" t="n">
        <f aca="false">'Price History'!H3+('Price History'!H158-'Price History'!H3)*0.441558441558442</f>
        <v>399.362727272728</v>
      </c>
      <c r="AD71" s="107" t="n">
        <f aca="false">'Price History'!I3+('Price History'!I158-'Price History'!I3)*0.441558441558442</f>
        <v>111.455194805195</v>
      </c>
      <c r="AE71" s="107" t="n">
        <f aca="false">'Price History'!J3+('Price History'!J158-'Price History'!J3)*0.441558441558442</f>
        <v>132.826883116883</v>
      </c>
      <c r="AF71" s="107" t="n">
        <f aca="false">'Price History'!K3+('Price History'!K158-'Price History'!K3)*0.441558441558442</f>
        <v>62.9437662337663</v>
      </c>
      <c r="AG71" s="107" t="n">
        <f aca="false">'Price History'!L3+('Price History'!L158-'Price History'!L3)*0.441558441558442</f>
        <v>229.871038961039</v>
      </c>
      <c r="AH71" s="107" t="n">
        <f aca="false">'Price History'!M3+('Price History'!M158-'Price History'!M3)*0.441558441558442</f>
        <v>125.380649350649</v>
      </c>
      <c r="AI71" s="107" t="n">
        <f aca="false">'Price History'!N3+('Price History'!N158-'Price History'!N3)*0.441558441558442</f>
        <v>406.043896103896</v>
      </c>
      <c r="AJ71" s="107" t="n">
        <f aca="false">'Price History'!O3+('Price History'!O158-'Price History'!O3)*0.441558441558442</f>
        <v>101.585324675325</v>
      </c>
      <c r="AK71" s="107" t="n">
        <f aca="false">'Price History'!Q3+('Price History'!Q151-'Price History'!Q3)*0.441558441558442</f>
        <v>58.0574025974026</v>
      </c>
      <c r="AL71" s="107" t="n">
        <f aca="false">'Price History'!R3+('Price History'!R158-'Price History'!R3)*0.441558441558442</f>
        <v>52.4254545454546</v>
      </c>
      <c r="AM71" s="107" t="n">
        <f aca="false">'Price History'!S3+('Price History'!S158-'Price History'!S3)*0.441558441558442</f>
        <v>96.2005194805195</v>
      </c>
      <c r="AN71" s="107" t="n">
        <f aca="false">'Price History'!T3+('Price History'!T158-'Price History'!T3)*0.441558441558442</f>
        <v>36.9907792207792</v>
      </c>
    </row>
    <row r="72" customFormat="false" ht="15" hidden="false" customHeight="true" outlineLevel="0" collapsed="false">
      <c r="A72" s="104" t="n">
        <f aca="false">IF('Price History'!A73="","",'Price History'!A73)</f>
        <v>45639</v>
      </c>
      <c r="B72" s="105" t="n">
        <f aca="false">IFERROR(IF(OR(NOT(ISNUMBER('Price History'!B73)),NOT(ISNUMBER('Price History'!B72)),'Price History'!B72=0),"",'Price History'!B73/'Price History'!B72-1),"")</f>
        <v>-0.157823350694445</v>
      </c>
      <c r="C72" s="105" t="n">
        <f aca="false">IFERROR(IF(OR(NOT(ISNUMBER('Price History'!C73)),NOT(ISNUMBER('Price History'!C72)),'Price History'!C72=0),"",'Price History'!C73/'Price History'!C72-1),"")</f>
        <v>0.0380600461893765</v>
      </c>
      <c r="D72" s="105" t="n">
        <f aca="false">IFERROR(IF(OR(NOT(ISNUMBER('Price History'!D73)),NOT(ISNUMBER('Price History'!D72)),'Price History'!D72=0),"",'Price History'!D73/'Price History'!D72-1),"")</f>
        <v>0.0135405794239611</v>
      </c>
      <c r="E72" s="105" t="n">
        <f aca="false">IFERROR(IF(OR(NOT(ISNUMBER('Price History'!E73)),NOT(ISNUMBER('Price History'!E72)),'Price History'!E72=0),"",'Price History'!E73/'Price History'!E72-1),"")</f>
        <v>0.252158413635604</v>
      </c>
      <c r="F72" s="105" t="n">
        <f aca="false">IFERROR(IF(OR(NOT(ISNUMBER('Price History'!F73)),NOT(ISNUMBER('Price History'!F72)),'Price History'!F72=0),"",'Price History'!F73/'Price History'!F72-1),"")</f>
        <v>0.00656383327863486</v>
      </c>
      <c r="G72" s="105" t="n">
        <f aca="false">IFERROR(IF(OR(NOT(ISNUMBER('Price History'!G73)),NOT(ISNUMBER('Price History'!G72)),'Price History'!G72=0),"",'Price History'!G73/'Price History'!G72-1),"")</f>
        <v>0.00848372666975172</v>
      </c>
      <c r="H72" s="105" t="n">
        <f aca="false">IFERROR(IF(OR(NOT(ISNUMBER('Price History'!H73)),NOT(ISNUMBER('Price History'!H72)),'Price History'!H72=0),"",'Price History'!H73/'Price History'!H72-1),"")</f>
        <v>0.0131461895818918</v>
      </c>
      <c r="I72" s="105" t="n">
        <f aca="false">IFERROR(IF(OR(NOT(ISNUMBER('Price History'!I73)),NOT(ISNUMBER('Price History'!I72)),'Price History'!I72=0),"",'Price History'!I73/'Price History'!I72-1),"")</f>
        <v>-0.0574978938500421</v>
      </c>
      <c r="J72" s="105" t="n">
        <f aca="false">IFERROR(IF(OR(NOT(ISNUMBER('Price History'!J73)),NOT(ISNUMBER('Price History'!J72)),'Price History'!J72=0),"",'Price History'!J73/'Price History'!J72-1),"")</f>
        <v>-0.00776785714285722</v>
      </c>
      <c r="K72" s="105" t="n">
        <f aca="false">IFERROR(IF(OR(NOT(ISNUMBER('Price History'!K73)),NOT(ISNUMBER('Price History'!K72)),'Price History'!K72=0),"",'Price History'!K73/'Price History'!K72-1),"")</f>
        <v>-0.00353680901231346</v>
      </c>
      <c r="L72" s="105" t="n">
        <f aca="false">IFERROR(IF(OR(NOT(ISNUMBER('Price History'!L73)),NOT(ISNUMBER('Price History'!L72)),'Price History'!L72=0),"",'Price History'!L73/'Price History'!L72-1),"")</f>
        <v>-0.0099990148753818</v>
      </c>
      <c r="M72" s="105" t="n">
        <f aca="false">IFERROR(IF(OR(NOT(ISNUMBER('Price History'!M73)),NOT(ISNUMBER('Price History'!M72)),'Price History'!M72=0),"",'Price History'!M73/'Price History'!M72-1),"")</f>
        <v>-0.0602913709376167</v>
      </c>
      <c r="N72" s="105" t="n">
        <f aca="false">IFERROR(IF(OR(NOT(ISNUMBER('Price History'!N73)),NOT(ISNUMBER('Price History'!N72)),'Price History'!N72=0),"",'Price History'!N73/'Price History'!N72-1),"")</f>
        <v>0.00352737502705036</v>
      </c>
      <c r="O72" s="105" t="n">
        <f aca="false">IFERROR(IF(OR(NOT(ISNUMBER('Price History'!O73)),NOT(ISNUMBER('Price History'!O72)),'Price History'!O72=0),"",'Price History'!O73/'Price History'!O72-1),"")</f>
        <v>-0.0123922935424533</v>
      </c>
      <c r="P72" s="105" t="str">
        <f aca="false">IFERROR(IF(OR(NOT(ISNUMBER('Price History'!P73)),NOT(ISNUMBER('Price History'!P72)),'Price History'!P72=0),"",'Price History'!P73/'Price History'!P72-1),"")</f>
        <v/>
      </c>
      <c r="Q72" s="105" t="n">
        <f aca="false">IFERROR(IF(OR(NOT(ISNUMBER('Price History'!Q73)),NOT(ISNUMBER('Price History'!Q72)),'Price History'!Q72=0),"",'Price History'!Q73/'Price History'!Q72-1),"")</f>
        <v>-0.00868192580899774</v>
      </c>
      <c r="R72" s="105" t="n">
        <f aca="false">IFERROR(IF(OR(NOT(ISNUMBER('Price History'!R73)),NOT(ISNUMBER('Price History'!R72)),'Price History'!R72=0),"",'Price History'!R73/'Price History'!R72-1),"")</f>
        <v>0.00399166955918084</v>
      </c>
      <c r="S72" s="105" t="n">
        <f aca="false">IFERROR(IF(OR(NOT(ISNUMBER('Price History'!S73)),NOT(ISNUMBER('Price History'!S72)),'Price History'!S72=0),"",'Price History'!S73/'Price History'!S72-1),"")</f>
        <v>-0.00942249240121584</v>
      </c>
      <c r="T72" s="105" t="n">
        <f aca="false">IFERROR(IF(OR(NOT(ISNUMBER('Price History'!T73)),NOT(ISNUMBER('Price History'!T72)),'Price History'!T72=0),"",'Price History'!T73/'Price History'!T72-1),"")</f>
        <v>-0.0440131219245489</v>
      </c>
      <c r="U72" s="105" t="str">
        <f aca="false">IFERROR(IF(OR(NOT(ISNUMBER('Price History'!U73)),NOT(ISNUMBER('Price History'!U72)),'Price History'!U72=0),"",'Price History'!U73/'Price History'!U72-1),"")</f>
        <v/>
      </c>
      <c r="V72" s="106" t="n">
        <f aca="false">IFERROR(IF(OR(NOT(ISNUMBER('Price History'!V73)),NOT(ISNUMBER('Price History'!V72)),'Price History'!V72=0),"",'Price History'!V73/'Price History'!V72-1),"")</f>
        <v>0.0119881421637291</v>
      </c>
      <c r="W72" s="107" t="n">
        <f aca="false">'Price History'!B3+('Price History'!B158-'Price History'!B3)*0.448051948051948</f>
        <v>392.834675324675</v>
      </c>
      <c r="X72" s="107" t="n">
        <f aca="false">'Price History'!C3+('Price History'!C158-'Price History'!C3)*0.448051948051948</f>
        <v>104.948376623377</v>
      </c>
      <c r="Y72" s="107" t="n">
        <f aca="false">'Price History'!D3+('Price History'!D158-'Price History'!D3)*0.448051948051948</f>
        <v>1095.14480519481</v>
      </c>
      <c r="Z72" s="107" t="n">
        <f aca="false">'Price History'!E3+('Price History'!E158-'Price History'!E3)*0.448051948051948</f>
        <v>220.218311688312</v>
      </c>
      <c r="AA72" s="107" t="n">
        <f aca="false">'Price History'!F3+('Price History'!F158-'Price History'!F3)*0.448051948051948</f>
        <v>105.97038961039</v>
      </c>
      <c r="AB72" s="107" t="n">
        <f aca="false">'Price History'!G3+('Price History'!G158-'Price History'!G3)*0.448051948051948</f>
        <v>108.351168831169</v>
      </c>
      <c r="AC72" s="107" t="n">
        <f aca="false">'Price History'!H3+('Price History'!H158-'Price History'!H3)*0.448051948051948</f>
        <v>404.289090909091</v>
      </c>
      <c r="AD72" s="107" t="n">
        <f aca="false">'Price History'!I3+('Price History'!I158-'Price History'!I3)*0.448051948051948</f>
        <v>112.493506493506</v>
      </c>
      <c r="AE72" s="107" t="n">
        <f aca="false">'Price History'!J3+('Price History'!J158-'Price History'!J3)*0.448051948051948</f>
        <v>132.963896103896</v>
      </c>
      <c r="AF72" s="107" t="n">
        <f aca="false">'Price History'!K3+('Price History'!K158-'Price History'!K3)*0.448051948051948</f>
        <v>63.6427922077922</v>
      </c>
      <c r="AG72" s="107" t="n">
        <f aca="false">'Price History'!L3+('Price History'!L158-'Price History'!L3)*0.448051948051948</f>
        <v>231.898701298701</v>
      </c>
      <c r="AH72" s="107" t="n">
        <f aca="false">'Price History'!M3+('Price History'!M158-'Price History'!M3)*0.448051948051948</f>
        <v>126.731688311688</v>
      </c>
      <c r="AI72" s="107" t="n">
        <f aca="false">'Price History'!N3+('Price History'!N158-'Price History'!N3)*0.448051948051948</f>
        <v>406.87012987013</v>
      </c>
      <c r="AJ72" s="107" t="n">
        <f aca="false">'Price History'!O3+('Price History'!O158-'Price History'!O3)*0.448051948051948</f>
        <v>101.860844155844</v>
      </c>
      <c r="AK72" s="107" t="n">
        <f aca="false">'Price History'!Q3+('Price History'!Q151-'Price History'!Q3)*0.448051948051948</f>
        <v>58.1782467532468</v>
      </c>
      <c r="AL72" s="107" t="n">
        <f aca="false">'Price History'!R3+('Price History'!R158-'Price History'!R3)*0.448051948051948</f>
        <v>52.4931818181818</v>
      </c>
      <c r="AM72" s="107" t="n">
        <f aca="false">'Price History'!S3+('Price History'!S158-'Price History'!S3)*0.448051948051948</f>
        <v>96.7543506493506</v>
      </c>
      <c r="AN72" s="107" t="n">
        <f aca="false">'Price History'!T3+('Price History'!T158-'Price History'!T3)*0.448051948051948</f>
        <v>37.139025974026</v>
      </c>
    </row>
    <row r="73" customFormat="false" ht="15" hidden="false" customHeight="true" outlineLevel="0" collapsed="false">
      <c r="A73" s="104" t="n">
        <f aca="false">IF('Price History'!A74="","",'Price History'!A74)</f>
        <v>45646</v>
      </c>
      <c r="B73" s="105" t="n">
        <f aca="false">IFERROR(IF(OR(NOT(ISNUMBER('Price History'!B74)),NOT(ISNUMBER('Price History'!B73)),'Price History'!B73=0),"",'Price History'!B74/'Price History'!B73-1),"")</f>
        <v>-0.0397689450063347</v>
      </c>
      <c r="C73" s="105" t="n">
        <f aca="false">IFERROR(IF(OR(NOT(ISNUMBER('Price History'!C74)),NOT(ISNUMBER('Price History'!C73)),'Price History'!C73=0),"",'Price History'!C74/'Price History'!C73-1),"")</f>
        <v>0.00391563584586629</v>
      </c>
      <c r="D73" s="105" t="n">
        <f aca="false">IFERROR(IF(OR(NOT(ISNUMBER('Price History'!D74)),NOT(ISNUMBER('Price History'!D73)),'Price History'!D73=0),"",'Price History'!D74/'Price History'!D73-1),"")</f>
        <v>-0.0179520721422808</v>
      </c>
      <c r="E73" s="105" t="n">
        <f aca="false">IFERROR(IF(OR(NOT(ISNUMBER('Price History'!E74)),NOT(ISNUMBER('Price History'!E73)),'Price History'!E73=0),"",'Price History'!E74/'Price History'!E73-1),"")</f>
        <v>-0.0178380782918151</v>
      </c>
      <c r="F73" s="105" t="n">
        <f aca="false">IFERROR(IF(OR(NOT(ISNUMBER('Price History'!F74)),NOT(ISNUMBER('Price History'!F73)),'Price History'!F73=0),"",'Price History'!F74/'Price History'!F73-1),"")</f>
        <v>-0.0156504727746986</v>
      </c>
      <c r="G73" s="105" t="n">
        <f aca="false">IFERROR(IF(OR(NOT(ISNUMBER('Price History'!G74)),NOT(ISNUMBER('Price History'!G73)),'Price History'!G73=0),"",'Price History'!G74/'Price History'!G73-1),"")</f>
        <v>-0.0373202814316305</v>
      </c>
      <c r="H73" s="105" t="n">
        <f aca="false">IFERROR(IF(OR(NOT(ISNUMBER('Price History'!H74)),NOT(ISNUMBER('Price History'!H73)),'Price History'!H73=0),"",'Price History'!H74/'Price History'!H73-1),"")</f>
        <v>-0.120780487804878</v>
      </c>
      <c r="I73" s="105" t="n">
        <f aca="false">IFERROR(IF(OR(NOT(ISNUMBER('Price History'!I74)),NOT(ISNUMBER('Price History'!I73)),'Price History'!I73=0),"",'Price History'!I74/'Price History'!I73-1),"")</f>
        <v>0.00335195530726251</v>
      </c>
      <c r="J73" s="105" t="n">
        <f aca="false">IFERROR(IF(OR(NOT(ISNUMBER('Price History'!J74)),NOT(ISNUMBER('Price History'!J73)),'Price History'!J73=0),"",'Price History'!J74/'Price History'!J73-1),"")</f>
        <v>-0.0702780527310357</v>
      </c>
      <c r="K73" s="105" t="n">
        <f aca="false">IFERROR(IF(OR(NOT(ISNUMBER('Price History'!K74)),NOT(ISNUMBER('Price History'!K73)),'Price History'!K73=0),"",'Price History'!K74/'Price History'!K73-1),"")</f>
        <v>0.0588931247535165</v>
      </c>
      <c r="L73" s="105" t="n">
        <f aca="false">IFERROR(IF(OR(NOT(ISNUMBER('Price History'!L74)),NOT(ISNUMBER('Price History'!L73)),'Price History'!L73=0),"",'Price History'!L74/'Price History'!L73-1),"")</f>
        <v>-0.0188069058162098</v>
      </c>
      <c r="M73" s="105" t="n">
        <f aca="false">IFERROR(IF(OR(NOT(ISNUMBER('Price History'!M74)),NOT(ISNUMBER('Price History'!M73)),'Price History'!M73=0),"",'Price History'!M74/'Price History'!M73-1),"")</f>
        <v>-0.0456352361265702</v>
      </c>
      <c r="N73" s="105" t="n">
        <f aca="false">IFERROR(IF(OR(NOT(ISNUMBER('Price History'!N74)),NOT(ISNUMBER('Price History'!N73)),'Price History'!N73=0),"",'Price History'!N74/'Price History'!N73-1),"")</f>
        <v>-0.14331615379639</v>
      </c>
      <c r="O73" s="105" t="n">
        <f aca="false">IFERROR(IF(OR(NOT(ISNUMBER('Price History'!O74)),NOT(ISNUMBER('Price History'!O73)),'Price History'!O73=0),"",'Price History'!O74/'Price History'!O73-1),"")</f>
        <v>-0.0578374669150084</v>
      </c>
      <c r="P73" s="105" t="str">
        <f aca="false">IFERROR(IF(OR(NOT(ISNUMBER('Price History'!P74)),NOT(ISNUMBER('Price History'!P73)),'Price History'!P73=0),"",'Price History'!P74/'Price History'!P73-1),"")</f>
        <v/>
      </c>
      <c r="Q73" s="105" t="n">
        <f aca="false">IFERROR(IF(OR(NOT(ISNUMBER('Price History'!Q74)),NOT(ISNUMBER('Price History'!Q73)),'Price History'!Q73=0),"",'Price History'!Q74/'Price History'!Q73-1),"")</f>
        <v>-0.000636942675159236</v>
      </c>
      <c r="R73" s="105" t="n">
        <f aca="false">IFERROR(IF(OR(NOT(ISNUMBER('Price History'!R74)),NOT(ISNUMBER('Price History'!R73)),'Price History'!R73=0),"",'Price History'!R74/'Price History'!R73-1),"")</f>
        <v>-0.0112359550561798</v>
      </c>
      <c r="S73" s="105" t="n">
        <f aca="false">IFERROR(IF(OR(NOT(ISNUMBER('Price History'!S74)),NOT(ISNUMBER('Price History'!S73)),'Price History'!S73=0),"",'Price History'!S74/'Price History'!S73-1),"")</f>
        <v>-0.0223995090518564</v>
      </c>
      <c r="T73" s="105" t="n">
        <f aca="false">IFERROR(IF(OR(NOT(ISNUMBER('Price History'!T74)),NOT(ISNUMBER('Price History'!T73)),'Price History'!T73=0),"",'Price History'!T74/'Price History'!T73-1),"")</f>
        <v>-0.0305976551329711</v>
      </c>
      <c r="U73" s="105" t="str">
        <f aca="false">IFERROR(IF(OR(NOT(ISNUMBER('Price History'!U74)),NOT(ISNUMBER('Price History'!U73)),'Price History'!U73=0),"",'Price History'!U74/'Price History'!U73-1),"")</f>
        <v/>
      </c>
      <c r="V73" s="106" t="n">
        <f aca="false">IFERROR(IF(OR(NOT(ISNUMBER('Price History'!V74)),NOT(ISNUMBER('Price History'!V73)),'Price History'!V73=0),"",'Price History'!V74/'Price History'!V73-1),"")</f>
        <v>0.00946402704007721</v>
      </c>
      <c r="W73" s="107" t="n">
        <f aca="false">'Price History'!B3+('Price History'!B158-'Price History'!B3)*0.454545454545455</f>
        <v>391.159090909091</v>
      </c>
      <c r="X73" s="107" t="n">
        <f aca="false">'Price History'!C3+('Price History'!C158-'Price History'!C3)*0.454545454545455</f>
        <v>105.835454545455</v>
      </c>
      <c r="Y73" s="107" t="n">
        <f aca="false">'Price History'!D3+('Price History'!D158-'Price History'!D3)*0.454545454545455</f>
        <v>1101.42545454546</v>
      </c>
      <c r="Z73" s="107" t="n">
        <f aca="false">'Price History'!E3+('Price History'!E158-'Price History'!E3)*0.454545454545455</f>
        <v>222.207272727273</v>
      </c>
      <c r="AA73" s="107" t="n">
        <f aca="false">'Price History'!F3+('Price History'!F158-'Price History'!F3)*0.454545454545455</f>
        <v>106.969090909091</v>
      </c>
      <c r="AB73" s="107" t="n">
        <f aca="false">'Price History'!G3+('Price History'!G158-'Price History'!G3)*0.454545454545455</f>
        <v>109.227272727273</v>
      </c>
      <c r="AC73" s="107" t="n">
        <f aca="false">'Price History'!H3+('Price History'!H158-'Price History'!H3)*0.454545454545455</f>
        <v>409.215454545455</v>
      </c>
      <c r="AD73" s="107" t="n">
        <f aca="false">'Price History'!I3+('Price History'!I158-'Price History'!I3)*0.454545454545455</f>
        <v>113.531818181818</v>
      </c>
      <c r="AE73" s="107" t="n">
        <f aca="false">'Price History'!J3+('Price History'!J158-'Price History'!J3)*0.454545454545455</f>
        <v>133.100909090909</v>
      </c>
      <c r="AF73" s="107" t="n">
        <f aca="false">'Price History'!K3+('Price History'!K158-'Price History'!K3)*0.454545454545455</f>
        <v>64.3418181818182</v>
      </c>
      <c r="AG73" s="107" t="n">
        <f aca="false">'Price History'!L3+('Price History'!L158-'Price History'!L3)*0.454545454545455</f>
        <v>233.926363636364</v>
      </c>
      <c r="AH73" s="107" t="n">
        <f aca="false">'Price History'!M3+('Price History'!M158-'Price History'!M3)*0.454545454545455</f>
        <v>128.082727272727</v>
      </c>
      <c r="AI73" s="107" t="n">
        <f aca="false">'Price History'!N3+('Price History'!N158-'Price History'!N3)*0.454545454545455</f>
        <v>407.696363636364</v>
      </c>
      <c r="AJ73" s="107" t="n">
        <f aca="false">'Price History'!O3+('Price History'!O158-'Price History'!O3)*0.454545454545455</f>
        <v>102.136363636364</v>
      </c>
      <c r="AK73" s="107" t="n">
        <f aca="false">'Price History'!Q3+('Price History'!Q151-'Price History'!Q3)*0.454545454545455</f>
        <v>58.2990909090909</v>
      </c>
      <c r="AL73" s="107" t="n">
        <f aca="false">'Price History'!R3+('Price History'!R158-'Price History'!R3)*0.454545454545455</f>
        <v>52.5609090909091</v>
      </c>
      <c r="AM73" s="107" t="n">
        <f aca="false">'Price History'!S3+('Price History'!S158-'Price History'!S3)*0.454545454545455</f>
        <v>97.3081818181819</v>
      </c>
      <c r="AN73" s="107" t="n">
        <f aca="false">'Price History'!T3+('Price History'!T158-'Price History'!T3)*0.454545454545455</f>
        <v>37.2872727272727</v>
      </c>
    </row>
    <row r="74" customFormat="false" ht="15" hidden="false" customHeight="true" outlineLevel="0" collapsed="false">
      <c r="A74" s="104" t="n">
        <f aca="false">IF('Price History'!A75="","",'Price History'!A75)</f>
        <v>45653</v>
      </c>
      <c r="B74" s="105" t="n">
        <f aca="false">IFERROR(IF(OR(NOT(ISNUMBER('Price History'!B75)),NOT(ISNUMBER('Price History'!B74)),'Price History'!B74=0),"",'Price History'!B75/'Price History'!B74-1),"")</f>
        <v>-0.00154303732361294</v>
      </c>
      <c r="C74" s="105" t="n">
        <f aca="false">IFERROR(IF(OR(NOT(ISNUMBER('Price History'!C75)),NOT(ISNUMBER('Price History'!C74)),'Price History'!C74=0),"",'Price History'!C75/'Price History'!C74-1),"")</f>
        <v>0.00195018172147865</v>
      </c>
      <c r="D74" s="105" t="n">
        <f aca="false">IFERROR(IF(OR(NOT(ISNUMBER('Price History'!D75)),NOT(ISNUMBER('Price History'!D74)),'Price History'!D74=0),"",'Price History'!D75/'Price History'!D74-1),"")</f>
        <v>0.011209046593357</v>
      </c>
      <c r="E74" s="105" t="n">
        <f aca="false">IFERROR(IF(OR(NOT(ISNUMBER('Price History'!E75)),NOT(ISNUMBER('Price History'!E74)),'Price History'!E74=0),"",'Price History'!E75/'Price History'!E74-1),"")</f>
        <v>0.0949318356809639</v>
      </c>
      <c r="F74" s="105" t="n">
        <f aca="false">IFERROR(IF(OR(NOT(ISNUMBER('Price History'!F75)),NOT(ISNUMBER('Price History'!F74)),'Price History'!F74=0),"",'Price History'!F75/'Price History'!F74-1),"")</f>
        <v>-0.0200949541790879</v>
      </c>
      <c r="G74" s="105" t="n">
        <f aca="false">IFERROR(IF(OR(NOT(ISNUMBER('Price History'!G75)),NOT(ISNUMBER('Price History'!G74)),'Price History'!G74=0),"",'Price History'!G75/'Price History'!G74-1),"")</f>
        <v>0.0244677470606929</v>
      </c>
      <c r="H74" s="105" t="n">
        <f aca="false">IFERROR(IF(OR(NOT(ISNUMBER('Price History'!H75)),NOT(ISNUMBER('Price History'!H74)),'Price History'!H74=0),"",'Price History'!H75/'Price History'!H74-1),"")</f>
        <v>-0.0165335108743898</v>
      </c>
      <c r="I74" s="105" t="n">
        <f aca="false">IFERROR(IF(OR(NOT(ISNUMBER('Price History'!I75)),NOT(ISNUMBER('Price History'!I74)),'Price History'!I74=0),"",'Price History'!I75/'Price History'!I74-1),"")</f>
        <v>0.0171492204899777</v>
      </c>
      <c r="J74" s="105" t="n">
        <f aca="false">IFERROR(IF(OR(NOT(ISNUMBER('Price History'!J75)),NOT(ISNUMBER('Price History'!J74)),'Price History'!J74=0),"",'Price History'!J75/'Price History'!J74-1),"")</f>
        <v>0.0185830429732869</v>
      </c>
      <c r="K74" s="105" t="n">
        <f aca="false">IFERROR(IF(OR(NOT(ISNUMBER('Price History'!K75)),NOT(ISNUMBER('Price History'!K74)),'Price History'!K74=0),"",'Price History'!K75/'Price History'!K74-1),"")</f>
        <v>-0.0182495344506518</v>
      </c>
      <c r="L74" s="105" t="n">
        <f aca="false">IFERROR(IF(OR(NOT(ISNUMBER('Price History'!L75)),NOT(ISNUMBER('Price History'!L74)),'Price History'!L74=0),"",'Price History'!L75/'Price History'!L74-1),"")</f>
        <v>0.0224126565589979</v>
      </c>
      <c r="M74" s="105" t="n">
        <f aca="false">IFERROR(IF(OR(NOT(ISNUMBER('Price History'!M75)),NOT(ISNUMBER('Price History'!M74)),'Price History'!M74=0),"",'Price History'!M75/'Price History'!M74-1),"")</f>
        <v>-0.0410696434521827</v>
      </c>
      <c r="N74" s="105" t="n">
        <f aca="false">IFERROR(IF(OR(NOT(ISNUMBER('Price History'!N75)),NOT(ISNUMBER('Price History'!N74)),'Price History'!N74=0),"",'Price History'!N75/'Price History'!N74-1),"")</f>
        <v>0.0289223953482518</v>
      </c>
      <c r="O74" s="105" t="n">
        <f aca="false">IFERROR(IF(OR(NOT(ISNUMBER('Price History'!O75)),NOT(ISNUMBER('Price History'!O74)),'Price History'!O74=0),"",'Price History'!O75/'Price History'!O74-1),"")</f>
        <v>0.00395380293413794</v>
      </c>
      <c r="P74" s="105" t="str">
        <f aca="false">IFERROR(IF(OR(NOT(ISNUMBER('Price History'!P75)),NOT(ISNUMBER('Price History'!P74)),'Price History'!P74=0),"",'Price History'!P75/'Price History'!P74-1),"")</f>
        <v/>
      </c>
      <c r="Q74" s="105" t="n">
        <f aca="false">IFERROR(IF(OR(NOT(ISNUMBER('Price History'!Q75)),NOT(ISNUMBER('Price History'!Q74)),'Price History'!Q74=0),"",'Price History'!Q75/'Price History'!Q74-1),"")</f>
        <v>0.0105162523900575</v>
      </c>
      <c r="R74" s="105" t="n">
        <f aca="false">IFERROR(IF(OR(NOT(ISNUMBER('Price History'!R75)),NOT(ISNUMBER('Price History'!R74)),'Price History'!R74=0),"",'Price History'!R75/'Price History'!R74-1),"")</f>
        <v>0.00944055944055933</v>
      </c>
      <c r="S74" s="105" t="n">
        <f aca="false">IFERROR(IF(OR(NOT(ISNUMBER('Price History'!S75)),NOT(ISNUMBER('Price History'!S74)),'Price History'!S74=0),"",'Price History'!S75/'Price History'!S74-1),"")</f>
        <v>0.0105670642393807</v>
      </c>
      <c r="T74" s="105" t="n">
        <f aca="false">IFERROR(IF(OR(NOT(ISNUMBER('Price History'!T75)),NOT(ISNUMBER('Price History'!T74)),'Price History'!T74=0),"",'Price History'!T75/'Price History'!T74-1),"")</f>
        <v>0.00914454277286136</v>
      </c>
      <c r="U74" s="105" t="str">
        <f aca="false">IFERROR(IF(OR(NOT(ISNUMBER('Price History'!U75)),NOT(ISNUMBER('Price History'!U74)),'Price History'!U74=0),"",'Price History'!U75/'Price History'!U74-1),"")</f>
        <v/>
      </c>
      <c r="V74" s="106" t="n">
        <f aca="false">IFERROR(IF(OR(NOT(ISNUMBER('Price History'!V75)),NOT(ISNUMBER('Price History'!V74)),'Price History'!V74=0),"",'Price History'!V75/'Price History'!V74-1),"")</f>
        <v>0.00296565579259545</v>
      </c>
      <c r="W74" s="107" t="n">
        <f aca="false">'Price History'!B3+('Price History'!B158-'Price History'!B3)*0.461038961038961</f>
        <v>389.483506493507</v>
      </c>
      <c r="X74" s="107" t="n">
        <f aca="false">'Price History'!C3+('Price History'!C158-'Price History'!C3)*0.461038961038961</f>
        <v>106.722532467532</v>
      </c>
      <c r="Y74" s="107" t="n">
        <f aca="false">'Price History'!D3+('Price History'!D158-'Price History'!D3)*0.461038961038961</f>
        <v>1107.7061038961</v>
      </c>
      <c r="Z74" s="107" t="n">
        <f aca="false">'Price History'!E3+('Price History'!E158-'Price History'!E3)*0.461038961038961</f>
        <v>224.196233766234</v>
      </c>
      <c r="AA74" s="107" t="n">
        <f aca="false">'Price History'!F3+('Price History'!F158-'Price History'!F3)*0.461038961038961</f>
        <v>107.967792207792</v>
      </c>
      <c r="AB74" s="107" t="n">
        <f aca="false">'Price History'!G3+('Price History'!G158-'Price History'!G3)*0.461038961038961</f>
        <v>110.103376623377</v>
      </c>
      <c r="AC74" s="107" t="n">
        <f aca="false">'Price History'!H3+('Price History'!H158-'Price History'!H3)*0.461038961038961</f>
        <v>414.141818181818</v>
      </c>
      <c r="AD74" s="107" t="n">
        <f aca="false">'Price History'!I3+('Price History'!I158-'Price History'!I3)*0.461038961038961</f>
        <v>114.57012987013</v>
      </c>
      <c r="AE74" s="107" t="n">
        <f aca="false">'Price History'!J3+('Price History'!J158-'Price History'!J3)*0.461038961038961</f>
        <v>133.237922077922</v>
      </c>
      <c r="AF74" s="107" t="n">
        <f aca="false">'Price History'!K3+('Price History'!K158-'Price History'!K3)*0.461038961038961</f>
        <v>65.0408441558442</v>
      </c>
      <c r="AG74" s="107" t="n">
        <f aca="false">'Price History'!L3+('Price History'!L158-'Price History'!L3)*0.461038961038961</f>
        <v>235.954025974026</v>
      </c>
      <c r="AH74" s="107" t="n">
        <f aca="false">'Price History'!M3+('Price History'!M158-'Price History'!M3)*0.461038961038961</f>
        <v>129.433766233766</v>
      </c>
      <c r="AI74" s="107" t="n">
        <f aca="false">'Price History'!N3+('Price History'!N158-'Price History'!N3)*0.461038961038961</f>
        <v>408.522597402597</v>
      </c>
      <c r="AJ74" s="107" t="n">
        <f aca="false">'Price History'!O3+('Price History'!O158-'Price History'!O3)*0.461038961038961</f>
        <v>102.411883116883</v>
      </c>
      <c r="AK74" s="107" t="n">
        <f aca="false">'Price History'!Q3+('Price History'!Q151-'Price History'!Q3)*0.461038961038961</f>
        <v>58.4199350649351</v>
      </c>
      <c r="AL74" s="107" t="n">
        <f aca="false">'Price History'!R3+('Price History'!R158-'Price History'!R3)*0.461038961038961</f>
        <v>52.6286363636364</v>
      </c>
      <c r="AM74" s="107" t="n">
        <f aca="false">'Price History'!S3+('Price History'!S158-'Price History'!S3)*0.461038961038961</f>
        <v>97.862012987013</v>
      </c>
      <c r="AN74" s="107" t="n">
        <f aca="false">'Price History'!T3+('Price History'!T158-'Price History'!T3)*0.461038961038961</f>
        <v>37.4355194805195</v>
      </c>
    </row>
    <row r="75" customFormat="false" ht="15" hidden="false" customHeight="true" outlineLevel="0" collapsed="false">
      <c r="A75" s="104" t="n">
        <f aca="false">IF('Price History'!A76="","",'Price History'!A76)</f>
        <v>45660</v>
      </c>
      <c r="B75" s="105" t="n">
        <f aca="false">IFERROR(IF(OR(NOT(ISNUMBER('Price History'!B76)),NOT(ISNUMBER('Price History'!B75)),'Price History'!B75=0),"",'Price History'!B76/'Price History'!B75-1),"")</f>
        <v>-0.0356342949292242</v>
      </c>
      <c r="C75" s="105" t="n">
        <f aca="false">IFERROR(IF(OR(NOT(ISNUMBER('Price History'!C76)),NOT(ISNUMBER('Price History'!C75)),'Price History'!C75=0),"",'Price History'!C76/'Price History'!C75-1),"")</f>
        <v>0.0191984428912679</v>
      </c>
      <c r="D75" s="105" t="n">
        <f aca="false">IFERROR(IF(OR(NOT(ISNUMBER('Price History'!D76)),NOT(ISNUMBER('Price History'!D75)),'Price History'!D75=0),"",'Price History'!D76/'Price History'!D75-1),"")</f>
        <v>0.00107905099566974</v>
      </c>
      <c r="E75" s="105" t="n">
        <f aca="false">IFERROR(IF(OR(NOT(ISNUMBER('Price History'!E76)),NOT(ISNUMBER('Price History'!E75)),'Price History'!E75=0),"",'Price History'!E76/'Price History'!E75-1),"")</f>
        <v>-0.0380558428128232</v>
      </c>
      <c r="F75" s="105" t="n">
        <f aca="false">IFERROR(IF(OR(NOT(ISNUMBER('Price History'!F76)),NOT(ISNUMBER('Price History'!F75)),'Price History'!F75=0),"",'Price History'!F76/'Price History'!F75-1),"")</f>
        <v>0.0113802816901409</v>
      </c>
      <c r="G75" s="105" t="n">
        <f aca="false">IFERROR(IF(OR(NOT(ISNUMBER('Price History'!G76)),NOT(ISNUMBER('Price History'!G75)),'Price History'!G75=0),"",'Price History'!G76/'Price History'!G75-1),"")</f>
        <v>0.0189205955334988</v>
      </c>
      <c r="H75" s="105" t="n">
        <f aca="false">IFERROR(IF(OR(NOT(ISNUMBER('Price History'!H76)),NOT(ISNUMBER('Price History'!H75)),'Price History'!H75=0),"",'Price History'!H76/'Price History'!H75-1),"")</f>
        <v>0.0139907480537065</v>
      </c>
      <c r="I75" s="105" t="n">
        <f aca="false">IFERROR(IF(OR(NOT(ISNUMBER('Price History'!I76)),NOT(ISNUMBER('Price History'!I75)),'Price History'!I75=0),"",'Price History'!I76/'Price History'!I75-1),"")</f>
        <v>0.0544485803955916</v>
      </c>
      <c r="J75" s="105" t="n">
        <f aca="false">IFERROR(IF(OR(NOT(ISNUMBER('Price History'!J76)),NOT(ISNUMBER('Price History'!J75)),'Price History'!J75=0),"",'Price History'!J76/'Price History'!J75-1),"")</f>
        <v>0.00370581527936142</v>
      </c>
      <c r="K75" s="105" t="n">
        <f aca="false">IFERROR(IF(OR(NOT(ISNUMBER('Price History'!K76)),NOT(ISNUMBER('Price History'!K75)),'Price History'!K75=0),"",'Price History'!K76/'Price History'!K75-1),"")</f>
        <v>0.0102427921092565</v>
      </c>
      <c r="L75" s="105" t="n">
        <f aca="false">IFERROR(IF(OR(NOT(ISNUMBER('Price History'!L76)),NOT(ISNUMBER('Price History'!L75)),'Price History'!L75=0),"",'Price History'!L76/'Price History'!L75-1),"")</f>
        <v>0.0346178644050985</v>
      </c>
      <c r="M75" s="105" t="n">
        <f aca="false">IFERROR(IF(OR(NOT(ISNUMBER('Price History'!M76)),NOT(ISNUMBER('Price History'!M75)),'Price History'!M75=0),"",'Price History'!M76/'Price History'!M75-1),"")</f>
        <v>0.0917383372426375</v>
      </c>
      <c r="N75" s="105" t="n">
        <f aca="false">IFERROR(IF(OR(NOT(ISNUMBER('Price History'!N76)),NOT(ISNUMBER('Price History'!N75)),'Price History'!N75=0),"",'Price History'!N76/'Price History'!N75-1),"")</f>
        <v>-0.0040365984930032</v>
      </c>
      <c r="O75" s="105" t="n">
        <f aca="false">IFERROR(IF(OR(NOT(ISNUMBER('Price History'!O76)),NOT(ISNUMBER('Price History'!O75)),'Price History'!O75=0),"",'Price History'!O76/'Price History'!O75-1),"")</f>
        <v>0.00777282619960618</v>
      </c>
      <c r="P75" s="105" t="str">
        <f aca="false">IFERROR(IF(OR(NOT(ISNUMBER('Price History'!P76)),NOT(ISNUMBER('Price History'!P75)),'Price History'!P75=0),"",'Price History'!P76/'Price History'!P75-1),"")</f>
        <v/>
      </c>
      <c r="Q75" s="105" t="n">
        <f aca="false">IFERROR(IF(OR(NOT(ISNUMBER('Price History'!Q76)),NOT(ISNUMBER('Price History'!Q75)),'Price History'!Q75=0),"",'Price History'!Q76/'Price History'!Q75-1),"")</f>
        <v>-0.00898770104068114</v>
      </c>
      <c r="R75" s="105" t="n">
        <f aca="false">IFERROR(IF(OR(NOT(ISNUMBER('Price History'!R76)),NOT(ISNUMBER('Price History'!R75)),'Price History'!R75=0),"",'Price History'!R76/'Price History'!R75-1),"")</f>
        <v>-0.0114305507447178</v>
      </c>
      <c r="S75" s="105" t="n">
        <f aca="false">IFERROR(IF(OR(NOT(ISNUMBER('Price History'!S76)),NOT(ISNUMBER('Price History'!S75)),'Price History'!S75=0),"",'Price History'!S76/'Price History'!S75-1),"")</f>
        <v>0.00310591158505025</v>
      </c>
      <c r="T75" s="105" t="n">
        <f aca="false">IFERROR(IF(OR(NOT(ISNUMBER('Price History'!T76)),NOT(ISNUMBER('Price History'!T75)),'Price History'!T75=0),"",'Price History'!T76/'Price History'!T75-1),"")</f>
        <v>0.00760011692487561</v>
      </c>
      <c r="U75" s="105" t="str">
        <f aca="false">IFERROR(IF(OR(NOT(ISNUMBER('Price History'!U76)),NOT(ISNUMBER('Price History'!U75)),'Price History'!U75=0),"",'Price History'!U76/'Price History'!U75-1),"")</f>
        <v/>
      </c>
      <c r="V75" s="106" t="n">
        <f aca="false">IFERROR(IF(OR(NOT(ISNUMBER('Price History'!V76)),NOT(ISNUMBER('Price History'!V75)),'Price History'!V75=0),"",'Price History'!V76/'Price History'!V75-1),"")</f>
        <v>-0.0117639577769298</v>
      </c>
      <c r="W75" s="107" t="n">
        <f aca="false">'Price History'!B3+('Price History'!B158-'Price History'!B3)*0.467532467532468</f>
        <v>387.807922077922</v>
      </c>
      <c r="X75" s="107" t="n">
        <f aca="false">'Price History'!C3+('Price History'!C158-'Price History'!C3)*0.467532467532468</f>
        <v>107.60961038961</v>
      </c>
      <c r="Y75" s="107" t="n">
        <f aca="false">'Price History'!D3+('Price History'!D158-'Price History'!D3)*0.467532467532468</f>
        <v>1113.98675324675</v>
      </c>
      <c r="Z75" s="107" t="n">
        <f aca="false">'Price History'!E3+('Price History'!E158-'Price History'!E3)*0.467532467532468</f>
        <v>226.185194805195</v>
      </c>
      <c r="AA75" s="107" t="n">
        <f aca="false">'Price History'!F3+('Price History'!F158-'Price History'!F3)*0.467532467532468</f>
        <v>108.966493506494</v>
      </c>
      <c r="AB75" s="107" t="n">
        <f aca="false">'Price History'!G3+('Price History'!G158-'Price History'!G3)*0.467532467532468</f>
        <v>110.979480519481</v>
      </c>
      <c r="AC75" s="107" t="n">
        <f aca="false">'Price History'!H3+('Price History'!H158-'Price History'!H3)*0.467532467532468</f>
        <v>419.068181818182</v>
      </c>
      <c r="AD75" s="107" t="n">
        <f aca="false">'Price History'!I3+('Price History'!I158-'Price History'!I3)*0.467532467532468</f>
        <v>115.608441558442</v>
      </c>
      <c r="AE75" s="107" t="n">
        <f aca="false">'Price History'!J3+('Price History'!J158-'Price History'!J3)*0.467532467532468</f>
        <v>133.374935064935</v>
      </c>
      <c r="AF75" s="107" t="n">
        <f aca="false">'Price History'!K3+('Price History'!K158-'Price History'!K3)*0.467532467532468</f>
        <v>65.7398701298702</v>
      </c>
      <c r="AG75" s="107" t="n">
        <f aca="false">'Price History'!L3+('Price History'!L158-'Price History'!L3)*0.467532467532468</f>
        <v>237.981688311688</v>
      </c>
      <c r="AH75" s="107" t="n">
        <f aca="false">'Price History'!M3+('Price History'!M158-'Price History'!M3)*0.467532467532468</f>
        <v>130.784805194805</v>
      </c>
      <c r="AI75" s="107" t="n">
        <f aca="false">'Price History'!N3+('Price History'!N158-'Price History'!N3)*0.467532467532468</f>
        <v>409.348831168831</v>
      </c>
      <c r="AJ75" s="107" t="n">
        <f aca="false">'Price History'!O3+('Price History'!O158-'Price History'!O3)*0.467532467532468</f>
        <v>102.687402597403</v>
      </c>
      <c r="AK75" s="107" t="n">
        <f aca="false">'Price History'!Q3+('Price History'!Q151-'Price History'!Q3)*0.467532467532468</f>
        <v>58.5407792207792</v>
      </c>
      <c r="AL75" s="107" t="n">
        <f aca="false">'Price History'!R3+('Price History'!R158-'Price History'!R3)*0.467532467532468</f>
        <v>52.6963636363636</v>
      </c>
      <c r="AM75" s="107" t="n">
        <f aca="false">'Price History'!S3+('Price History'!S158-'Price History'!S3)*0.467532467532468</f>
        <v>98.4158441558442</v>
      </c>
      <c r="AN75" s="107" t="n">
        <f aca="false">'Price History'!T3+('Price History'!T158-'Price History'!T3)*0.467532467532468</f>
        <v>37.5837662337663</v>
      </c>
    </row>
    <row r="76" customFormat="false" ht="15" hidden="false" customHeight="true" outlineLevel="0" collapsed="false">
      <c r="A76" s="104" t="n">
        <f aca="false">IF('Price History'!A77="","",'Price History'!A77)</f>
        <v>45667</v>
      </c>
      <c r="B76" s="105" t="n">
        <f aca="false">IFERROR(IF(OR(NOT(ISNUMBER('Price History'!B77)),NOT(ISNUMBER('Price History'!B76)),'Price History'!B76=0),"",'Price History'!B77/'Price History'!B76-1),"")</f>
        <v>-0.0572496922683884</v>
      </c>
      <c r="C76" s="105" t="n">
        <f aca="false">IFERROR(IF(OR(NOT(ISNUMBER('Price History'!C77)),NOT(ISNUMBER('Price History'!C76)),'Price History'!C76=0),"",'Price History'!C77/'Price History'!C76-1),"")</f>
        <v>-0.00746527777777772</v>
      </c>
      <c r="D76" s="105" t="n">
        <f aca="false">IFERROR(IF(OR(NOT(ISNUMBER('Price History'!D77)),NOT(ISNUMBER('Price History'!D76)),'Price History'!D76=0),"",'Price History'!D77/'Price History'!D76-1),"")</f>
        <v>0.0345064113332214</v>
      </c>
      <c r="E76" s="105" t="n">
        <f aca="false">IFERROR(IF(OR(NOT(ISNUMBER('Price History'!E77)),NOT(ISNUMBER('Price History'!E76)),'Price History'!E76=0),"",'Price History'!E77/'Price History'!E76-1),"")</f>
        <v>-0.0354332401634058</v>
      </c>
      <c r="F76" s="105" t="n">
        <f aca="false">IFERROR(IF(OR(NOT(ISNUMBER('Price History'!F77)),NOT(ISNUMBER('Price History'!F76)),'Price History'!F76=0),"",'Price History'!F77/'Price History'!F76-1),"")</f>
        <v>-0.0284090909090911</v>
      </c>
      <c r="G76" s="105" t="n">
        <f aca="false">IFERROR(IF(OR(NOT(ISNUMBER('Price History'!G77)),NOT(ISNUMBER('Price History'!G76)),'Price History'!G76=0),"",'Price History'!G77/'Price History'!G76-1),"")</f>
        <v>0.0397260273972602</v>
      </c>
      <c r="H76" s="105" t="n">
        <f aca="false">IFERROR(IF(OR(NOT(ISNUMBER('Price History'!H77)),NOT(ISNUMBER('Price History'!H76)),'Price History'!H76=0),"",'Price History'!H77/'Price History'!H76-1),"")</f>
        <v>0.105374429731835</v>
      </c>
      <c r="I76" s="105" t="n">
        <f aca="false">IFERROR(IF(OR(NOT(ISNUMBER('Price History'!I77)),NOT(ISNUMBER('Price History'!I76)),'Price History'!I76=0),"",'Price History'!I77/'Price History'!I76-1),"")</f>
        <v>-0.0592510555824739</v>
      </c>
      <c r="J76" s="105" t="n">
        <f aca="false">IFERROR(IF(OR(NOT(ISNUMBER('Price History'!J77)),NOT(ISNUMBER('Price History'!J76)),'Price History'!J76=0),"",'Price History'!J77/'Price History'!J76-1),"")</f>
        <v>-0.0193126952570292</v>
      </c>
      <c r="K76" s="105" t="n">
        <f aca="false">IFERROR(IF(OR(NOT(ISNUMBER('Price History'!K77)),NOT(ISNUMBER('Price History'!K76)),'Price History'!K76=0),"",'Price History'!K77/'Price History'!K76-1),"")</f>
        <v>-0.1580923770184</v>
      </c>
      <c r="L76" s="105" t="n">
        <f aca="false">IFERROR(IF(OR(NOT(ISNUMBER('Price History'!L77)),NOT(ISNUMBER('Price History'!L76)),'Price History'!L76=0),"",'Price History'!L77/'Price History'!L76-1),"")</f>
        <v>-0.00115047217295439</v>
      </c>
      <c r="M76" s="105" t="n">
        <f aca="false">IFERROR(IF(OR(NOT(ISNUMBER('Price History'!M77)),NOT(ISNUMBER('Price History'!M76)),'Price History'!M76=0),"",'Price History'!M77/'Price History'!M76-1),"")</f>
        <v>0.0259409564733031</v>
      </c>
      <c r="N76" s="105" t="n">
        <f aca="false">IFERROR(IF(OR(NOT(ISNUMBER('Price History'!N77)),NOT(ISNUMBER('Price History'!N76)),'Price History'!N76=0),"",'Price History'!N77/'Price History'!N76-1),"")</f>
        <v>0.00601802952518971</v>
      </c>
      <c r="O76" s="105" t="n">
        <f aca="false">IFERROR(IF(OR(NOT(ISNUMBER('Price History'!O77)),NOT(ISNUMBER('Price History'!O76)),'Price History'!O76=0),"",'Price History'!O77/'Price History'!O76-1),"")</f>
        <v>-0.0262237762237761</v>
      </c>
      <c r="P76" s="105" t="str">
        <f aca="false">IFERROR(IF(OR(NOT(ISNUMBER('Price History'!P77)),NOT(ISNUMBER('Price History'!P76)),'Price History'!P76=0),"",'Price History'!P77/'Price History'!P76-1),"")</f>
        <v/>
      </c>
      <c r="Q76" s="105" t="n">
        <f aca="false">IFERROR(IF(OR(NOT(ISNUMBER('Price History'!Q77)),NOT(ISNUMBER('Price History'!Q76)),'Price History'!Q76=0),"",'Price History'!Q77/'Price History'!Q76-1),"")</f>
        <v>-0.00636435958631665</v>
      </c>
      <c r="R76" s="105" t="n">
        <f aca="false">IFERROR(IF(OR(NOT(ISNUMBER('Price History'!R77)),NOT(ISNUMBER('Price History'!R76)),'Price History'!R76=0),"",'Price History'!R77/'Price History'!R76-1),"")</f>
        <v>-0.0192711983181499</v>
      </c>
      <c r="S76" s="105" t="n">
        <f aca="false">IFERROR(IF(OR(NOT(ISNUMBER('Price History'!S77)),NOT(ISNUMBER('Price History'!S76)),'Price History'!S76=0),"",'Price History'!S77/'Price History'!S76-1),"")</f>
        <v>-0.0135204871503768</v>
      </c>
      <c r="T76" s="105" t="n">
        <f aca="false">IFERROR(IF(OR(NOT(ISNUMBER('Price History'!T77)),NOT(ISNUMBER('Price History'!T76)),'Price History'!T76=0),"",'Price History'!T77/'Price History'!T76-1),"")</f>
        <v>-0.000290107339715684</v>
      </c>
      <c r="U76" s="105" t="str">
        <f aca="false">IFERROR(IF(OR(NOT(ISNUMBER('Price History'!U77)),NOT(ISNUMBER('Price History'!U76)),'Price History'!U76=0),"",'Price History'!U77/'Price History'!U76-1),"")</f>
        <v/>
      </c>
      <c r="V76" s="106" t="n">
        <f aca="false">IFERROR(IF(OR(NOT(ISNUMBER('Price History'!V77)),NOT(ISNUMBER('Price History'!V76)),'Price History'!V76=0),"",'Price History'!V77/'Price History'!V76-1),"")</f>
        <v>-0.0228428029084357</v>
      </c>
      <c r="W76" s="107" t="n">
        <f aca="false">'Price History'!B3+('Price History'!B158-'Price History'!B3)*0.474025974025974</f>
        <v>386.132337662338</v>
      </c>
      <c r="X76" s="107" t="n">
        <f aca="false">'Price History'!C3+('Price History'!C158-'Price History'!C3)*0.474025974025974</f>
        <v>108.496688311688</v>
      </c>
      <c r="Y76" s="107" t="n">
        <f aca="false">'Price History'!D3+('Price History'!D158-'Price History'!D3)*0.474025974025974</f>
        <v>1120.2674025974</v>
      </c>
      <c r="Z76" s="107" t="n">
        <f aca="false">'Price History'!E3+('Price History'!E158-'Price History'!E3)*0.474025974025974</f>
        <v>228.174155844156</v>
      </c>
      <c r="AA76" s="107" t="n">
        <f aca="false">'Price History'!F3+('Price History'!F158-'Price History'!F3)*0.474025974025974</f>
        <v>109.965194805195</v>
      </c>
      <c r="AB76" s="107" t="n">
        <f aca="false">'Price History'!G3+('Price History'!G158-'Price History'!G3)*0.474025974025974</f>
        <v>111.855584415584</v>
      </c>
      <c r="AC76" s="107" t="n">
        <f aca="false">'Price History'!H3+('Price History'!H158-'Price History'!H3)*0.474025974025974</f>
        <v>423.994545454545</v>
      </c>
      <c r="AD76" s="107" t="n">
        <f aca="false">'Price History'!I3+('Price History'!I158-'Price History'!I3)*0.474025974025974</f>
        <v>116.646753246753</v>
      </c>
      <c r="AE76" s="107" t="n">
        <f aca="false">'Price History'!J3+('Price History'!J158-'Price History'!J3)*0.474025974025974</f>
        <v>133.511948051948</v>
      </c>
      <c r="AF76" s="107" t="n">
        <f aca="false">'Price History'!K3+('Price History'!K158-'Price History'!K3)*0.474025974025974</f>
        <v>66.4388961038961</v>
      </c>
      <c r="AG76" s="107" t="n">
        <f aca="false">'Price History'!L3+('Price History'!L158-'Price History'!L3)*0.474025974025974</f>
        <v>240.009350649351</v>
      </c>
      <c r="AH76" s="107" t="n">
        <f aca="false">'Price History'!M3+('Price History'!M158-'Price History'!M3)*0.474025974025974</f>
        <v>132.135844155844</v>
      </c>
      <c r="AI76" s="107" t="n">
        <f aca="false">'Price History'!N3+('Price History'!N158-'Price History'!N3)*0.474025974025974</f>
        <v>410.175064935065</v>
      </c>
      <c r="AJ76" s="107" t="n">
        <f aca="false">'Price History'!O3+('Price History'!O158-'Price History'!O3)*0.474025974025974</f>
        <v>102.962922077922</v>
      </c>
      <c r="AK76" s="107" t="n">
        <f aca="false">'Price History'!Q3+('Price History'!Q151-'Price History'!Q3)*0.474025974025974</f>
        <v>58.6616233766234</v>
      </c>
      <c r="AL76" s="107" t="n">
        <f aca="false">'Price History'!R3+('Price History'!R158-'Price History'!R3)*0.474025974025974</f>
        <v>52.7640909090909</v>
      </c>
      <c r="AM76" s="107" t="n">
        <f aca="false">'Price History'!S3+('Price History'!S158-'Price History'!S3)*0.474025974025974</f>
        <v>98.9696753246753</v>
      </c>
      <c r="AN76" s="107" t="n">
        <f aca="false">'Price History'!T3+('Price History'!T158-'Price History'!T3)*0.474025974025974</f>
        <v>37.732012987013</v>
      </c>
    </row>
    <row r="77" customFormat="false" ht="15" hidden="false" customHeight="true" outlineLevel="0" collapsed="false">
      <c r="A77" s="104" t="n">
        <f aca="false">IF('Price History'!A78="","",'Price History'!A78)</f>
        <v>45674</v>
      </c>
      <c r="B77" s="105" t="n">
        <f aca="false">IFERROR(IF(OR(NOT(ISNUMBER('Price History'!B78)),NOT(ISNUMBER('Price History'!B77)),'Price History'!B77=0),"",'Price History'!B78/'Price History'!B77-1),"")</f>
        <v>0.0592973985021679</v>
      </c>
      <c r="C77" s="105" t="n">
        <f aca="false">IFERROR(IF(OR(NOT(ISNUMBER('Price History'!C78)),NOT(ISNUMBER('Price History'!C77)),'Price History'!C77=0),"",'Price History'!C78/'Price History'!C77-1),"")</f>
        <v>0.0490641945076089</v>
      </c>
      <c r="D77" s="105" t="n">
        <f aca="false">IFERROR(IF(OR(NOT(ISNUMBER('Price History'!D78)),NOT(ISNUMBER('Price History'!D77)),'Price History'!D77=0),"",'Price History'!D78/'Price History'!D77-1),"")</f>
        <v>0.0234367599897161</v>
      </c>
      <c r="E77" s="105" t="n">
        <f aca="false">IFERROR(IF(OR(NOT(ISNUMBER('Price History'!E78)),NOT(ISNUMBER('Price History'!E77)),'Price History'!E77=0),"",'Price History'!E78/'Price History'!E77-1),"")</f>
        <v>0.0585350630823414</v>
      </c>
      <c r="F77" s="105" t="n">
        <f aca="false">IFERROR(IF(OR(NOT(ISNUMBER('Price History'!F78)),NOT(ISNUMBER('Price History'!F77)),'Price History'!F77=0),"",'Price History'!F78/'Price History'!F77-1),"")</f>
        <v>0.0233918128654971</v>
      </c>
      <c r="G77" s="105" t="n">
        <f aca="false">IFERROR(IF(OR(NOT(ISNUMBER('Price History'!G78)),NOT(ISNUMBER('Price History'!G77)),'Price History'!G77=0),"",'Price History'!G78/'Price History'!G77-1),"")</f>
        <v>0.108915239350022</v>
      </c>
      <c r="H77" s="105" t="n">
        <f aca="false">IFERROR(IF(OR(NOT(ISNUMBER('Price History'!H78)),NOT(ISNUMBER('Price History'!H77)),'Price History'!H77=0),"",'Price History'!H78/'Price History'!H77-1),"")</f>
        <v>0.0645258707469296</v>
      </c>
      <c r="I77" s="105" t="n">
        <f aca="false">IFERROR(IF(OR(NOT(ISNUMBER('Price History'!I78)),NOT(ISNUMBER('Price History'!I77)),'Price History'!I77=0),"",'Price History'!I78/'Price History'!I77-1),"")</f>
        <v>0.0132440585681701</v>
      </c>
      <c r="J77" s="105" t="n">
        <f aca="false">IFERROR(IF(OR(NOT(ISNUMBER('Price History'!J78)),NOT(ISNUMBER('Price History'!J77)),'Price History'!J77=0),"",'Price History'!J78/'Price History'!J77-1),"")</f>
        <v>0.056858770151559</v>
      </c>
      <c r="K77" s="105" t="n">
        <f aca="false">IFERROR(IF(OR(NOT(ISNUMBER('Price History'!K78)),NOT(ISNUMBER('Price History'!K77)),'Price History'!K77=0),"",'Price History'!K78/'Price History'!K77-1),"")</f>
        <v>0.0670532262860539</v>
      </c>
      <c r="L77" s="105" t="n">
        <f aca="false">IFERROR(IF(OR(NOT(ISNUMBER('Price History'!L78)),NOT(ISNUMBER('Price History'!L77)),'Price History'!L77=0),"",'Price History'!L78/'Price History'!L77-1),"")</f>
        <v>0.0150213562413015</v>
      </c>
      <c r="M77" s="105" t="n">
        <f aca="false">IFERROR(IF(OR(NOT(ISNUMBER('Price History'!M78)),NOT(ISNUMBER('Price History'!M77)),'Price History'!M77=0),"",'Price History'!M78/'Price History'!M77-1),"")</f>
        <v>0.0539052198867602</v>
      </c>
      <c r="N77" s="105" t="n">
        <f aca="false">IFERROR(IF(OR(NOT(ISNUMBER('Price History'!N78)),NOT(ISNUMBER('Price History'!N77)),'Price History'!N77=0),"",'Price History'!N78/'Price History'!N77-1),"")</f>
        <v>0.0303740599667937</v>
      </c>
      <c r="O77" s="105" t="n">
        <f aca="false">IFERROR(IF(OR(NOT(ISNUMBER('Price History'!O78)),NOT(ISNUMBER('Price History'!O77)),'Price History'!O77=0),"",'Price History'!O78/'Price History'!O77-1),"")</f>
        <v>0.0488963987749498</v>
      </c>
      <c r="P77" s="105" t="str">
        <f aca="false">IFERROR(IF(OR(NOT(ISNUMBER('Price History'!P78)),NOT(ISNUMBER('Price History'!P77)),'Price History'!P77=0),"",'Price History'!P78/'Price History'!P77-1),"")</f>
        <v/>
      </c>
      <c r="Q77" s="105" t="n">
        <f aca="false">IFERROR(IF(OR(NOT(ISNUMBER('Price History'!Q78)),NOT(ISNUMBER('Price History'!Q77)),'Price History'!Q77=0),"",'Price History'!Q78/'Price History'!Q77-1),"")</f>
        <v>-0.0174539631705365</v>
      </c>
      <c r="R77" s="105" t="n">
        <f aca="false">IFERROR(IF(OR(NOT(ISNUMBER('Price History'!R78)),NOT(ISNUMBER('Price History'!R77)),'Price History'!R77=0),"",'Price History'!R78/'Price History'!R77-1),"")</f>
        <v>0.0230439442658092</v>
      </c>
      <c r="S77" s="105" t="n">
        <f aca="false">IFERROR(IF(OR(NOT(ISNUMBER('Price History'!S78)),NOT(ISNUMBER('Price History'!S77)),'Price History'!S77=0),"",'Price History'!S78/'Price History'!S77-1),"")</f>
        <v>0.0321196903117809</v>
      </c>
      <c r="T77" s="105" t="n">
        <f aca="false">IFERROR(IF(OR(NOT(ISNUMBER('Price History'!T78)),NOT(ISNUMBER('Price History'!T77)),'Price History'!T77=0),"",'Price History'!T78/'Price History'!T77-1),"")</f>
        <v>0.038595473012188</v>
      </c>
      <c r="U77" s="105" t="str">
        <f aca="false">IFERROR(IF(OR(NOT(ISNUMBER('Price History'!U78)),NOT(ISNUMBER('Price History'!U77)),'Price History'!U77=0),"",'Price History'!U78/'Price History'!U77-1),"")</f>
        <v/>
      </c>
      <c r="V77" s="106" t="n">
        <f aca="false">IFERROR(IF(OR(NOT(ISNUMBER('Price History'!V78)),NOT(ISNUMBER('Price History'!V77)),'Price History'!V77=0),"",'Price History'!V78/'Price History'!V77-1),"")</f>
        <v>0.0386869485052022</v>
      </c>
      <c r="W77" s="107" t="n">
        <f aca="false">'Price History'!B3+('Price History'!B158-'Price History'!B3)*0.480519480519481</f>
        <v>384.456753246753</v>
      </c>
      <c r="X77" s="107" t="n">
        <f aca="false">'Price History'!C3+('Price History'!C158-'Price History'!C3)*0.480519480519481</f>
        <v>109.383766233766</v>
      </c>
      <c r="Y77" s="107" t="n">
        <f aca="false">'Price History'!D3+('Price History'!D158-'Price History'!D3)*0.480519480519481</f>
        <v>1126.54805194805</v>
      </c>
      <c r="Z77" s="107" t="n">
        <f aca="false">'Price History'!E3+('Price History'!E158-'Price History'!E3)*0.480519480519481</f>
        <v>230.163116883117</v>
      </c>
      <c r="AA77" s="107" t="n">
        <f aca="false">'Price History'!F3+('Price History'!F158-'Price History'!F3)*0.480519480519481</f>
        <v>110.963896103896</v>
      </c>
      <c r="AB77" s="107" t="n">
        <f aca="false">'Price History'!G3+('Price History'!G158-'Price History'!G3)*0.480519480519481</f>
        <v>112.731688311688</v>
      </c>
      <c r="AC77" s="107" t="n">
        <f aca="false">'Price History'!H3+('Price History'!H158-'Price History'!H3)*0.480519480519481</f>
        <v>428.920909090909</v>
      </c>
      <c r="AD77" s="107" t="n">
        <f aca="false">'Price History'!I3+('Price History'!I158-'Price History'!I3)*0.480519480519481</f>
        <v>117.685064935065</v>
      </c>
      <c r="AE77" s="107" t="n">
        <f aca="false">'Price History'!J3+('Price History'!J158-'Price History'!J3)*0.480519480519481</f>
        <v>133.648961038961</v>
      </c>
      <c r="AF77" s="107" t="n">
        <f aca="false">'Price History'!K3+('Price History'!K158-'Price History'!K3)*0.480519480519481</f>
        <v>67.1379220779221</v>
      </c>
      <c r="AG77" s="107" t="n">
        <f aca="false">'Price History'!L3+('Price History'!L158-'Price History'!L3)*0.480519480519481</f>
        <v>242.037012987013</v>
      </c>
      <c r="AH77" s="107" t="n">
        <f aca="false">'Price History'!M3+('Price History'!M158-'Price History'!M3)*0.480519480519481</f>
        <v>133.486883116883</v>
      </c>
      <c r="AI77" s="107" t="n">
        <f aca="false">'Price History'!N3+('Price History'!N158-'Price History'!N3)*0.480519480519481</f>
        <v>411.001298701299</v>
      </c>
      <c r="AJ77" s="107" t="n">
        <f aca="false">'Price History'!O3+('Price History'!O158-'Price History'!O3)*0.480519480519481</f>
        <v>103.238441558442</v>
      </c>
      <c r="AK77" s="107" t="n">
        <f aca="false">'Price History'!Q3+('Price History'!Q151-'Price History'!Q3)*0.480519480519481</f>
        <v>58.7824675324675</v>
      </c>
      <c r="AL77" s="107" t="n">
        <f aca="false">'Price History'!R3+('Price History'!R158-'Price History'!R3)*0.480519480519481</f>
        <v>52.8318181818182</v>
      </c>
      <c r="AM77" s="107" t="n">
        <f aca="false">'Price History'!S3+('Price History'!S158-'Price History'!S3)*0.480519480519481</f>
        <v>99.5235064935066</v>
      </c>
      <c r="AN77" s="107" t="n">
        <f aca="false">'Price History'!T3+('Price History'!T158-'Price History'!T3)*0.480519480519481</f>
        <v>37.8802597402598</v>
      </c>
    </row>
    <row r="78" customFormat="false" ht="15" hidden="false" customHeight="true" outlineLevel="0" collapsed="false">
      <c r="A78" s="104" t="n">
        <f aca="false">IF('Price History'!A79="","",'Price History'!A79)</f>
        <v>45681</v>
      </c>
      <c r="B78" s="105" t="n">
        <f aca="false">IFERROR(IF(OR(NOT(ISNUMBER('Price History'!B79)),NOT(ISNUMBER('Price History'!B78)),'Price History'!B78=0),"",'Price History'!B79/'Price History'!B78-1),"")</f>
        <v>0.0125351752366334</v>
      </c>
      <c r="C78" s="105" t="n">
        <f aca="false">IFERROR(IF(OR(NOT(ISNUMBER('Price History'!C79)),NOT(ISNUMBER('Price History'!C78)),'Price History'!C78=0),"",'Price History'!C79/'Price History'!C78-1),"")</f>
        <v>0.0768653605669027</v>
      </c>
      <c r="D78" s="105" t="n">
        <f aca="false">IFERROR(IF(OR(NOT(ISNUMBER('Price History'!D79)),NOT(ISNUMBER('Price History'!D78)),'Price History'!D78=0),"",'Price History'!D79/'Price History'!D78-1),"")</f>
        <v>-0.0318379543321038</v>
      </c>
      <c r="E78" s="105" t="n">
        <f aca="false">IFERROR(IF(OR(NOT(ISNUMBER('Price History'!E79)),NOT(ISNUMBER('Price History'!E78)),'Price History'!E78=0),"",'Price History'!E79/'Price History'!E78-1),"")</f>
        <v>0.0305761455525606</v>
      </c>
      <c r="F78" s="105" t="n">
        <f aca="false">IFERROR(IF(OR(NOT(ISNUMBER('Price History'!F79)),NOT(ISNUMBER('Price History'!F78)),'Price History'!F78=0),"",'Price History'!F79/'Price History'!F78-1),"")</f>
        <v>0.0501960784313726</v>
      </c>
      <c r="G78" s="105" t="n">
        <f aca="false">IFERROR(IF(OR(NOT(ISNUMBER('Price History'!G79)),NOT(ISNUMBER('Price History'!G78)),'Price History'!G78=0),"",'Price History'!G79/'Price History'!G78-1),"")</f>
        <v>-0.0101650165016501</v>
      </c>
      <c r="H78" s="105" t="n">
        <f aca="false">IFERROR(IF(OR(NOT(ISNUMBER('Price History'!H79)),NOT(ISNUMBER('Price History'!H78)),'Price History'!H78=0),"",'Price History'!H79/'Price History'!H78-1),"")</f>
        <v>-0.0242080378250591</v>
      </c>
      <c r="I78" s="105" t="n">
        <f aca="false">IFERROR(IF(OR(NOT(ISNUMBER('Price History'!I79)),NOT(ISNUMBER('Price History'!I78)),'Price History'!I78=0),"",'Price History'!I79/'Price History'!I78-1),"")</f>
        <v>0.0356546365550794</v>
      </c>
      <c r="J78" s="105" t="n">
        <f aca="false">IFERROR(IF(OR(NOT(ISNUMBER('Price History'!J79)),NOT(ISNUMBER('Price History'!J78)),'Price History'!J78=0),"",'Price History'!J79/'Price History'!J78-1),"")</f>
        <v>0.0863171355498722</v>
      </c>
      <c r="K78" s="105" t="n">
        <f aca="false">IFERROR(IF(OR(NOT(ISNUMBER('Price History'!K79)),NOT(ISNUMBER('Price History'!K78)),'Price History'!K78=0),"",'Price History'!K79/'Price History'!K78-1),"")</f>
        <v>0.100459802145743</v>
      </c>
      <c r="L78" s="105" t="n">
        <f aca="false">IFERROR(IF(OR(NOT(ISNUMBER('Price History'!L79)),NOT(ISNUMBER('Price History'!L78)),'Price History'!L78=0),"",'Price History'!L79/'Price History'!L78-1),"")</f>
        <v>0.0490780141843972</v>
      </c>
      <c r="M78" s="105" t="n">
        <f aca="false">IFERROR(IF(OR(NOT(ISNUMBER('Price History'!M79)),NOT(ISNUMBER('Price History'!M78)),'Price History'!M78=0),"",'Price History'!M79/'Price History'!M78-1),"")</f>
        <v>0.0768324992640566</v>
      </c>
      <c r="N78" s="105" t="n">
        <f aca="false">IFERROR(IF(OR(NOT(ISNUMBER('Price History'!N79)),NOT(ISNUMBER('Price History'!N78)),'Price History'!N78=0),"",'Price History'!N79/'Price History'!N78-1),"")</f>
        <v>0.0417535545023697</v>
      </c>
      <c r="O78" s="105" t="n">
        <f aca="false">IFERROR(IF(OR(NOT(ISNUMBER('Price History'!O79)),NOT(ISNUMBER('Price History'!O78)),'Price History'!O78=0),"",'Price History'!O79/'Price History'!O78-1),"")</f>
        <v>0.00503423278292381</v>
      </c>
      <c r="P78" s="105" t="str">
        <f aca="false">IFERROR(IF(OR(NOT(ISNUMBER('Price History'!P79)),NOT(ISNUMBER('Price History'!P78)),'Price History'!P78=0),"",'Price History'!P79/'Price History'!P78-1),"")</f>
        <v/>
      </c>
      <c r="Q78" s="105" t="n">
        <f aca="false">IFERROR(IF(OR(NOT(ISNUMBER('Price History'!Q79)),NOT(ISNUMBER('Price History'!Q78)),'Price History'!Q78=0),"",'Price History'!Q79/'Price History'!Q78-1),"")</f>
        <v>-0.0141786179921772</v>
      </c>
      <c r="R78" s="105" t="n">
        <f aca="false">IFERROR(IF(OR(NOT(ISNUMBER('Price History'!R79)),NOT(ISNUMBER('Price History'!R78)),'Price History'!R78=0),"",'Price History'!R79/'Price History'!R78-1),"")</f>
        <v>0.0139689191548804</v>
      </c>
      <c r="S78" s="105" t="n">
        <f aca="false">IFERROR(IF(OR(NOT(ISNUMBER('Price History'!S79)),NOT(ISNUMBER('Price History'!S78)),'Price History'!S78=0),"",'Price History'!S79/'Price History'!S78-1),"")</f>
        <v>0.0271667511403952</v>
      </c>
      <c r="T78" s="105" t="n">
        <f aca="false">IFERROR(IF(OR(NOT(ISNUMBER('Price History'!T79)),NOT(ISNUMBER('Price History'!T78)),'Price History'!T78=0),"",'Price History'!T79/'Price History'!T78-1),"")</f>
        <v>0.00251466890192797</v>
      </c>
      <c r="U78" s="105" t="str">
        <f aca="false">IFERROR(IF(OR(NOT(ISNUMBER('Price History'!U79)),NOT(ISNUMBER('Price History'!U78)),'Price History'!U78=0),"",'Price History'!U79/'Price History'!U78-1),"")</f>
        <v/>
      </c>
      <c r="V78" s="106" t="n">
        <f aca="false">IFERROR(IF(OR(NOT(ISNUMBER('Price History'!V79)),NOT(ISNUMBER('Price History'!V78)),'Price History'!V78=0),"",'Price History'!V79/'Price History'!V78-1),"")</f>
        <v>0.0330934795701652</v>
      </c>
      <c r="W78" s="107" t="n">
        <f aca="false">'Price History'!B3+('Price History'!B158-'Price History'!B3)*0.487012987012987</f>
        <v>382.781168831169</v>
      </c>
      <c r="X78" s="107" t="n">
        <f aca="false">'Price History'!C3+('Price History'!C158-'Price History'!C3)*0.487012987012987</f>
        <v>110.270844155844</v>
      </c>
      <c r="Y78" s="107" t="n">
        <f aca="false">'Price History'!D3+('Price History'!D158-'Price History'!D3)*0.487012987012987</f>
        <v>1132.8287012987</v>
      </c>
      <c r="Z78" s="107" t="n">
        <f aca="false">'Price History'!E3+('Price History'!E158-'Price History'!E3)*0.487012987012987</f>
        <v>232.152077922078</v>
      </c>
      <c r="AA78" s="107" t="n">
        <f aca="false">'Price History'!F3+('Price History'!F158-'Price History'!F3)*0.487012987012987</f>
        <v>111.962597402597</v>
      </c>
      <c r="AB78" s="107" t="n">
        <f aca="false">'Price History'!G3+('Price History'!G158-'Price History'!G3)*0.487012987012987</f>
        <v>113.607792207792</v>
      </c>
      <c r="AC78" s="107" t="n">
        <f aca="false">'Price History'!H3+('Price History'!H158-'Price History'!H3)*0.487012987012987</f>
        <v>433.847272727273</v>
      </c>
      <c r="AD78" s="107" t="n">
        <f aca="false">'Price History'!I3+('Price History'!I158-'Price History'!I3)*0.487012987012987</f>
        <v>118.723376623377</v>
      </c>
      <c r="AE78" s="107" t="n">
        <f aca="false">'Price History'!J3+('Price History'!J158-'Price History'!J3)*0.487012987012987</f>
        <v>133.785974025974</v>
      </c>
      <c r="AF78" s="107" t="n">
        <f aca="false">'Price History'!K3+('Price History'!K158-'Price History'!K3)*0.487012987012987</f>
        <v>67.8369480519481</v>
      </c>
      <c r="AG78" s="107" t="n">
        <f aca="false">'Price History'!L3+('Price History'!L158-'Price History'!L3)*0.487012987012987</f>
        <v>244.064675324675</v>
      </c>
      <c r="AH78" s="107" t="n">
        <f aca="false">'Price History'!M3+('Price History'!M158-'Price History'!M3)*0.487012987012987</f>
        <v>134.837922077922</v>
      </c>
      <c r="AI78" s="107" t="n">
        <f aca="false">'Price History'!N3+('Price History'!N158-'Price History'!N3)*0.487012987012987</f>
        <v>411.827532467533</v>
      </c>
      <c r="AJ78" s="107" t="n">
        <f aca="false">'Price History'!O3+('Price History'!O158-'Price History'!O3)*0.487012987012987</f>
        <v>103.513961038961</v>
      </c>
      <c r="AK78" s="107" t="n">
        <f aca="false">'Price History'!Q3+('Price History'!Q151-'Price History'!Q3)*0.487012987012987</f>
        <v>58.9033116883117</v>
      </c>
      <c r="AL78" s="107" t="n">
        <f aca="false">'Price History'!R3+('Price History'!R158-'Price History'!R3)*0.487012987012987</f>
        <v>52.8995454545455</v>
      </c>
      <c r="AM78" s="107" t="n">
        <f aca="false">'Price History'!S3+('Price History'!S158-'Price History'!S3)*0.487012987012987</f>
        <v>100.077337662338</v>
      </c>
      <c r="AN78" s="107" t="n">
        <f aca="false">'Price History'!T3+('Price History'!T158-'Price History'!T3)*0.487012987012987</f>
        <v>38.0285064935065</v>
      </c>
    </row>
    <row r="79" customFormat="false" ht="15" hidden="false" customHeight="true" outlineLevel="0" collapsed="false">
      <c r="A79" s="104" t="n">
        <f aca="false">IF('Price History'!A80="","",'Price History'!A80)</f>
        <v>45688</v>
      </c>
      <c r="B79" s="105" t="n">
        <f aca="false">IFERROR(IF(OR(NOT(ISNUMBER('Price History'!B80)),NOT(ISNUMBER('Price History'!B79)),'Price History'!B79=0),"",'Price History'!B80/'Price History'!B79-1),"")</f>
        <v>0.00475446736184471</v>
      </c>
      <c r="C79" s="105" t="n">
        <f aca="false">IFERROR(IF(OR(NOT(ISNUMBER('Price History'!C80)),NOT(ISNUMBER('Price History'!C79)),'Price History'!C79=0),"",'Price History'!C80/'Price History'!C79-1),"")</f>
        <v>-0.107919795618177</v>
      </c>
      <c r="D79" s="105" t="n">
        <f aca="false">IFERROR(IF(OR(NOT(ISNUMBER('Price History'!D80)),NOT(ISNUMBER('Price History'!D79)),'Price History'!D79=0),"",'Price History'!D80/'Price History'!D79-1),"")</f>
        <v>0.00964151587572548</v>
      </c>
      <c r="E79" s="105" t="n">
        <f aca="false">IFERROR(IF(OR(NOT(ISNUMBER('Price History'!E80)),NOT(ISNUMBER('Price History'!E79)),'Price History'!E79=0),"",'Price History'!E80/'Price History'!E79-1),"")</f>
        <v>-0.0957498978340825</v>
      </c>
      <c r="F79" s="105" t="n">
        <f aca="false">IFERROR(IF(OR(NOT(ISNUMBER('Price History'!F80)),NOT(ISNUMBER('Price History'!F79)),'Price History'!F79=0),"",'Price History'!F80/'Price History'!F79-1),"")</f>
        <v>0.0617731782780326</v>
      </c>
      <c r="G79" s="105" t="n">
        <f aca="false">IFERROR(IF(OR(NOT(ISNUMBER('Price History'!G80)),NOT(ISNUMBER('Price History'!G79)),'Price History'!G79=0),"",'Price History'!G80/'Price History'!G79-1),"")</f>
        <v>-0.0154707922112565</v>
      </c>
      <c r="H79" s="105" t="n">
        <f aca="false">IFERROR(IF(OR(NOT(ISNUMBER('Price History'!H80)),NOT(ISNUMBER('Price History'!H79)),'Price History'!H79=0),"",'Price History'!H80/'Price History'!H79-1),"")</f>
        <v>-0.115805795135188</v>
      </c>
      <c r="I79" s="105" t="n">
        <f aca="false">IFERROR(IF(OR(NOT(ISNUMBER('Price History'!I80)),NOT(ISNUMBER('Price History'!I79)),'Price History'!I79=0),"",'Price History'!I80/'Price History'!I79-1),"")</f>
        <v>-0.158112466694713</v>
      </c>
      <c r="J79" s="105" t="n">
        <f aca="false">IFERROR(IF(OR(NOT(ISNUMBER('Price History'!J80)),NOT(ISNUMBER('Price History'!J79)),'Price History'!J79=0),"",'Price History'!J80/'Price History'!J79-1),"")</f>
        <v>0.00269065837047</v>
      </c>
      <c r="K79" s="105" t="n">
        <f aca="false">IFERROR(IF(OR(NOT(ISNUMBER('Price History'!K80)),NOT(ISNUMBER('Price History'!K79)),'Price History'!K79=0),"",'Price History'!K80/'Price History'!K79-1),"")</f>
        <v>0.0444416307926057</v>
      </c>
      <c r="L79" s="105" t="n">
        <f aca="false">IFERROR(IF(OR(NOT(ISNUMBER('Price History'!L80)),NOT(ISNUMBER('Price History'!L79)),'Price History'!L79=0),"",'Price History'!L80/'Price History'!L79-1),"")</f>
        <v>-0.0566071750495764</v>
      </c>
      <c r="M79" s="105" t="n">
        <f aca="false">IFERROR(IF(OR(NOT(ISNUMBER('Price History'!M80)),NOT(ISNUMBER('Price History'!M79)),'Price History'!M79=0),"",'Price History'!M80/'Price History'!M79-1),"")</f>
        <v>-0.200246036085292</v>
      </c>
      <c r="N79" s="105" t="n">
        <f aca="false">IFERROR(IF(OR(NOT(ISNUMBER('Price History'!N80)),NOT(ISNUMBER('Price History'!N79)),'Price History'!N79=0),"",'Price History'!N80/'Price History'!N79-1),"")</f>
        <v>0.0501797006505618</v>
      </c>
      <c r="O79" s="105" t="n">
        <f aca="false">IFERROR(IF(OR(NOT(ISNUMBER('Price History'!O80)),NOT(ISNUMBER('Price History'!O79)),'Price History'!O79=0),"",'Price History'!O80/'Price History'!O79-1),"")</f>
        <v>-0.0151272290122219</v>
      </c>
      <c r="P79" s="105" t="str">
        <f aca="false">IFERROR(IF(OR(NOT(ISNUMBER('Price History'!P80)),NOT(ISNUMBER('Price History'!P79)),'Price History'!P79=0),"",'Price History'!P80/'Price History'!P79-1),"")</f>
        <v/>
      </c>
      <c r="Q79" s="105" t="n">
        <f aca="false">IFERROR(IF(OR(NOT(ISNUMBER('Price History'!Q80)),NOT(ISNUMBER('Price History'!Q79)),'Price History'!Q79=0),"",'Price History'!Q80/'Price History'!Q79-1),"")</f>
        <v>-0.00214911555629038</v>
      </c>
      <c r="R79" s="105" t="n">
        <f aca="false">IFERROR(IF(OR(NOT(ISNUMBER('Price History'!R80)),NOT(ISNUMBER('Price History'!R79)),'Price History'!R79=0),"",'Price History'!R80/'Price History'!R79-1),"")</f>
        <v>-0.0103323574995695</v>
      </c>
      <c r="S79" s="105" t="n">
        <f aca="false">IFERROR(IF(OR(NOT(ISNUMBER('Price History'!S80)),NOT(ISNUMBER('Price History'!S79)),'Price History'!S79=0),"",'Price History'!S80/'Price History'!S79-1),"")</f>
        <v>-0.0127306819303266</v>
      </c>
      <c r="T79" s="105" t="n">
        <f aca="false">IFERROR(IF(OR(NOT(ISNUMBER('Price History'!T80)),NOT(ISNUMBER('Price History'!T79)),'Price History'!T79=0),"",'Price History'!T80/'Price History'!T79-1),"")</f>
        <v>-0.0103121516164996</v>
      </c>
      <c r="U79" s="105" t="str">
        <f aca="false">IFERROR(IF(OR(NOT(ISNUMBER('Price History'!U80)),NOT(ISNUMBER('Price History'!U79)),'Price History'!U79=0),"",'Price History'!U80/'Price History'!U79-1),"")</f>
        <v/>
      </c>
      <c r="V79" s="106" t="n">
        <f aca="false">IFERROR(IF(OR(NOT(ISNUMBER('Price History'!V80)),NOT(ISNUMBER('Price History'!V79)),'Price History'!V79=0),"",'Price History'!V80/'Price History'!V79-1),"")</f>
        <v>0.0351323985149274</v>
      </c>
      <c r="W79" s="107" t="n">
        <f aca="false">'Price History'!B3+('Price History'!B158-'Price History'!B3)*0.493506493506494</f>
        <v>381.105584415584</v>
      </c>
      <c r="X79" s="107" t="n">
        <f aca="false">'Price History'!C3+('Price History'!C158-'Price History'!C3)*0.493506493506494</f>
        <v>111.157922077922</v>
      </c>
      <c r="Y79" s="107" t="n">
        <f aca="false">'Price History'!D3+('Price History'!D158-'Price History'!D3)*0.493506493506494</f>
        <v>1139.10935064935</v>
      </c>
      <c r="Z79" s="107" t="n">
        <f aca="false">'Price History'!E3+('Price History'!E158-'Price History'!E3)*0.493506493506494</f>
        <v>234.141038961039</v>
      </c>
      <c r="AA79" s="107" t="n">
        <f aca="false">'Price History'!F3+('Price History'!F158-'Price History'!F3)*0.493506493506494</f>
        <v>112.961298701299</v>
      </c>
      <c r="AB79" s="107" t="n">
        <f aca="false">'Price History'!G3+('Price History'!G158-'Price History'!G3)*0.493506493506494</f>
        <v>114.483896103896</v>
      </c>
      <c r="AC79" s="107" t="n">
        <f aca="false">'Price History'!H3+('Price History'!H158-'Price History'!H3)*0.493506493506494</f>
        <v>438.773636363637</v>
      </c>
      <c r="AD79" s="107" t="n">
        <f aca="false">'Price History'!I3+('Price History'!I158-'Price History'!I3)*0.493506493506494</f>
        <v>119.761688311688</v>
      </c>
      <c r="AE79" s="107" t="n">
        <f aca="false">'Price History'!J3+('Price History'!J158-'Price History'!J3)*0.493506493506494</f>
        <v>133.922987012987</v>
      </c>
      <c r="AF79" s="107" t="n">
        <f aca="false">'Price History'!K3+('Price History'!K158-'Price History'!K3)*0.493506493506494</f>
        <v>68.5359740259741</v>
      </c>
      <c r="AG79" s="107" t="n">
        <f aca="false">'Price History'!L3+('Price History'!L158-'Price History'!L3)*0.493506493506494</f>
        <v>246.092337662338</v>
      </c>
      <c r="AH79" s="107" t="n">
        <f aca="false">'Price History'!M3+('Price History'!M158-'Price History'!M3)*0.493506493506494</f>
        <v>136.188961038961</v>
      </c>
      <c r="AI79" s="107" t="n">
        <f aca="false">'Price History'!N3+('Price History'!N158-'Price History'!N3)*0.493506493506494</f>
        <v>412.653766233766</v>
      </c>
      <c r="AJ79" s="107" t="n">
        <f aca="false">'Price History'!O3+('Price History'!O158-'Price History'!O3)*0.493506493506494</f>
        <v>103.789480519481</v>
      </c>
      <c r="AK79" s="107" t="n">
        <f aca="false">'Price History'!Q3+('Price History'!Q151-'Price History'!Q3)*0.493506493506494</f>
        <v>59.0241558441559</v>
      </c>
      <c r="AL79" s="107" t="n">
        <f aca="false">'Price History'!R3+('Price History'!R158-'Price History'!R3)*0.493506493506494</f>
        <v>52.9672727272727</v>
      </c>
      <c r="AM79" s="107" t="n">
        <f aca="false">'Price History'!S3+('Price History'!S158-'Price History'!S3)*0.493506493506494</f>
        <v>100.631168831169</v>
      </c>
      <c r="AN79" s="107" t="n">
        <f aca="false">'Price History'!T3+('Price History'!T158-'Price History'!T3)*0.493506493506494</f>
        <v>38.1767532467533</v>
      </c>
    </row>
    <row r="80" customFormat="false" ht="15" hidden="false" customHeight="true" outlineLevel="0" collapsed="false">
      <c r="A80" s="104" t="n">
        <f aca="false">IF('Price History'!A81="","",'Price History'!A81)</f>
        <v>45695</v>
      </c>
      <c r="B80" s="105" t="n">
        <f aca="false">IFERROR(IF(OR(NOT(ISNUMBER('Price History'!B81)),NOT(ISNUMBER('Price History'!B80)),'Price History'!B80=0),"",'Price History'!B81/'Price History'!B80-1),"")</f>
        <v>-0.0100125728654703</v>
      </c>
      <c r="C80" s="105" t="n">
        <f aca="false">IFERROR(IF(OR(NOT(ISNUMBER('Price History'!C81)),NOT(ISNUMBER('Price History'!C80)),'Price History'!C80=0),"",'Price History'!C81/'Price History'!C80-1),"")</f>
        <v>0.028117677688102</v>
      </c>
      <c r="D80" s="105" t="n">
        <f aca="false">IFERROR(IF(OR(NOT(ISNUMBER('Price History'!D81)),NOT(ISNUMBER('Price History'!D80)),'Price History'!D80=0),"",'Price History'!D81/'Price History'!D80-1),"")</f>
        <v>-0.015703831951414</v>
      </c>
      <c r="E80" s="105" t="n">
        <f aca="false">IFERROR(IF(OR(NOT(ISNUMBER('Price History'!E81)),NOT(ISNUMBER('Price History'!E80)),'Price History'!E80=0),"",'Price History'!E81/'Price History'!E80-1),"")</f>
        <v>0.0162697157319112</v>
      </c>
      <c r="F80" s="105" t="n">
        <f aca="false">IFERROR(IF(OR(NOT(ISNUMBER('Price History'!F81)),NOT(ISNUMBER('Price History'!F80)),'Price History'!F80=0),"",'Price History'!F81/'Price History'!F80-1),"")</f>
        <v>0.0590836012861737</v>
      </c>
      <c r="G80" s="105" t="n">
        <f aca="false">IFERROR(IF(OR(NOT(ISNUMBER('Price History'!G81)),NOT(ISNUMBER('Price History'!G80)),'Price History'!G80=0),"",'Price History'!G81/'Price History'!G80-1),"")</f>
        <v>0.0128691411541588</v>
      </c>
      <c r="H80" s="105" t="n">
        <f aca="false">IFERROR(IF(OR(NOT(ISNUMBER('Price History'!H81)),NOT(ISNUMBER('Price History'!H80)),'Price History'!H80=0),"",'Price History'!H81/'Price History'!H80-1),"")</f>
        <v>0.0116177115300307</v>
      </c>
      <c r="I80" s="105" t="n">
        <f aca="false">IFERROR(IF(OR(NOT(ISNUMBER('Price History'!I81)),NOT(ISNUMBER('Price History'!I80)),'Price History'!I80=0),"",'Price History'!I81/'Price History'!I80-1),"")</f>
        <v>0.0813692012992422</v>
      </c>
      <c r="J80" s="105" t="n">
        <f aca="false">IFERROR(IF(OR(NOT(ISNUMBER('Price History'!J81)),NOT(ISNUMBER('Price History'!J80)),'Price History'!J80=0),"",'Price History'!J81/'Price History'!J80-1),"")</f>
        <v>-0.0159329140461216</v>
      </c>
      <c r="K80" s="105" t="n">
        <f aca="false">IFERROR(IF(OR(NOT(ISNUMBER('Price History'!K81)),NOT(ISNUMBER('Price History'!K80)),'Price History'!K80=0),"",'Price History'!K81/'Price History'!K80-1),"")</f>
        <v>0.343799248393745</v>
      </c>
      <c r="L80" s="105" t="n">
        <f aca="false">IFERROR(IF(OR(NOT(ISNUMBER('Price History'!L81)),NOT(ISNUMBER('Price History'!L80)),'Price History'!L80=0),"",'Price History'!L81/'Price History'!L80-1),"")</f>
        <v>-0.0152875979361742</v>
      </c>
      <c r="M80" s="105" t="n">
        <f aca="false">IFERROR(IF(OR(NOT(ISNUMBER('Price History'!M81)),NOT(ISNUMBER('Price History'!M80)),'Price History'!M80=0),"",'Price History'!M81/'Price History'!M80-1),"")</f>
        <v>0.0372585882755085</v>
      </c>
      <c r="N80" s="105" t="n">
        <f aca="false">IFERROR(IF(OR(NOT(ISNUMBER('Price History'!N81)),NOT(ISNUMBER('Price History'!N80)),'Price History'!N80=0),"",'Price History'!N81/'Price History'!N80-1),"")</f>
        <v>0.0165482585340495</v>
      </c>
      <c r="O80" s="105" t="n">
        <f aca="false">IFERROR(IF(OR(NOT(ISNUMBER('Price History'!O81)),NOT(ISNUMBER('Price History'!O80)),'Price History'!O80=0),"",'Price History'!O81/'Price History'!O80-1),"")</f>
        <v>-0.0115959719255416</v>
      </c>
      <c r="P80" s="105" t="str">
        <f aca="false">IFERROR(IF(OR(NOT(ISNUMBER('Price History'!P81)),NOT(ISNUMBER('Price History'!P80)),'Price History'!P80=0),"",'Price History'!P81/'Price History'!P80-1),"")</f>
        <v/>
      </c>
      <c r="Q80" s="105" t="n">
        <f aca="false">IFERROR(IF(OR(NOT(ISNUMBER('Price History'!Q81)),NOT(ISNUMBER('Price History'!Q80)),'Price History'!Q80=0),"",'Price History'!Q81/'Price History'!Q80-1),"")</f>
        <v>-0.0129224652087475</v>
      </c>
      <c r="R80" s="105" t="n">
        <f aca="false">IFERROR(IF(OR(NOT(ISNUMBER('Price History'!R81)),NOT(ISNUMBER('Price History'!R80)),'Price History'!R80=0),"",'Price History'!R81/'Price History'!R80-1),"")</f>
        <v>-0.00522011484252649</v>
      </c>
      <c r="S80" s="105" t="n">
        <f aca="false">IFERROR(IF(OR(NOT(ISNUMBER('Price History'!S81)),NOT(ISNUMBER('Price History'!S80)),'Price History'!S80=0),"",'Price History'!S81/'Price History'!S80-1),"")</f>
        <v>0.0198920431827268</v>
      </c>
      <c r="T80" s="105" t="n">
        <f aca="false">IFERROR(IF(OR(NOT(ISNUMBER('Price History'!T81)),NOT(ISNUMBER('Price History'!T80)),'Price History'!T80=0),"",'Price History'!T81/'Price History'!T80-1),"")</f>
        <v>-0.00872993522951271</v>
      </c>
      <c r="U80" s="105" t="str">
        <f aca="false">IFERROR(IF(OR(NOT(ISNUMBER('Price History'!U81)),NOT(ISNUMBER('Price History'!U80)),'Price History'!U80=0),"",'Price History'!U81/'Price History'!U80-1),"")</f>
        <v/>
      </c>
      <c r="V80" s="106" t="n">
        <f aca="false">IFERROR(IF(OR(NOT(ISNUMBER('Price History'!V81)),NOT(ISNUMBER('Price History'!V80)),'Price History'!V80=0),"",'Price History'!V81/'Price History'!V80-1),"")</f>
        <v>0.0182001422812426</v>
      </c>
      <c r="W80" s="107" t="n">
        <f aca="false">'Price History'!B3+('Price History'!B158-'Price History'!B3)*0.5</f>
        <v>379.43</v>
      </c>
      <c r="X80" s="107" t="n">
        <f aca="false">'Price History'!C3+('Price History'!C158-'Price History'!C3)*0.5</f>
        <v>112.045</v>
      </c>
      <c r="Y80" s="107" t="n">
        <f aca="false">'Price History'!D3+('Price History'!D158-'Price History'!D3)*0.5</f>
        <v>1145.39</v>
      </c>
      <c r="Z80" s="107" t="n">
        <f aca="false">'Price History'!E3+('Price History'!E158-'Price History'!E3)*0.5</f>
        <v>236.13</v>
      </c>
      <c r="AA80" s="107" t="n">
        <f aca="false">'Price History'!F3+('Price History'!F158-'Price History'!F3)*0.5</f>
        <v>113.96</v>
      </c>
      <c r="AB80" s="107" t="n">
        <f aca="false">'Price History'!G3+('Price History'!G158-'Price History'!G3)*0.5</f>
        <v>115.36</v>
      </c>
      <c r="AC80" s="107" t="n">
        <f aca="false">'Price History'!H3+('Price History'!H158-'Price History'!H3)*0.5</f>
        <v>443.7</v>
      </c>
      <c r="AD80" s="107" t="n">
        <f aca="false">'Price History'!I3+('Price History'!I158-'Price History'!I3)*0.5</f>
        <v>120.8</v>
      </c>
      <c r="AE80" s="107" t="n">
        <f aca="false">'Price History'!J3+('Price History'!J158-'Price History'!J3)*0.5</f>
        <v>134.06</v>
      </c>
      <c r="AF80" s="107" t="n">
        <f aca="false">'Price History'!K3+('Price History'!K158-'Price History'!K3)*0.5</f>
        <v>69.235</v>
      </c>
      <c r="AG80" s="107" t="n">
        <f aca="false">'Price History'!L3+('Price History'!L158-'Price History'!L3)*0.5</f>
        <v>248.12</v>
      </c>
      <c r="AH80" s="107" t="n">
        <f aca="false">'Price History'!M3+('Price History'!M158-'Price History'!M3)*0.5</f>
        <v>137.54</v>
      </c>
      <c r="AI80" s="107" t="n">
        <f aca="false">'Price History'!N3+('Price History'!N158-'Price History'!N3)*0.5</f>
        <v>413.48</v>
      </c>
      <c r="AJ80" s="107" t="n">
        <f aca="false">'Price History'!O3+('Price History'!O158-'Price History'!O3)*0.5</f>
        <v>104.065</v>
      </c>
      <c r="AK80" s="107" t="n">
        <f aca="false">'Price History'!Q3+('Price History'!Q151-'Price History'!Q3)*0.5</f>
        <v>59.145</v>
      </c>
      <c r="AL80" s="107" t="n">
        <f aca="false">'Price History'!R3+('Price History'!R158-'Price History'!R3)*0.5</f>
        <v>53.035</v>
      </c>
      <c r="AM80" s="107" t="n">
        <f aca="false">'Price History'!S3+('Price History'!S158-'Price History'!S3)*0.5</f>
        <v>101.185</v>
      </c>
      <c r="AN80" s="107" t="n">
        <f aca="false">'Price History'!T3+('Price History'!T158-'Price History'!T3)*0.5</f>
        <v>38.325</v>
      </c>
    </row>
    <row r="81" customFormat="false" ht="15" hidden="false" customHeight="true" outlineLevel="0" collapsed="false">
      <c r="A81" s="104" t="n">
        <f aca="false">IF('Price History'!A82="","",'Price History'!A82)</f>
        <v>45702</v>
      </c>
      <c r="B81" s="105" t="n">
        <f aca="false">IFERROR(IF(OR(NOT(ISNUMBER('Price History'!B82)),NOT(ISNUMBER('Price History'!B81)),'Price History'!B81=0),"",'Price History'!B82/'Price History'!B81-1),"")</f>
        <v>0.0625533978340684</v>
      </c>
      <c r="C81" s="105" t="n">
        <f aca="false">IFERROR(IF(OR(NOT(ISNUMBER('Price History'!C82)),NOT(ISNUMBER('Price History'!C81)),'Price History'!C81=0),"",'Price History'!C82/'Price History'!C81-1),"")</f>
        <v>-0.0979150839875074</v>
      </c>
      <c r="D81" s="105" t="n">
        <f aca="false">IFERROR(IF(OR(NOT(ISNUMBER('Price History'!D82)),NOT(ISNUMBER('Price History'!D81)),'Price History'!D81=0),"",'Price History'!D82/'Price History'!D81-1),"")</f>
        <v>0.0327744949841966</v>
      </c>
      <c r="E81" s="105" t="n">
        <f aca="false">IFERROR(IF(OR(NOT(ISNUMBER('Price History'!E82)),NOT(ISNUMBER('Price History'!E81)),'Price History'!E81=0),"",'Price History'!E82/'Price History'!E81-1),"")</f>
        <v>0.0363321029928403</v>
      </c>
      <c r="F81" s="105" t="n">
        <f aca="false">IFERROR(IF(OR(NOT(ISNUMBER('Price History'!F82)),NOT(ISNUMBER('Price History'!F81)),'Price History'!F81=0),"",'Price History'!F82/'Price History'!F81-1),"")</f>
        <v>0.0715370018975332</v>
      </c>
      <c r="G81" s="105" t="n">
        <f aca="false">IFERROR(IF(OR(NOT(ISNUMBER('Price History'!G82)),NOT(ISNUMBER('Price History'!G81)),'Price History'!G81=0),"",'Price History'!G82/'Price History'!G81-1),"")</f>
        <v>0.00401230440016054</v>
      </c>
      <c r="H81" s="105" t="n">
        <f aca="false">IFERROR(IF(OR(NOT(ISNUMBER('Price History'!H82)),NOT(ISNUMBER('Price History'!H81)),'Price History'!H81=0),"",'Price History'!H82/'Price History'!H81-1),"")</f>
        <v>0.0782231852654387</v>
      </c>
      <c r="I81" s="105" t="n">
        <f aca="false">IFERROR(IF(OR(NOT(ISNUMBER('Price History'!I82)),NOT(ISNUMBER('Price History'!I81)),'Price History'!I81=0),"",'Price History'!I82/'Price History'!I81-1),"")</f>
        <v>0.0693930991990142</v>
      </c>
      <c r="J81" s="105" t="n">
        <f aca="false">IFERROR(IF(OR(NOT(ISNUMBER('Price History'!J82)),NOT(ISNUMBER('Price History'!J81)),'Price History'!J81=0),"",'Price History'!J82/'Price History'!J81-1),"")</f>
        <v>0.0298253089049851</v>
      </c>
      <c r="K81" s="105" t="n">
        <f aca="false">IFERROR(IF(OR(NOT(ISNUMBER('Price History'!K82)),NOT(ISNUMBER('Price History'!K81)),'Price History'!K81=0),"",'Price History'!K82/'Price History'!K81-1),"")</f>
        <v>0.0749661705006766</v>
      </c>
      <c r="L81" s="105" t="n">
        <f aca="false">IFERROR(IF(OR(NOT(ISNUMBER('Price History'!L82)),NOT(ISNUMBER('Price History'!L81)),'Price History'!L81=0),"",'Price History'!L82/'Price History'!L81-1),"")</f>
        <v>-0.0107704249951485</v>
      </c>
      <c r="M81" s="105" t="n">
        <f aca="false">IFERROR(IF(OR(NOT(ISNUMBER('Price History'!M82)),NOT(ISNUMBER('Price History'!M81)),'Price History'!M81=0),"",'Price History'!M82/'Price History'!M81-1),"")</f>
        <v>-0.109820398747734</v>
      </c>
      <c r="N81" s="105" t="n">
        <f aca="false">IFERROR(IF(OR(NOT(ISNUMBER('Price History'!N82)),NOT(ISNUMBER('Price History'!N81)),'Price History'!N81=0),"",'Price History'!N82/'Price History'!N81-1),"")</f>
        <v>-0.0219892610585528</v>
      </c>
      <c r="O81" s="105" t="n">
        <f aca="false">IFERROR(IF(OR(NOT(ISNUMBER('Price History'!O82)),NOT(ISNUMBER('Price History'!O81)),'Price History'!O81=0),"",'Price History'!O82/'Price History'!O81-1),"")</f>
        <v>0.00308737264587844</v>
      </c>
      <c r="P81" s="105" t="str">
        <f aca="false">IFERROR(IF(OR(NOT(ISNUMBER('Price History'!P82)),NOT(ISNUMBER('Price History'!P81)),'Price History'!P81=0),"",'Price History'!P82/'Price History'!P81-1),"")</f>
        <v/>
      </c>
      <c r="Q81" s="105" t="n">
        <f aca="false">IFERROR(IF(OR(NOT(ISNUMBER('Price History'!Q82)),NOT(ISNUMBER('Price History'!Q81)),'Price History'!Q81=0),"",'Price History'!Q82/'Price History'!Q81-1),"")</f>
        <v>-0.03877139979859</v>
      </c>
      <c r="R81" s="105" t="n">
        <f aca="false">IFERROR(IF(OR(NOT(ISNUMBER('Price History'!R82)),NOT(ISNUMBER('Price History'!R81)),'Price History'!R81=0),"",'Price History'!R82/'Price History'!R81-1),"")</f>
        <v>0.0192408605912191</v>
      </c>
      <c r="S81" s="105" t="n">
        <f aca="false">IFERROR(IF(OR(NOT(ISNUMBER('Price History'!S82)),NOT(ISNUMBER('Price History'!S81)),'Price History'!S81=0),"",'Price History'!S82/'Price History'!S81-1),"")</f>
        <v>0.0100950700774283</v>
      </c>
      <c r="T81" s="105" t="n">
        <f aca="false">IFERROR(IF(OR(NOT(ISNUMBER('Price History'!T82)),NOT(ISNUMBER('Price History'!T81)),'Price History'!T81=0),"",'Price History'!T82/'Price History'!T81-1),"")</f>
        <v>0.0116477272727271</v>
      </c>
      <c r="U81" s="105" t="str">
        <f aca="false">IFERROR(IF(OR(NOT(ISNUMBER('Price History'!U82)),NOT(ISNUMBER('Price History'!U81)),'Price History'!U81=0),"",'Price History'!U82/'Price History'!U81-1),"")</f>
        <v/>
      </c>
      <c r="V81" s="106" t="n">
        <f aca="false">IFERROR(IF(OR(NOT(ISNUMBER('Price History'!V82)),NOT(ISNUMBER('Price History'!V81)),'Price History'!V81=0),"",'Price History'!V82/'Price History'!V81-1),"")</f>
        <v>0.0183697234352256</v>
      </c>
      <c r="W81" s="107" t="n">
        <f aca="false">'Price History'!B3+('Price History'!B158-'Price History'!B3)*0.506493506493506</f>
        <v>377.754415584416</v>
      </c>
      <c r="X81" s="107" t="n">
        <f aca="false">'Price History'!C3+('Price History'!C158-'Price History'!C3)*0.506493506493506</f>
        <v>112.932077922078</v>
      </c>
      <c r="Y81" s="107" t="n">
        <f aca="false">'Price History'!D3+('Price History'!D158-'Price History'!D3)*0.506493506493506</f>
        <v>1151.67064935065</v>
      </c>
      <c r="Z81" s="107" t="n">
        <f aca="false">'Price History'!E3+('Price History'!E158-'Price History'!E3)*0.506493506493506</f>
        <v>238.118961038961</v>
      </c>
      <c r="AA81" s="107" t="n">
        <f aca="false">'Price History'!F3+('Price History'!F158-'Price History'!F3)*0.506493506493506</f>
        <v>114.958701298701</v>
      </c>
      <c r="AB81" s="107" t="n">
        <f aca="false">'Price History'!G3+('Price History'!G158-'Price History'!G3)*0.506493506493506</f>
        <v>116.236103896104</v>
      </c>
      <c r="AC81" s="107" t="n">
        <f aca="false">'Price History'!H3+('Price History'!H158-'Price History'!H3)*0.506493506493506</f>
        <v>448.626363636363</v>
      </c>
      <c r="AD81" s="107" t="n">
        <f aca="false">'Price History'!I3+('Price History'!I158-'Price History'!I3)*0.506493506493506</f>
        <v>121.838311688312</v>
      </c>
      <c r="AE81" s="107" t="n">
        <f aca="false">'Price History'!J3+('Price History'!J158-'Price History'!J3)*0.506493506493506</f>
        <v>134.197012987013</v>
      </c>
      <c r="AF81" s="107" t="n">
        <f aca="false">'Price History'!K3+('Price History'!K158-'Price History'!K3)*0.506493506493506</f>
        <v>69.9340259740259</v>
      </c>
      <c r="AG81" s="107" t="n">
        <f aca="false">'Price History'!L3+('Price History'!L158-'Price History'!L3)*0.506493506493506</f>
        <v>250.147662337662</v>
      </c>
      <c r="AH81" s="107" t="n">
        <f aca="false">'Price History'!M3+('Price History'!M158-'Price History'!M3)*0.506493506493506</f>
        <v>138.891038961039</v>
      </c>
      <c r="AI81" s="107" t="n">
        <f aca="false">'Price History'!N3+('Price History'!N158-'Price History'!N3)*0.506493506493506</f>
        <v>414.306233766234</v>
      </c>
      <c r="AJ81" s="107" t="n">
        <f aca="false">'Price History'!O3+('Price History'!O158-'Price History'!O3)*0.506493506493506</f>
        <v>104.340519480519</v>
      </c>
      <c r="AK81" s="107" t="n">
        <f aca="false">'Price History'!Q3+('Price History'!Q151-'Price History'!Q3)*0.506493506493506</f>
        <v>59.2658441558442</v>
      </c>
      <c r="AL81" s="107" t="n">
        <f aca="false">'Price History'!R3+('Price History'!R158-'Price History'!R3)*0.506493506493506</f>
        <v>53.1027272727273</v>
      </c>
      <c r="AM81" s="107" t="n">
        <f aca="false">'Price History'!S3+('Price History'!S158-'Price History'!S3)*0.506493506493506</f>
        <v>101.738831168831</v>
      </c>
      <c r="AN81" s="107" t="n">
        <f aca="false">'Price History'!T3+('Price History'!T158-'Price History'!T3)*0.506493506493506</f>
        <v>38.4732467532467</v>
      </c>
    </row>
    <row r="82" customFormat="false" ht="15" hidden="false" customHeight="true" outlineLevel="0" collapsed="false">
      <c r="A82" s="104" t="n">
        <f aca="false">IF('Price History'!A83="","",'Price History'!A83)</f>
        <v>45709</v>
      </c>
      <c r="B82" s="105" t="n">
        <f aca="false">IFERROR(IF(OR(NOT(ISNUMBER('Price History'!B83)),NOT(ISNUMBER('Price History'!B82)),'Price History'!B82=0),"",'Price History'!B83/'Price History'!B82-1),"")</f>
        <v>-0.03442280945758</v>
      </c>
      <c r="C82" s="105" t="n">
        <f aca="false">IFERROR(IF(OR(NOT(ISNUMBER('Price History'!C83)),NOT(ISNUMBER('Price History'!C82)),'Price History'!C82=0),"",'Price History'!C83/'Price History'!C82-1),"")</f>
        <v>-0.0801908861233275</v>
      </c>
      <c r="D82" s="105" t="n">
        <f aca="false">IFERROR(IF(OR(NOT(ISNUMBER('Price History'!D83)),NOT(ISNUMBER('Price History'!D82)),'Price History'!D82=0),"",'Price History'!D83/'Price History'!D82-1),"")</f>
        <v>-0.0190805668285542</v>
      </c>
      <c r="E82" s="105" t="n">
        <f aca="false">IFERROR(IF(OR(NOT(ISNUMBER('Price History'!E83)),NOT(ISNUMBER('Price History'!E82)),'Price History'!E82=0),"",'Price History'!E83/'Price History'!E82-1),"")</f>
        <v>-0.0617061448678339</v>
      </c>
      <c r="F82" s="105" t="n">
        <f aca="false">IFERROR(IF(OR(NOT(ISNUMBER('Price History'!F83)),NOT(ISNUMBER('Price History'!F82)),'Price History'!F82=0),"",'Price History'!F83/'Price History'!F82-1),"")</f>
        <v>-0.0997874977864353</v>
      </c>
      <c r="G82" s="105" t="n">
        <f aca="false">IFERROR(IF(OR(NOT(ISNUMBER('Price History'!G83)),NOT(ISNUMBER('Price History'!G82)),'Price History'!G82=0),"",'Price History'!G83/'Price History'!G82-1),"")</f>
        <v>0.00479552417743467</v>
      </c>
      <c r="H82" s="105" t="n">
        <f aca="false">IFERROR(IF(OR(NOT(ISNUMBER('Price History'!H83)),NOT(ISNUMBER('Price History'!H82)),'Price History'!H82=0),"",'Price History'!H83/'Price History'!H82-1),"")</f>
        <v>-0.00683279742765264</v>
      </c>
      <c r="I82" s="105" t="n">
        <f aca="false">IFERROR(IF(OR(NOT(ISNUMBER('Price History'!I83)),NOT(ISNUMBER('Price History'!I82)),'Price History'!I82=0),"",'Price History'!I83/'Price History'!I82-1),"")</f>
        <v>-0.0318329132157003</v>
      </c>
      <c r="J82" s="105" t="n">
        <f aca="false">IFERROR(IF(OR(NOT(ISNUMBER('Price History'!J83)),NOT(ISNUMBER('Price History'!J82)),'Price History'!J82=0),"",'Price History'!J83/'Price History'!J82-1),"")</f>
        <v>0.00099296648738112</v>
      </c>
      <c r="K82" s="105" t="n">
        <f aca="false">IFERROR(IF(OR(NOT(ISNUMBER('Price History'!K83)),NOT(ISNUMBER('Price History'!K82)),'Price History'!K82=0),"",'Price History'!K83/'Price History'!K82-1),"")</f>
        <v>-0.149462907015777</v>
      </c>
      <c r="L82" s="105" t="n">
        <f aca="false">IFERROR(IF(OR(NOT(ISNUMBER('Price History'!L83)),NOT(ISNUMBER('Price History'!L82)),'Price History'!L82=0),"",'Price History'!L83/'Price History'!L82-1),"")</f>
        <v>-0.0277587052476704</v>
      </c>
      <c r="M82" s="105" t="n">
        <f aca="false">IFERROR(IF(OR(NOT(ISNUMBER('Price History'!M83)),NOT(ISNUMBER('Price History'!M82)),'Price History'!M82=0),"",'Price History'!M83/'Price History'!M82-1),"")</f>
        <v>-0.111614993058769</v>
      </c>
      <c r="N82" s="105" t="n">
        <f aca="false">IFERROR(IF(OR(NOT(ISNUMBER('Price History'!N83)),NOT(ISNUMBER('Price History'!N82)),'Price History'!N82=0),"",'Price History'!N83/'Price History'!N82-1),"")</f>
        <v>0.0549891067538126</v>
      </c>
      <c r="O82" s="105" t="n">
        <f aca="false">IFERROR(IF(OR(NOT(ISNUMBER('Price History'!O83)),NOT(ISNUMBER('Price History'!O82)),'Price History'!O82=0),"",'Price History'!O83/'Price History'!O82-1),"")</f>
        <v>-0.0365240586847235</v>
      </c>
      <c r="P82" s="105" t="str">
        <f aca="false">IFERROR(IF(OR(NOT(ISNUMBER('Price History'!P83)),NOT(ISNUMBER('Price History'!P82)),'Price History'!P82=0),"",'Price History'!P83/'Price History'!P82-1),"")</f>
        <v/>
      </c>
      <c r="Q82" s="105" t="n">
        <f aca="false">IFERROR(IF(OR(NOT(ISNUMBER('Price History'!Q83)),NOT(ISNUMBER('Price History'!Q82)),'Price History'!Q82=0),"",'Price History'!Q83/'Price History'!Q82-1),"")</f>
        <v>0.0188580408590886</v>
      </c>
      <c r="R82" s="105" t="n">
        <f aca="false">IFERROR(IF(OR(NOT(ISNUMBER('Price History'!R83)),NOT(ISNUMBER('Price History'!R82)),'Price History'!R82=0),"",'Price History'!R83/'Price History'!R82-1),"")</f>
        <v>-0.0120130427321092</v>
      </c>
      <c r="S82" s="105" t="n">
        <f aca="false">IFERROR(IF(OR(NOT(ISNUMBER('Price History'!S83)),NOT(ISNUMBER('Price History'!S82)),'Price History'!S82=0),"",'Price History'!S83/'Price History'!S82-1),"")</f>
        <v>-0.0305647195808267</v>
      </c>
      <c r="T82" s="105" t="n">
        <f aca="false">IFERROR(IF(OR(NOT(ISNUMBER('Price History'!T83)),NOT(ISNUMBER('Price History'!T82)),'Price History'!T82=0),"",'Price History'!T83/'Price History'!T82-1),"")</f>
        <v>-0.00336983993260309</v>
      </c>
      <c r="U82" s="105" t="str">
        <f aca="false">IFERROR(IF(OR(NOT(ISNUMBER('Price History'!U83)),NOT(ISNUMBER('Price History'!U82)),'Price History'!U82=0),"",'Price History'!U83/'Price History'!U82-1),"")</f>
        <v/>
      </c>
      <c r="V82" s="106" t="n">
        <f aca="false">IFERROR(IF(OR(NOT(ISNUMBER('Price History'!V83)),NOT(ISNUMBER('Price History'!V82)),'Price History'!V82=0),"",'Price History'!V83/'Price History'!V82-1),"")</f>
        <v>-0.0149223864383523</v>
      </c>
      <c r="W82" s="107" t="n">
        <f aca="false">'Price History'!B3+('Price History'!B158-'Price History'!B3)*0.512987012987013</f>
        <v>376.078831168831</v>
      </c>
      <c r="X82" s="107" t="n">
        <f aca="false">'Price History'!C3+('Price History'!C158-'Price History'!C3)*0.512987012987013</f>
        <v>113.819155844156</v>
      </c>
      <c r="Y82" s="107" t="n">
        <f aca="false">'Price History'!D3+('Price History'!D158-'Price History'!D3)*0.512987012987013</f>
        <v>1157.9512987013</v>
      </c>
      <c r="Z82" s="107" t="n">
        <f aca="false">'Price History'!E3+('Price History'!E158-'Price History'!E3)*0.512987012987013</f>
        <v>240.107922077922</v>
      </c>
      <c r="AA82" s="107" t="n">
        <f aca="false">'Price History'!F3+('Price History'!F158-'Price History'!F3)*0.512987012987013</f>
        <v>115.957402597403</v>
      </c>
      <c r="AB82" s="107" t="n">
        <f aca="false">'Price History'!G3+('Price History'!G158-'Price History'!G3)*0.512987012987013</f>
        <v>117.112207792208</v>
      </c>
      <c r="AC82" s="107" t="n">
        <f aca="false">'Price History'!H3+('Price History'!H158-'Price History'!H3)*0.512987012987013</f>
        <v>453.552727272727</v>
      </c>
      <c r="AD82" s="107" t="n">
        <f aca="false">'Price History'!I3+('Price History'!I158-'Price History'!I3)*0.512987012987013</f>
        <v>122.876623376623</v>
      </c>
      <c r="AE82" s="107" t="n">
        <f aca="false">'Price History'!J3+('Price History'!J158-'Price History'!J3)*0.512987012987013</f>
        <v>134.334025974026</v>
      </c>
      <c r="AF82" s="107" t="n">
        <f aca="false">'Price History'!K3+('Price History'!K158-'Price History'!K3)*0.512987012987013</f>
        <v>70.633051948052</v>
      </c>
      <c r="AG82" s="107" t="n">
        <f aca="false">'Price History'!L3+('Price History'!L158-'Price History'!L3)*0.512987012987013</f>
        <v>252.175324675325</v>
      </c>
      <c r="AH82" s="107" t="n">
        <f aca="false">'Price History'!M3+('Price History'!M158-'Price History'!M3)*0.512987012987013</f>
        <v>140.242077922078</v>
      </c>
      <c r="AI82" s="107" t="n">
        <f aca="false">'Price History'!N3+('Price History'!N158-'Price History'!N3)*0.512987012987013</f>
        <v>415.132467532468</v>
      </c>
      <c r="AJ82" s="107" t="n">
        <f aca="false">'Price History'!O3+('Price History'!O158-'Price History'!O3)*0.512987012987013</f>
        <v>104.616038961039</v>
      </c>
      <c r="AK82" s="107" t="n">
        <f aca="false">'Price History'!Q3+('Price History'!Q151-'Price History'!Q3)*0.512987012987013</f>
        <v>59.3866883116883</v>
      </c>
      <c r="AL82" s="107" t="n">
        <f aca="false">'Price History'!R3+('Price History'!R158-'Price History'!R3)*0.512987012987013</f>
        <v>53.1704545454546</v>
      </c>
      <c r="AM82" s="107" t="n">
        <f aca="false">'Price History'!S3+('Price History'!S158-'Price History'!S3)*0.512987012987013</f>
        <v>102.292662337662</v>
      </c>
      <c r="AN82" s="107" t="n">
        <f aca="false">'Price History'!T3+('Price History'!T158-'Price History'!T3)*0.512987012987013</f>
        <v>38.6214935064935</v>
      </c>
    </row>
    <row r="83" customFormat="false" ht="15" hidden="false" customHeight="true" outlineLevel="0" collapsed="false">
      <c r="A83" s="104" t="n">
        <f aca="false">IF('Price History'!A84="","",'Price History'!A84)</f>
        <v>45716</v>
      </c>
      <c r="B83" s="105" t="n">
        <f aca="false">IFERROR(IF(OR(NOT(ISNUMBER('Price History'!B84)),NOT(ISNUMBER('Price History'!B83)),'Price History'!B83=0),"",'Price History'!B84/'Price History'!B83-1),"")</f>
        <v>-0.0129636298163486</v>
      </c>
      <c r="C83" s="105" t="n">
        <f aca="false">IFERROR(IF(OR(NOT(ISNUMBER('Price History'!C84)),NOT(ISNUMBER('Price History'!C83)),'Price History'!C83=0),"",'Price History'!C84/'Price History'!C83-1),"")</f>
        <v>-0.0534079348931842</v>
      </c>
      <c r="D83" s="105" t="n">
        <f aca="false">IFERROR(IF(OR(NOT(ISNUMBER('Price History'!D84)),NOT(ISNUMBER('Price History'!D83)),'Price History'!D83=0),"",'Price History'!D84/'Price History'!D83-1),"")</f>
        <v>-0.0381573771381288</v>
      </c>
      <c r="E83" s="105" t="n">
        <f aca="false">IFERROR(IF(OR(NOT(ISNUMBER('Price History'!E84)),NOT(ISNUMBER('Price History'!E83)),'Price History'!E83=0),"",'Price History'!E84/'Price History'!E83-1),"")</f>
        <v>-0.0879447544132442</v>
      </c>
      <c r="F83" s="105" t="n">
        <f aca="false">IFERROR(IF(OR(NOT(ISNUMBER('Price History'!F84)),NOT(ISNUMBER('Price History'!F83)),'Price History'!F83=0),"",'Price History'!F84/'Price History'!F83-1),"")</f>
        <v>-0.0418019081341595</v>
      </c>
      <c r="G83" s="105" t="n">
        <f aca="false">IFERROR(IF(OR(NOT(ISNUMBER('Price History'!G84)),NOT(ISNUMBER('Price History'!G83)),'Price History'!G83=0),"",'Price History'!G84/'Price History'!G83-1),"")</f>
        <v>-0.0603208272570597</v>
      </c>
      <c r="H83" s="105" t="n">
        <f aca="false">IFERROR(IF(OR(NOT(ISNUMBER('Price History'!H84)),NOT(ISNUMBER('Price History'!H83)),'Price History'!H83=0),"",'Price History'!H84/'Price History'!H83-1),"")</f>
        <v>-0.052711452853096</v>
      </c>
      <c r="I83" s="105" t="n">
        <f aca="false">IFERROR(IF(OR(NOT(ISNUMBER('Price History'!I84)),NOT(ISNUMBER('Price History'!I83)),'Price History'!I83=0),"",'Price History'!I84/'Price History'!I83-1),"")</f>
        <v>-0.0707431376924794</v>
      </c>
      <c r="J83" s="105" t="n">
        <f aca="false">IFERROR(IF(OR(NOT(ISNUMBER('Price History'!J84)),NOT(ISNUMBER('Price History'!J83)),'Price History'!J83=0),"",'Price History'!J84/'Price History'!J83-1),"")</f>
        <v>0.0243862114573861</v>
      </c>
      <c r="K83" s="105" t="n">
        <f aca="false">IFERROR(IF(OR(NOT(ISNUMBER('Price History'!K84)),NOT(ISNUMBER('Price History'!K83)),'Price History'!K83=0),"",'Price History'!K84/'Price History'!K83-1),"")</f>
        <v>-0.162111494819931</v>
      </c>
      <c r="L83" s="105" t="n">
        <f aca="false">IFERROR(IF(OR(NOT(ISNUMBER('Price History'!L84)),NOT(ISNUMBER('Price History'!L83)),'Price History'!L83=0),"",'Price History'!L84/'Price History'!L83-1),"")</f>
        <v>-0.0893361581920904</v>
      </c>
      <c r="M83" s="105" t="n">
        <f aca="false">IFERROR(IF(OR(NOT(ISNUMBER('Price History'!M84)),NOT(ISNUMBER('Price History'!M83)),'Price History'!M83=0),"",'Price History'!M84/'Price History'!M83-1),"")</f>
        <v>-0.00854255651630376</v>
      </c>
      <c r="N83" s="105" t="n">
        <f aca="false">IFERROR(IF(OR(NOT(ISNUMBER('Price History'!N84)),NOT(ISNUMBER('Price History'!N83)),'Price History'!N83=0),"",'Price History'!N84/'Price History'!N83-1),"")</f>
        <v>-0.00918965802081606</v>
      </c>
      <c r="O83" s="105" t="n">
        <f aca="false">IFERROR(IF(OR(NOT(ISNUMBER('Price History'!O84)),NOT(ISNUMBER('Price History'!O83)),'Price History'!O83=0),"",'Price History'!O84/'Price History'!O83-1),"")</f>
        <v>-0.0112874028324992</v>
      </c>
      <c r="P83" s="105" t="str">
        <f aca="false">IFERROR(IF(OR(NOT(ISNUMBER('Price History'!P84)),NOT(ISNUMBER('Price History'!P83)),'Price History'!P83=0),"",'Price History'!P84/'Price History'!P83-1),"")</f>
        <v/>
      </c>
      <c r="Q83" s="105" t="n">
        <f aca="false">IFERROR(IF(OR(NOT(ISNUMBER('Price History'!Q84)),NOT(ISNUMBER('Price History'!Q83)),'Price History'!Q83=0),"",'Price History'!Q84/'Price History'!Q83-1),"")</f>
        <v>-0.00599828620394172</v>
      </c>
      <c r="R83" s="105" t="n">
        <f aca="false">IFERROR(IF(OR(NOT(ISNUMBER('Price History'!R84)),NOT(ISNUMBER('Price History'!R83)),'Price History'!R83=0),"",'Price History'!R84/'Price History'!R83-1),"")</f>
        <v>-0.0276185513288172</v>
      </c>
      <c r="S83" s="105" t="n">
        <f aca="false">IFERROR(IF(OR(NOT(ISNUMBER('Price History'!S84)),NOT(ISNUMBER('Price History'!S83)),'Price History'!S83=0),"",'Price History'!S84/'Price History'!S83-1),"")</f>
        <v>-0.0011009908918026</v>
      </c>
      <c r="T83" s="105" t="n">
        <f aca="false">IFERROR(IF(OR(NOT(ISNUMBER('Price History'!T84)),NOT(ISNUMBER('Price History'!T83)),'Price History'!T83=0),"",'Price History'!T84/'Price History'!T83-1),"")</f>
        <v>-0.00479008171315865</v>
      </c>
      <c r="U83" s="105" t="str">
        <f aca="false">IFERROR(IF(OR(NOT(ISNUMBER('Price History'!U84)),NOT(ISNUMBER('Price History'!U83)),'Price History'!U83=0),"",'Price History'!U84/'Price History'!U83-1),"")</f>
        <v/>
      </c>
      <c r="V83" s="106" t="n">
        <f aca="false">IFERROR(IF(OR(NOT(ISNUMBER('Price History'!V84)),NOT(ISNUMBER('Price History'!V83)),'Price History'!V83=0),"",'Price History'!V84/'Price History'!V83-1),"")</f>
        <v>0.0406570126817378</v>
      </c>
      <c r="W83" s="107" t="n">
        <f aca="false">'Price History'!B3+('Price History'!B158-'Price History'!B3)*0.519480519480519</f>
        <v>374.403246753247</v>
      </c>
      <c r="X83" s="107" t="n">
        <f aca="false">'Price History'!C3+('Price History'!C158-'Price History'!C3)*0.519480519480519</f>
        <v>114.706233766234</v>
      </c>
      <c r="Y83" s="107" t="n">
        <f aca="false">'Price History'!D3+('Price History'!D158-'Price History'!D3)*0.519480519480519</f>
        <v>1164.23194805195</v>
      </c>
      <c r="Z83" s="107" t="n">
        <f aca="false">'Price History'!E3+('Price History'!E158-'Price History'!E3)*0.519480519480519</f>
        <v>242.096883116883</v>
      </c>
      <c r="AA83" s="107" t="n">
        <f aca="false">'Price History'!F3+('Price History'!F158-'Price History'!F3)*0.519480519480519</f>
        <v>116.956103896104</v>
      </c>
      <c r="AB83" s="107" t="n">
        <f aca="false">'Price History'!G3+('Price History'!G158-'Price History'!G3)*0.519480519480519</f>
        <v>117.988311688312</v>
      </c>
      <c r="AC83" s="107" t="n">
        <f aca="false">'Price History'!H3+('Price History'!H158-'Price History'!H3)*0.519480519480519</f>
        <v>458.479090909091</v>
      </c>
      <c r="AD83" s="107" t="n">
        <f aca="false">'Price History'!I3+('Price History'!I158-'Price History'!I3)*0.519480519480519</f>
        <v>123.914935064935</v>
      </c>
      <c r="AE83" s="107" t="n">
        <f aca="false">'Price History'!J3+('Price History'!J158-'Price History'!J3)*0.519480519480519</f>
        <v>134.471038961039</v>
      </c>
      <c r="AF83" s="107" t="n">
        <f aca="false">'Price History'!K3+('Price History'!K158-'Price History'!K3)*0.519480519480519</f>
        <v>71.3320779220779</v>
      </c>
      <c r="AG83" s="107" t="n">
        <f aca="false">'Price History'!L3+('Price History'!L158-'Price History'!L3)*0.519480519480519</f>
        <v>254.202987012987</v>
      </c>
      <c r="AH83" s="107" t="n">
        <f aca="false">'Price History'!M3+('Price History'!M158-'Price History'!M3)*0.519480519480519</f>
        <v>141.593116883117</v>
      </c>
      <c r="AI83" s="107" t="n">
        <f aca="false">'Price History'!N3+('Price History'!N158-'Price History'!N3)*0.519480519480519</f>
        <v>415.958701298701</v>
      </c>
      <c r="AJ83" s="107" t="n">
        <f aca="false">'Price History'!O3+('Price History'!O158-'Price History'!O3)*0.519480519480519</f>
        <v>104.891558441558</v>
      </c>
      <c r="AK83" s="107" t="n">
        <f aca="false">'Price History'!Q3+('Price History'!Q151-'Price History'!Q3)*0.519480519480519</f>
        <v>59.5075324675325</v>
      </c>
      <c r="AL83" s="107" t="n">
        <f aca="false">'Price History'!R3+('Price History'!R158-'Price History'!R3)*0.519480519480519</f>
        <v>53.2381818181818</v>
      </c>
      <c r="AM83" s="107" t="n">
        <f aca="false">'Price History'!S3+('Price History'!S158-'Price History'!S3)*0.519480519480519</f>
        <v>102.846493506493</v>
      </c>
      <c r="AN83" s="107" t="n">
        <f aca="false">'Price History'!T3+('Price History'!T158-'Price History'!T3)*0.519480519480519</f>
        <v>38.7697402597402</v>
      </c>
    </row>
    <row r="84" customFormat="false" ht="15" hidden="false" customHeight="true" outlineLevel="0" collapsed="false">
      <c r="A84" s="104" t="n">
        <f aca="false">IF('Price History'!A85="","",'Price History'!A85)</f>
        <v>45723</v>
      </c>
      <c r="B84" s="105" t="n">
        <f aca="false">IFERROR(IF(OR(NOT(ISNUMBER('Price History'!B85)),NOT(ISNUMBER('Price History'!B84)),'Price History'!B84=0),"",'Price History'!B85/'Price History'!B84-1),"")</f>
        <v>0.0247172564757387</v>
      </c>
      <c r="C84" s="105" t="n">
        <f aca="false">IFERROR(IF(OR(NOT(ISNUMBER('Price History'!C85)),NOT(ISNUMBER('Price History'!C84)),'Price History'!C84=0),"",'Price History'!C85/'Price History'!C84-1),"")</f>
        <v>-0.10413756045137</v>
      </c>
      <c r="D84" s="105" t="n">
        <f aca="false">IFERROR(IF(OR(NOT(ISNUMBER('Price History'!D85)),NOT(ISNUMBER('Price History'!D84)),'Price History'!D84=0),"",'Price History'!D85/'Price History'!D84-1),"")</f>
        <v>0.0326338353923394</v>
      </c>
      <c r="E84" s="105" t="n">
        <f aca="false">IFERROR(IF(OR(NOT(ISNUMBER('Price History'!E85)),NOT(ISNUMBER('Price History'!E84)),'Price History'!E84=0),"",'Price History'!E85/'Price History'!E84-1),"")</f>
        <v>-0.0224138795567367</v>
      </c>
      <c r="F84" s="105" t="n">
        <f aca="false">IFERROR(IF(OR(NOT(ISNUMBER('Price History'!F85)),NOT(ISNUMBER('Price History'!F84)),'Price History'!F84=0),"",'Price History'!F85/'Price History'!F84-1),"")</f>
        <v>-0.144118250872511</v>
      </c>
      <c r="G84" s="105" t="n">
        <f aca="false">IFERROR(IF(OR(NOT(ISNUMBER('Price History'!G85)),NOT(ISNUMBER('Price History'!G84)),'Price History'!G84=0),"",'Price History'!G85/'Price History'!G84-1),"")</f>
        <v>0.00352708803611734</v>
      </c>
      <c r="H84" s="105" t="n">
        <f aca="false">IFERROR(IF(OR(NOT(ISNUMBER('Price History'!H85)),NOT(ISNUMBER('Price History'!H84)),'Price History'!H84=0),"",'Price History'!H85/'Price History'!H84-1),"")</f>
        <v>-0.00715582612410559</v>
      </c>
      <c r="I84" s="105" t="n">
        <f aca="false">IFERROR(IF(OR(NOT(ISNUMBER('Price History'!I85)),NOT(ISNUMBER('Price History'!I84)),'Price History'!I84=0),"",'Price History'!I85/'Price History'!I84-1),"")</f>
        <v>-0.0979026577009287</v>
      </c>
      <c r="J84" s="105" t="n">
        <f aca="false">IFERROR(IF(OR(NOT(ISNUMBER('Price History'!J85)),NOT(ISNUMBER('Price History'!J84)),'Price History'!J84=0),"",'Price History'!J85/'Price History'!J84-1),"")</f>
        <v>-0.0323595868302131</v>
      </c>
      <c r="K84" s="105" t="n">
        <f aca="false">IFERROR(IF(OR(NOT(ISNUMBER('Price History'!K85)),NOT(ISNUMBER('Price History'!K84)),'Price History'!K84=0),"",'Price History'!K85/'Price History'!K84-1),"")</f>
        <v>-0.000117757889778636</v>
      </c>
      <c r="L84" s="105" t="n">
        <f aca="false">IFERROR(IF(OR(NOT(ISNUMBER('Price History'!L85)),NOT(ISNUMBER('Price History'!L84)),'Price History'!L84=0),"",'Price History'!L85/'Price History'!L84-1),"")</f>
        <v>-0.0189996122528112</v>
      </c>
      <c r="M84" s="105" t="n">
        <f aca="false">IFERROR(IF(OR(NOT(ISNUMBER('Price History'!M85)),NOT(ISNUMBER('Price History'!M84)),'Price History'!M84=0),"",'Price History'!M85/'Price History'!M84-1),"")</f>
        <v>-0.106441105390354</v>
      </c>
      <c r="N84" s="105" t="n">
        <f aca="false">IFERROR(IF(OR(NOT(ISNUMBER('Price History'!N85)),NOT(ISNUMBER('Price History'!N84)),'Price History'!N84=0),"",'Price History'!N85/'Price History'!N84-1),"")</f>
        <v>0.0177160841201358</v>
      </c>
      <c r="O84" s="105" t="n">
        <f aca="false">IFERROR(IF(OR(NOT(ISNUMBER('Price History'!O85)),NOT(ISNUMBER('Price History'!O84)),'Price History'!O84=0),"",'Price History'!O85/'Price History'!O84-1),"")</f>
        <v>-0.0449111470113084</v>
      </c>
      <c r="P84" s="105" t="str">
        <f aca="false">IFERROR(IF(OR(NOT(ISNUMBER('Price History'!P85)),NOT(ISNUMBER('Price History'!P84)),'Price History'!P84=0),"",'Price History'!P85/'Price History'!P84-1),"")</f>
        <v/>
      </c>
      <c r="Q84" s="105" t="n">
        <f aca="false">IFERROR(IF(OR(NOT(ISNUMBER('Price History'!Q85)),NOT(ISNUMBER('Price History'!Q84)),'Price History'!Q84=0),"",'Price History'!Q85/'Price History'!Q84-1),"")</f>
        <v>0.0177586206896552</v>
      </c>
      <c r="R84" s="105" t="n">
        <f aca="false">IFERROR(IF(OR(NOT(ISNUMBER('Price History'!R85)),NOT(ISNUMBER('Price History'!R84)),'Price History'!R84=0),"",'Price History'!R85/'Price History'!R84-1),"")</f>
        <v>-0.0396570203644159</v>
      </c>
      <c r="S84" s="105" t="n">
        <f aca="false">IFERROR(IF(OR(NOT(ISNUMBER('Price History'!S85)),NOT(ISNUMBER('Price History'!S84)),'Price History'!S84=0),"",'Price History'!S85/'Price History'!S84-1),"")</f>
        <v>-0.0527054108216432</v>
      </c>
      <c r="T84" s="105" t="n">
        <f aca="false">IFERROR(IF(OR(NOT(ISNUMBER('Price History'!T85)),NOT(ISNUMBER('Price History'!T84)),'Price History'!T84=0),"",'Price History'!T85/'Price History'!T84-1),"")</f>
        <v>-0.0144394110985276</v>
      </c>
      <c r="U84" s="105" t="str">
        <f aca="false">IFERROR(IF(OR(NOT(ISNUMBER('Price History'!U85)),NOT(ISNUMBER('Price History'!U84)),'Price History'!U84=0),"",'Price History'!U85/'Price History'!U84-1),"")</f>
        <v/>
      </c>
      <c r="V84" s="106" t="n">
        <f aca="false">IFERROR(IF(OR(NOT(ISNUMBER('Price History'!V85)),NOT(ISNUMBER('Price History'!V84)),'Price History'!V84=0),"",'Price History'!V85/'Price History'!V84-1),"")</f>
        <v>-0.047936419408812</v>
      </c>
      <c r="W84" s="107" t="n">
        <f aca="false">'Price History'!B3+('Price History'!B158-'Price History'!B3)*0.525974025974026</f>
        <v>372.727662337662</v>
      </c>
      <c r="X84" s="107" t="n">
        <f aca="false">'Price History'!C3+('Price History'!C158-'Price History'!C3)*0.525974025974026</f>
        <v>115.593311688312</v>
      </c>
      <c r="Y84" s="107" t="n">
        <f aca="false">'Price History'!D3+('Price History'!D158-'Price History'!D3)*0.525974025974026</f>
        <v>1170.5125974026</v>
      </c>
      <c r="Z84" s="107" t="n">
        <f aca="false">'Price History'!E3+('Price History'!E158-'Price History'!E3)*0.525974025974026</f>
        <v>244.085844155844</v>
      </c>
      <c r="AA84" s="107" t="n">
        <f aca="false">'Price History'!F3+('Price History'!F158-'Price History'!F3)*0.525974025974026</f>
        <v>117.954805194805</v>
      </c>
      <c r="AB84" s="107" t="n">
        <f aca="false">'Price History'!G3+('Price History'!G158-'Price History'!G3)*0.525974025974026</f>
        <v>118.864415584416</v>
      </c>
      <c r="AC84" s="107" t="n">
        <f aca="false">'Price History'!H3+('Price History'!H158-'Price History'!H3)*0.525974025974026</f>
        <v>463.405454545455</v>
      </c>
      <c r="AD84" s="107" t="n">
        <f aca="false">'Price History'!I3+('Price History'!I158-'Price History'!I3)*0.525974025974026</f>
        <v>124.953246753247</v>
      </c>
      <c r="AE84" s="107" t="n">
        <f aca="false">'Price History'!J3+('Price History'!J158-'Price History'!J3)*0.525974025974026</f>
        <v>134.608051948052</v>
      </c>
      <c r="AF84" s="107" t="n">
        <f aca="false">'Price History'!K3+('Price History'!K158-'Price History'!K3)*0.525974025974026</f>
        <v>72.0311038961039</v>
      </c>
      <c r="AG84" s="107" t="n">
        <f aca="false">'Price History'!L3+('Price History'!L158-'Price History'!L3)*0.525974025974026</f>
        <v>256.230649350649</v>
      </c>
      <c r="AH84" s="107" t="n">
        <f aca="false">'Price History'!M3+('Price History'!M158-'Price History'!M3)*0.525974025974026</f>
        <v>142.944155844156</v>
      </c>
      <c r="AI84" s="107" t="n">
        <f aca="false">'Price History'!N3+('Price History'!N158-'Price History'!N3)*0.525974025974026</f>
        <v>416.784935064935</v>
      </c>
      <c r="AJ84" s="107" t="n">
        <f aca="false">'Price History'!O3+('Price History'!O158-'Price History'!O3)*0.525974025974026</f>
        <v>105.167077922078</v>
      </c>
      <c r="AK84" s="107" t="n">
        <f aca="false">'Price History'!Q3+('Price History'!Q151-'Price History'!Q3)*0.525974025974026</f>
        <v>59.6283766233766</v>
      </c>
      <c r="AL84" s="107" t="n">
        <f aca="false">'Price History'!R3+('Price History'!R158-'Price History'!R3)*0.525974025974026</f>
        <v>53.3059090909091</v>
      </c>
      <c r="AM84" s="107" t="n">
        <f aca="false">'Price History'!S3+('Price History'!S158-'Price History'!S3)*0.525974025974026</f>
        <v>103.400324675325</v>
      </c>
      <c r="AN84" s="107" t="n">
        <f aca="false">'Price History'!T3+('Price History'!T158-'Price History'!T3)*0.525974025974026</f>
        <v>38.917987012987</v>
      </c>
    </row>
    <row r="85" customFormat="false" ht="15" hidden="false" customHeight="true" outlineLevel="0" collapsed="false">
      <c r="A85" s="104" t="n">
        <f aca="false">IF('Price History'!A86="","",'Price History'!A86)</f>
        <v>45730</v>
      </c>
      <c r="B85" s="105" t="n">
        <f aca="false">IFERROR(IF(OR(NOT(ISNUMBER('Price History'!B86)),NOT(ISNUMBER('Price History'!B85)),'Price History'!B85=0),"",'Price History'!B86/'Price History'!B85-1),"")</f>
        <v>-0.121628838451268</v>
      </c>
      <c r="C85" s="105" t="n">
        <f aca="false">IFERROR(IF(OR(NOT(ISNUMBER('Price History'!C86)),NOT(ISNUMBER('Price History'!C85)),'Price History'!C85=0),"",'Price History'!C86/'Price History'!C85-1),"")</f>
        <v>0.00179942418426116</v>
      </c>
      <c r="D85" s="105" t="n">
        <f aca="false">IFERROR(IF(OR(NOT(ISNUMBER('Price History'!D86)),NOT(ISNUMBER('Price History'!D85)),'Price History'!D85=0),"",'Price History'!D86/'Price History'!D85-1),"")</f>
        <v>-0.0248832318155746</v>
      </c>
      <c r="E85" s="105" t="n">
        <f aca="false">IFERROR(IF(OR(NOT(ISNUMBER('Price History'!E86)),NOT(ISNUMBER('Price History'!E85)),'Price History'!E85=0),"",'Price History'!E86/'Price History'!E85-1),"")</f>
        <v>0.00297496922445628</v>
      </c>
      <c r="F85" s="105" t="n">
        <f aca="false">IFERROR(IF(OR(NOT(ISNUMBER('Price History'!F86)),NOT(ISNUMBER('Price History'!F85)),'Price History'!F85=0),"",'Price History'!F86/'Price History'!F85-1),"")</f>
        <v>0.0605660829935237</v>
      </c>
      <c r="G85" s="105" t="n">
        <f aca="false">IFERROR(IF(OR(NOT(ISNUMBER('Price History'!G86)),NOT(ISNUMBER('Price History'!G85)),'Price History'!G85=0),"",'Price History'!G86/'Price History'!G85-1),"")</f>
        <v>0.00238999015886399</v>
      </c>
      <c r="H85" s="105" t="n">
        <f aca="false">IFERROR(IF(OR(NOT(ISNUMBER('Price History'!H86)),NOT(ISNUMBER('Price History'!H85)),'Price History'!H85=0),"",'Price History'!H86/'Price History'!H85-1),"")</f>
        <v>0.0842297762478488</v>
      </c>
      <c r="I85" s="105" t="n">
        <f aca="false">IFERROR(IF(OR(NOT(ISNUMBER('Price History'!I86)),NOT(ISNUMBER('Price History'!I85)),'Price History'!I85=0),"",'Price History'!I86/'Price History'!I85-1),"")</f>
        <v>0.0796876386547165</v>
      </c>
      <c r="J85" s="105" t="n">
        <f aca="false">IFERROR(IF(OR(NOT(ISNUMBER('Price History'!J86)),NOT(ISNUMBER('Price History'!J85)),'Price History'!J85=0),"",'Price History'!J86/'Price History'!J85-1),"")</f>
        <v>-0.0668834959552997</v>
      </c>
      <c r="K85" s="105" t="n">
        <f aca="false">IFERROR(IF(OR(NOT(ISNUMBER('Price History'!K86)),NOT(ISNUMBER('Price History'!K85)),'Price History'!K85=0),"",'Price History'!K86/'Price History'!K85-1),"")</f>
        <v>0.0156636438582027</v>
      </c>
      <c r="L85" s="105" t="n">
        <f aca="false">IFERROR(IF(OR(NOT(ISNUMBER('Price History'!L86)),NOT(ISNUMBER('Price History'!L85)),'Price History'!L85=0),"",'Price History'!L86/'Price History'!L85-1),"")</f>
        <v>-0.0169960474308299</v>
      </c>
      <c r="M85" s="105" t="n">
        <f aca="false">IFERROR(IF(OR(NOT(ISNUMBER('Price History'!M86)),NOT(ISNUMBER('Price History'!M85)),'Price History'!M85=0),"",'Price History'!M86/'Price History'!M85-1),"")</f>
        <v>0.0283396048918156</v>
      </c>
      <c r="N85" s="105" t="n">
        <f aca="false">IFERROR(IF(OR(NOT(ISNUMBER('Price History'!N86)),NOT(ISNUMBER('Price History'!N85)),'Price History'!N85=0),"",'Price History'!N86/'Price History'!N85-1),"")</f>
        <v>0.0337504351922013</v>
      </c>
      <c r="O85" s="105" t="n">
        <f aca="false">IFERROR(IF(OR(NOT(ISNUMBER('Price History'!O86)),NOT(ISNUMBER('Price History'!O85)),'Price History'!O85=0),"",'Price History'!O86/'Price History'!O85-1),"")</f>
        <v>-0.0187189896256204</v>
      </c>
      <c r="P85" s="105" t="str">
        <f aca="false">IFERROR(IF(OR(NOT(ISNUMBER('Price History'!P86)),NOT(ISNUMBER('Price History'!P85)),'Price History'!P85=0),"",'Price History'!P86/'Price History'!P85-1),"")</f>
        <v/>
      </c>
      <c r="Q85" s="105" t="n">
        <f aca="false">IFERROR(IF(OR(NOT(ISNUMBER('Price History'!Q86)),NOT(ISNUMBER('Price History'!Q85)),'Price History'!Q85=0),"",'Price History'!Q86/'Price History'!Q85-1),"")</f>
        <v>0.0162629171607658</v>
      </c>
      <c r="R85" s="105" t="n">
        <f aca="false">IFERROR(IF(OR(NOT(ISNUMBER('Price History'!R86)),NOT(ISNUMBER('Price History'!R85)),'Price History'!R85=0),"",'Price History'!R86/'Price History'!R85-1),"")</f>
        <v>-0.0213913690476191</v>
      </c>
      <c r="S85" s="105" t="n">
        <f aca="false">IFERROR(IF(OR(NOT(ISNUMBER('Price History'!S86)),NOT(ISNUMBER('Price History'!S85)),'Price History'!S85=0),"",'Price History'!S86/'Price History'!S85-1),"")</f>
        <v>-0.00719272265707649</v>
      </c>
      <c r="T85" s="105" t="n">
        <f aca="false">IFERROR(IF(OR(NOT(ISNUMBER('Price History'!T86)),NOT(ISNUMBER('Price History'!T85)),'Price History'!T85=0),"",'Price History'!T86/'Price History'!T85-1),"")</f>
        <v>-0.020683711577133</v>
      </c>
      <c r="U85" s="105" t="str">
        <f aca="false">IFERROR(IF(OR(NOT(ISNUMBER('Price History'!U86)),NOT(ISNUMBER('Price History'!U85)),'Price History'!U85=0),"",'Price History'!U86/'Price History'!U85-1),"")</f>
        <v/>
      </c>
      <c r="V85" s="106" t="n">
        <f aca="false">IFERROR(IF(OR(NOT(ISNUMBER('Price History'!V86)),NOT(ISNUMBER('Price History'!V85)),'Price History'!V85=0),"",'Price History'!V86/'Price History'!V85-1),"")</f>
        <v>-0.039161125918983</v>
      </c>
      <c r="W85" s="107" t="n">
        <f aca="false">'Price History'!B3+('Price History'!B158-'Price History'!B3)*0.532467532467532</f>
        <v>371.052077922078</v>
      </c>
      <c r="X85" s="107" t="n">
        <f aca="false">'Price History'!C3+('Price History'!C158-'Price History'!C3)*0.532467532467532</f>
        <v>116.48038961039</v>
      </c>
      <c r="Y85" s="107" t="n">
        <f aca="false">'Price History'!D3+('Price History'!D158-'Price History'!D3)*0.532467532467532</f>
        <v>1176.79324675325</v>
      </c>
      <c r="Z85" s="107" t="n">
        <f aca="false">'Price History'!E3+('Price History'!E158-'Price History'!E3)*0.532467532467532</f>
        <v>246.074805194805</v>
      </c>
      <c r="AA85" s="107" t="n">
        <f aca="false">'Price History'!F3+('Price History'!F158-'Price History'!F3)*0.532467532467532</f>
        <v>118.953506493506</v>
      </c>
      <c r="AB85" s="107" t="n">
        <f aca="false">'Price History'!G3+('Price History'!G158-'Price History'!G3)*0.532467532467532</f>
        <v>119.740519480519</v>
      </c>
      <c r="AC85" s="107" t="n">
        <f aca="false">'Price History'!H3+('Price History'!H158-'Price History'!H3)*0.532467532467532</f>
        <v>468.331818181818</v>
      </c>
      <c r="AD85" s="107" t="n">
        <f aca="false">'Price History'!I3+('Price History'!I158-'Price History'!I3)*0.532467532467532</f>
        <v>125.991558441558</v>
      </c>
      <c r="AE85" s="107" t="n">
        <f aca="false">'Price History'!J3+('Price History'!J158-'Price History'!J3)*0.532467532467532</f>
        <v>134.745064935065</v>
      </c>
      <c r="AF85" s="107" t="n">
        <f aca="false">'Price History'!K3+('Price History'!K158-'Price History'!K3)*0.532467532467532</f>
        <v>72.7301298701298</v>
      </c>
      <c r="AG85" s="107" t="n">
        <f aca="false">'Price History'!L3+('Price History'!L158-'Price History'!L3)*0.532467532467532</f>
        <v>258.258311688312</v>
      </c>
      <c r="AH85" s="107" t="n">
        <f aca="false">'Price History'!M3+('Price History'!M158-'Price History'!M3)*0.532467532467532</f>
        <v>144.295194805195</v>
      </c>
      <c r="AI85" s="107" t="n">
        <f aca="false">'Price History'!N3+('Price History'!N158-'Price History'!N3)*0.532467532467532</f>
        <v>417.611168831169</v>
      </c>
      <c r="AJ85" s="107" t="n">
        <f aca="false">'Price History'!O3+('Price History'!O158-'Price History'!O3)*0.532467532467532</f>
        <v>105.442597402597</v>
      </c>
      <c r="AK85" s="107" t="n">
        <f aca="false">'Price History'!Q3+('Price History'!Q151-'Price History'!Q3)*0.532467532467532</f>
        <v>59.7492207792208</v>
      </c>
      <c r="AL85" s="107" t="n">
        <f aca="false">'Price History'!R3+('Price History'!R158-'Price History'!R3)*0.532467532467532</f>
        <v>53.3736363636364</v>
      </c>
      <c r="AM85" s="107" t="n">
        <f aca="false">'Price History'!S3+('Price History'!S158-'Price History'!S3)*0.532467532467532</f>
        <v>103.954155844156</v>
      </c>
      <c r="AN85" s="107" t="n">
        <f aca="false">'Price History'!T3+('Price History'!T158-'Price History'!T3)*0.532467532467532</f>
        <v>39.0662337662338</v>
      </c>
    </row>
    <row r="86" customFormat="false" ht="15" hidden="false" customHeight="true" outlineLevel="0" collapsed="false">
      <c r="A86" s="104" t="n">
        <f aca="false">IF('Price History'!A87="","",'Price History'!A87)</f>
        <v>45737</v>
      </c>
      <c r="B86" s="105" t="n">
        <f aca="false">IFERROR(IF(OR(NOT(ISNUMBER('Price History'!B87)),NOT(ISNUMBER('Price History'!B86)),'Price History'!B86=0),"",'Price History'!B87/'Price History'!B86-1),"")</f>
        <v>-0.0189491817398795</v>
      </c>
      <c r="C86" s="105" t="n">
        <f aca="false">IFERROR(IF(OR(NOT(ISNUMBER('Price History'!C87)),NOT(ISNUMBER('Price History'!C86)),'Price History'!C86=0),"",'Price History'!C87/'Price History'!C86-1),"")</f>
        <v>-0.00455035325110775</v>
      </c>
      <c r="D86" s="105" t="n">
        <f aca="false">IFERROR(IF(OR(NOT(ISNUMBER('Price History'!D87)),NOT(ISNUMBER('Price History'!D86)),'Price History'!D86=0),"",'Price History'!D87/'Price History'!D86-1),"")</f>
        <v>0.00310924369747911</v>
      </c>
      <c r="E86" s="105" t="n">
        <f aca="false">IFERROR(IF(OR(NOT(ISNUMBER('Price History'!E87)),NOT(ISNUMBER('Price History'!E86)),'Price History'!E86=0),"",'Price History'!E87/'Price History'!E86-1),"")</f>
        <v>-0.0198424874705943</v>
      </c>
      <c r="F86" s="105" t="n">
        <f aca="false">IFERROR(IF(OR(NOT(ISNUMBER('Price History'!F87)),NOT(ISNUMBER('Price History'!F86)),'Price History'!F86=0),"",'Price History'!F87/'Price History'!F86-1),"")</f>
        <v>0.0240868483546308</v>
      </c>
      <c r="G86" s="105" t="n">
        <f aca="false">IFERROR(IF(OR(NOT(ISNUMBER('Price History'!G87)),NOT(ISNUMBER('Price History'!G86)),'Price History'!G86=0),"",'Price History'!G87/'Price History'!G86-1),"")</f>
        <v>-0.00911640953716675</v>
      </c>
      <c r="H86" s="105" t="n">
        <f aca="false">IFERROR(IF(OR(NOT(ISNUMBER('Price History'!H87)),NOT(ISNUMBER('Price History'!H86)),'Price History'!H86=0),"",'Price History'!H87/'Price History'!H86-1),"")</f>
        <v>-0.0602242285941066</v>
      </c>
      <c r="I86" s="105" t="n">
        <f aca="false">IFERROR(IF(OR(NOT(ISNUMBER('Price History'!I87)),NOT(ISNUMBER('Price History'!I86)),'Price History'!I86=0),"",'Price History'!I87/'Price History'!I86-1),"")</f>
        <v>-0.0326292430344374</v>
      </c>
      <c r="J86" s="105" t="n">
        <f aca="false">IFERROR(IF(OR(NOT(ISNUMBER('Price History'!J87)),NOT(ISNUMBER('Price History'!J86)),'Price History'!J86=0),"",'Price History'!J87/'Price History'!J86-1),"")</f>
        <v>-0.031012601662347</v>
      </c>
      <c r="K86" s="105" t="n">
        <f aca="false">IFERROR(IF(OR(NOT(ISNUMBER('Price History'!K87)),NOT(ISNUMBER('Price History'!K86)),'Price History'!K86=0),"",'Price History'!K87/'Price History'!K86-1),"")</f>
        <v>0.0547309833024119</v>
      </c>
      <c r="L86" s="105" t="n">
        <f aca="false">IFERROR(IF(OR(NOT(ISNUMBER('Price History'!L87)),NOT(ISNUMBER('Price History'!L86)),'Price History'!L86=0),"",'Price History'!L87/'Price History'!L86-1),"")</f>
        <v>0.0151645700499741</v>
      </c>
      <c r="M86" s="105" t="n">
        <f aca="false">IFERROR(IF(OR(NOT(ISNUMBER('Price History'!M87)),NOT(ISNUMBER('Price History'!M86)),'Price History'!M86=0),"",'Price History'!M87/'Price History'!M86-1),"")</f>
        <v>0.0134934248141794</v>
      </c>
      <c r="N86" s="105" t="n">
        <f aca="false">IFERROR(IF(OR(NOT(ISNUMBER('Price History'!N87)),NOT(ISNUMBER('Price History'!N86)),'Price History'!N86=0),"",'Price History'!N87/'Price History'!N86-1),"")</f>
        <v>-0.00311032747588014</v>
      </c>
      <c r="O86" s="105" t="n">
        <f aca="false">IFERROR(IF(OR(NOT(ISNUMBER('Price History'!O87)),NOT(ISNUMBER('Price History'!O86)),'Price History'!O86=0),"",'Price History'!O87/'Price History'!O86-1),"")</f>
        <v>0.0096529533440588</v>
      </c>
      <c r="P86" s="105" t="str">
        <f aca="false">IFERROR(IF(OR(NOT(ISNUMBER('Price History'!P87)),NOT(ISNUMBER('Price History'!P86)),'Price History'!P86=0),"",'Price History'!P87/'Price History'!P86-1),"")</f>
        <v/>
      </c>
      <c r="Q86" s="105" t="n">
        <f aca="false">IFERROR(IF(OR(NOT(ISNUMBER('Price History'!Q87)),NOT(ISNUMBER('Price History'!Q86)),'Price History'!Q86=0),"",'Price History'!Q87/'Price History'!Q86-1),"")</f>
        <v>-0.00250041673612267</v>
      </c>
      <c r="R86" s="105" t="n">
        <f aca="false">IFERROR(IF(OR(NOT(ISNUMBER('Price History'!R87)),NOT(ISNUMBER('Price History'!R86)),'Price History'!R86=0),"",'Price History'!R87/'Price History'!R86-1),"")</f>
        <v>0.00361148070708994</v>
      </c>
      <c r="S86" s="105" t="n">
        <f aca="false">IFERROR(IF(OR(NOT(ISNUMBER('Price History'!S87)),NOT(ISNUMBER('Price History'!S86)),'Price History'!S86=0),"",'Price History'!S87/'Price History'!S86-1),"")</f>
        <v>0.00383549968037511</v>
      </c>
      <c r="T86" s="105" t="n">
        <f aca="false">IFERROR(IF(OR(NOT(ISNUMBER('Price History'!T87)),NOT(ISNUMBER('Price History'!T86)),'Price History'!T86=0),"",'Price History'!T87/'Price History'!T86-1),"")</f>
        <v>0.0170137870343208</v>
      </c>
      <c r="U86" s="105" t="str">
        <f aca="false">IFERROR(IF(OR(NOT(ISNUMBER('Price History'!U87)),NOT(ISNUMBER('Price History'!U86)),'Price History'!U86=0),"",'Price History'!U87/'Price History'!U86-1),"")</f>
        <v/>
      </c>
      <c r="V86" s="106" t="n">
        <f aca="false">IFERROR(IF(OR(NOT(ISNUMBER('Price History'!V87)),NOT(ISNUMBER('Price History'!V86)),'Price History'!V86=0),"",'Price History'!V87/'Price History'!V86-1),"")</f>
        <v>0.0116449213510548</v>
      </c>
      <c r="W86" s="107" t="n">
        <f aca="false">'Price History'!B3+('Price History'!B158-'Price History'!B3)*0.538961038961039</f>
        <v>369.376493506494</v>
      </c>
      <c r="X86" s="107" t="n">
        <f aca="false">'Price History'!C3+('Price History'!C158-'Price History'!C3)*0.538961038961039</f>
        <v>117.367467532468</v>
      </c>
      <c r="Y86" s="107" t="n">
        <f aca="false">'Price History'!D3+('Price History'!D158-'Price History'!D3)*0.538961038961039</f>
        <v>1183.0738961039</v>
      </c>
      <c r="Z86" s="107" t="n">
        <f aca="false">'Price History'!E3+('Price History'!E158-'Price History'!E3)*0.538961038961039</f>
        <v>248.063766233766</v>
      </c>
      <c r="AA86" s="107" t="n">
        <f aca="false">'Price History'!F3+('Price History'!F158-'Price History'!F3)*0.538961038961039</f>
        <v>119.952207792208</v>
      </c>
      <c r="AB86" s="107" t="n">
        <f aca="false">'Price History'!G3+('Price History'!G158-'Price History'!G3)*0.538961038961039</f>
        <v>120.616623376623</v>
      </c>
      <c r="AC86" s="107" t="n">
        <f aca="false">'Price History'!H3+('Price History'!H158-'Price History'!H3)*0.538961038961039</f>
        <v>473.258181818182</v>
      </c>
      <c r="AD86" s="107" t="n">
        <f aca="false">'Price History'!I3+('Price History'!I158-'Price History'!I3)*0.538961038961039</f>
        <v>127.02987012987</v>
      </c>
      <c r="AE86" s="107" t="n">
        <f aca="false">'Price History'!J3+('Price History'!J158-'Price History'!J3)*0.538961038961039</f>
        <v>134.882077922078</v>
      </c>
      <c r="AF86" s="107" t="n">
        <f aca="false">'Price History'!K3+('Price History'!K158-'Price History'!K3)*0.538961038961039</f>
        <v>73.4291558441558</v>
      </c>
      <c r="AG86" s="107" t="n">
        <f aca="false">'Price History'!L3+('Price History'!L158-'Price History'!L3)*0.538961038961039</f>
        <v>260.285974025974</v>
      </c>
      <c r="AH86" s="107" t="n">
        <f aca="false">'Price History'!M3+('Price History'!M158-'Price History'!M3)*0.538961038961039</f>
        <v>145.646233766234</v>
      </c>
      <c r="AI86" s="107" t="n">
        <f aca="false">'Price History'!N3+('Price History'!N158-'Price History'!N3)*0.538961038961039</f>
        <v>418.437402597403</v>
      </c>
      <c r="AJ86" s="107" t="n">
        <f aca="false">'Price History'!O3+('Price History'!O158-'Price History'!O3)*0.538961038961039</f>
        <v>105.718116883117</v>
      </c>
      <c r="AK86" s="107" t="n">
        <f aca="false">'Price History'!Q3+('Price History'!Q151-'Price History'!Q3)*0.538961038961039</f>
        <v>59.8700649350649</v>
      </c>
      <c r="AL86" s="107" t="n">
        <f aca="false">'Price History'!R3+('Price History'!R158-'Price History'!R3)*0.538961038961039</f>
        <v>53.4413636363636</v>
      </c>
      <c r="AM86" s="107" t="n">
        <f aca="false">'Price History'!S3+('Price History'!S158-'Price History'!S3)*0.538961038961039</f>
        <v>104.507987012987</v>
      </c>
      <c r="AN86" s="107" t="n">
        <f aca="false">'Price History'!T3+('Price History'!T158-'Price History'!T3)*0.538961038961039</f>
        <v>39.2144805194805</v>
      </c>
    </row>
    <row r="87" customFormat="false" ht="15" hidden="false" customHeight="true" outlineLevel="0" collapsed="false">
      <c r="A87" s="104" t="n">
        <f aca="false">IF('Price History'!A88="","",'Price History'!A88)</f>
        <v>45744</v>
      </c>
      <c r="B87" s="105" t="n">
        <f aca="false">IFERROR(IF(OR(NOT(ISNUMBER('Price History'!B88)),NOT(ISNUMBER('Price History'!B87)),'Price History'!B87=0),"",'Price History'!B88/'Price History'!B87-1),"")</f>
        <v>-0.00400247895470751</v>
      </c>
      <c r="C87" s="105" t="n">
        <f aca="false">IFERROR(IF(OR(NOT(ISNUMBER('Price History'!C88)),NOT(ISNUMBER('Price History'!C87)),'Price History'!C87=0),"",'Price History'!C88/'Price History'!C87-1),"")</f>
        <v>-0.0624323348971491</v>
      </c>
      <c r="D87" s="105" t="n">
        <f aca="false">IFERROR(IF(OR(NOT(ISNUMBER('Price History'!D88)),NOT(ISNUMBER('Price History'!D87)),'Price History'!D87=0),"",'Price History'!D88/'Price History'!D87-1),"")</f>
        <v>-0.0581385607774148</v>
      </c>
      <c r="E87" s="105" t="n">
        <f aca="false">IFERROR(IF(OR(NOT(ISNUMBER('Price History'!E88)),NOT(ISNUMBER('Price History'!E87)),'Price History'!E87=0),"",'Price History'!E88/'Price History'!E87-1),"")</f>
        <v>-0.117604090577064</v>
      </c>
      <c r="F87" s="105" t="n">
        <f aca="false">IFERROR(IF(OR(NOT(ISNUMBER('Price History'!F88)),NOT(ISNUMBER('Price History'!F87)),'Price History'!F87=0),"",'Price History'!F88/'Price History'!F87-1),"")</f>
        <v>-0.0141342756183745</v>
      </c>
      <c r="G87" s="105" t="n">
        <f aca="false">IFERROR(IF(OR(NOT(ISNUMBER('Price History'!G88)),NOT(ISNUMBER('Price History'!G87)),'Price History'!G87=0),"",'Price History'!G88/'Price History'!G87-1),"")</f>
        <v>-0.0465675866949753</v>
      </c>
      <c r="H87" s="105" t="n">
        <f aca="false">IFERROR(IF(OR(NOT(ISNUMBER('Price History'!H88)),NOT(ISNUMBER('Price History'!H87)),'Price History'!H87=0),"",'Price History'!H88/'Price History'!H87-1),"")</f>
        <v>-0.0663006756756757</v>
      </c>
      <c r="I87" s="105" t="n">
        <f aca="false">IFERROR(IF(OR(NOT(ISNUMBER('Price History'!I88)),NOT(ISNUMBER('Price History'!I87)),'Price History'!I87=0),"",'Price History'!I88/'Price History'!I87-1),"")</f>
        <v>-0.0682242990654206</v>
      </c>
      <c r="J87" s="105" t="n">
        <f aca="false">IFERROR(IF(OR(NOT(ISNUMBER('Price History'!J88)),NOT(ISNUMBER('Price History'!J87)),'Price History'!J87=0),"",'Price History'!J88/'Price History'!J87-1),"")</f>
        <v>0.0187234827522598</v>
      </c>
      <c r="K87" s="105" t="n">
        <f aca="false">IFERROR(IF(OR(NOT(ISNUMBER('Price History'!K88)),NOT(ISNUMBER('Price History'!K87)),'Price History'!K87=0),"",'Price History'!K88/'Price History'!K87-1),"")</f>
        <v>-0.0561785400175902</v>
      </c>
      <c r="L87" s="105" t="n">
        <f aca="false">IFERROR(IF(OR(NOT(ISNUMBER('Price History'!L88)),NOT(ISNUMBER('Price History'!L87)),'Price History'!L87=0),"",'Price History'!L88/'Price History'!L87-1),"")</f>
        <v>-0.0649578453007412</v>
      </c>
      <c r="M87" s="105" t="n">
        <f aca="false">IFERROR(IF(OR(NOT(ISNUMBER('Price History'!M88)),NOT(ISNUMBER('Price History'!M87)),'Price History'!M87=0),"",'Price History'!M88/'Price History'!M87-1),"")</f>
        <v>-0.16224754597766</v>
      </c>
      <c r="N87" s="105" t="n">
        <f aca="false">IFERROR(IF(OR(NOT(ISNUMBER('Price History'!N88)),NOT(ISNUMBER('Price History'!N87)),'Price History'!N87=0),"",'Price History'!N88/'Price History'!N87-1),"")</f>
        <v>-0.0208863275039746</v>
      </c>
      <c r="O87" s="105" t="n">
        <f aca="false">IFERROR(IF(OR(NOT(ISNUMBER('Price History'!O88)),NOT(ISNUMBER('Price History'!O87)),'Price History'!O87=0),"",'Price History'!O88/'Price History'!O87-1),"")</f>
        <v>-0.00842249032551778</v>
      </c>
      <c r="P87" s="105" t="str">
        <f aca="false">IFERROR(IF(OR(NOT(ISNUMBER('Price History'!P88)),NOT(ISNUMBER('Price History'!P87)),'Price History'!P87=0),"",'Price History'!P88/'Price History'!P87-1),"")</f>
        <v/>
      </c>
      <c r="Q87" s="105" t="n">
        <f aca="false">IFERROR(IF(OR(NOT(ISNUMBER('Price History'!Q88)),NOT(ISNUMBER('Price History'!Q87)),'Price History'!Q87=0),"",'Price History'!Q88/'Price History'!Q87-1),"")</f>
        <v>0.0294117647058823</v>
      </c>
      <c r="R87" s="105" t="n">
        <f aca="false">IFERROR(IF(OR(NOT(ISNUMBER('Price History'!R88)),NOT(ISNUMBER('Price History'!R87)),'Price History'!R87=0),"",'Price History'!R88/'Price History'!R87-1),"")</f>
        <v>-0.0187499999999999</v>
      </c>
      <c r="S87" s="105" t="n">
        <f aca="false">IFERROR(IF(OR(NOT(ISNUMBER('Price History'!S88)),NOT(ISNUMBER('Price History'!S87)),'Price History'!S87=0),"",'Price History'!S88/'Price History'!S87-1),"")</f>
        <v>-0.0215453194650818</v>
      </c>
      <c r="T87" s="105" t="n">
        <f aca="false">IFERROR(IF(OR(NOT(ISNUMBER('Price History'!T88)),NOT(ISNUMBER('Price History'!T87)),'Price History'!T87=0),"",'Price History'!T88/'Price History'!T87-1),"")</f>
        <v>-0.0164407268531872</v>
      </c>
      <c r="U87" s="105" t="str">
        <f aca="false">IFERROR(IF(OR(NOT(ISNUMBER('Price History'!U88)),NOT(ISNUMBER('Price History'!U87)),'Price History'!U87=0),"",'Price History'!U88/'Price History'!U87-1),"")</f>
        <v/>
      </c>
      <c r="V87" s="106" t="n">
        <f aca="false">IFERROR(IF(OR(NOT(ISNUMBER('Price History'!V88)),NOT(ISNUMBER('Price History'!V87)),'Price History'!V87=0),"",'Price History'!V88/'Price History'!V87-1),"")</f>
        <v>0.0214246971614536</v>
      </c>
      <c r="W87" s="107" t="n">
        <f aca="false">'Price History'!B3+('Price History'!B158-'Price History'!B3)*0.545454545454545</f>
        <v>367.700909090909</v>
      </c>
      <c r="X87" s="107" t="n">
        <f aca="false">'Price History'!C3+('Price History'!C158-'Price History'!C3)*0.545454545454545</f>
        <v>118.254545454545</v>
      </c>
      <c r="Y87" s="107" t="n">
        <f aca="false">'Price History'!D3+('Price History'!D158-'Price History'!D3)*0.545454545454545</f>
        <v>1189.35454545455</v>
      </c>
      <c r="Z87" s="107" t="n">
        <f aca="false">'Price History'!E3+('Price History'!E158-'Price History'!E3)*0.545454545454545</f>
        <v>250.052727272727</v>
      </c>
      <c r="AA87" s="107" t="n">
        <f aca="false">'Price History'!F3+('Price History'!F158-'Price History'!F3)*0.545454545454545</f>
        <v>120.950909090909</v>
      </c>
      <c r="AB87" s="107" t="n">
        <f aca="false">'Price History'!G3+('Price History'!G158-'Price History'!G3)*0.545454545454545</f>
        <v>121.492727272727</v>
      </c>
      <c r="AC87" s="107" t="n">
        <f aca="false">'Price History'!H3+('Price History'!H158-'Price History'!H3)*0.545454545454545</f>
        <v>478.184545454545</v>
      </c>
      <c r="AD87" s="107" t="n">
        <f aca="false">'Price History'!I3+('Price History'!I158-'Price History'!I3)*0.545454545454545</f>
        <v>128.068181818182</v>
      </c>
      <c r="AE87" s="107" t="n">
        <f aca="false">'Price History'!J3+('Price History'!J158-'Price History'!J3)*0.545454545454545</f>
        <v>135.019090909091</v>
      </c>
      <c r="AF87" s="107" t="n">
        <f aca="false">'Price History'!K3+('Price History'!K158-'Price History'!K3)*0.545454545454545</f>
        <v>74.1281818181818</v>
      </c>
      <c r="AG87" s="107" t="n">
        <f aca="false">'Price History'!L3+('Price History'!L158-'Price History'!L3)*0.545454545454545</f>
        <v>262.313636363636</v>
      </c>
      <c r="AH87" s="107" t="n">
        <f aca="false">'Price History'!M3+('Price History'!M158-'Price History'!M3)*0.545454545454545</f>
        <v>146.997272727273</v>
      </c>
      <c r="AI87" s="107" t="n">
        <f aca="false">'Price History'!N3+('Price History'!N158-'Price History'!N3)*0.545454545454545</f>
        <v>419.263636363636</v>
      </c>
      <c r="AJ87" s="107" t="n">
        <f aca="false">'Price History'!O3+('Price History'!O158-'Price History'!O3)*0.545454545454545</f>
        <v>105.993636363636</v>
      </c>
      <c r="AK87" s="107" t="n">
        <f aca="false">'Price History'!Q3+('Price History'!Q151-'Price History'!Q3)*0.545454545454545</f>
        <v>59.9909090909091</v>
      </c>
      <c r="AL87" s="107" t="n">
        <f aca="false">'Price History'!R3+('Price History'!R158-'Price History'!R3)*0.545454545454545</f>
        <v>53.5090909090909</v>
      </c>
      <c r="AM87" s="107" t="n">
        <f aca="false">'Price History'!S3+('Price History'!S158-'Price History'!S3)*0.545454545454545</f>
        <v>105.061818181818</v>
      </c>
      <c r="AN87" s="107" t="n">
        <f aca="false">'Price History'!T3+('Price History'!T158-'Price History'!T3)*0.545454545454545</f>
        <v>39.3627272727273</v>
      </c>
    </row>
    <row r="88" customFormat="false" ht="15" hidden="false" customHeight="true" outlineLevel="0" collapsed="false">
      <c r="A88" s="104" t="n">
        <f aca="false">IF('Price History'!A89="","",'Price History'!A89)</f>
        <v>45751</v>
      </c>
      <c r="B88" s="105" t="n">
        <f aca="false">IFERROR(IF(OR(NOT(ISNUMBER('Price History'!B89)),NOT(ISNUMBER('Price History'!B88)),'Price History'!B88=0),"",'Price History'!B89/'Price History'!B88-1),"")</f>
        <v>-0.0949936480775712</v>
      </c>
      <c r="C88" s="105" t="n">
        <f aca="false">IFERROR(IF(OR(NOT(ISNUMBER('Price History'!C89)),NOT(ISNUMBER('Price History'!C88)),'Price History'!C88=0),"",'Price History'!C89/'Price History'!C88-1),"")</f>
        <v>-0.174108288426995</v>
      </c>
      <c r="D88" s="105" t="n">
        <f aca="false">IFERROR(IF(OR(NOT(ISNUMBER('Price History'!D89)),NOT(ISNUMBER('Price History'!D88)),'Price History'!D88=0),"",'Price History'!D89/'Price History'!D88-1),"")</f>
        <v>-0.102330338877524</v>
      </c>
      <c r="E88" s="105" t="n">
        <f aca="false">IFERROR(IF(OR(NOT(ISNUMBER('Price History'!E89)),NOT(ISNUMBER('Price History'!E88)),'Price History'!E88=0),"",'Price History'!E89/'Price History'!E88-1),"")</f>
        <v>-0.134992904446547</v>
      </c>
      <c r="F88" s="105" t="n">
        <f aca="false">IFERROR(IF(OR(NOT(ISNUMBER('Price History'!F89)),NOT(ISNUMBER('Price History'!F88)),'Price History'!F88=0),"",'Price History'!F89/'Price History'!F88-1),"")</f>
        <v>-0.0993503584229392</v>
      </c>
      <c r="G88" s="105" t="n">
        <f aca="false">IFERROR(IF(OR(NOT(ISNUMBER('Price History'!G89)),NOT(ISNUMBER('Price History'!G88)),'Price History'!G88=0),"",'Price History'!G89/'Price History'!G88-1),"")</f>
        <v>-0.144150831353919</v>
      </c>
      <c r="H88" s="105" t="n">
        <f aca="false">IFERROR(IF(OR(NOT(ISNUMBER('Price History'!H89)),NOT(ISNUMBER('Price History'!H88)),'Price History'!H88=0),"",'Price History'!H89/'Price History'!H88-1),"")</f>
        <v>-0.268204432383537</v>
      </c>
      <c r="I88" s="105" t="n">
        <f aca="false">IFERROR(IF(OR(NOT(ISNUMBER('Price History'!I89)),NOT(ISNUMBER('Price History'!I88)),'Price History'!I88=0),"",'Price History'!I89/'Price History'!I88-1),"")</f>
        <v>-0.140056533236072</v>
      </c>
      <c r="J88" s="105" t="n">
        <f aca="false">IFERROR(IF(OR(NOT(ISNUMBER('Price History'!J89)),NOT(ISNUMBER('Price History'!J88)),'Price History'!J88=0),"",'Price History'!J89/'Price History'!J88-1),"")</f>
        <v>-0.11063829787234</v>
      </c>
      <c r="K88" s="105" t="n">
        <f aca="false">IFERROR(IF(OR(NOT(ISNUMBER('Price History'!K89)),NOT(ISNUMBER('Price History'!K88)),'Price History'!K88=0),"",'Price History'!K89/'Price History'!K88-1),"")</f>
        <v>-0.137914967967385</v>
      </c>
      <c r="L88" s="105" t="n">
        <f aca="false">IFERROR(IF(OR(NOT(ISNUMBER('Price History'!L89)),NOT(ISNUMBER('Price History'!L88)),'Price History'!L88=0),"",'Price History'!L89/'Price History'!L88-1),"")</f>
        <v>-0.111649016641452</v>
      </c>
      <c r="M88" s="105" t="n">
        <f aca="false">IFERROR(IF(OR(NOT(ISNUMBER('Price History'!M89)),NOT(ISNUMBER('Price History'!M88)),'Price History'!M88=0),"",'Price History'!M89/'Price History'!M88-1),"")</f>
        <v>-0.19986531986532</v>
      </c>
      <c r="N88" s="105" t="n">
        <f aca="false">IFERROR(IF(OR(NOT(ISNUMBER('Price History'!N89)),NOT(ISNUMBER('Price History'!N88)),'Price History'!N88=0),"",'Price History'!N89/'Price History'!N88-1),"")</f>
        <v>-0.0366762061336743</v>
      </c>
      <c r="O88" s="105" t="n">
        <f aca="false">IFERROR(IF(OR(NOT(ISNUMBER('Price History'!O89)),NOT(ISNUMBER('Price History'!O88)),'Price History'!O88=0),"",'Price History'!O89/'Price History'!O88-1),"")</f>
        <v>-0.104683195592287</v>
      </c>
      <c r="P88" s="105" t="str">
        <f aca="false">IFERROR(IF(OR(NOT(ISNUMBER('Price History'!P89)),NOT(ISNUMBER('Price History'!P88)),'Price History'!P88=0),"",'Price History'!P89/'Price History'!P88-1),"")</f>
        <v/>
      </c>
      <c r="Q88" s="105" t="n">
        <f aca="false">IFERROR(IF(OR(NOT(ISNUMBER('Price History'!Q89)),NOT(ISNUMBER('Price History'!Q88)),'Price History'!Q88=0),"",'Price History'!Q89/'Price History'!Q88-1),"")</f>
        <v>-0.0165584415584417</v>
      </c>
      <c r="R88" s="105" t="n">
        <f aca="false">IFERROR(IF(OR(NOT(ISNUMBER('Price History'!R89)),NOT(ISNUMBER('Price History'!R88)),'Price History'!R88=0),"",'Price History'!R89/'Price History'!R88-1),"")</f>
        <v>-0.100559737502413</v>
      </c>
      <c r="S88" s="105" t="n">
        <f aca="false">IFERROR(IF(OR(NOT(ISNUMBER('Price History'!S89)),NOT(ISNUMBER('Price History'!S88)),'Price History'!S88=0),"",'Price History'!S89/'Price History'!S88-1),"")</f>
        <v>-0.107061503416857</v>
      </c>
      <c r="T88" s="105" t="n">
        <f aca="false">IFERROR(IF(OR(NOT(ISNUMBER('Price History'!T89)),NOT(ISNUMBER('Price History'!T88)),'Price History'!T88=0),"",'Price History'!T89/'Price History'!T88-1),"")</f>
        <v>-0.092375366568915</v>
      </c>
      <c r="U88" s="105" t="str">
        <f aca="false">IFERROR(IF(OR(NOT(ISNUMBER('Price History'!U89)),NOT(ISNUMBER('Price History'!U88)),'Price History'!U88=0),"",'Price History'!U89/'Price History'!U88-1),"")</f>
        <v/>
      </c>
      <c r="V88" s="106" t="n">
        <f aca="false">IFERROR(IF(OR(NOT(ISNUMBER('Price History'!V89)),NOT(ISNUMBER('Price History'!V88)),'Price History'!V88=0),"",'Price History'!V89/'Price History'!V88-1),"")</f>
        <v>-0.0866743369619731</v>
      </c>
      <c r="W88" s="107" t="n">
        <f aca="false">'Price History'!B3+('Price History'!B158-'Price History'!B3)*0.551948051948052</f>
        <v>366.025324675325</v>
      </c>
      <c r="X88" s="107" t="n">
        <f aca="false">'Price History'!C3+('Price History'!C158-'Price History'!C3)*0.551948051948052</f>
        <v>119.141623376623</v>
      </c>
      <c r="Y88" s="107" t="n">
        <f aca="false">'Price History'!D3+('Price History'!D158-'Price History'!D3)*0.551948051948052</f>
        <v>1195.63519480519</v>
      </c>
      <c r="Z88" s="107" t="n">
        <f aca="false">'Price History'!E3+('Price History'!E158-'Price History'!E3)*0.551948051948052</f>
        <v>252.041688311688</v>
      </c>
      <c r="AA88" s="107" t="n">
        <f aca="false">'Price History'!F3+('Price History'!F158-'Price History'!F3)*0.551948051948052</f>
        <v>121.94961038961</v>
      </c>
      <c r="AB88" s="107" t="n">
        <f aca="false">'Price History'!G3+('Price History'!G158-'Price History'!G3)*0.551948051948052</f>
        <v>122.368831168831</v>
      </c>
      <c r="AC88" s="107" t="n">
        <f aca="false">'Price History'!H3+('Price History'!H158-'Price History'!H3)*0.551948051948052</f>
        <v>483.110909090909</v>
      </c>
      <c r="AD88" s="107" t="n">
        <f aca="false">'Price History'!I3+('Price History'!I158-'Price History'!I3)*0.551948051948052</f>
        <v>129.106493506494</v>
      </c>
      <c r="AE88" s="107" t="n">
        <f aca="false">'Price History'!J3+('Price History'!J158-'Price History'!J3)*0.551948051948052</f>
        <v>135.156103896104</v>
      </c>
      <c r="AF88" s="107" t="n">
        <f aca="false">'Price History'!K3+('Price History'!K158-'Price History'!K3)*0.551948051948052</f>
        <v>74.8272077922078</v>
      </c>
      <c r="AG88" s="107" t="n">
        <f aca="false">'Price History'!L3+('Price History'!L158-'Price History'!L3)*0.551948051948052</f>
        <v>264.341298701299</v>
      </c>
      <c r="AH88" s="107" t="n">
        <f aca="false">'Price History'!M3+('Price History'!M158-'Price History'!M3)*0.551948051948052</f>
        <v>148.348311688312</v>
      </c>
      <c r="AI88" s="107" t="n">
        <f aca="false">'Price History'!N3+('Price History'!N158-'Price History'!N3)*0.551948051948052</f>
        <v>420.08987012987</v>
      </c>
      <c r="AJ88" s="107" t="n">
        <f aca="false">'Price History'!O3+('Price History'!O158-'Price History'!O3)*0.551948051948052</f>
        <v>106.269155844156</v>
      </c>
      <c r="AK88" s="107" t="n">
        <f aca="false">'Price History'!Q3+('Price History'!Q151-'Price History'!Q3)*0.551948051948052</f>
        <v>60.1117532467533</v>
      </c>
      <c r="AL88" s="107" t="n">
        <f aca="false">'Price History'!R3+('Price History'!R158-'Price History'!R3)*0.551948051948052</f>
        <v>53.5768181818182</v>
      </c>
      <c r="AM88" s="107" t="n">
        <f aca="false">'Price History'!S3+('Price History'!S158-'Price History'!S3)*0.551948051948052</f>
        <v>105.615649350649</v>
      </c>
      <c r="AN88" s="107" t="n">
        <f aca="false">'Price History'!T3+('Price History'!T158-'Price History'!T3)*0.551948051948052</f>
        <v>39.510974025974</v>
      </c>
    </row>
    <row r="89" customFormat="false" ht="15" hidden="false" customHeight="true" outlineLevel="0" collapsed="false">
      <c r="A89" s="104" t="n">
        <f aca="false">IF('Price History'!A90="","",'Price History'!A90)</f>
        <v>45758</v>
      </c>
      <c r="B89" s="105" t="n">
        <f aca="false">IFERROR(IF(OR(NOT(ISNUMBER('Price History'!B90)),NOT(ISNUMBER('Price History'!B89)),'Price History'!B89=0),"",'Price History'!B90/'Price History'!B89-1),"")</f>
        <v>0.00974016672873646</v>
      </c>
      <c r="C89" s="105" t="n">
        <f aca="false">IFERROR(IF(OR(NOT(ISNUMBER('Price History'!C90)),NOT(ISNUMBER('Price History'!C89)),'Price History'!C89=0),"",'Price History'!C90/'Price History'!C89-1),"")</f>
        <v>0.128942053751748</v>
      </c>
      <c r="D89" s="105" t="n">
        <f aca="false">IFERROR(IF(OR(NOT(ISNUMBER('Price History'!D90)),NOT(ISNUMBER('Price History'!D89)),'Price History'!D89=0),"",'Price History'!D90/'Price History'!D89-1),"")</f>
        <v>0.104467013458839</v>
      </c>
      <c r="E89" s="105" t="n">
        <f aca="false">IFERROR(IF(OR(NOT(ISNUMBER('Price History'!E90)),NOT(ISNUMBER('Price History'!E89)),'Price History'!E89=0),"",'Price History'!E90/'Price History'!E89-1),"")</f>
        <v>0.243694032401395</v>
      </c>
      <c r="F89" s="105" t="n">
        <f aca="false">IFERROR(IF(OR(NOT(ISNUMBER('Price History'!F90)),NOT(ISNUMBER('Price History'!F89)),'Price History'!F89=0),"",'Price History'!F90/'Price History'!F89-1),"")</f>
        <v>0.174978236537744</v>
      </c>
      <c r="G89" s="105" t="n">
        <f aca="false">IFERROR(IF(OR(NOT(ISNUMBER('Price History'!G90)),NOT(ISNUMBER('Price History'!G89)),'Price History'!G89=0),"",'Price History'!G90/'Price History'!G89-1),"")</f>
        <v>0.162532523850824</v>
      </c>
      <c r="H89" s="105" t="n">
        <f aca="false">IFERROR(IF(OR(NOT(ISNUMBER('Price History'!H90)),NOT(ISNUMBER('Price History'!H89)),'Price History'!H89=0),"",'Price History'!H90/'Price History'!H89-1),"")</f>
        <v>0.074629171817058</v>
      </c>
      <c r="I89" s="105" t="n">
        <f aca="false">IFERROR(IF(OR(NOT(ISNUMBER('Price History'!I90)),NOT(ISNUMBER('Price History'!I89)),'Price History'!I89=0),"",'Price History'!I90/'Price History'!I89-1),"")</f>
        <v>0.17622733538331</v>
      </c>
      <c r="J89" s="105" t="n">
        <f aca="false">IFERROR(IF(OR(NOT(ISNUMBER('Price History'!J90)),NOT(ISNUMBER('Price History'!J89)),'Price History'!J89=0),"",'Price History'!J90/'Price History'!J89-1),"")</f>
        <v>-0.0203603787030439</v>
      </c>
      <c r="K89" s="105" t="n">
        <f aca="false">IFERROR(IF(OR(NOT(ISNUMBER('Price History'!K90)),NOT(ISNUMBER('Price History'!K89)),'Price History'!K89=0),"",'Price History'!K90/'Price History'!K89-1),"")</f>
        <v>0.196459937846237</v>
      </c>
      <c r="L89" s="105" t="n">
        <f aca="false">IFERROR(IF(OR(NOT(ISNUMBER('Price History'!L90)),NOT(ISNUMBER('Price History'!L89)),'Price History'!L89=0),"",'Price History'!L90/'Price History'!L89-1),"")</f>
        <v>0.0700272479564033</v>
      </c>
      <c r="M89" s="105" t="n">
        <f aca="false">IFERROR(IF(OR(NOT(ISNUMBER('Price History'!M90)),NOT(ISNUMBER('Price History'!M89)),'Price History'!M89=0),"",'Price History'!M90/'Price History'!M89-1),"")</f>
        <v>0.171688267968356</v>
      </c>
      <c r="N89" s="105" t="n">
        <f aca="false">IFERROR(IF(OR(NOT(ISNUMBER('Price History'!N90)),NOT(ISNUMBER('Price History'!N89)),'Price History'!N89=0),"",'Price History'!N90/'Price History'!N89-1),"")</f>
        <v>0.0202267076819351</v>
      </c>
      <c r="O89" s="105" t="n">
        <f aca="false">IFERROR(IF(OR(NOT(ISNUMBER('Price History'!O90)),NOT(ISNUMBER('Price History'!O89)),'Price History'!O89=0),"",'Price History'!O90/'Price History'!O89-1),"")</f>
        <v>0.0125641025641026</v>
      </c>
      <c r="P89" s="105" t="str">
        <f aca="false">IFERROR(IF(OR(NOT(ISNUMBER('Price History'!P90)),NOT(ISNUMBER('Price History'!P89)),'Price History'!P89=0),"",'Price History'!P90/'Price History'!P89-1),"")</f>
        <v/>
      </c>
      <c r="Q89" s="105" t="n">
        <f aca="false">IFERROR(IF(OR(NOT(ISNUMBER('Price History'!Q90)),NOT(ISNUMBER('Price History'!Q89)),'Price History'!Q89=0),"",'Price History'!Q90/'Price History'!Q89-1),"")</f>
        <v>0.0108946847144273</v>
      </c>
      <c r="R89" s="105" t="n">
        <f aca="false">IFERROR(IF(OR(NOT(ISNUMBER('Price History'!R90)),NOT(ISNUMBER('Price History'!R89)),'Price History'!R89=0),"",'Price History'!R90/'Price History'!R89-1),"")</f>
        <v>0.0630901287553647</v>
      </c>
      <c r="S89" s="105" t="n">
        <f aca="false">IFERROR(IF(OR(NOT(ISNUMBER('Price History'!S90)),NOT(ISNUMBER('Price History'!S89)),'Price History'!S89=0),"",'Price History'!S90/'Price History'!S89-1),"")</f>
        <v>0.0911078717201166</v>
      </c>
      <c r="T89" s="105" t="n">
        <f aca="false">IFERROR(IF(OR(NOT(ISNUMBER('Price History'!T90)),NOT(ISNUMBER('Price History'!T89)),'Price History'!T89=0),"",'Price History'!T90/'Price History'!T89-1),"")</f>
        <v>0.0197092084006463</v>
      </c>
      <c r="U89" s="105" t="str">
        <f aca="false">IFERROR(IF(OR(NOT(ISNUMBER('Price History'!U90)),NOT(ISNUMBER('Price History'!U89)),'Price History'!U89=0),"",'Price History'!U90/'Price History'!U89-1),"")</f>
        <v/>
      </c>
      <c r="V89" s="106" t="n">
        <f aca="false">IFERROR(IF(OR(NOT(ISNUMBER('Price History'!V90)),NOT(ISNUMBER('Price History'!V89)),'Price History'!V89=0),"",'Price History'!V90/'Price History'!V89-1),"")</f>
        <v>0.0647307729577829</v>
      </c>
      <c r="W89" s="107" t="n">
        <f aca="false">'Price History'!B3+('Price History'!B158-'Price History'!B3)*0.558441558441558</f>
        <v>364.34974025974</v>
      </c>
      <c r="X89" s="107" t="n">
        <f aca="false">'Price History'!C3+('Price History'!C158-'Price History'!C3)*0.558441558441558</f>
        <v>120.028701298701</v>
      </c>
      <c r="Y89" s="107" t="n">
        <f aca="false">'Price History'!D3+('Price History'!D158-'Price History'!D3)*0.558441558441558</f>
        <v>1201.91584415584</v>
      </c>
      <c r="Z89" s="107" t="n">
        <f aca="false">'Price History'!E3+('Price History'!E158-'Price History'!E3)*0.558441558441558</f>
        <v>254.030649350649</v>
      </c>
      <c r="AA89" s="107" t="n">
        <f aca="false">'Price History'!F3+('Price History'!F158-'Price History'!F3)*0.558441558441558</f>
        <v>122.948311688312</v>
      </c>
      <c r="AB89" s="107" t="n">
        <f aca="false">'Price History'!G3+('Price History'!G158-'Price History'!G3)*0.558441558441558</f>
        <v>123.244935064935</v>
      </c>
      <c r="AC89" s="107" t="n">
        <f aca="false">'Price History'!H3+('Price History'!H158-'Price History'!H3)*0.558441558441558</f>
        <v>488.037272727272</v>
      </c>
      <c r="AD89" s="107" t="n">
        <f aca="false">'Price History'!I3+('Price History'!I158-'Price History'!I3)*0.558441558441558</f>
        <v>130.144805194805</v>
      </c>
      <c r="AE89" s="107" t="n">
        <f aca="false">'Price History'!J3+('Price History'!J158-'Price History'!J3)*0.558441558441558</f>
        <v>135.293116883117</v>
      </c>
      <c r="AF89" s="107" t="n">
        <f aca="false">'Price History'!K3+('Price History'!K158-'Price History'!K3)*0.558441558441558</f>
        <v>75.5262337662337</v>
      </c>
      <c r="AG89" s="107" t="n">
        <f aca="false">'Price History'!L3+('Price History'!L158-'Price History'!L3)*0.558441558441558</f>
        <v>266.368961038961</v>
      </c>
      <c r="AH89" s="107" t="n">
        <f aca="false">'Price History'!M3+('Price History'!M158-'Price History'!M3)*0.558441558441558</f>
        <v>149.699350649351</v>
      </c>
      <c r="AI89" s="107" t="n">
        <f aca="false">'Price History'!N3+('Price History'!N158-'Price History'!N3)*0.558441558441558</f>
        <v>420.916103896104</v>
      </c>
      <c r="AJ89" s="107" t="n">
        <f aca="false">'Price History'!O3+('Price History'!O158-'Price History'!O3)*0.558441558441558</f>
        <v>106.544675324675</v>
      </c>
      <c r="AK89" s="107" t="n">
        <f aca="false">'Price History'!Q3+('Price History'!Q151-'Price History'!Q3)*0.558441558441558</f>
        <v>60.2325974025974</v>
      </c>
      <c r="AL89" s="107" t="n">
        <f aca="false">'Price History'!R3+('Price History'!R158-'Price History'!R3)*0.558441558441558</f>
        <v>53.6445454545455</v>
      </c>
      <c r="AM89" s="107" t="n">
        <f aca="false">'Price History'!S3+('Price History'!S158-'Price History'!S3)*0.558441558441558</f>
        <v>106.16948051948</v>
      </c>
      <c r="AN89" s="107" t="n">
        <f aca="false">'Price History'!T3+('Price History'!T158-'Price History'!T3)*0.558441558441558</f>
        <v>39.6592207792208</v>
      </c>
    </row>
    <row r="90" customFormat="false" ht="15" hidden="false" customHeight="true" outlineLevel="0" collapsed="false">
      <c r="A90" s="104" t="n">
        <f aca="false">IF('Price History'!A91="","",'Price History'!A91)</f>
        <v>45764</v>
      </c>
      <c r="B90" s="105" t="n">
        <f aca="false">IFERROR(IF(OR(NOT(ISNUMBER('Price History'!B91)),NOT(ISNUMBER('Price History'!B90)),'Price History'!B90=0),"",'Price History'!B91/'Price History'!B90-1),"")</f>
        <v>-0.0104122336652765</v>
      </c>
      <c r="C90" s="105" t="n">
        <f aca="false">IFERROR(IF(OR(NOT(ISNUMBER('Price History'!C91)),NOT(ISNUMBER('Price History'!C90)),'Price History'!C90=0),"",'Price History'!C91/'Price History'!C90-1),"")</f>
        <v>-0.0202284298885372</v>
      </c>
      <c r="D90" s="105" t="n">
        <f aca="false">IFERROR(IF(OR(NOT(ISNUMBER('Price History'!D91)),NOT(ISNUMBER('Price History'!D90)),'Price History'!D90=0),"",'Price History'!D91/'Price History'!D90-1),"")</f>
        <v>-0.0428372781507453</v>
      </c>
      <c r="E90" s="105" t="n">
        <f aca="false">IFERROR(IF(OR(NOT(ISNUMBER('Price History'!E91)),NOT(ISNUMBER('Price History'!E90)),'Price History'!E90=0),"",'Price History'!E91/'Price History'!E90-1),"")</f>
        <v>-0.0601846762669012</v>
      </c>
      <c r="F90" s="105" t="n">
        <f aca="false">IFERROR(IF(OR(NOT(ISNUMBER('Price History'!F91)),NOT(ISNUMBER('Price History'!F90)),'Price History'!F90=0),"",'Price History'!F91/'Price History'!F90-1),"")</f>
        <v>-0.00603302286198149</v>
      </c>
      <c r="G90" s="105" t="n">
        <f aca="false">IFERROR(IF(OR(NOT(ISNUMBER('Price History'!G91)),NOT(ISNUMBER('Price History'!G90)),'Price History'!G90=0),"",'Price History'!G91/'Price History'!G90-1),"")</f>
        <v>-0.0534168904804536</v>
      </c>
      <c r="H90" s="105" t="n">
        <f aca="false">IFERROR(IF(OR(NOT(ISNUMBER('Price History'!H91)),NOT(ISNUMBER('Price History'!H90)),'Price History'!H90=0),"",'Price History'!H91/'Price History'!H90-1),"")</f>
        <v>-0.0107836089144501</v>
      </c>
      <c r="I90" s="105" t="n">
        <f aca="false">IFERROR(IF(OR(NOT(ISNUMBER('Price History'!I91)),NOT(ISNUMBER('Price History'!I90)),'Price History'!I90=0),"",'Price History'!I91/'Price History'!I90-1),"")</f>
        <v>-0.0850987108987651</v>
      </c>
      <c r="J90" s="105" t="n">
        <f aca="false">IFERROR(IF(OR(NOT(ISNUMBER('Price History'!J91)),NOT(ISNUMBER('Price History'!J90)),'Price History'!J90=0),"",'Price History'!J91/'Price History'!J90-1),"")</f>
        <v>0.0609996882469084</v>
      </c>
      <c r="K90" s="105" t="n">
        <f aca="false">IFERROR(IF(OR(NOT(ISNUMBER('Price History'!K91)),NOT(ISNUMBER('Price History'!K90)),'Price History'!K90=0),"",'Price History'!K91/'Price History'!K90-1),"")</f>
        <v>0.0590626764539808</v>
      </c>
      <c r="L90" s="105" t="n">
        <f aca="false">IFERROR(IF(OR(NOT(ISNUMBER('Price History'!L91)),NOT(ISNUMBER('Price History'!L90)),'Price History'!L90=0),"",'Price History'!L91/'Price History'!L90-1),"")</f>
        <v>-0.0339954163483576</v>
      </c>
      <c r="M90" s="105" t="n">
        <f aca="false">IFERROR(IF(OR(NOT(ISNUMBER('Price History'!M91)),NOT(ISNUMBER('Price History'!M90)),'Price History'!M90=0),"",'Price History'!M91/'Price History'!M90-1),"")</f>
        <v>0.0517167073696307</v>
      </c>
      <c r="N90" s="105" t="n">
        <f aca="false">IFERROR(IF(OR(NOT(ISNUMBER('Price History'!N91)),NOT(ISNUMBER('Price History'!N90)),'Price History'!N90=0),"",'Price History'!N91/'Price History'!N90-1),"")</f>
        <v>0.0100780636900581</v>
      </c>
      <c r="O90" s="105" t="n">
        <f aca="false">IFERROR(IF(OR(NOT(ISNUMBER('Price History'!O91)),NOT(ISNUMBER('Price History'!O90)),'Price History'!O90=0),"",'Price History'!O91/'Price History'!O90-1),"")</f>
        <v>0.0186123069131425</v>
      </c>
      <c r="P90" s="105" t="str">
        <f aca="false">IFERROR(IF(OR(NOT(ISNUMBER('Price History'!P91)),NOT(ISNUMBER('Price History'!P90)),'Price History'!P90=0),"",'Price History'!P91/'Price History'!P90-1),"")</f>
        <v/>
      </c>
      <c r="Q90" s="105" t="n">
        <f aca="false">IFERROR(IF(OR(NOT(ISNUMBER('Price History'!Q91)),NOT(ISNUMBER('Price History'!Q90)),'Price History'!Q90=0),"",'Price History'!Q91/'Price History'!Q90-1),"")</f>
        <v>0.00963422599608088</v>
      </c>
      <c r="R90" s="105" t="n">
        <f aca="false">IFERROR(IF(OR(NOT(ISNUMBER('Price History'!R91)),NOT(ISNUMBER('Price History'!R90)),'Price History'!R90=0),"",'Price History'!R91/'Price History'!R90-1),"")</f>
        <v>-0.0161485668146951</v>
      </c>
      <c r="S90" s="105" t="n">
        <f aca="false">IFERROR(IF(OR(NOT(ISNUMBER('Price History'!S91)),NOT(ISNUMBER('Price History'!S90)),'Price History'!S90=0),"",'Price History'!S91/'Price History'!S90-1),"")</f>
        <v>-0.0173680694722778</v>
      </c>
      <c r="T90" s="105" t="n">
        <f aca="false">IFERROR(IF(OR(NOT(ISNUMBER('Price History'!T91)),NOT(ISNUMBER('Price History'!T90)),'Price History'!T90=0),"",'Price History'!T91/'Price History'!T90-1),"")</f>
        <v>0.00697084917617241</v>
      </c>
      <c r="U90" s="105" t="str">
        <f aca="false">IFERROR(IF(OR(NOT(ISNUMBER('Price History'!U91)),NOT(ISNUMBER('Price History'!U90)),'Price History'!U90=0),"",'Price History'!U91/'Price History'!U90-1),"")</f>
        <v/>
      </c>
      <c r="V90" s="106" t="str">
        <f aca="false">IFERROR(IF(OR(NOT(ISNUMBER('Price History'!V91)),NOT(ISNUMBER('Price History'!V90)),'Price History'!V90=0),"",'Price History'!V91/'Price History'!V90-1),"")</f>
        <v/>
      </c>
      <c r="W90" s="107" t="n">
        <f aca="false">'Price History'!B3+('Price History'!B158-'Price History'!B3)*0.564935064935065</f>
        <v>362.674155844156</v>
      </c>
      <c r="X90" s="107" t="n">
        <f aca="false">'Price History'!C3+('Price History'!C158-'Price History'!C3)*0.564935064935065</f>
        <v>120.915779220779</v>
      </c>
      <c r="Y90" s="107" t="n">
        <f aca="false">'Price History'!D3+('Price History'!D158-'Price History'!D3)*0.564935064935065</f>
        <v>1208.19649350649</v>
      </c>
      <c r="Z90" s="107" t="n">
        <f aca="false">'Price History'!E3+('Price History'!E158-'Price History'!E3)*0.564935064935065</f>
        <v>256.01961038961</v>
      </c>
      <c r="AA90" s="107" t="n">
        <f aca="false">'Price History'!F3+('Price History'!F158-'Price History'!F3)*0.564935064935065</f>
        <v>123.947012987013</v>
      </c>
      <c r="AB90" s="107" t="n">
        <f aca="false">'Price History'!G3+('Price History'!G158-'Price History'!G3)*0.564935064935065</f>
        <v>124.121038961039</v>
      </c>
      <c r="AC90" s="107" t="n">
        <f aca="false">'Price History'!H3+('Price History'!H158-'Price History'!H3)*0.564935064935065</f>
        <v>492.963636363636</v>
      </c>
      <c r="AD90" s="107" t="n">
        <f aca="false">'Price History'!I3+('Price History'!I158-'Price History'!I3)*0.564935064935065</f>
        <v>131.183116883117</v>
      </c>
      <c r="AE90" s="107" t="n">
        <f aca="false">'Price History'!J3+('Price History'!J158-'Price History'!J3)*0.564935064935065</f>
        <v>135.43012987013</v>
      </c>
      <c r="AF90" s="107" t="n">
        <f aca="false">'Price History'!K3+('Price History'!K158-'Price History'!K3)*0.564935064935065</f>
        <v>76.2252597402597</v>
      </c>
      <c r="AG90" s="107" t="n">
        <f aca="false">'Price History'!L3+('Price History'!L158-'Price History'!L3)*0.564935064935065</f>
        <v>268.396623376623</v>
      </c>
      <c r="AH90" s="107" t="n">
        <f aca="false">'Price History'!M3+('Price History'!M158-'Price History'!M3)*0.564935064935065</f>
        <v>151.05038961039</v>
      </c>
      <c r="AI90" s="107" t="n">
        <f aca="false">'Price History'!N3+('Price History'!N158-'Price History'!N3)*0.564935064935065</f>
        <v>421.742337662338</v>
      </c>
      <c r="AJ90" s="107" t="n">
        <f aca="false">'Price History'!O3+('Price History'!O158-'Price History'!O3)*0.564935064935065</f>
        <v>106.820194805195</v>
      </c>
      <c r="AK90" s="107" t="n">
        <f aca="false">'Price History'!Q3+('Price History'!Q151-'Price History'!Q3)*0.564935064935065</f>
        <v>60.3534415584416</v>
      </c>
      <c r="AL90" s="107" t="n">
        <f aca="false">'Price History'!R3+('Price History'!R158-'Price History'!R3)*0.564935064935065</f>
        <v>53.7122727272727</v>
      </c>
      <c r="AM90" s="107" t="n">
        <f aca="false">'Price History'!S3+('Price History'!S158-'Price History'!S3)*0.564935064935065</f>
        <v>106.723311688312</v>
      </c>
      <c r="AN90" s="107" t="n">
        <f aca="false">'Price History'!T3+('Price History'!T158-'Price History'!T3)*0.564935064935065</f>
        <v>39.8074675324675</v>
      </c>
    </row>
    <row r="91" customFormat="false" ht="15" hidden="false" customHeight="true" outlineLevel="0" collapsed="false">
      <c r="A91" s="104" t="n">
        <f aca="false">IF('Price History'!A92="","",'Price History'!A92)</f>
        <v>45772</v>
      </c>
      <c r="B91" s="105" t="n">
        <f aca="false">IFERROR(IF(OR(NOT(ISNUMBER('Price History'!B92)),NOT(ISNUMBER('Price History'!B91)),'Price History'!B91=0),"",'Price History'!B92/'Price History'!B91-1),"")</f>
        <v>0.0542431192660551</v>
      </c>
      <c r="C91" s="105" t="n">
        <f aca="false">IFERROR(IF(OR(NOT(ISNUMBER('Price History'!C92)),NOT(ISNUMBER('Price History'!C91)),'Price History'!C91=0),"",'Price History'!C92/'Price History'!C91-1),"")</f>
        <v>0.0942415730337078</v>
      </c>
      <c r="D91" s="105" t="n">
        <f aca="false">IFERROR(IF(OR(NOT(ISNUMBER('Price History'!D92)),NOT(ISNUMBER('Price History'!D91)),'Price History'!D91=0),"",'Price History'!D92/'Price History'!D91-1),"")</f>
        <v>0.0579698825293677</v>
      </c>
      <c r="E91" s="105" t="n">
        <f aca="false">IFERROR(IF(OR(NOT(ISNUMBER('Price History'!E92)),NOT(ISNUMBER('Price History'!E91)),'Price History'!E91=0),"",'Price History'!E92/'Price History'!E91-1),"")</f>
        <v>0.12468565413182</v>
      </c>
      <c r="F91" s="105" t="n">
        <f aca="false">IFERROR(IF(OR(NOT(ISNUMBER('Price History'!F92)),NOT(ISNUMBER('Price History'!F91)),'Price History'!F91=0),"",'Price History'!F92/'Price History'!F91-1),"")</f>
        <v>0.131082951762326</v>
      </c>
      <c r="G91" s="105" t="n">
        <f aca="false">IFERROR(IF(OR(NOT(ISNUMBER('Price History'!G92)),NOT(ISNUMBER('Price History'!G91)),'Price History'!G91=0),"",'Price History'!G92/'Price History'!G91-1),"")</f>
        <v>0.0948928121059267</v>
      </c>
      <c r="H91" s="105" t="n">
        <f aca="false">IFERROR(IF(OR(NOT(ISNUMBER('Price History'!H92)),NOT(ISNUMBER('Price History'!H91)),'Price History'!H91=0),"",'Price History'!H92/'Price History'!H91-1),"")</f>
        <v>0.159593023255814</v>
      </c>
      <c r="I91" s="105" t="n">
        <f aca="false">IFERROR(IF(OR(NOT(ISNUMBER('Price History'!I92)),NOT(ISNUMBER('Price History'!I91)),'Price History'!I91=0),"",'Price History'!I92/'Price History'!I91-1),"")</f>
        <v>0.0938023450586265</v>
      </c>
      <c r="J91" s="105" t="n">
        <f aca="false">IFERROR(IF(OR(NOT(ISNUMBER('Price History'!J92)),NOT(ISNUMBER('Price History'!J91)),'Price History'!J91=0),"",'Price History'!J92/'Price History'!J91-1),"")</f>
        <v>0.00137120470127328</v>
      </c>
      <c r="K91" s="105" t="n">
        <f aca="false">IFERROR(IF(OR(NOT(ISNUMBER('Price History'!K92)),NOT(ISNUMBER('Price History'!K91)),'Price History'!K91=0),"",'Price History'!K92/'Price History'!K91-1),"")</f>
        <v>0.202601834079761</v>
      </c>
      <c r="L91" s="105" t="n">
        <f aca="false">IFERROR(IF(OR(NOT(ISNUMBER('Price History'!L92)),NOT(ISNUMBER('Price History'!L91)),'Price History'!L91=0),"",'Price History'!L92/'Price History'!L91-1),"")</f>
        <v>0.0880453407143798</v>
      </c>
      <c r="M91" s="105" t="n">
        <f aca="false">IFERROR(IF(OR(NOT(ISNUMBER('Price History'!M92)),NOT(ISNUMBER('Price History'!M91)),'Price History'!M91=0),"",'Price History'!M92/'Price History'!M91-1),"")</f>
        <v>0.187679278787051</v>
      </c>
      <c r="N91" s="105" t="n">
        <f aca="false">IFERROR(IF(OR(NOT(ISNUMBER('Price History'!N92)),NOT(ISNUMBER('Price History'!N91)),'Price History'!N91=0),"",'Price History'!N92/'Price History'!N91-1),"")</f>
        <v>0.00969126967900214</v>
      </c>
      <c r="O91" s="105" t="n">
        <f aca="false">IFERROR(IF(OR(NOT(ISNUMBER('Price History'!O92)),NOT(ISNUMBER('Price History'!O91)),'Price History'!O91=0),"",'Price History'!O92/'Price History'!O91-1),"")</f>
        <v>0.0280919825978867</v>
      </c>
      <c r="P91" s="105" t="str">
        <f aca="false">IFERROR(IF(OR(NOT(ISNUMBER('Price History'!P92)),NOT(ISNUMBER('Price History'!P91)),'Price History'!P91=0),"",'Price History'!P92/'Price History'!P91-1),"")</f>
        <v/>
      </c>
      <c r="Q91" s="105" t="n">
        <f aca="false">IFERROR(IF(OR(NOT(ISNUMBER('Price History'!Q92)),NOT(ISNUMBER('Price History'!Q91)),'Price History'!Q91=0),"",'Price History'!Q92/'Price History'!Q91-1),"")</f>
        <v>-0.00016173378618789</v>
      </c>
      <c r="R91" s="105" t="n">
        <f aca="false">IFERROR(IF(OR(NOT(ISNUMBER('Price History'!R92)),NOT(ISNUMBER('Price History'!R91)),'Price History'!R91=0),"",'Price History'!R92/'Price History'!R91-1),"")</f>
        <v>0.0482150184653263</v>
      </c>
      <c r="S91" s="105" t="n">
        <f aca="false">IFERROR(IF(OR(NOT(ISNUMBER('Price History'!S92)),NOT(ISNUMBER('Price History'!S91)),'Price History'!S91=0),"",'Price History'!S92/'Price History'!S91-1),"")</f>
        <v>0.0652617267165192</v>
      </c>
      <c r="T91" s="105" t="n">
        <f aca="false">IFERROR(IF(OR(NOT(ISNUMBER('Price History'!T92)),NOT(ISNUMBER('Price History'!T91)),'Price History'!T91=0),"",'Price History'!T92/'Price History'!T91-1),"")</f>
        <v>0.0330396475770924</v>
      </c>
      <c r="U91" s="105" t="str">
        <f aca="false">IFERROR(IF(OR(NOT(ISNUMBER('Price History'!U92)),NOT(ISNUMBER('Price History'!U91)),'Price History'!U91=0),"",'Price History'!U92/'Price History'!U91-1),"")</f>
        <v/>
      </c>
      <c r="V91" s="106" t="str">
        <f aca="false">IFERROR(IF(OR(NOT(ISNUMBER('Price History'!V92)),NOT(ISNUMBER('Price History'!V91)),'Price History'!V91=0),"",'Price History'!V92/'Price History'!V91-1),"")</f>
        <v/>
      </c>
      <c r="W91" s="107" t="n">
        <f aca="false">'Price History'!B3+('Price History'!B158-'Price History'!B3)*0.571428571428571</f>
        <v>360.998571428572</v>
      </c>
      <c r="X91" s="107" t="n">
        <f aca="false">'Price History'!C3+('Price History'!C158-'Price History'!C3)*0.571428571428571</f>
        <v>121.802857142857</v>
      </c>
      <c r="Y91" s="107" t="n">
        <f aca="false">'Price History'!D3+('Price History'!D158-'Price History'!D3)*0.571428571428571</f>
        <v>1214.47714285714</v>
      </c>
      <c r="Z91" s="107" t="n">
        <f aca="false">'Price History'!E3+('Price History'!E158-'Price History'!E3)*0.571428571428571</f>
        <v>258.008571428571</v>
      </c>
      <c r="AA91" s="107" t="n">
        <f aca="false">'Price History'!F3+('Price History'!F158-'Price History'!F3)*0.571428571428571</f>
        <v>124.945714285714</v>
      </c>
      <c r="AB91" s="107" t="n">
        <f aca="false">'Price History'!G3+('Price History'!G158-'Price History'!G3)*0.571428571428571</f>
        <v>124.997142857143</v>
      </c>
      <c r="AC91" s="107" t="n">
        <f aca="false">'Price History'!H3+('Price History'!H158-'Price History'!H3)*0.571428571428571</f>
        <v>497.89</v>
      </c>
      <c r="AD91" s="107" t="n">
        <f aca="false">'Price History'!I3+('Price History'!I158-'Price History'!I3)*0.571428571428571</f>
        <v>132.221428571429</v>
      </c>
      <c r="AE91" s="107" t="n">
        <f aca="false">'Price History'!J3+('Price History'!J158-'Price History'!J3)*0.571428571428571</f>
        <v>135.567142857143</v>
      </c>
      <c r="AF91" s="107" t="n">
        <f aca="false">'Price History'!K3+('Price History'!K158-'Price History'!K3)*0.571428571428571</f>
        <v>76.9242857142857</v>
      </c>
      <c r="AG91" s="107" t="n">
        <f aca="false">'Price History'!L3+('Price History'!L158-'Price History'!L3)*0.571428571428571</f>
        <v>270.424285714286</v>
      </c>
      <c r="AH91" s="107" t="n">
        <f aca="false">'Price History'!M3+('Price History'!M158-'Price History'!M3)*0.571428571428571</f>
        <v>152.401428571428</v>
      </c>
      <c r="AI91" s="107" t="n">
        <f aca="false">'Price History'!N3+('Price History'!N158-'Price History'!N3)*0.571428571428571</f>
        <v>422.568571428571</v>
      </c>
      <c r="AJ91" s="107" t="n">
        <f aca="false">'Price History'!O3+('Price History'!O158-'Price History'!O3)*0.571428571428571</f>
        <v>107.095714285714</v>
      </c>
      <c r="AK91" s="107" t="n">
        <f aca="false">'Price History'!Q3+('Price History'!Q151-'Price History'!Q3)*0.571428571428571</f>
        <v>60.4742857142857</v>
      </c>
      <c r="AL91" s="107" t="n">
        <f aca="false">'Price History'!R3+('Price History'!R158-'Price History'!R3)*0.571428571428571</f>
        <v>53.78</v>
      </c>
      <c r="AM91" s="107" t="n">
        <f aca="false">'Price History'!S3+('Price History'!S158-'Price History'!S3)*0.571428571428571</f>
        <v>107.277142857143</v>
      </c>
      <c r="AN91" s="107" t="n">
        <f aca="false">'Price History'!T3+('Price History'!T158-'Price History'!T3)*0.571428571428571</f>
        <v>39.9557142857143</v>
      </c>
    </row>
    <row r="92" customFormat="false" ht="15" hidden="false" customHeight="true" outlineLevel="0" collapsed="false">
      <c r="A92" s="104" t="n">
        <f aca="false">IF('Price History'!A93="","",'Price History'!A93)</f>
        <v>45779</v>
      </c>
      <c r="B92" s="105" t="n">
        <f aca="false">IFERROR(IF(OR(NOT(ISNUMBER('Price History'!B93)),NOT(ISNUMBER('Price History'!B92)),'Price History'!B92=0),"",'Price History'!B93/'Price History'!B92-1),"")</f>
        <v>0.0357609050364407</v>
      </c>
      <c r="C92" s="105" t="n">
        <f aca="false">IFERROR(IF(OR(NOT(ISNUMBER('Price History'!C93)),NOT(ISNUMBER('Price History'!C92)),'Price History'!C92=0),"",'Price History'!C93/'Price History'!C92-1),"")</f>
        <v>0.168271082017713</v>
      </c>
      <c r="D92" s="105" t="n">
        <f aca="false">IFERROR(IF(OR(NOT(ISNUMBER('Price History'!D93)),NOT(ISNUMBER('Price History'!D92)),'Price History'!D92=0),"",'Price History'!D93/'Price History'!D92-1),"")</f>
        <v>0.019283299127379</v>
      </c>
      <c r="E92" s="105" t="n">
        <f aca="false">IFERROR(IF(OR(NOT(ISNUMBER('Price History'!E93)),NOT(ISNUMBER('Price History'!E92)),'Price History'!E92=0),"",'Price History'!E93/'Price History'!E92-1),"")</f>
        <v>0.0589152930164838</v>
      </c>
      <c r="F92" s="105" t="n">
        <f aca="false">IFERROR(IF(OR(NOT(ISNUMBER('Price History'!F93)),NOT(ISNUMBER('Price History'!F92)),'Price History'!F92=0),"",'Price History'!F93/'Price History'!F92-1),"")</f>
        <v>0.0369986819807946</v>
      </c>
      <c r="G92" s="105" t="n">
        <f aca="false">IFERROR(IF(OR(NOT(ISNUMBER('Price History'!G93)),NOT(ISNUMBER('Price History'!G92)),'Price History'!G92=0),"",'Price History'!G93/'Price History'!G92-1),"")</f>
        <v>0.00518283904405403</v>
      </c>
      <c r="H92" s="105" t="n">
        <f aca="false">IFERROR(IF(OR(NOT(ISNUMBER('Price History'!H93)),NOT(ISNUMBER('Price History'!H92)),'Price History'!H92=0),"",'Price History'!H93/'Price History'!H92-1),"")</f>
        <v>0.0117824016044121</v>
      </c>
      <c r="I92" s="105" t="n">
        <f aca="false">IFERROR(IF(OR(NOT(ISNUMBER('Price History'!I93)),NOT(ISNUMBER('Price History'!I92)),'Price History'!I92=0),"",'Price History'!I93/'Price History'!I92-1),"")</f>
        <v>0.0314386091343122</v>
      </c>
      <c r="J92" s="105" t="n">
        <f aca="false">IFERROR(IF(OR(NOT(ISNUMBER('Price History'!J93)),NOT(ISNUMBER('Price History'!J92)),'Price History'!J92=0),"",'Price History'!J93/'Price History'!J92-1),"")</f>
        <v>0.0310054773082942</v>
      </c>
      <c r="K92" s="105" t="n">
        <f aca="false">IFERROR(IF(OR(NOT(ISNUMBER('Price History'!K93)),NOT(ISNUMBER('Price History'!K92)),'Price History'!K92=0),"",'Price History'!K93/'Price History'!K92-1),"")</f>
        <v>0.101968434119525</v>
      </c>
      <c r="L92" s="105" t="n">
        <f aca="false">IFERROR(IF(OR(NOT(ISNUMBER('Price History'!L93)),NOT(ISNUMBER('Price History'!L92)),'Price History'!L92=0),"",'Price History'!L93/'Price History'!L92-1),"")</f>
        <v>0.0858873410054513</v>
      </c>
      <c r="M92" s="105" t="n">
        <f aca="false">IFERROR(IF(OR(NOT(ISNUMBER('Price History'!M93)),NOT(ISNUMBER('Price History'!M92)),'Price History'!M92=0),"",'Price History'!M93/'Price History'!M92-1),"")</f>
        <v>0.0925819436457733</v>
      </c>
      <c r="N92" s="105" t="n">
        <f aca="false">IFERROR(IF(OR(NOT(ISNUMBER('Price History'!N93)),NOT(ISNUMBER('Price History'!N92)),'Price History'!N92=0),"",'Price History'!N93/'Price History'!N92-1),"")</f>
        <v>0.0148023651385063</v>
      </c>
      <c r="O92" s="105" t="n">
        <f aca="false">IFERROR(IF(OR(NOT(ISNUMBER('Price History'!O93)),NOT(ISNUMBER('Price History'!O92)),'Price History'!O92=0),"",'Price History'!O93/'Price History'!O92-1),"")</f>
        <v>0.0339741264659654</v>
      </c>
      <c r="P92" s="105" t="str">
        <f aca="false">IFERROR(IF(OR(NOT(ISNUMBER('Price History'!P93)),NOT(ISNUMBER('Price History'!P92)),'Price History'!P92=0),"",'Price History'!P93/'Price History'!P92-1),"")</f>
        <v/>
      </c>
      <c r="Q92" s="105" t="n">
        <f aca="false">IFERROR(IF(OR(NOT(ISNUMBER('Price History'!Q93)),NOT(ISNUMBER('Price History'!Q92)),'Price History'!Q92=0),"",'Price History'!Q93/'Price History'!Q92-1),"")</f>
        <v>0.000808799741184085</v>
      </c>
      <c r="R92" s="105" t="n">
        <f aca="false">IFERROR(IF(OR(NOT(ISNUMBER('Price History'!R93)),NOT(ISNUMBER('Price History'!R92)),'Price History'!R92=0),"",'Price History'!R93/'Price History'!R92-1),"")</f>
        <v>0.00782932080641996</v>
      </c>
      <c r="S92" s="105" t="n">
        <f aca="false">IFERROR(IF(OR(NOT(ISNUMBER('Price History'!S93)),NOT(ISNUMBER('Price History'!S92)),'Price History'!S92=0),"",'Price History'!S93/'Price History'!S92-1),"")</f>
        <v>0.0402042118698149</v>
      </c>
      <c r="T92" s="105" t="n">
        <f aca="false">IFERROR(IF(OR(NOT(ISNUMBER('Price History'!T93)),NOT(ISNUMBER('Price History'!T92)),'Price History'!T92=0),"",'Price History'!T93/'Price History'!T92-1),"")</f>
        <v>0.0191897654584223</v>
      </c>
      <c r="U92" s="105" t="str">
        <f aca="false">IFERROR(IF(OR(NOT(ISNUMBER('Price History'!U93)),NOT(ISNUMBER('Price History'!U92)),'Price History'!U92=0),"",'Price History'!U93/'Price History'!U92-1),"")</f>
        <v/>
      </c>
      <c r="V92" s="106" t="n">
        <f aca="false">IFERROR(IF(OR(NOT(ISNUMBER('Price History'!V93)),NOT(ISNUMBER('Price History'!V92)),'Price History'!V92=0),"",'Price History'!V93/'Price History'!V92-1),"")</f>
        <v>0.0370873317641378</v>
      </c>
      <c r="W92" s="107" t="n">
        <f aca="false">'Price History'!B3+('Price History'!B158-'Price History'!B3)*0.577922077922078</f>
        <v>359.322987012987</v>
      </c>
      <c r="X92" s="107" t="n">
        <f aca="false">'Price History'!C3+('Price History'!C158-'Price History'!C3)*0.577922077922078</f>
        <v>122.689935064935</v>
      </c>
      <c r="Y92" s="107" t="n">
        <f aca="false">'Price History'!D3+('Price History'!D158-'Price History'!D3)*0.577922077922078</f>
        <v>1220.75779220779</v>
      </c>
      <c r="Z92" s="107" t="n">
        <f aca="false">'Price History'!E3+('Price History'!E158-'Price History'!E3)*0.577922077922078</f>
        <v>259.997532467532</v>
      </c>
      <c r="AA92" s="107" t="n">
        <f aca="false">'Price History'!F3+('Price History'!F158-'Price History'!F3)*0.577922077922078</f>
        <v>125.944415584416</v>
      </c>
      <c r="AB92" s="107" t="n">
        <f aca="false">'Price History'!G3+('Price History'!G158-'Price History'!G3)*0.577922077922078</f>
        <v>125.873246753247</v>
      </c>
      <c r="AC92" s="107" t="n">
        <f aca="false">'Price History'!H3+('Price History'!H158-'Price History'!H3)*0.577922077922078</f>
        <v>502.816363636364</v>
      </c>
      <c r="AD92" s="107" t="n">
        <f aca="false">'Price History'!I3+('Price History'!I158-'Price History'!I3)*0.577922077922078</f>
        <v>133.25974025974</v>
      </c>
      <c r="AE92" s="107" t="n">
        <f aca="false">'Price History'!J3+('Price History'!J158-'Price History'!J3)*0.577922077922078</f>
        <v>135.704155844156</v>
      </c>
      <c r="AF92" s="107" t="n">
        <f aca="false">'Price History'!K3+('Price History'!K158-'Price History'!K3)*0.577922077922078</f>
        <v>77.6233116883117</v>
      </c>
      <c r="AG92" s="107" t="n">
        <f aca="false">'Price History'!L3+('Price History'!L158-'Price History'!L3)*0.577922077922078</f>
        <v>272.451948051948</v>
      </c>
      <c r="AH92" s="107" t="n">
        <f aca="false">'Price History'!M3+('Price History'!M158-'Price History'!M3)*0.577922077922078</f>
        <v>153.752467532468</v>
      </c>
      <c r="AI92" s="107" t="n">
        <f aca="false">'Price History'!N3+('Price History'!N158-'Price History'!N3)*0.577922077922078</f>
        <v>423.394805194805</v>
      </c>
      <c r="AJ92" s="107" t="n">
        <f aca="false">'Price History'!O3+('Price History'!O158-'Price History'!O3)*0.577922077922078</f>
        <v>107.371233766234</v>
      </c>
      <c r="AK92" s="107" t="n">
        <f aca="false">'Price History'!Q3+('Price History'!Q151-'Price History'!Q3)*0.577922077922078</f>
        <v>60.5951298701299</v>
      </c>
      <c r="AL92" s="107" t="n">
        <f aca="false">'Price History'!R3+('Price History'!R158-'Price History'!R3)*0.577922077922078</f>
        <v>53.8477272727273</v>
      </c>
      <c r="AM92" s="107" t="n">
        <f aca="false">'Price History'!S3+('Price History'!S158-'Price History'!S3)*0.577922077922078</f>
        <v>107.830974025974</v>
      </c>
      <c r="AN92" s="107" t="n">
        <f aca="false">'Price History'!T3+('Price History'!T158-'Price History'!T3)*0.577922077922078</f>
        <v>40.103961038961</v>
      </c>
    </row>
    <row r="93" customFormat="false" ht="15" hidden="false" customHeight="true" outlineLevel="0" collapsed="false">
      <c r="A93" s="104" t="n">
        <f aca="false">IF('Price History'!A94="","",'Price History'!A94)</f>
        <v>45786</v>
      </c>
      <c r="B93" s="105" t="n">
        <f aca="false">IFERROR(IF(OR(NOT(ISNUMBER('Price History'!B94)),NOT(ISNUMBER('Price History'!B93)),'Price History'!B93=0),"",'Price History'!B94/'Price History'!B93-1),"")</f>
        <v>0.00632761834746765</v>
      </c>
      <c r="C93" s="105" t="n">
        <f aca="false">IFERROR(IF(OR(NOT(ISNUMBER('Price History'!C94)),NOT(ISNUMBER('Price History'!C93)),'Price History'!C93=0),"",'Price History'!C94/'Price History'!C93-1),"")</f>
        <v>-0.049439683586025</v>
      </c>
      <c r="D93" s="105" t="n">
        <f aca="false">IFERROR(IF(OR(NOT(ISNUMBER('Price History'!D94)),NOT(ISNUMBER('Price History'!D93)),'Price History'!D93=0),"",'Price History'!D94/'Price History'!D93-1),"")</f>
        <v>0.0230034910839743</v>
      </c>
      <c r="E93" s="105" t="n">
        <f aca="false">IFERROR(IF(OR(NOT(ISNUMBER('Price History'!E94)),NOT(ISNUMBER('Price History'!E93)),'Price History'!E93=0),"",'Price History'!E94/'Price History'!E93-1),"")</f>
        <v>0.0223924572775487</v>
      </c>
      <c r="F93" s="105" t="n">
        <f aca="false">IFERROR(IF(OR(NOT(ISNUMBER('Price History'!F94)),NOT(ISNUMBER('Price History'!F93)),'Price History'!F93=0),"",'Price History'!F94/'Price History'!F93-1),"")</f>
        <v>-0.0681797548797095</v>
      </c>
      <c r="G93" s="105" t="n">
        <f aca="false">IFERROR(IF(OR(NOT(ISNUMBER('Price History'!G94)),NOT(ISNUMBER('Price History'!G93)),'Price History'!G93=0),"",'Price History'!G94/'Price History'!G93-1),"")</f>
        <v>0.00429676310512761</v>
      </c>
      <c r="H93" s="105" t="n">
        <f aca="false">IFERROR(IF(OR(NOT(ISNUMBER('Price History'!H94)),NOT(ISNUMBER('Price History'!H93)),'Price History'!H93=0),"",'Price History'!H94/'Price History'!H93-1),"")</f>
        <v>0.0636769078295343</v>
      </c>
      <c r="I93" s="105" t="n">
        <f aca="false">IFERROR(IF(OR(NOT(ISNUMBER('Price History'!I94)),NOT(ISNUMBER('Price History'!I93)),'Price History'!I93=0),"",'Price History'!I94/'Price History'!I93-1),"")</f>
        <v>0.0187772925764194</v>
      </c>
      <c r="J93" s="105" t="n">
        <f aca="false">IFERROR(IF(OR(NOT(ISNUMBER('Price History'!J94)),NOT(ISNUMBER('Price History'!J93)),'Price History'!J93=0),"",'Price History'!J94/'Price History'!J93-1),"")</f>
        <v>0.0142301489422256</v>
      </c>
      <c r="K93" s="105" t="n">
        <f aca="false">IFERROR(IF(OR(NOT(ISNUMBER('Price History'!K94)),NOT(ISNUMBER('Price History'!K93)),'Price History'!K93=0),"",'Price History'!K94/'Price History'!K93-1),"")</f>
        <v>-0.0561635017701964</v>
      </c>
      <c r="L93" s="105" t="n">
        <f aca="false">IFERROR(IF(OR(NOT(ISNUMBER('Price History'!L94)),NOT(ISNUMBER('Price History'!L93)),'Price History'!L93=0),"",'Price History'!L94/'Price History'!L93-1),"")</f>
        <v>-0.0153949129852744</v>
      </c>
      <c r="M93" s="105" t="n">
        <f aca="false">IFERROR(IF(OR(NOT(ISNUMBER('Price History'!M94)),NOT(ISNUMBER('Price History'!M93)),'Price History'!M93=0),"",'Price History'!M94/'Price History'!M93-1),"")</f>
        <v>-0.00989473684210529</v>
      </c>
      <c r="N93" s="105" t="n">
        <f aca="false">IFERROR(IF(OR(NOT(ISNUMBER('Price History'!N94)),NOT(ISNUMBER('Price History'!N93)),'Price History'!N93=0),"",'Price History'!N94/'Price History'!N93-1),"")</f>
        <v>-0.151970467923775</v>
      </c>
      <c r="O93" s="105" t="n">
        <f aca="false">IFERROR(IF(OR(NOT(ISNUMBER('Price History'!O94)),NOT(ISNUMBER('Price History'!O93)),'Price History'!O93=0),"",'Price History'!O94/'Price History'!O93-1),"")</f>
        <v>0.0115762394761461</v>
      </c>
      <c r="P93" s="105" t="str">
        <f aca="false">IFERROR(IF(OR(NOT(ISNUMBER('Price History'!P94)),NOT(ISNUMBER('Price History'!P93)),'Price History'!P93=0),"",'Price History'!P94/'Price History'!P93-1),"")</f>
        <v/>
      </c>
      <c r="Q93" s="105" t="n">
        <f aca="false">IFERROR(IF(OR(NOT(ISNUMBER('Price History'!Q94)),NOT(ISNUMBER('Price History'!Q93)),'Price History'!Q93=0),"",'Price History'!Q94/'Price History'!Q93-1),"")</f>
        <v>0.0108291579117505</v>
      </c>
      <c r="R93" s="105" t="n">
        <f aca="false">IFERROR(IF(OR(NOT(ISNUMBER('Price History'!R94)),NOT(ISNUMBER('Price History'!R93)),'Price History'!R93=0),"",'Price History'!R94/'Price History'!R93-1),"")</f>
        <v>0.00271897455816661</v>
      </c>
      <c r="S93" s="105" t="n">
        <f aca="false">IFERROR(IF(OR(NOT(ISNUMBER('Price History'!S94)),NOT(ISNUMBER('Price History'!S93)),'Price History'!S93=0),"",'Price History'!S94/'Price History'!S93-1),"")</f>
        <v>0.00695296523517386</v>
      </c>
      <c r="T93" s="105" t="n">
        <f aca="false">IFERROR(IF(OR(NOT(ISNUMBER('Price History'!T94)),NOT(ISNUMBER('Price History'!T93)),'Price History'!T93=0),"",'Price History'!T94/'Price History'!T93-1),"")</f>
        <v>-0.00179318589360433</v>
      </c>
      <c r="U93" s="105" t="str">
        <f aca="false">IFERROR(IF(OR(NOT(ISNUMBER('Price History'!U94)),NOT(ISNUMBER('Price History'!U93)),'Price History'!U93=0),"",'Price History'!U94/'Price History'!U93-1),"")</f>
        <v/>
      </c>
      <c r="V93" s="106" t="n">
        <f aca="false">IFERROR(IF(OR(NOT(ISNUMBER('Price History'!V94)),NOT(ISNUMBER('Price History'!V93)),'Price History'!V93=0),"",'Price History'!V94/'Price History'!V93-1),"")</f>
        <v>0.0141996682864376</v>
      </c>
      <c r="W93" s="107" t="n">
        <f aca="false">'Price History'!B3+('Price History'!B158-'Price History'!B3)*0.584415584415584</f>
        <v>357.647402597403</v>
      </c>
      <c r="X93" s="107" t="n">
        <f aca="false">'Price History'!C3+('Price History'!C158-'Price History'!C3)*0.584415584415584</f>
        <v>123.577012987013</v>
      </c>
      <c r="Y93" s="107" t="n">
        <f aca="false">'Price History'!D3+('Price History'!D158-'Price History'!D3)*0.584415584415584</f>
        <v>1227.03844155844</v>
      </c>
      <c r="Z93" s="107" t="n">
        <f aca="false">'Price History'!E3+('Price History'!E158-'Price History'!E3)*0.584415584415584</f>
        <v>261.986493506493</v>
      </c>
      <c r="AA93" s="107" t="n">
        <f aca="false">'Price History'!F3+('Price History'!F158-'Price History'!F3)*0.584415584415584</f>
        <v>126.943116883117</v>
      </c>
      <c r="AB93" s="107" t="n">
        <f aca="false">'Price History'!G3+('Price History'!G158-'Price History'!G3)*0.584415584415584</f>
        <v>126.749350649351</v>
      </c>
      <c r="AC93" s="107" t="n">
        <f aca="false">'Price History'!H3+('Price History'!H158-'Price History'!H3)*0.584415584415584</f>
        <v>507.742727272727</v>
      </c>
      <c r="AD93" s="107" t="n">
        <f aca="false">'Price History'!I3+('Price History'!I158-'Price History'!I3)*0.584415584415584</f>
        <v>134.298051948052</v>
      </c>
      <c r="AE93" s="107" t="n">
        <f aca="false">'Price History'!J3+('Price History'!J158-'Price History'!J3)*0.584415584415584</f>
        <v>135.841168831169</v>
      </c>
      <c r="AF93" s="107" t="n">
        <f aca="false">'Price History'!K3+('Price History'!K158-'Price History'!K3)*0.584415584415584</f>
        <v>78.3223376623376</v>
      </c>
      <c r="AG93" s="107" t="n">
        <f aca="false">'Price History'!L3+('Price History'!L158-'Price History'!L3)*0.584415584415584</f>
        <v>274.47961038961</v>
      </c>
      <c r="AH93" s="107" t="n">
        <f aca="false">'Price History'!M3+('Price History'!M158-'Price History'!M3)*0.584415584415584</f>
        <v>155.103506493506</v>
      </c>
      <c r="AI93" s="107" t="n">
        <f aca="false">'Price History'!N3+('Price History'!N158-'Price History'!N3)*0.584415584415584</f>
        <v>424.221038961039</v>
      </c>
      <c r="AJ93" s="107" t="n">
        <f aca="false">'Price History'!O3+('Price History'!O158-'Price History'!O3)*0.584415584415584</f>
        <v>107.646753246753</v>
      </c>
      <c r="AK93" s="107" t="n">
        <f aca="false">'Price History'!Q3+('Price History'!Q151-'Price History'!Q3)*0.584415584415584</f>
        <v>60.715974025974</v>
      </c>
      <c r="AL93" s="107" t="n">
        <f aca="false">'Price History'!R3+('Price History'!R158-'Price History'!R3)*0.584415584415584</f>
        <v>53.9154545454545</v>
      </c>
      <c r="AM93" s="107" t="n">
        <f aca="false">'Price History'!S3+('Price History'!S158-'Price History'!S3)*0.584415584415584</f>
        <v>108.384805194805</v>
      </c>
      <c r="AN93" s="107" t="n">
        <f aca="false">'Price History'!T3+('Price History'!T158-'Price History'!T3)*0.584415584415584</f>
        <v>40.2522077922078</v>
      </c>
    </row>
    <row r="94" customFormat="false" ht="15" hidden="false" customHeight="true" outlineLevel="0" collapsed="false">
      <c r="A94" s="104" t="n">
        <f aca="false">IF('Price History'!A95="","",'Price History'!A95)</f>
        <v>45793</v>
      </c>
      <c r="B94" s="105" t="n">
        <f aca="false">IFERROR(IF(OR(NOT(ISNUMBER('Price History'!B95)),NOT(ISNUMBER('Price History'!B94)),'Price History'!B94=0),"",'Price History'!B95/'Price History'!B94-1),"")</f>
        <v>0.088316635357963</v>
      </c>
      <c r="C94" s="105" t="n">
        <f aca="false">IFERROR(IF(OR(NOT(ISNUMBER('Price History'!C95)),NOT(ISNUMBER('Price History'!C94)),'Price History'!C94=0),"",'Price History'!C95/'Price History'!C94-1),"")</f>
        <v>0.114424410540916</v>
      </c>
      <c r="D94" s="105" t="n">
        <f aca="false">IFERROR(IF(OR(NOT(ISNUMBER('Price History'!D95)),NOT(ISNUMBER('Price History'!D94)),'Price History'!D94=0),"",'Price History'!D95/'Price History'!D94-1),"")</f>
        <v>0.0593166338624489</v>
      </c>
      <c r="E94" s="105" t="n">
        <f aca="false">IFERROR(IF(OR(NOT(ISNUMBER('Price History'!E95)),NOT(ISNUMBER('Price History'!E94)),'Price History'!E94=0),"",'Price History'!E95/'Price History'!E94-1),"")</f>
        <v>0.098030739673391</v>
      </c>
      <c r="F94" s="105" t="n">
        <f aca="false">IFERROR(IF(OR(NOT(ISNUMBER('Price History'!F95)),NOT(ISNUMBER('Price History'!F94)),'Price History'!F94=0),"",'Price History'!F95/'Price History'!F94-1),"")</f>
        <v>0.0699532346063911</v>
      </c>
      <c r="G94" s="105" t="n">
        <f aca="false">IFERROR(IF(OR(NOT(ISNUMBER('Price History'!G95)),NOT(ISNUMBER('Price History'!G94)),'Price History'!G94=0),"",'Price History'!G95/'Price History'!G94-1),"")</f>
        <v>0.128351397604107</v>
      </c>
      <c r="H94" s="105" t="n">
        <f aca="false">IFERROR(IF(OR(NOT(ISNUMBER('Price History'!H95)),NOT(ISNUMBER('Price History'!H94)),'Price History'!H94=0),"",'Price History'!H95/'Price History'!H94-1),"")</f>
        <v>0.141392965292336</v>
      </c>
      <c r="I94" s="105" t="n">
        <f aca="false">IFERROR(IF(OR(NOT(ISNUMBER('Price History'!I95)),NOT(ISNUMBER('Price History'!I94)),'Price History'!I94=0),"",'Price History'!I95/'Price History'!I94-1),"")</f>
        <v>0.160737248178311</v>
      </c>
      <c r="J94" s="105" t="n">
        <f aca="false">IFERROR(IF(OR(NOT(ISNUMBER('Price History'!J95)),NOT(ISNUMBER('Price History'!J94)),'Price History'!J94=0),"",'Price History'!J95/'Price History'!J94-1),"")</f>
        <v>0.0340473295295107</v>
      </c>
      <c r="K94" s="105" t="n">
        <f aca="false">IFERROR(IF(OR(NOT(ISNUMBER('Price History'!K95)),NOT(ISNUMBER('Price History'!K94)),'Price History'!K94=0),"",'Price History'!K95/'Price History'!K94-1),"")</f>
        <v>0.104177323103154</v>
      </c>
      <c r="L94" s="105" t="n">
        <f aca="false">IFERROR(IF(OR(NOT(ISNUMBER('Price History'!L95)),NOT(ISNUMBER('Price History'!L94)),'Price History'!L94=0),"",'Price History'!L95/'Price History'!L94-1),"")</f>
        <v>0.100271923861319</v>
      </c>
      <c r="M94" s="105" t="n">
        <f aca="false">IFERROR(IF(OR(NOT(ISNUMBER('Price History'!M95)),NOT(ISNUMBER('Price History'!M94)),'Price History'!M94=0),"",'Price History'!M95/'Price History'!M94-1),"")</f>
        <v>0.127365511375718</v>
      </c>
      <c r="N94" s="105" t="n">
        <f aca="false">IFERROR(IF(OR(NOT(ISNUMBER('Price History'!N95)),NOT(ISNUMBER('Price History'!N94)),'Price History'!N94=0),"",'Price History'!N95/'Price History'!N94-1),"")</f>
        <v>0.0321419327513588</v>
      </c>
      <c r="O94" s="105" t="n">
        <f aca="false">IFERROR(IF(OR(NOT(ISNUMBER('Price History'!O95)),NOT(ISNUMBER('Price History'!O94)),'Price History'!O94=0),"",'Price History'!O95/'Price History'!O94-1),"")</f>
        <v>0.0488960813778754</v>
      </c>
      <c r="P94" s="105" t="str">
        <f aca="false">IFERROR(IF(OR(NOT(ISNUMBER('Price History'!P95)),NOT(ISNUMBER('Price History'!P94)),'Price History'!P94=0),"",'Price History'!P95/'Price History'!P94-1),"")</f>
        <v/>
      </c>
      <c r="Q94" s="105" t="n">
        <f aca="false">IFERROR(IF(OR(NOT(ISNUMBER('Price History'!Q95)),NOT(ISNUMBER('Price History'!Q94)),'Price History'!Q94=0),"",'Price History'!Q95/'Price History'!Q94-1),"")</f>
        <v>0.00655580428525759</v>
      </c>
      <c r="R94" s="105" t="n">
        <f aca="false">IFERROR(IF(OR(NOT(ISNUMBER('Price History'!R95)),NOT(ISNUMBER('Price History'!R94)),'Price History'!R94=0),"",'Price History'!R95/'Price History'!R94-1),"")</f>
        <v>0.0172380398992833</v>
      </c>
      <c r="S94" s="105" t="n">
        <f aca="false">IFERROR(IF(OR(NOT(ISNUMBER('Price History'!S95)),NOT(ISNUMBER('Price History'!S94)),'Price History'!S94=0),"",'Price History'!S95/'Price History'!S94-1),"")</f>
        <v>0.0682372055239642</v>
      </c>
      <c r="T94" s="105" t="n">
        <f aca="false">IFERROR(IF(OR(NOT(ISNUMBER('Price History'!T95)),NOT(ISNUMBER('Price History'!T94)),'Price History'!T94=0),"",'Price History'!T95/'Price History'!T94-1),"")</f>
        <v>0.0431137724550901</v>
      </c>
      <c r="U94" s="105" t="str">
        <f aca="false">IFERROR(IF(OR(NOT(ISNUMBER('Price History'!U95)),NOT(ISNUMBER('Price History'!U94)),'Price History'!U94=0),"",'Price History'!U95/'Price History'!U94-1),"")</f>
        <v/>
      </c>
      <c r="V94" s="106" t="n">
        <f aca="false">IFERROR(IF(OR(NOT(ISNUMBER('Price History'!V95)),NOT(ISNUMBER('Price History'!V94)),'Price History'!V94=0),"",'Price History'!V95/'Price History'!V94-1),"")</f>
        <v>0.0374121359919666</v>
      </c>
      <c r="W94" s="107" t="n">
        <f aca="false">'Price History'!B3+('Price History'!B158-'Price History'!B3)*0.590909090909091</f>
        <v>355.971818181818</v>
      </c>
      <c r="X94" s="107" t="n">
        <f aca="false">'Price History'!C3+('Price History'!C158-'Price History'!C3)*0.590909090909091</f>
        <v>124.464090909091</v>
      </c>
      <c r="Y94" s="107" t="n">
        <f aca="false">'Price History'!D3+('Price History'!D158-'Price History'!D3)*0.590909090909091</f>
        <v>1233.31909090909</v>
      </c>
      <c r="Z94" s="107" t="n">
        <f aca="false">'Price History'!E3+('Price History'!E158-'Price History'!E3)*0.590909090909091</f>
        <v>263.975454545455</v>
      </c>
      <c r="AA94" s="107" t="n">
        <f aca="false">'Price History'!F3+('Price History'!F158-'Price History'!F3)*0.590909090909091</f>
        <v>127.941818181818</v>
      </c>
      <c r="AB94" s="107" t="n">
        <f aca="false">'Price History'!G3+('Price History'!G158-'Price History'!G3)*0.590909090909091</f>
        <v>127.625454545455</v>
      </c>
      <c r="AC94" s="107" t="n">
        <f aca="false">'Price History'!H3+('Price History'!H158-'Price History'!H3)*0.590909090909091</f>
        <v>512.669090909091</v>
      </c>
      <c r="AD94" s="107" t="n">
        <f aca="false">'Price History'!I3+('Price History'!I158-'Price History'!I3)*0.590909090909091</f>
        <v>135.336363636364</v>
      </c>
      <c r="AE94" s="107" t="n">
        <f aca="false">'Price History'!J3+('Price History'!J158-'Price History'!J3)*0.590909090909091</f>
        <v>135.978181818182</v>
      </c>
      <c r="AF94" s="107" t="n">
        <f aca="false">'Price History'!K3+('Price History'!K158-'Price History'!K3)*0.590909090909091</f>
        <v>79.0213636363637</v>
      </c>
      <c r="AG94" s="107" t="n">
        <f aca="false">'Price History'!L3+('Price History'!L158-'Price History'!L3)*0.590909090909091</f>
        <v>276.507272727273</v>
      </c>
      <c r="AH94" s="107" t="n">
        <f aca="false">'Price History'!M3+('Price History'!M158-'Price History'!M3)*0.590909090909091</f>
        <v>156.454545454546</v>
      </c>
      <c r="AI94" s="107" t="n">
        <f aca="false">'Price History'!N3+('Price History'!N158-'Price History'!N3)*0.590909090909091</f>
        <v>425.047272727273</v>
      </c>
      <c r="AJ94" s="107" t="n">
        <f aca="false">'Price History'!O3+('Price History'!O158-'Price History'!O3)*0.590909090909091</f>
        <v>107.922272727273</v>
      </c>
      <c r="AK94" s="107" t="n">
        <f aca="false">'Price History'!Q3+('Price History'!Q151-'Price History'!Q3)*0.590909090909091</f>
        <v>60.8368181818182</v>
      </c>
      <c r="AL94" s="107" t="n">
        <f aca="false">'Price History'!R3+('Price History'!R158-'Price History'!R3)*0.590909090909091</f>
        <v>53.9831818181818</v>
      </c>
      <c r="AM94" s="107" t="n">
        <f aca="false">'Price History'!S3+('Price History'!S158-'Price History'!S3)*0.590909090909091</f>
        <v>108.938636363636</v>
      </c>
      <c r="AN94" s="107" t="n">
        <f aca="false">'Price History'!T3+('Price History'!T158-'Price History'!T3)*0.590909090909091</f>
        <v>40.4004545454546</v>
      </c>
    </row>
    <row r="95" customFormat="false" ht="15" hidden="false" customHeight="true" outlineLevel="0" collapsed="false">
      <c r="A95" s="104" t="n">
        <f aca="false">IF('Price History'!A96="","",'Price History'!A96)</f>
        <v>45800</v>
      </c>
      <c r="B95" s="105" t="n">
        <f aca="false">IFERROR(IF(OR(NOT(ISNUMBER('Price History'!B96)),NOT(ISNUMBER('Price History'!B95)),'Price History'!B95=0),"",'Price History'!B96/'Price History'!B95-1),"")</f>
        <v>-0.0226308345120226</v>
      </c>
      <c r="C95" s="105" t="n">
        <f aca="false">IFERROR(IF(OR(NOT(ISNUMBER('Price History'!C96)),NOT(ISNUMBER('Price History'!C95)),'Price History'!C95=0),"",'Price History'!C96/'Price History'!C95-1),"")</f>
        <v>-0.0541381456129434</v>
      </c>
      <c r="D95" s="105" t="n">
        <f aca="false">IFERROR(IF(OR(NOT(ISNUMBER('Price History'!D96)),NOT(ISNUMBER('Price History'!D95)),'Price History'!D95=0),"",'Price History'!D96/'Price History'!D95-1),"")</f>
        <v>-0.0208661943590429</v>
      </c>
      <c r="E95" s="105" t="n">
        <f aca="false">IFERROR(IF(OR(NOT(ISNUMBER('Price History'!E96)),NOT(ISNUMBER('Price History'!E95)),'Price History'!E95=0),"",'Price History'!E96/'Price History'!E95-1),"")</f>
        <v>0.000481168802764387</v>
      </c>
      <c r="F95" s="105" t="n">
        <f aca="false">IFERROR(IF(OR(NOT(ISNUMBER('Price History'!F96)),NOT(ISNUMBER('Price History'!F95)),'Price History'!F95=0),"",'Price History'!F96/'Price History'!F95-1),"")</f>
        <v>0.0371517027863779</v>
      </c>
      <c r="G95" s="105" t="n">
        <f aca="false">IFERROR(IF(OR(NOT(ISNUMBER('Price History'!G96)),NOT(ISNUMBER('Price History'!G95)),'Price History'!G95=0),"",'Price History'!G96/'Price History'!G95-1),"")</f>
        <v>-0.0429726996966634</v>
      </c>
      <c r="H95" s="105" t="n">
        <f aca="false">IFERROR(IF(OR(NOT(ISNUMBER('Price History'!H96)),NOT(ISNUMBER('Price History'!H95)),'Price History'!H95=0),"",'Price History'!H96/'Price History'!H95-1),"")</f>
        <v>-0.0472448979591836</v>
      </c>
      <c r="I95" s="105" t="n">
        <f aca="false">IFERROR(IF(OR(NOT(ISNUMBER('Price History'!I96)),NOT(ISNUMBER('Price History'!I95)),'Price History'!I95=0),"",'Price History'!I96/'Price History'!I95-1),"")</f>
        <v>-0.0303545051698672</v>
      </c>
      <c r="J95" s="105" t="n">
        <f aca="false">IFERROR(IF(OR(NOT(ISNUMBER('Price History'!J96)),NOT(ISNUMBER('Price History'!J95)),'Price History'!J95=0),"",'Price History'!J96/'Price History'!J95-1),"")</f>
        <v>-0.0588873812754409</v>
      </c>
      <c r="K95" s="105" t="n">
        <f aca="false">IFERROR(IF(OR(NOT(ISNUMBER('Price History'!K96)),NOT(ISNUMBER('Price History'!K95)),'Price History'!K95=0),"",'Price History'!K96/'Price History'!K95-1),"")</f>
        <v>-0.0479462631253861</v>
      </c>
      <c r="L95" s="105" t="n">
        <f aca="false">IFERROR(IF(OR(NOT(ISNUMBER('Price History'!L96)),NOT(ISNUMBER('Price History'!L95)),'Price History'!L95=0),"",'Price History'!L96/'Price History'!L95-1),"")</f>
        <v>-0.0115333127381321</v>
      </c>
      <c r="M95" s="105" t="n">
        <f aca="false">IFERROR(IF(OR(NOT(ISNUMBER('Price History'!M96)),NOT(ISNUMBER('Price History'!M95)),'Price History'!M95=0),"",'Price History'!M96/'Price History'!M95-1),"")</f>
        <v>-0.0179177668804226</v>
      </c>
      <c r="N95" s="105" t="n">
        <f aca="false">IFERROR(IF(OR(NOT(ISNUMBER('Price History'!N96)),NOT(ISNUMBER('Price History'!N95)),'Price History'!N95=0),"",'Price History'!N96/'Price History'!N95-1),"")</f>
        <v>-0.00604126296591812</v>
      </c>
      <c r="O95" s="105" t="n">
        <f aca="false">IFERROR(IF(OR(NOT(ISNUMBER('Price History'!O96)),NOT(ISNUMBER('Price History'!O95)),'Price History'!O95=0),"",'Price History'!O96/'Price History'!O95-1),"")</f>
        <v>-0.0400044081992506</v>
      </c>
      <c r="P95" s="105" t="str">
        <f aca="false">IFERROR(IF(OR(NOT(ISNUMBER('Price History'!P96)),NOT(ISNUMBER('Price History'!P95)),'Price History'!P95=0),"",'Price History'!P96/'Price History'!P95-1),"")</f>
        <v/>
      </c>
      <c r="Q95" s="105" t="n">
        <f aca="false">IFERROR(IF(OR(NOT(ISNUMBER('Price History'!Q96)),NOT(ISNUMBER('Price History'!Q95)),'Price History'!Q95=0),"",'Price History'!Q96/'Price History'!Q95-1),"")</f>
        <v>0.0015885623510723</v>
      </c>
      <c r="R95" s="105" t="n">
        <f aca="false">IFERROR(IF(OR(NOT(ISNUMBER('Price History'!R96)),NOT(ISNUMBER('Price History'!R95)),'Price History'!R95=0),"",'Price History'!R96/'Price History'!R95-1),"")</f>
        <v>-0.00913937547600918</v>
      </c>
      <c r="S95" s="105" t="n">
        <f aca="false">IFERROR(IF(OR(NOT(ISNUMBER('Price History'!S96)),NOT(ISNUMBER('Price History'!S95)),'Price History'!S95=0),"",'Price History'!S96/'Price History'!S95-1),"")</f>
        <v>-0.0223384030418252</v>
      </c>
      <c r="T95" s="105" t="n">
        <f aca="false">IFERROR(IF(OR(NOT(ISNUMBER('Price History'!T96)),NOT(ISNUMBER('Price History'!T95)),'Price History'!T95=0),"",'Price History'!T96/'Price History'!T95-1),"")</f>
        <v>-0.0347301951779564</v>
      </c>
      <c r="U95" s="105" t="str">
        <f aca="false">IFERROR(IF(OR(NOT(ISNUMBER('Price History'!U96)),NOT(ISNUMBER('Price History'!U95)),'Price History'!U95=0),"",'Price History'!U96/'Price History'!U95-1),"")</f>
        <v/>
      </c>
      <c r="V95" s="106" t="n">
        <f aca="false">IFERROR(IF(OR(NOT(ISNUMBER('Price History'!V96)),NOT(ISNUMBER('Price History'!V95)),'Price History'!V95=0),"",'Price History'!V96/'Price History'!V95-1),"")</f>
        <v>-0.0317210099836831</v>
      </c>
      <c r="W95" s="107" t="n">
        <f aca="false">'Price History'!B3+('Price History'!B158-'Price History'!B3)*0.597402597402597</f>
        <v>354.296233766234</v>
      </c>
      <c r="X95" s="107" t="n">
        <f aca="false">'Price History'!C3+('Price History'!C158-'Price History'!C3)*0.597402597402597</f>
        <v>125.351168831169</v>
      </c>
      <c r="Y95" s="107" t="n">
        <f aca="false">'Price History'!D3+('Price History'!D158-'Price History'!D3)*0.597402597402597</f>
        <v>1239.59974025974</v>
      </c>
      <c r="Z95" s="107" t="n">
        <f aca="false">'Price History'!E3+('Price History'!E158-'Price History'!E3)*0.597402597402597</f>
        <v>265.964415584415</v>
      </c>
      <c r="AA95" s="107" t="n">
        <f aca="false">'Price History'!F3+('Price History'!F158-'Price History'!F3)*0.597402597402597</f>
        <v>128.940519480519</v>
      </c>
      <c r="AB95" s="107" t="n">
        <f aca="false">'Price History'!G3+('Price History'!G158-'Price History'!G3)*0.597402597402597</f>
        <v>128.501558441558</v>
      </c>
      <c r="AC95" s="107" t="n">
        <f aca="false">'Price History'!H3+('Price History'!H158-'Price History'!H3)*0.597402597402597</f>
        <v>517.595454545454</v>
      </c>
      <c r="AD95" s="107" t="n">
        <f aca="false">'Price History'!I3+('Price History'!I158-'Price History'!I3)*0.597402597402597</f>
        <v>136.374675324675</v>
      </c>
      <c r="AE95" s="107" t="n">
        <f aca="false">'Price History'!J3+('Price History'!J158-'Price History'!J3)*0.597402597402597</f>
        <v>136.115194805195</v>
      </c>
      <c r="AF95" s="107" t="n">
        <f aca="false">'Price History'!K3+('Price History'!K158-'Price History'!K3)*0.597402597402597</f>
        <v>79.7203896103896</v>
      </c>
      <c r="AG95" s="107" t="n">
        <f aca="false">'Price History'!L3+('Price History'!L158-'Price History'!L3)*0.597402597402597</f>
        <v>278.534935064935</v>
      </c>
      <c r="AH95" s="107" t="n">
        <f aca="false">'Price History'!M3+('Price History'!M158-'Price History'!M3)*0.597402597402597</f>
        <v>157.805584415584</v>
      </c>
      <c r="AI95" s="107" t="n">
        <f aca="false">'Price History'!N3+('Price History'!N158-'Price History'!N3)*0.597402597402597</f>
        <v>425.873506493506</v>
      </c>
      <c r="AJ95" s="107" t="n">
        <f aca="false">'Price History'!O3+('Price History'!O158-'Price History'!O3)*0.597402597402597</f>
        <v>108.197792207792</v>
      </c>
      <c r="AK95" s="107" t="n">
        <f aca="false">'Price History'!Q3+('Price History'!Q151-'Price History'!Q3)*0.597402597402597</f>
        <v>60.9576623376623</v>
      </c>
      <c r="AL95" s="107" t="n">
        <f aca="false">'Price History'!R3+('Price History'!R158-'Price History'!R3)*0.597402597402597</f>
        <v>54.0509090909091</v>
      </c>
      <c r="AM95" s="107" t="n">
        <f aca="false">'Price History'!S3+('Price History'!S158-'Price History'!S3)*0.597402597402597</f>
        <v>109.492467532468</v>
      </c>
      <c r="AN95" s="107" t="n">
        <f aca="false">'Price History'!T3+('Price History'!T158-'Price History'!T3)*0.597402597402597</f>
        <v>40.5487012987013</v>
      </c>
    </row>
    <row r="96" customFormat="false" ht="15" hidden="false" customHeight="true" outlineLevel="0" collapsed="false">
      <c r="A96" s="104" t="n">
        <f aca="false">IF('Price History'!A97="","",'Price History'!A97)</f>
        <v>45807</v>
      </c>
      <c r="B96" s="105" t="n">
        <f aca="false">IFERROR(IF(OR(NOT(ISNUMBER('Price History'!B97)),NOT(ISNUMBER('Price History'!B96)),'Price History'!B96=0),"",'Price History'!B97/'Price History'!B96-1),"")</f>
        <v>0.018151046137997</v>
      </c>
      <c r="C96" s="105" t="n">
        <f aca="false">IFERROR(IF(OR(NOT(ISNUMBER('Price History'!C97)),NOT(ISNUMBER('Price History'!C96)),'Price History'!C96=0),"",'Price History'!C97/'Price History'!C96-1),"")</f>
        <v>-0.05</v>
      </c>
      <c r="D96" s="105" t="n">
        <f aca="false">IFERROR(IF(OR(NOT(ISNUMBER('Price History'!D97)),NOT(ISNUMBER('Price History'!D96)),'Price History'!D96=0),"",'Price History'!D97/'Price History'!D96-1),"")</f>
        <v>0.00584308318202287</v>
      </c>
      <c r="E96" s="105" t="n">
        <f aca="false">IFERROR(IF(OR(NOT(ISNUMBER('Price History'!E97)),NOT(ISNUMBER('Price History'!E96)),'Price History'!E96=0),"",'Price History'!E97/'Price History'!E96-1),"")</f>
        <v>0.0583683105981112</v>
      </c>
      <c r="F96" s="105" t="n">
        <f aca="false">IFERROR(IF(OR(NOT(ISNUMBER('Price History'!F97)),NOT(ISNUMBER('Price History'!F96)),'Price History'!F96=0),"",'Price History'!F97/'Price History'!F96-1),"")</f>
        <v>0.0345917471466197</v>
      </c>
      <c r="G96" s="105" t="n">
        <f aca="false">IFERROR(IF(OR(NOT(ISNUMBER('Price History'!G97)),NOT(ISNUMBER('Price History'!G96)),'Price History'!G96=0),"",'Price History'!G97/'Price History'!G96-1),"")</f>
        <v>-0.00039619651347067</v>
      </c>
      <c r="H96" s="105" t="n">
        <f aca="false">IFERROR(IF(OR(NOT(ISNUMBER('Price History'!H97)),NOT(ISNUMBER('Price History'!H96)),'Price History'!H96=0),"",'Price History'!H97/'Price History'!H96-1),"")</f>
        <v>0.011673985220092</v>
      </c>
      <c r="I96" s="105" t="n">
        <f aca="false">IFERROR(IF(OR(NOT(ISNUMBER('Price History'!I97)),NOT(ISNUMBER('Price History'!I96)),'Price History'!I96=0),"",'Price History'!I97/'Price History'!I96-1),"")</f>
        <v>0.029248229111128</v>
      </c>
      <c r="J96" s="105" t="n">
        <f aca="false">IFERROR(IF(OR(NOT(ISNUMBER('Price History'!J97)),NOT(ISNUMBER('Price History'!J96)),'Price History'!J96=0),"",'Price History'!J97/'Price History'!J96-1),"")</f>
        <v>0.043829296424452</v>
      </c>
      <c r="K96" s="105" t="n">
        <f aca="false">IFERROR(IF(OR(NOT(ISNUMBER('Price History'!K97)),NOT(ISNUMBER('Price History'!K96)),'Price History'!K96=0),"",'Price History'!K97/'Price History'!K96-1),"")</f>
        <v>0.0686886708296164</v>
      </c>
      <c r="L96" s="105" t="n">
        <f aca="false">IFERROR(IF(OR(NOT(ISNUMBER('Price History'!L97)),NOT(ISNUMBER('Price History'!L96)),'Price History'!L96=0),"",'Price History'!L97/'Price History'!L96-1),"")</f>
        <v>0.00697989373893115</v>
      </c>
      <c r="M96" s="105" t="n">
        <f aca="false">IFERROR(IF(OR(NOT(ISNUMBER('Price History'!M97)),NOT(ISNUMBER('Price History'!M96)),'Price History'!M96=0),"",'Price History'!M97/'Price History'!M96-1),"")</f>
        <v>0.0363933166890724</v>
      </c>
      <c r="N96" s="105" t="n">
        <f aca="false">IFERROR(IF(OR(NOT(ISNUMBER('Price History'!N97)),NOT(ISNUMBER('Price History'!N96)),'Price History'!N96=0),"",'Price History'!N97/'Price History'!N96-1),"")</f>
        <v>0.013876146788991</v>
      </c>
      <c r="O96" s="105" t="n">
        <f aca="false">IFERROR(IF(OR(NOT(ISNUMBER('Price History'!O97)),NOT(ISNUMBER('Price History'!O96)),'Price History'!O96=0),"",'Price History'!O97/'Price History'!O96-1),"")</f>
        <v>0.0117093330272069</v>
      </c>
      <c r="P96" s="105" t="str">
        <f aca="false">IFERROR(IF(OR(NOT(ISNUMBER('Price History'!P97)),NOT(ISNUMBER('Price History'!P96)),'Price History'!P96=0),"",'Price History'!P97/'Price History'!P96-1),"")</f>
        <v/>
      </c>
      <c r="Q96" s="105" t="n">
        <f aca="false">IFERROR(IF(OR(NOT(ISNUMBER('Price History'!Q97)),NOT(ISNUMBER('Price History'!Q96)),'Price History'!Q96=0),"",'Price History'!Q97/'Price History'!Q96-1),"")</f>
        <v>0.00348929421094368</v>
      </c>
      <c r="R96" s="105" t="n">
        <f aca="false">IFERROR(IF(OR(NOT(ISNUMBER('Price History'!R97)),NOT(ISNUMBER('Price History'!R96)),'Price History'!R96=0),"",'Price History'!R97/'Price History'!R96-1),"")</f>
        <v>0.0113374327440432</v>
      </c>
      <c r="S96" s="105" t="n">
        <f aca="false">IFERROR(IF(OR(NOT(ISNUMBER('Price History'!S97)),NOT(ISNUMBER('Price History'!S96)),'Price History'!S96=0),"",'Price History'!S97/'Price History'!S96-1),"")</f>
        <v>0.0243072435585805</v>
      </c>
      <c r="T96" s="105" t="n">
        <f aca="false">IFERROR(IF(OR(NOT(ISNUMBER('Price History'!T97)),NOT(ISNUMBER('Price History'!T96)),'Price History'!T96=0),"",'Price History'!T97/'Price History'!T96-1),"")</f>
        <v>0.007731192387749</v>
      </c>
      <c r="U96" s="105" t="str">
        <f aca="false">IFERROR(IF(OR(NOT(ISNUMBER('Price History'!U97)),NOT(ISNUMBER('Price History'!U96)),'Price History'!U96=0),"",'Price History'!U97/'Price History'!U96-1),"")</f>
        <v/>
      </c>
      <c r="V96" s="106" t="n">
        <f aca="false">IFERROR(IF(OR(NOT(ISNUMBER('Price History'!V97)),NOT(ISNUMBER('Price History'!V96)),'Price History'!V96=0),"",'Price History'!V97/'Price History'!V96-1),"")</f>
        <v>0.0329601279561294</v>
      </c>
      <c r="W96" s="107" t="n">
        <f aca="false">'Price History'!B3+('Price History'!B158-'Price History'!B3)*0.603896103896104</f>
        <v>352.620649350649</v>
      </c>
      <c r="X96" s="107" t="n">
        <f aca="false">'Price History'!C3+('Price History'!C158-'Price History'!C3)*0.603896103896104</f>
        <v>126.238246753247</v>
      </c>
      <c r="Y96" s="107" t="n">
        <f aca="false">'Price History'!D3+('Price History'!D158-'Price History'!D3)*0.603896103896104</f>
        <v>1245.88038961039</v>
      </c>
      <c r="Z96" s="107" t="n">
        <f aca="false">'Price History'!E3+('Price History'!E158-'Price History'!E3)*0.603896103896104</f>
        <v>267.953376623377</v>
      </c>
      <c r="AA96" s="107" t="n">
        <f aca="false">'Price History'!F3+('Price History'!F158-'Price History'!F3)*0.603896103896104</f>
        <v>129.939220779221</v>
      </c>
      <c r="AB96" s="107" t="n">
        <f aca="false">'Price History'!G3+('Price History'!G158-'Price History'!G3)*0.603896103896104</f>
        <v>129.377662337662</v>
      </c>
      <c r="AC96" s="107" t="n">
        <f aca="false">'Price History'!H3+('Price History'!H158-'Price History'!H3)*0.603896103896104</f>
        <v>522.521818181818</v>
      </c>
      <c r="AD96" s="107" t="n">
        <f aca="false">'Price History'!I3+('Price History'!I158-'Price History'!I3)*0.603896103896104</f>
        <v>137.412987012987</v>
      </c>
      <c r="AE96" s="107" t="n">
        <f aca="false">'Price History'!J3+('Price History'!J158-'Price History'!J3)*0.603896103896104</f>
        <v>136.252207792208</v>
      </c>
      <c r="AF96" s="107" t="n">
        <f aca="false">'Price History'!K3+('Price History'!K158-'Price History'!K3)*0.603896103896104</f>
        <v>80.4194155844156</v>
      </c>
      <c r="AG96" s="107" t="n">
        <f aca="false">'Price History'!L3+('Price History'!L158-'Price History'!L3)*0.603896103896104</f>
        <v>280.562597402597</v>
      </c>
      <c r="AH96" s="107" t="n">
        <f aca="false">'Price History'!M3+('Price History'!M158-'Price History'!M3)*0.603896103896104</f>
        <v>159.156623376623</v>
      </c>
      <c r="AI96" s="107" t="n">
        <f aca="false">'Price History'!N3+('Price History'!N158-'Price History'!N3)*0.603896103896104</f>
        <v>426.69974025974</v>
      </c>
      <c r="AJ96" s="107" t="n">
        <f aca="false">'Price History'!O3+('Price History'!O158-'Price History'!O3)*0.603896103896104</f>
        <v>108.473311688312</v>
      </c>
      <c r="AK96" s="107" t="n">
        <f aca="false">'Price History'!Q3+('Price History'!Q151-'Price History'!Q3)*0.603896103896104</f>
        <v>61.0785064935065</v>
      </c>
      <c r="AL96" s="107" t="n">
        <f aca="false">'Price History'!R3+('Price History'!R158-'Price History'!R3)*0.603896103896104</f>
        <v>54.1186363636364</v>
      </c>
      <c r="AM96" s="107" t="n">
        <f aca="false">'Price History'!S3+('Price History'!S158-'Price History'!S3)*0.603896103896104</f>
        <v>110.046298701299</v>
      </c>
      <c r="AN96" s="107" t="n">
        <f aca="false">'Price History'!T3+('Price History'!T158-'Price History'!T3)*0.603896103896104</f>
        <v>40.6969480519481</v>
      </c>
    </row>
    <row r="97" customFormat="false" ht="15" hidden="false" customHeight="true" outlineLevel="0" collapsed="false">
      <c r="A97" s="104" t="n">
        <f aca="false">IF('Price History'!A98="","",'Price History'!A98)</f>
        <v>45814</v>
      </c>
      <c r="B97" s="105" t="n">
        <f aca="false">IFERROR(IF(OR(NOT(ISNUMBER('Price History'!B98)),NOT(ISNUMBER('Price History'!B97)),'Price History'!B97=0),"",'Price History'!B98/'Price History'!B97-1),"")</f>
        <v>0.00440868245440762</v>
      </c>
      <c r="C97" s="105" t="n">
        <f aca="false">IFERROR(IF(OR(NOT(ISNUMBER('Price History'!C98)),NOT(ISNUMBER('Price History'!C97)),'Price History'!C97=0),"",'Price History'!C98/'Price History'!C97-1),"")</f>
        <v>0.122460757156048</v>
      </c>
      <c r="D97" s="105" t="n">
        <f aca="false">IFERROR(IF(OR(NOT(ISNUMBER('Price History'!D98)),NOT(ISNUMBER('Price History'!D97)),'Price History'!D97=0),"",'Price History'!D98/'Price History'!D97-1),"")</f>
        <v>0.0220557297392674</v>
      </c>
      <c r="E97" s="105" t="n">
        <f aca="false">IFERROR(IF(OR(NOT(ISNUMBER('Price History'!E98)),NOT(ISNUMBER('Price History'!E97)),'Price History'!E97=0),"",'Price History'!E98/'Price History'!E97-1),"")</f>
        <v>0.0200768372784732</v>
      </c>
      <c r="F97" s="105" t="n">
        <f aca="false">IFERROR(IF(OR(NOT(ISNUMBER('Price History'!F98)),NOT(ISNUMBER('Price History'!F97)),'Price History'!F97=0),"",'Price History'!F98/'Price History'!F97-1),"")</f>
        <v>-0.00627970128988464</v>
      </c>
      <c r="G97" s="105" t="n">
        <f aca="false">IFERROR(IF(OR(NOT(ISNUMBER('Price History'!G98)),NOT(ISNUMBER('Price History'!G97)),'Price History'!G97=0),"",'Price History'!G98/'Price History'!G97-1),"")</f>
        <v>0.0675122209010437</v>
      </c>
      <c r="H97" s="105" t="n">
        <f aca="false">IFERROR(IF(OR(NOT(ISNUMBER('Price History'!H98)),NOT(ISNUMBER('Price History'!H97)),'Price History'!H97=0),"",'Price History'!H98/'Price History'!H97-1),"")</f>
        <v>0.14926953207707</v>
      </c>
      <c r="I97" s="105" t="n">
        <f aca="false">IFERROR(IF(OR(NOT(ISNUMBER('Price History'!I98)),NOT(ISNUMBER('Price History'!I97)),'Price History'!I97=0),"",'Price History'!I98/'Price History'!I97-1),"")</f>
        <v>0.0487678531784208</v>
      </c>
      <c r="J97" s="105" t="n">
        <f aca="false">IFERROR(IF(OR(NOT(ISNUMBER('Price History'!J98)),NOT(ISNUMBER('Price History'!J97)),'Price History'!J97=0),"",'Price History'!J98/'Price History'!J97-1),"")</f>
        <v>0.00174953959484347</v>
      </c>
      <c r="K97" s="105" t="n">
        <f aca="false">IFERROR(IF(OR(NOT(ISNUMBER('Price History'!K98)),NOT(ISNUMBER('Price History'!K97)),'Price History'!K97=0),"",'Price History'!K98/'Price History'!K97-1),"")</f>
        <v>-0.0308089239641828</v>
      </c>
      <c r="L97" s="105" t="n">
        <f aca="false">IFERROR(IF(OR(NOT(ISNUMBER('Price History'!L98)),NOT(ISNUMBER('Price History'!L97)),'Price History'!L97=0),"",'Price History'!L98/'Price History'!L97-1),"")</f>
        <v>0.0613490585557626</v>
      </c>
      <c r="M97" s="105" t="n">
        <f aca="false">IFERROR(IF(OR(NOT(ISNUMBER('Price History'!M98)),NOT(ISNUMBER('Price History'!M97)),'Price History'!M97=0),"",'Price History'!M98/'Price History'!M97-1),"")</f>
        <v>0.0688409154081349</v>
      </c>
      <c r="N97" s="105" t="n">
        <f aca="false">IFERROR(IF(OR(NOT(ISNUMBER('Price History'!N98)),NOT(ISNUMBER('Price History'!N97)),'Price History'!N97=0),"",'Price History'!N98/'Price History'!N97-1),"")</f>
        <v>0.0191154846736794</v>
      </c>
      <c r="O97" s="105" t="n">
        <f aca="false">IFERROR(IF(OR(NOT(ISNUMBER('Price History'!O98)),NOT(ISNUMBER('Price History'!O97)),'Price History'!O97=0),"",'Price History'!O98/'Price History'!O97-1),"")</f>
        <v>0.0184954045160559</v>
      </c>
      <c r="P97" s="105" t="str">
        <f aca="false">IFERROR(IF(OR(NOT(ISNUMBER('Price History'!P98)),NOT(ISNUMBER('Price History'!P97)),'Price History'!P97=0),"",'Price History'!P98/'Price History'!P97-1),"")</f>
        <v/>
      </c>
      <c r="Q97" s="105" t="n">
        <f aca="false">IFERROR(IF(OR(NOT(ISNUMBER('Price History'!Q98)),NOT(ISNUMBER('Price History'!Q97)),'Price History'!Q97=0),"",'Price History'!Q98/'Price History'!Q97-1),"")</f>
        <v>0.00221273905484432</v>
      </c>
      <c r="R97" s="105" t="n">
        <f aca="false">IFERROR(IF(OR(NOT(ISNUMBER('Price History'!R98)),NOT(ISNUMBER('Price History'!R97)),'Price History'!R97=0),"",'Price History'!R98/'Price History'!R97-1),"")</f>
        <v>0.00133003990119707</v>
      </c>
      <c r="S97" s="105" t="n">
        <f aca="false">IFERROR(IF(OR(NOT(ISNUMBER('Price History'!S98)),NOT(ISNUMBER('Price History'!S97)),'Price History'!S97=0),"",'Price History'!S98/'Price History'!S97-1),"")</f>
        <v>0.0149027052681538</v>
      </c>
      <c r="T97" s="105" t="n">
        <f aca="false">IFERROR(IF(OR(NOT(ISNUMBER('Price History'!T98)),NOT(ISNUMBER('Price History'!T97)),'Price History'!T97=0),"",'Price History'!T98/'Price History'!T97-1),"")</f>
        <v>0.023605783416937</v>
      </c>
      <c r="U97" s="105" t="str">
        <f aca="false">IFERROR(IF(OR(NOT(ISNUMBER('Price History'!U98)),NOT(ISNUMBER('Price History'!U97)),'Price History'!U97=0),"",'Price History'!U98/'Price History'!U97-1),"")</f>
        <v/>
      </c>
      <c r="V97" s="106" t="n">
        <f aca="false">IFERROR(IF(OR(NOT(ISNUMBER('Price History'!V98)),NOT(ISNUMBER('Price History'!V97)),'Price History'!V97=0),"",'Price History'!V98/'Price History'!V97-1),"")</f>
        <v>0.0137698390753747</v>
      </c>
      <c r="W97" s="107" t="n">
        <f aca="false">'Price History'!B3+('Price History'!B158-'Price History'!B3)*0.61038961038961</f>
        <v>350.945064935065</v>
      </c>
      <c r="X97" s="107" t="n">
        <f aca="false">'Price History'!C3+('Price History'!C158-'Price History'!C3)*0.61038961038961</f>
        <v>127.125324675325</v>
      </c>
      <c r="Y97" s="107" t="n">
        <f aca="false">'Price History'!D3+('Price History'!D158-'Price History'!D3)*0.61038961038961</f>
        <v>1252.16103896104</v>
      </c>
      <c r="Z97" s="107" t="n">
        <f aca="false">'Price History'!E3+('Price History'!E158-'Price History'!E3)*0.61038961038961</f>
        <v>269.942337662338</v>
      </c>
      <c r="AA97" s="107" t="n">
        <f aca="false">'Price History'!F3+('Price History'!F158-'Price History'!F3)*0.61038961038961</f>
        <v>130.937922077922</v>
      </c>
      <c r="AB97" s="107" t="n">
        <f aca="false">'Price History'!G3+('Price History'!G158-'Price History'!G3)*0.61038961038961</f>
        <v>130.253766233766</v>
      </c>
      <c r="AC97" s="107" t="n">
        <f aca="false">'Price History'!H3+('Price History'!H158-'Price History'!H3)*0.61038961038961</f>
        <v>527.448181818182</v>
      </c>
      <c r="AD97" s="107" t="n">
        <f aca="false">'Price History'!I3+('Price History'!I158-'Price History'!I3)*0.61038961038961</f>
        <v>138.451298701299</v>
      </c>
      <c r="AE97" s="107" t="n">
        <f aca="false">'Price History'!J3+('Price History'!J158-'Price History'!J3)*0.61038961038961</f>
        <v>136.389220779221</v>
      </c>
      <c r="AF97" s="107" t="n">
        <f aca="false">'Price History'!K3+('Price History'!K158-'Price History'!K3)*0.61038961038961</f>
        <v>81.1184415584415</v>
      </c>
      <c r="AG97" s="107" t="n">
        <f aca="false">'Price History'!L3+('Price History'!L158-'Price History'!L3)*0.61038961038961</f>
        <v>282.59025974026</v>
      </c>
      <c r="AH97" s="107" t="n">
        <f aca="false">'Price History'!M3+('Price History'!M158-'Price History'!M3)*0.61038961038961</f>
        <v>160.507662337662</v>
      </c>
      <c r="AI97" s="107" t="n">
        <f aca="false">'Price History'!N3+('Price History'!N158-'Price History'!N3)*0.61038961038961</f>
        <v>427.525974025974</v>
      </c>
      <c r="AJ97" s="107" t="n">
        <f aca="false">'Price History'!O3+('Price History'!O158-'Price History'!O3)*0.61038961038961</f>
        <v>108.748831168831</v>
      </c>
      <c r="AK97" s="107" t="n">
        <f aca="false">'Price History'!Q3+('Price History'!Q151-'Price History'!Q3)*0.61038961038961</f>
        <v>61.1993506493507</v>
      </c>
      <c r="AL97" s="107" t="n">
        <f aca="false">'Price History'!R3+('Price History'!R158-'Price History'!R3)*0.61038961038961</f>
        <v>54.1863636363636</v>
      </c>
      <c r="AM97" s="107" t="n">
        <f aca="false">'Price History'!S3+('Price History'!S158-'Price History'!S3)*0.61038961038961</f>
        <v>110.60012987013</v>
      </c>
      <c r="AN97" s="107" t="n">
        <f aca="false">'Price History'!T3+('Price History'!T158-'Price History'!T3)*0.61038961038961</f>
        <v>40.8451948051948</v>
      </c>
    </row>
    <row r="98" customFormat="false" ht="15" hidden="false" customHeight="true" outlineLevel="0" collapsed="false">
      <c r="A98" s="104" t="n">
        <f aca="false">IF('Price History'!A99="","",'Price History'!A99)</f>
        <v>45821</v>
      </c>
      <c r="B98" s="105" t="n">
        <f aca="false">IFERROR(IF(OR(NOT(ISNUMBER('Price History'!B99)),NOT(ISNUMBER('Price History'!B98)),'Price History'!B98=0),"",'Price History'!B99/'Price History'!B98-1),"")</f>
        <v>-0.06053919217116</v>
      </c>
      <c r="C98" s="105" t="n">
        <f aca="false">IFERROR(IF(OR(NOT(ISNUMBER('Price History'!C99)),NOT(ISNUMBER('Price History'!C98)),'Price History'!C98=0),"",'Price History'!C99/'Price History'!C98-1),"")</f>
        <v>-0.0503856041131106</v>
      </c>
      <c r="D98" s="105" t="n">
        <f aca="false">IFERROR(IF(OR(NOT(ISNUMBER('Price History'!D99)),NOT(ISNUMBER('Price History'!D98)),'Price History'!D98=0),"",'Price History'!D99/'Price History'!D98-1),"")</f>
        <v>0.0105973280922154</v>
      </c>
      <c r="E98" s="105" t="n">
        <f aca="false">IFERROR(IF(OR(NOT(ISNUMBER('Price History'!E99)),NOT(ISNUMBER('Price History'!E98)),'Price History'!E98=0),"",'Price History'!E99/'Price History'!E98-1),"")</f>
        <v>0.00716802332644861</v>
      </c>
      <c r="F98" s="105" t="n">
        <f aca="false">IFERROR(IF(OR(NOT(ISNUMBER('Price History'!F99)),NOT(ISNUMBER('Price History'!F98)),'Price History'!F98=0),"",'Price History'!F99/'Price History'!F98-1),"")</f>
        <v>0.026131511528608</v>
      </c>
      <c r="G98" s="105" t="n">
        <f aca="false">IFERROR(IF(OR(NOT(ISNUMBER('Price History'!G99)),NOT(ISNUMBER('Price History'!G98)),'Price History'!G98=0),"",'Price History'!G99/'Price History'!G98-1),"")</f>
        <v>0.0738861386138614</v>
      </c>
      <c r="H98" s="105" t="n">
        <f aca="false">IFERROR(IF(OR(NOT(ISNUMBER('Price History'!H99)),NOT(ISNUMBER('Price History'!H98)),'Price History'!H98=0),"",'Price History'!H99/'Price History'!H98-1),"")</f>
        <v>0.06484893146647</v>
      </c>
      <c r="I98" s="105" t="n">
        <f aca="false">IFERROR(IF(OR(NOT(ISNUMBER('Price History'!I99)),NOT(ISNUMBER('Price History'!I98)),'Price History'!I98=0),"",'Price History'!I99/'Price History'!I98-1),"")</f>
        <v>0.00176404177250911</v>
      </c>
      <c r="J98" s="105" t="n">
        <f aca="false">IFERROR(IF(OR(NOT(ISNUMBER('Price History'!J99)),NOT(ISNUMBER('Price History'!J98)),'Price History'!J98=0),"",'Price History'!J99/'Price History'!J98-1),"")</f>
        <v>-0.0138799522014892</v>
      </c>
      <c r="K98" s="105" t="n">
        <f aca="false">IFERROR(IF(OR(NOT(ISNUMBER('Price History'!K99)),NOT(ISNUMBER('Price History'!K98)),'Price History'!K98=0),"",'Price History'!K99/'Price History'!K98-1),"")</f>
        <v>0.0757907923582839</v>
      </c>
      <c r="L98" s="105" t="n">
        <f aca="false">IFERROR(IF(OR(NOT(ISNUMBER('Price History'!L99)),NOT(ISNUMBER('Price History'!L98)),'Price History'!L98=0),"",'Price History'!L99/'Price History'!L98-1),"")</f>
        <v>0.0288527146895408</v>
      </c>
      <c r="M98" s="105" t="n">
        <f aca="false">IFERROR(IF(OR(NOT(ISNUMBER('Price History'!M99)),NOT(ISNUMBER('Price History'!M98)),'Price History'!M98=0),"",'Price History'!M99/'Price History'!M98-1),"")</f>
        <v>-0.0380547850208044</v>
      </c>
      <c r="N98" s="105" t="n">
        <f aca="false">IFERROR(IF(OR(NOT(ISNUMBER('Price History'!N99)),NOT(ISNUMBER('Price History'!N98)),'Price History'!N98=0),"",'Price History'!N99/'Price History'!N98-1),"")</f>
        <v>0.0109877913429524</v>
      </c>
      <c r="O98" s="105" t="n">
        <f aca="false">IFERROR(IF(OR(NOT(ISNUMBER('Price History'!O99)),NOT(ISNUMBER('Price History'!O98)),'Price History'!O98=0),"",'Price History'!O99/'Price History'!O98-1),"")</f>
        <v>-0.00601604278074874</v>
      </c>
      <c r="P98" s="105" t="str">
        <f aca="false">IFERROR(IF(OR(NOT(ISNUMBER('Price History'!P99)),NOT(ISNUMBER('Price History'!P98)),'Price History'!P98=0),"",'Price History'!P99/'Price History'!P98-1),"")</f>
        <v/>
      </c>
      <c r="Q98" s="105" t="n">
        <f aca="false">IFERROR(IF(OR(NOT(ISNUMBER('Price History'!Q99)),NOT(ISNUMBER('Price History'!Q98)),'Price History'!Q98=0),"",'Price History'!Q99/'Price History'!Q98-1),"")</f>
        <v>-0.010408452925406</v>
      </c>
      <c r="R98" s="105" t="n">
        <f aca="false">IFERROR(IF(OR(NOT(ISNUMBER('Price History'!R99)),NOT(ISNUMBER('Price History'!R98)),'Price History'!R98=0),"",'Price History'!R99/'Price History'!R98-1),"")</f>
        <v>-0.00208728652751422</v>
      </c>
      <c r="S98" s="105" t="n">
        <f aca="false">IFERROR(IF(OR(NOT(ISNUMBER('Price History'!S99)),NOT(ISNUMBER('Price History'!S98)),'Price History'!S98=0),"",'Price History'!S99/'Price History'!S98-1),"")</f>
        <v>-0.00710811821922941</v>
      </c>
      <c r="T98" s="105" t="n">
        <f aca="false">IFERROR(IF(OR(NOT(ISNUMBER('Price History'!T99)),NOT(ISNUMBER('Price History'!T98)),'Price History'!T98=0),"",'Price History'!T99/'Price History'!T98-1),"")</f>
        <v>0.0109541654655521</v>
      </c>
      <c r="U98" s="105" t="str">
        <f aca="false">IFERROR(IF(OR(NOT(ISNUMBER('Price History'!U99)),NOT(ISNUMBER('Price History'!U98)),'Price History'!U98=0),"",'Price History'!U99/'Price History'!U98-1),"")</f>
        <v/>
      </c>
      <c r="V98" s="106" t="n">
        <f aca="false">IFERROR(IF(OR(NOT(ISNUMBER('Price History'!V99)),NOT(ISNUMBER('Price History'!V98)),'Price History'!V98=0),"",'Price History'!V99/'Price History'!V98-1),"")</f>
        <v>-0.0469125027274711</v>
      </c>
      <c r="W98" s="107" t="n">
        <f aca="false">'Price History'!B3+('Price History'!B158-'Price History'!B3)*0.616883116883117</f>
        <v>349.26948051948</v>
      </c>
      <c r="X98" s="107" t="n">
        <f aca="false">'Price History'!C3+('Price History'!C158-'Price History'!C3)*0.616883116883117</f>
        <v>128.012402597403</v>
      </c>
      <c r="Y98" s="107" t="n">
        <f aca="false">'Price History'!D3+('Price History'!D158-'Price History'!D3)*0.616883116883117</f>
        <v>1258.44168831169</v>
      </c>
      <c r="Z98" s="107" t="n">
        <f aca="false">'Price History'!E3+('Price History'!E158-'Price History'!E3)*0.616883116883117</f>
        <v>271.931298701299</v>
      </c>
      <c r="AA98" s="107" t="n">
        <f aca="false">'Price History'!F3+('Price History'!F158-'Price History'!F3)*0.616883116883117</f>
        <v>131.936623376623</v>
      </c>
      <c r="AB98" s="107" t="n">
        <f aca="false">'Price History'!G3+('Price History'!G158-'Price History'!G3)*0.616883116883117</f>
        <v>131.12987012987</v>
      </c>
      <c r="AC98" s="107" t="n">
        <f aca="false">'Price History'!H3+('Price History'!H158-'Price History'!H3)*0.616883116883117</f>
        <v>532.374545454546</v>
      </c>
      <c r="AD98" s="107" t="n">
        <f aca="false">'Price History'!I3+('Price History'!I158-'Price History'!I3)*0.616883116883117</f>
        <v>139.48961038961</v>
      </c>
      <c r="AE98" s="107" t="n">
        <f aca="false">'Price History'!J3+('Price History'!J158-'Price History'!J3)*0.616883116883117</f>
        <v>136.526233766234</v>
      </c>
      <c r="AF98" s="107" t="n">
        <f aca="false">'Price History'!K3+('Price History'!K158-'Price History'!K3)*0.616883116883117</f>
        <v>81.8174675324676</v>
      </c>
      <c r="AG98" s="107" t="n">
        <f aca="false">'Price History'!L3+('Price History'!L158-'Price History'!L3)*0.616883116883117</f>
        <v>284.617922077922</v>
      </c>
      <c r="AH98" s="107" t="n">
        <f aca="false">'Price History'!M3+('Price History'!M158-'Price History'!M3)*0.616883116883117</f>
        <v>161.858701298701</v>
      </c>
      <c r="AI98" s="107" t="n">
        <f aca="false">'Price History'!N3+('Price History'!N158-'Price History'!N3)*0.616883116883117</f>
        <v>428.352207792208</v>
      </c>
      <c r="AJ98" s="107" t="n">
        <f aca="false">'Price History'!O3+('Price History'!O158-'Price History'!O3)*0.616883116883117</f>
        <v>109.024350649351</v>
      </c>
      <c r="AK98" s="107" t="n">
        <f aca="false">'Price History'!Q3+('Price History'!Q151-'Price History'!Q3)*0.616883116883117</f>
        <v>61.3201948051948</v>
      </c>
      <c r="AL98" s="107" t="n">
        <f aca="false">'Price History'!R3+('Price History'!R158-'Price History'!R3)*0.616883116883117</f>
        <v>54.2540909090909</v>
      </c>
      <c r="AM98" s="107" t="n">
        <f aca="false">'Price History'!S3+('Price History'!S158-'Price History'!S3)*0.616883116883117</f>
        <v>111.153961038961</v>
      </c>
      <c r="AN98" s="107" t="n">
        <f aca="false">'Price History'!T3+('Price History'!T158-'Price History'!T3)*0.616883116883117</f>
        <v>40.9934415584416</v>
      </c>
    </row>
    <row r="99" customFormat="false" ht="15" hidden="false" customHeight="true" outlineLevel="0" collapsed="false">
      <c r="A99" s="104" t="n">
        <f aca="false">IF('Price History'!A100="","",'Price History'!A100)</f>
        <v>45828</v>
      </c>
      <c r="B99" s="105" t="n">
        <f aca="false">IFERROR(IF(OR(NOT(ISNUMBER('Price History'!B100)),NOT(ISNUMBER('Price History'!B99)),'Price History'!B99=0),"",'Price History'!B100/'Price History'!B99-1),"")</f>
        <v>-0.0376838235294117</v>
      </c>
      <c r="C99" s="105" t="n">
        <f aca="false">IFERROR(IF(OR(NOT(ISNUMBER('Price History'!C100)),NOT(ISNUMBER('Price History'!C99)),'Price History'!C99=0),"",'Price History'!C100/'Price History'!C99-1),"")</f>
        <v>-0.0660530590146182</v>
      </c>
      <c r="D99" s="105" t="n">
        <f aca="false">IFERROR(IF(OR(NOT(ISNUMBER('Price History'!D100)),NOT(ISNUMBER('Price History'!D99)),'Price History'!D99=0),"",'Price History'!D100/'Price History'!D99-1),"")</f>
        <v>-0.00587385019710907</v>
      </c>
      <c r="E99" s="105" t="n">
        <f aca="false">IFERROR(IF(OR(NOT(ISNUMBER('Price History'!E100)),NOT(ISNUMBER('Price History'!E99)),'Price History'!E99=0),"",'Price History'!E100/'Price History'!E99-1),"")</f>
        <v>0.00518697225572984</v>
      </c>
      <c r="F99" s="105" t="n">
        <f aca="false">IFERROR(IF(OR(NOT(ISNUMBER('Price History'!F100)),NOT(ISNUMBER('Price History'!F99)),'Price History'!F99=0),"",'Price History'!F100/'Price History'!F99-1),"")</f>
        <v>-0.00898801597869503</v>
      </c>
      <c r="G99" s="105" t="n">
        <f aca="false">IFERROR(IF(OR(NOT(ISNUMBER('Price History'!G100)),NOT(ISNUMBER('Price History'!G99)),'Price History'!G99=0),"",'Price History'!G100/'Price History'!G99-1),"")</f>
        <v>-0.0203987553301832</v>
      </c>
      <c r="H99" s="105" t="n">
        <f aca="false">IFERROR(IF(OR(NOT(ISNUMBER('Price History'!H100)),NOT(ISNUMBER('Price History'!H99)),'Price History'!H99=0),"",'Price History'!H100/'Price History'!H99-1),"")</f>
        <v>0.0692041522491349</v>
      </c>
      <c r="I99" s="105" t="n">
        <f aca="false">IFERROR(IF(OR(NOT(ISNUMBER('Price History'!I100)),NOT(ISNUMBER('Price History'!I99)),'Price History'!I99=0),"",'Price History'!I100/'Price History'!I99-1),"")</f>
        <v>0.0132422342748468</v>
      </c>
      <c r="J99" s="105" t="n">
        <f aca="false">IFERROR(IF(OR(NOT(ISNUMBER('Price History'!J100)),NOT(ISNUMBER('Price History'!J99)),'Price History'!J99=0),"",'Price History'!J100/'Price History'!J99-1),"")</f>
        <v>-0.0148210290827741</v>
      </c>
      <c r="K99" s="105" t="n">
        <f aca="false">IFERROR(IF(OR(NOT(ISNUMBER('Price History'!K100)),NOT(ISNUMBER('Price History'!K99)),'Price History'!K99=0),"",'Price History'!K100/'Price History'!K99-1),"")</f>
        <v>-0.000727802037845615</v>
      </c>
      <c r="L99" s="105" t="n">
        <f aca="false">IFERROR(IF(OR(NOT(ISNUMBER('Price History'!L100)),NOT(ISNUMBER('Price History'!L99)),'Price History'!L99=0),"",'Price History'!L100/'Price History'!L99-1),"")</f>
        <v>-0.00753197536712458</v>
      </c>
      <c r="M99" s="105" t="n">
        <f aca="false">IFERROR(IF(OR(NOT(ISNUMBER('Price History'!M100)),NOT(ISNUMBER('Price History'!M99)),'Price History'!M99=0),"",'Price History'!M100/'Price History'!M99-1),"")</f>
        <v>0.0682166351266109</v>
      </c>
      <c r="N99" s="105" t="n">
        <f aca="false">IFERROR(IF(OR(NOT(ISNUMBER('Price History'!N100)),NOT(ISNUMBER('Price History'!N99)),'Price History'!N99=0),"",'Price History'!N100/'Price History'!N99-1),"")</f>
        <v>-0.0320122955318916</v>
      </c>
      <c r="O99" s="105" t="n">
        <f aca="false">IFERROR(IF(OR(NOT(ISNUMBER('Price History'!O100)),NOT(ISNUMBER('Price History'!O99)),'Price History'!O99=0),"",'Price History'!O100/'Price History'!O99-1),"")</f>
        <v>0.00168123739071957</v>
      </c>
      <c r="P99" s="105" t="str">
        <f aca="false">IFERROR(IF(OR(NOT(ISNUMBER('Price History'!P100)),NOT(ISNUMBER('Price History'!P99)),'Price History'!P99=0),"",'Price History'!P100/'Price History'!P99-1),"")</f>
        <v/>
      </c>
      <c r="Q99" s="105" t="n">
        <f aca="false">IFERROR(IF(OR(NOT(ISNUMBER('Price History'!Q100)),NOT(ISNUMBER('Price History'!Q99)),'Price History'!Q99=0),"",'Price History'!Q100/'Price History'!Q99-1),"")</f>
        <v>0.0114741035856574</v>
      </c>
      <c r="R99" s="105" t="n">
        <f aca="false">IFERROR(IF(OR(NOT(ISNUMBER('Price History'!R100)),NOT(ISNUMBER('Price History'!R99)),'Price History'!R99=0),"",'Price History'!R100/'Price History'!R99-1),"")</f>
        <v>0.00304240349876395</v>
      </c>
      <c r="S99" s="105" t="n">
        <f aca="false">IFERROR(IF(OR(NOT(ISNUMBER('Price History'!S100)),NOT(ISNUMBER('Price History'!S99)),'Price History'!S99=0),"",'Price History'!S100/'Price History'!S99-1),"")</f>
        <v>0.00706480783722685</v>
      </c>
      <c r="T99" s="105" t="n">
        <f aca="false">IFERROR(IF(OR(NOT(ISNUMBER('Price History'!T100)),NOT(ISNUMBER('Price History'!T99)),'Price History'!T99=0),"",'Price History'!T100/'Price History'!T99-1),"")</f>
        <v>-0.00114057599087536</v>
      </c>
      <c r="U99" s="105" t="str">
        <f aca="false">IFERROR(IF(OR(NOT(ISNUMBER('Price History'!U100)),NOT(ISNUMBER('Price History'!U99)),'Price History'!U99=0),"",'Price History'!U100/'Price History'!U99-1),"")</f>
        <v/>
      </c>
      <c r="V99" s="106" t="n">
        <f aca="false">IFERROR(IF(OR(NOT(ISNUMBER('Price History'!V100)),NOT(ISNUMBER('Price History'!V99)),'Price History'!V99=0),"",'Price History'!V100/'Price History'!V99-1),"")</f>
        <v>-0.0404933608058607</v>
      </c>
      <c r="W99" s="107" t="n">
        <f aca="false">'Price History'!B3+('Price History'!B158-'Price History'!B3)*0.623376623376623</f>
        <v>347.593896103896</v>
      </c>
      <c r="X99" s="107" t="n">
        <f aca="false">'Price History'!C3+('Price History'!C158-'Price History'!C3)*0.623376623376623</f>
        <v>128.89948051948</v>
      </c>
      <c r="Y99" s="107" t="n">
        <f aca="false">'Price History'!D3+('Price History'!D158-'Price History'!D3)*0.623376623376623</f>
        <v>1264.72233766234</v>
      </c>
      <c r="Z99" s="107" t="n">
        <f aca="false">'Price History'!E3+('Price History'!E158-'Price History'!E3)*0.623376623376623</f>
        <v>273.92025974026</v>
      </c>
      <c r="AA99" s="107" t="n">
        <f aca="false">'Price History'!F3+('Price History'!F158-'Price History'!F3)*0.623376623376623</f>
        <v>132.935324675325</v>
      </c>
      <c r="AB99" s="107" t="n">
        <f aca="false">'Price History'!G3+('Price History'!G158-'Price History'!G3)*0.623376623376623</f>
        <v>132.005974025974</v>
      </c>
      <c r="AC99" s="107" t="n">
        <f aca="false">'Price History'!H3+('Price History'!H158-'Price History'!H3)*0.623376623376623</f>
        <v>537.300909090909</v>
      </c>
      <c r="AD99" s="107" t="n">
        <f aca="false">'Price History'!I3+('Price History'!I158-'Price History'!I3)*0.623376623376623</f>
        <v>140.527922077922</v>
      </c>
      <c r="AE99" s="107" t="n">
        <f aca="false">'Price History'!J3+('Price History'!J158-'Price History'!J3)*0.623376623376623</f>
        <v>136.663246753247</v>
      </c>
      <c r="AF99" s="107" t="n">
        <f aca="false">'Price History'!K3+('Price History'!K158-'Price History'!K3)*0.623376623376623</f>
        <v>82.5164935064935</v>
      </c>
      <c r="AG99" s="107" t="n">
        <f aca="false">'Price History'!L3+('Price History'!L158-'Price History'!L3)*0.623376623376623</f>
        <v>286.645584415584</v>
      </c>
      <c r="AH99" s="107" t="n">
        <f aca="false">'Price History'!M3+('Price History'!M158-'Price History'!M3)*0.623376623376623</f>
        <v>163.20974025974</v>
      </c>
      <c r="AI99" s="107" t="n">
        <f aca="false">'Price History'!N3+('Price History'!N158-'Price History'!N3)*0.623376623376623</f>
        <v>429.178441558442</v>
      </c>
      <c r="AJ99" s="107" t="n">
        <f aca="false">'Price History'!O3+('Price History'!O158-'Price History'!O3)*0.623376623376623</f>
        <v>109.29987012987</v>
      </c>
      <c r="AK99" s="107" t="n">
        <f aca="false">'Price History'!Q3+('Price History'!Q151-'Price History'!Q3)*0.623376623376623</f>
        <v>61.441038961039</v>
      </c>
      <c r="AL99" s="107" t="n">
        <f aca="false">'Price History'!R3+('Price History'!R158-'Price History'!R3)*0.623376623376623</f>
        <v>54.3218181818182</v>
      </c>
      <c r="AM99" s="107" t="n">
        <f aca="false">'Price History'!S3+('Price History'!S158-'Price History'!S3)*0.623376623376623</f>
        <v>111.707792207792</v>
      </c>
      <c r="AN99" s="107" t="n">
        <f aca="false">'Price History'!T3+('Price History'!T158-'Price History'!T3)*0.623376623376623</f>
        <v>41.1416883116883</v>
      </c>
    </row>
    <row r="100" customFormat="false" ht="15" hidden="false" customHeight="true" outlineLevel="0" collapsed="false">
      <c r="A100" s="104" t="n">
        <f aca="false">IF('Price History'!A101="","",'Price History'!A101)</f>
        <v>45835</v>
      </c>
      <c r="B100" s="105" t="n">
        <f aca="false">IFERROR(IF(OR(NOT(ISNUMBER('Price History'!B101)),NOT(ISNUMBER('Price History'!B100)),'Price History'!B100=0),"",'Price History'!B101/'Price History'!B100-1),"")</f>
        <v>0.0236389684813754</v>
      </c>
      <c r="C100" s="105" t="n">
        <f aca="false">IFERROR(IF(OR(NOT(ISNUMBER('Price History'!C101)),NOT(ISNUMBER('Price History'!C100)),'Price History'!C100=0),"",'Price History'!C101/'Price History'!C100-1),"")</f>
        <v>0.152347826086957</v>
      </c>
      <c r="D100" s="105" t="n">
        <f aca="false">IFERROR(IF(OR(NOT(ISNUMBER('Price History'!D101)),NOT(ISNUMBER('Price History'!D100)),'Price History'!D100=0),"",'Price History'!D101/'Price History'!D100-1),"")</f>
        <v>0.0521063275745841</v>
      </c>
      <c r="E100" s="105" t="n">
        <f aca="false">IFERROR(IF(OR(NOT(ISNUMBER('Price History'!E101)),NOT(ISNUMBER('Price History'!E100)),'Price History'!E100=0),"",'Price History'!E101/'Price History'!E100-1),"")</f>
        <v>0.0774430977239091</v>
      </c>
      <c r="F100" s="105" t="n">
        <f aca="false">IFERROR(IF(OR(NOT(ISNUMBER('Price History'!F101)),NOT(ISNUMBER('Price History'!F100)),'Price History'!F100=0),"",'Price History'!F101/'Price History'!F100-1),"")</f>
        <v>0.0482868659724556</v>
      </c>
      <c r="G100" s="105" t="n">
        <f aca="false">IFERROR(IF(OR(NOT(ISNUMBER('Price History'!G101)),NOT(ISNUMBER('Price History'!G100)),'Price History'!G100=0),"",'Price History'!G101/'Price History'!G100-1),"")</f>
        <v>0.0469411764705883</v>
      </c>
      <c r="H100" s="105" t="n">
        <f aca="false">IFERROR(IF(OR(NOT(ISNUMBER('Price History'!H101)),NOT(ISNUMBER('Price History'!H100)),'Price History'!H100=0),"",'Price History'!H101/'Price History'!H100-1),"")</f>
        <v>0.00938511326860847</v>
      </c>
      <c r="I100" s="105" t="n">
        <f aca="false">IFERROR(IF(OR(NOT(ISNUMBER('Price History'!I101)),NOT(ISNUMBER('Price History'!I100)),'Price History'!I100=0),"",'Price History'!I101/'Price History'!I100-1),"")</f>
        <v>0.0966284323948559</v>
      </c>
      <c r="J100" s="105" t="n">
        <f aca="false">IFERROR(IF(OR(NOT(ISNUMBER('Price History'!J101)),NOT(ISNUMBER('Price History'!J100)),'Price History'!J100=0),"",'Price History'!J101/'Price History'!J100-1),"")</f>
        <v>-0.000662314315450829</v>
      </c>
      <c r="K100" s="105" t="n">
        <f aca="false">IFERROR(IF(OR(NOT(ISNUMBER('Price History'!K101)),NOT(ISNUMBER('Price History'!K100)),'Price History'!K100=0),"",'Price History'!K101/'Price History'!K100-1),"")</f>
        <v>-0.0477785870356883</v>
      </c>
      <c r="L100" s="105" t="n">
        <f aca="false">IFERROR(IF(OR(NOT(ISNUMBER('Price History'!L101)),NOT(ISNUMBER('Price History'!L100)),'Price History'!L100=0),"",'Price History'!L101/'Price History'!L100-1),"")</f>
        <v>0.0909741778435398</v>
      </c>
      <c r="M100" s="105" t="n">
        <f aca="false">IFERROR(IF(OR(NOT(ISNUMBER('Price History'!M101)),NOT(ISNUMBER('Price History'!M100)),'Price History'!M100=0),"",'Price History'!M101/'Price History'!M100-1),"")</f>
        <v>0.0727180698498395</v>
      </c>
      <c r="N100" s="105" t="n">
        <f aca="false">IFERROR(IF(OR(NOT(ISNUMBER('Price History'!N101)),NOT(ISNUMBER('Price History'!N100)),'Price History'!N100=0),"",'Price History'!N101/'Price History'!N100-1),"")</f>
        <v>0.000975344205774942</v>
      </c>
      <c r="O100" s="105" t="n">
        <f aca="false">IFERROR(IF(OR(NOT(ISNUMBER('Price History'!O101)),NOT(ISNUMBER('Price History'!O100)),'Price History'!O100=0),"",'Price History'!O101/'Price History'!O100-1),"")</f>
        <v>0.0205885643952108</v>
      </c>
      <c r="P100" s="105" t="str">
        <f aca="false">IFERROR(IF(OR(NOT(ISNUMBER('Price History'!P101)),NOT(ISNUMBER('Price History'!P100)),'Price History'!P100=0),"",'Price History'!P101/'Price History'!P100-1),"")</f>
        <v/>
      </c>
      <c r="Q100" s="105" t="n">
        <f aca="false">IFERROR(IF(OR(NOT(ISNUMBER('Price History'!Q101)),NOT(ISNUMBER('Price History'!Q100)),'Price History'!Q100=0),"",'Price History'!Q101/'Price History'!Q100-1),"")</f>
        <v>0.00740507326295892</v>
      </c>
      <c r="R100" s="105" t="n">
        <f aca="false">IFERROR(IF(OR(NOT(ISNUMBER('Price History'!R101)),NOT(ISNUMBER('Price History'!R100)),'Price History'!R100=0),"",'Price History'!R101/'Price History'!R100-1),"")</f>
        <v>0.0288151658767772</v>
      </c>
      <c r="S100" s="105" t="n">
        <f aca="false">IFERROR(IF(OR(NOT(ISNUMBER('Price History'!S101)),NOT(ISNUMBER('Price History'!S100)),'Price History'!S100=0),"",'Price History'!S101/'Price History'!S100-1),"")</f>
        <v>0.0461135534561781</v>
      </c>
      <c r="T100" s="105" t="n">
        <f aca="false">IFERROR(IF(OR(NOT(ISNUMBER('Price History'!T101)),NOT(ISNUMBER('Price History'!T100)),'Price History'!T100=0),"",'Price History'!T101/'Price History'!T100-1),"")</f>
        <v>0.00856408792463603</v>
      </c>
      <c r="U100" s="105" t="str">
        <f aca="false">IFERROR(IF(OR(NOT(ISNUMBER('Price History'!U101)),NOT(ISNUMBER('Price History'!U100)),'Price History'!U100=0),"",'Price History'!U101/'Price History'!U100-1),"")</f>
        <v/>
      </c>
      <c r="V100" s="106" t="n">
        <f aca="false">IFERROR(IF(OR(NOT(ISNUMBER('Price History'!V101)),NOT(ISNUMBER('Price History'!V100)),'Price History'!V100=0),"",'Price History'!V101/'Price History'!V100-1),"")</f>
        <v>0.0296758030361777</v>
      </c>
      <c r="W100" s="107" t="n">
        <f aca="false">'Price History'!B3+('Price History'!B158-'Price History'!B3)*0.62987012987013</f>
        <v>345.918311688312</v>
      </c>
      <c r="X100" s="107" t="n">
        <f aca="false">'Price History'!C3+('Price History'!C158-'Price History'!C3)*0.62987012987013</f>
        <v>129.786558441558</v>
      </c>
      <c r="Y100" s="107" t="n">
        <f aca="false">'Price History'!D3+('Price History'!D158-'Price History'!D3)*0.62987012987013</f>
        <v>1271.00298701299</v>
      </c>
      <c r="Z100" s="107" t="n">
        <f aca="false">'Price History'!E3+('Price History'!E158-'Price History'!E3)*0.62987012987013</f>
        <v>275.909220779221</v>
      </c>
      <c r="AA100" s="107" t="n">
        <f aca="false">'Price History'!F3+('Price History'!F158-'Price History'!F3)*0.62987012987013</f>
        <v>133.934025974026</v>
      </c>
      <c r="AB100" s="107" t="n">
        <f aca="false">'Price History'!G3+('Price History'!G158-'Price History'!G3)*0.62987012987013</f>
        <v>132.882077922078</v>
      </c>
      <c r="AC100" s="107" t="n">
        <f aca="false">'Price History'!H3+('Price History'!H158-'Price History'!H3)*0.62987012987013</f>
        <v>542.227272727273</v>
      </c>
      <c r="AD100" s="107" t="n">
        <f aca="false">'Price History'!I3+('Price History'!I158-'Price History'!I3)*0.62987012987013</f>
        <v>141.566233766234</v>
      </c>
      <c r="AE100" s="107" t="n">
        <f aca="false">'Price History'!J3+('Price History'!J158-'Price History'!J3)*0.62987012987013</f>
        <v>136.80025974026</v>
      </c>
      <c r="AF100" s="107" t="n">
        <f aca="false">'Price History'!K3+('Price History'!K158-'Price History'!K3)*0.62987012987013</f>
        <v>83.2155194805195</v>
      </c>
      <c r="AG100" s="107" t="n">
        <f aca="false">'Price History'!L3+('Price History'!L158-'Price History'!L3)*0.62987012987013</f>
        <v>288.673246753247</v>
      </c>
      <c r="AH100" s="107" t="n">
        <f aca="false">'Price History'!M3+('Price History'!M158-'Price History'!M3)*0.62987012987013</f>
        <v>164.560779220779</v>
      </c>
      <c r="AI100" s="107" t="n">
        <f aca="false">'Price History'!N3+('Price History'!N158-'Price History'!N3)*0.62987012987013</f>
        <v>430.004675324675</v>
      </c>
      <c r="AJ100" s="107" t="n">
        <f aca="false">'Price History'!O3+('Price History'!O158-'Price History'!O3)*0.62987012987013</f>
        <v>109.57538961039</v>
      </c>
      <c r="AK100" s="107" t="n">
        <f aca="false">'Price History'!Q3+('Price History'!Q151-'Price History'!Q3)*0.62987012987013</f>
        <v>61.5618831168831</v>
      </c>
      <c r="AL100" s="107" t="n">
        <f aca="false">'Price History'!R3+('Price History'!R158-'Price History'!R3)*0.62987012987013</f>
        <v>54.3895454545455</v>
      </c>
      <c r="AM100" s="107" t="n">
        <f aca="false">'Price History'!S3+('Price History'!S158-'Price History'!S3)*0.62987012987013</f>
        <v>112.261623376623</v>
      </c>
      <c r="AN100" s="107" t="n">
        <f aca="false">'Price History'!T3+('Price History'!T158-'Price History'!T3)*0.62987012987013</f>
        <v>41.2899350649351</v>
      </c>
    </row>
    <row r="101" customFormat="false" ht="15" hidden="false" customHeight="true" outlineLevel="0" collapsed="false">
      <c r="A101" s="104" t="n">
        <f aca="false">IF('Price History'!A102="","",'Price History'!A102)</f>
        <v>45841</v>
      </c>
      <c r="B101" s="105" t="n">
        <f aca="false">IFERROR(IF(OR(NOT(ISNUMBER('Price History'!B102)),NOT(ISNUMBER('Price History'!B101)),'Price History'!B101=0),"",'Price History'!B102/'Price History'!B101-1),"")</f>
        <v>-0.0168986341134696</v>
      </c>
      <c r="C101" s="105" t="n">
        <f aca="false">IFERROR(IF(OR(NOT(ISNUMBER('Price History'!C102)),NOT(ISNUMBER('Price History'!C101)),'Price History'!C101=0),"",'Price History'!C102/'Price History'!C101-1),"")</f>
        <v>0.0314921018211087</v>
      </c>
      <c r="D101" s="105" t="n">
        <f aca="false">IFERROR(IF(OR(NOT(ISNUMBER('Price History'!D102)),NOT(ISNUMBER('Price History'!D101)),'Price History'!D101=0),"",'Price History'!D102/'Price History'!D101-1),"")</f>
        <v>-0.00182172247000445</v>
      </c>
      <c r="E101" s="105" t="n">
        <f aca="false">IFERROR(IF(OR(NOT(ISNUMBER('Price History'!E102)),NOT(ISNUMBER('Price History'!E101)),'Price History'!E101=0),"",'Price History'!E102/'Price History'!E101-1),"")</f>
        <v>0.0216447002041953</v>
      </c>
      <c r="F101" s="105" t="n">
        <f aca="false">IFERROR(IF(OR(NOT(ISNUMBER('Price History'!F102)),NOT(ISNUMBER('Price History'!F101)),'Price History'!F101=0),"",'Price History'!F102/'Price History'!F101-1),"")</f>
        <v>0.029640310822719</v>
      </c>
      <c r="G101" s="105" t="n">
        <f aca="false">IFERROR(IF(OR(NOT(ISNUMBER('Price History'!G102)),NOT(ISNUMBER('Price History'!G101)),'Price History'!G101=0),"",'Price History'!G102/'Price History'!G101-1),"")</f>
        <v>0.0389931452972243</v>
      </c>
      <c r="H101" s="105" t="n">
        <f aca="false">IFERROR(IF(OR(NOT(ISNUMBER('Price History'!H102)),NOT(ISNUMBER('Price History'!H101)),'Price History'!H101=0),"",'Price History'!H102/'Price History'!H101-1),"")</f>
        <v>-0.0197980121833921</v>
      </c>
      <c r="I101" s="105" t="n">
        <f aca="false">IFERROR(IF(OR(NOT(ISNUMBER('Price History'!I102)),NOT(ISNUMBER('Price History'!I101)),'Price History'!I101=0),"",'Price History'!I102/'Price History'!I101-1),"")</f>
        <v>0.0100792393026941</v>
      </c>
      <c r="J101" s="105" t="n">
        <f aca="false">IFERROR(IF(OR(NOT(ISNUMBER('Price History'!J102)),NOT(ISNUMBER('Price History'!J101)),'Price History'!J101=0),"",'Price History'!J102/'Price History'!J101-1),"")</f>
        <v>0.0227229691346336</v>
      </c>
      <c r="K101" s="105" t="n">
        <f aca="false">IFERROR(IF(OR(NOT(ISNUMBER('Price History'!K102)),NOT(ISNUMBER('Price History'!K101)),'Price History'!K101=0),"",'Price History'!K102/'Price History'!K101-1),"")</f>
        <v>0.0276885421447148</v>
      </c>
      <c r="L101" s="105" t="n">
        <f aca="false">IFERROR(IF(OR(NOT(ISNUMBER('Price History'!L102)),NOT(ISNUMBER('Price History'!L101)),'Price History'!L101=0),"",'Price History'!L102/'Price History'!L101-1),"")</f>
        <v>0.0272564203526273</v>
      </c>
      <c r="M101" s="105" t="n">
        <f aca="false">IFERROR(IF(OR(NOT(ISNUMBER('Price History'!M102)),NOT(ISNUMBER('Price History'!M101)),'Price History'!M101=0),"",'Price History'!M102/'Price History'!M101-1),"")</f>
        <v>0.00534759358288772</v>
      </c>
      <c r="N101" s="105" t="n">
        <f aca="false">IFERROR(IF(OR(NOT(ISNUMBER('Price History'!N102)),NOT(ISNUMBER('Price History'!N101)),'Price History'!N101=0),"",'Price History'!N102/'Price History'!N101-1),"")</f>
        <v>0.0415137094946747</v>
      </c>
      <c r="O101" s="105" t="n">
        <f aca="false">IFERROR(IF(OR(NOT(ISNUMBER('Price History'!O102)),NOT(ISNUMBER('Price History'!O101)),'Price History'!O101=0),"",'Price History'!O102/'Price History'!O101-1),"")</f>
        <v>0.041662098454117</v>
      </c>
      <c r="P101" s="105" t="str">
        <f aca="false">IFERROR(IF(OR(NOT(ISNUMBER('Price History'!P102)),NOT(ISNUMBER('Price History'!P101)),'Price History'!P101=0),"",'Price History'!P102/'Price History'!P101-1),"")</f>
        <v/>
      </c>
      <c r="Q101" s="105" t="n">
        <f aca="false">IFERROR(IF(OR(NOT(ISNUMBER('Price History'!Q102)),NOT(ISNUMBER('Price History'!Q101)),'Price History'!Q101=0),"",'Price History'!Q102/'Price History'!Q101-1),"")</f>
        <v>0.00359712230215825</v>
      </c>
      <c r="R101" s="105" t="n">
        <f aca="false">IFERROR(IF(OR(NOT(ISNUMBER('Price History'!R102)),NOT(ISNUMBER('Price History'!R101)),'Price History'!R101=0),"",'Price History'!R102/'Price History'!R101-1),"")</f>
        <v>-0.00202690252441506</v>
      </c>
      <c r="S101" s="105" t="n">
        <f aca="false">IFERROR(IF(OR(NOT(ISNUMBER('Price History'!S102)),NOT(ISNUMBER('Price History'!S101)),'Price History'!S101=0),"",'Price History'!S102/'Price History'!S101-1),"")</f>
        <v>0.00599070100143062</v>
      </c>
      <c r="T101" s="105" t="n">
        <f aca="false">IFERROR(IF(OR(NOT(ISNUMBER('Price History'!T102)),NOT(ISNUMBER('Price History'!T101)),'Price History'!T101=0),"",'Price History'!T102/'Price History'!T101-1),"")</f>
        <v>0.0124540050948203</v>
      </c>
      <c r="U101" s="105" t="str">
        <f aca="false">IFERROR(IF(OR(NOT(ISNUMBER('Price History'!U102)),NOT(ISNUMBER('Price History'!U101)),'Price History'!U101=0),"",'Price History'!U102/'Price History'!U101-1),"")</f>
        <v/>
      </c>
      <c r="V101" s="106" t="str">
        <f aca="false">IFERROR(IF(OR(NOT(ISNUMBER('Price History'!V102)),NOT(ISNUMBER('Price History'!V101)),'Price History'!V101=0),"",'Price History'!V102/'Price History'!V101-1),"")</f>
        <v/>
      </c>
      <c r="W101" s="107" t="n">
        <f aca="false">'Price History'!B3+('Price History'!B158-'Price History'!B3)*0.636363636363636</f>
        <v>344.242727272727</v>
      </c>
      <c r="X101" s="107" t="n">
        <f aca="false">'Price History'!C3+('Price History'!C158-'Price History'!C3)*0.636363636363636</f>
        <v>130.673636363636</v>
      </c>
      <c r="Y101" s="107" t="n">
        <f aca="false">'Price History'!D3+('Price History'!D158-'Price History'!D3)*0.636363636363636</f>
        <v>1277.28363636364</v>
      </c>
      <c r="Z101" s="107" t="n">
        <f aca="false">'Price History'!E3+('Price History'!E158-'Price History'!E3)*0.636363636363636</f>
        <v>277.898181818182</v>
      </c>
      <c r="AA101" s="107" t="n">
        <f aca="false">'Price History'!F3+('Price History'!F158-'Price History'!F3)*0.636363636363636</f>
        <v>134.932727272727</v>
      </c>
      <c r="AB101" s="107" t="n">
        <f aca="false">'Price History'!G3+('Price History'!G158-'Price History'!G3)*0.636363636363636</f>
        <v>133.758181818182</v>
      </c>
      <c r="AC101" s="107" t="n">
        <f aca="false">'Price History'!H3+('Price History'!H158-'Price History'!H3)*0.636363636363636</f>
        <v>547.153636363636</v>
      </c>
      <c r="AD101" s="107" t="n">
        <f aca="false">'Price History'!I3+('Price History'!I158-'Price History'!I3)*0.636363636363636</f>
        <v>142.604545454545</v>
      </c>
      <c r="AE101" s="107" t="n">
        <f aca="false">'Price History'!J3+('Price History'!J158-'Price History'!J3)*0.636363636363636</f>
        <v>136.937272727273</v>
      </c>
      <c r="AF101" s="107" t="n">
        <f aca="false">'Price History'!K3+('Price History'!K158-'Price History'!K3)*0.636363636363636</f>
        <v>83.9145454545454</v>
      </c>
      <c r="AG101" s="107" t="n">
        <f aca="false">'Price History'!L3+('Price History'!L158-'Price History'!L3)*0.636363636363636</f>
        <v>290.700909090909</v>
      </c>
      <c r="AH101" s="107" t="n">
        <f aca="false">'Price History'!M3+('Price History'!M158-'Price History'!M3)*0.636363636363636</f>
        <v>165.911818181818</v>
      </c>
      <c r="AI101" s="107" t="n">
        <f aca="false">'Price History'!N3+('Price History'!N158-'Price History'!N3)*0.636363636363636</f>
        <v>430.830909090909</v>
      </c>
      <c r="AJ101" s="107" t="n">
        <f aca="false">'Price History'!O3+('Price History'!O158-'Price History'!O3)*0.636363636363636</f>
        <v>109.850909090909</v>
      </c>
      <c r="AK101" s="107" t="n">
        <f aca="false">'Price History'!Q3+('Price History'!Q151-'Price History'!Q3)*0.636363636363636</f>
        <v>61.6827272727273</v>
      </c>
      <c r="AL101" s="107" t="n">
        <f aca="false">'Price History'!R3+('Price History'!R158-'Price History'!R3)*0.636363636363636</f>
        <v>54.4572727272727</v>
      </c>
      <c r="AM101" s="107" t="n">
        <f aca="false">'Price History'!S3+('Price History'!S158-'Price History'!S3)*0.636363636363636</f>
        <v>112.815454545455</v>
      </c>
      <c r="AN101" s="107" t="n">
        <f aca="false">'Price History'!T3+('Price History'!T158-'Price History'!T3)*0.636363636363636</f>
        <v>41.4381818181818</v>
      </c>
    </row>
    <row r="102" customFormat="false" ht="15" hidden="false" customHeight="true" outlineLevel="0" collapsed="false">
      <c r="A102" s="104" t="n">
        <f aca="false">IF('Price History'!A103="","",'Price History'!A103)</f>
        <v>45849</v>
      </c>
      <c r="B102" s="105" t="n">
        <f aca="false">IFERROR(IF(OR(NOT(ISNUMBER('Price History'!B103)),NOT(ISNUMBER('Price History'!B102)),'Price History'!B102=0),"",'Price History'!B103/'Price History'!B102-1),"")</f>
        <v>-0.0420764018876381</v>
      </c>
      <c r="C102" s="105" t="n">
        <f aca="false">IFERROR(IF(OR(NOT(ISNUMBER('Price History'!C103)),NOT(ISNUMBER('Price History'!C102)),'Price History'!C102=0),"",'Price History'!C103/'Price History'!C102-1),"")</f>
        <v>0.0590128755364807</v>
      </c>
      <c r="D102" s="105" t="n">
        <f aca="false">IFERROR(IF(OR(NOT(ISNUMBER('Price History'!D103)),NOT(ISNUMBER('Price History'!D102)),'Price History'!D102=0),"",'Price History'!D103/'Price History'!D102-1),"")</f>
        <v>0.00935179358086846</v>
      </c>
      <c r="E102" s="105" t="n">
        <f aca="false">IFERROR(IF(OR(NOT(ISNUMBER('Price History'!E103)),NOT(ISNUMBER('Price History'!E102)),'Price History'!E102=0),"",'Price History'!E103/'Price History'!E102-1),"")</f>
        <v>-0.00290718802238543</v>
      </c>
      <c r="F102" s="105" t="n">
        <f aca="false">IFERROR(IF(OR(NOT(ISNUMBER('Price History'!F103)),NOT(ISNUMBER('Price History'!F102)),'Price History'!F102=0),"",'Price History'!F103/'Price History'!F102-1),"")</f>
        <v>-0.0694001400451256</v>
      </c>
      <c r="G102" s="105" t="n">
        <f aca="false">IFERROR(IF(OR(NOT(ISNUMBER('Price History'!G103)),NOT(ISNUMBER('Price History'!G102)),'Price History'!G102=0),"",'Price History'!G103/'Price History'!G102-1),"")</f>
        <v>0</v>
      </c>
      <c r="H102" s="105" t="n">
        <f aca="false">IFERROR(IF(OR(NOT(ISNUMBER('Price History'!H103)),NOT(ISNUMBER('Price History'!H102)),'Price History'!H102=0),"",'Price History'!H103/'Price History'!H102-1),"")</f>
        <v>0.0183171150543788</v>
      </c>
      <c r="I102" s="105" t="n">
        <f aca="false">IFERROR(IF(OR(NOT(ISNUMBER('Price History'!I103)),NOT(ISNUMBER('Price History'!I102)),'Price History'!I102=0),"",'Price History'!I103/'Price History'!I102-1),"")</f>
        <v>0.0350194552529182</v>
      </c>
      <c r="J102" s="105" t="n">
        <f aca="false">IFERROR(IF(OR(NOT(ISNUMBER('Price History'!J103)),NOT(ISNUMBER('Price History'!J102)),'Price History'!J102=0),"",'Price History'!J103/'Price History'!J102-1),"")</f>
        <v>0.0106461766339567</v>
      </c>
      <c r="K102" s="105" t="n">
        <f aca="false">IFERROR(IF(OR(NOT(ISNUMBER('Price History'!K103)),NOT(ISNUMBER('Price History'!K102)),'Price History'!K102=0),"",'Price History'!K103/'Price History'!K102-1),"")</f>
        <v>0.0576064304852633</v>
      </c>
      <c r="L102" s="105" t="n">
        <f aca="false">IFERROR(IF(OR(NOT(ISNUMBER('Price History'!L103)),NOT(ISNUMBER('Price History'!L102)),'Price History'!L102=0),"",'Price History'!L103/'Price History'!L102-1),"")</f>
        <v>-0.0187393526405452</v>
      </c>
      <c r="M102" s="105" t="n">
        <f aca="false">IFERROR(IF(OR(NOT(ISNUMBER('Price History'!M103)),NOT(ISNUMBER('Price History'!M102)),'Price History'!M102=0),"",'Price History'!M103/'Price History'!M102-1),"")</f>
        <v>-0.0355131414267835</v>
      </c>
      <c r="N102" s="105" t="n">
        <f aca="false">IFERROR(IF(OR(NOT(ISNUMBER('Price History'!N103)),NOT(ISNUMBER('Price History'!N102)),'Price History'!N102=0),"",'Price History'!N103/'Price History'!N102-1),"")</f>
        <v>0.0200818067098909</v>
      </c>
      <c r="O102" s="105" t="n">
        <f aca="false">IFERROR(IF(OR(NOT(ISNUMBER('Price History'!O103)),NOT(ISNUMBER('Price History'!O102)),'Price History'!O102=0),"",'Price History'!O103/'Price History'!O102-1),"")</f>
        <v>-0.00136827702347131</v>
      </c>
      <c r="P102" s="105" t="str">
        <f aca="false">IFERROR(IF(OR(NOT(ISNUMBER('Price History'!P103)),NOT(ISNUMBER('Price History'!P102)),'Price History'!P102=0),"",'Price History'!P103/'Price History'!P102-1),"")</f>
        <v/>
      </c>
      <c r="Q102" s="105" t="n">
        <f aca="false">IFERROR(IF(OR(NOT(ISNUMBER('Price History'!Q103)),NOT(ISNUMBER('Price History'!Q102)),'Price History'!Q102=0),"",'Price History'!Q103/'Price History'!Q102-1),"")</f>
        <v>0.000155836060464543</v>
      </c>
      <c r="R102" s="105" t="n">
        <f aca="false">IFERROR(IF(OR(NOT(ISNUMBER('Price History'!R103)),NOT(ISNUMBER('Price History'!R102)),'Price History'!R102=0),"",'Price History'!R103/'Price History'!R102-1),"")</f>
        <v>0.00369276218611536</v>
      </c>
      <c r="S102" s="105" t="n">
        <f aca="false">IFERROR(IF(OR(NOT(ISNUMBER('Price History'!S103)),NOT(ISNUMBER('Price History'!S102)),'Price History'!S102=0),"",'Price History'!S103/'Price History'!S102-1),"")</f>
        <v>-0.00302195360412416</v>
      </c>
      <c r="T102" s="105" t="n">
        <f aca="false">IFERROR(IF(OR(NOT(ISNUMBER('Price History'!T103)),NOT(ISNUMBER('Price History'!T102)),'Price History'!T102=0),"",'Price History'!T103/'Price History'!T102-1),"")</f>
        <v>0.00195694716242656</v>
      </c>
      <c r="U102" s="105" t="str">
        <f aca="false">IFERROR(IF(OR(NOT(ISNUMBER('Price History'!U103)),NOT(ISNUMBER('Price History'!U102)),'Price History'!U102=0),"",'Price History'!U103/'Price History'!U102-1),"")</f>
        <v/>
      </c>
      <c r="V102" s="106" t="str">
        <f aca="false">IFERROR(IF(OR(NOT(ISNUMBER('Price History'!V103)),NOT(ISNUMBER('Price History'!V102)),'Price History'!V102=0),"",'Price History'!V103/'Price History'!V102-1),"")</f>
        <v/>
      </c>
      <c r="W102" s="107" t="n">
        <f aca="false">'Price History'!B3+('Price History'!B158-'Price History'!B3)*0.642857142857143</f>
        <v>342.567142857143</v>
      </c>
      <c r="X102" s="107" t="n">
        <f aca="false">'Price History'!C3+('Price History'!C158-'Price History'!C3)*0.642857142857143</f>
        <v>131.560714285714</v>
      </c>
      <c r="Y102" s="107" t="n">
        <f aca="false">'Price History'!D3+('Price History'!D158-'Price History'!D3)*0.642857142857143</f>
        <v>1283.56428571429</v>
      </c>
      <c r="Z102" s="107" t="n">
        <f aca="false">'Price History'!E3+('Price History'!E158-'Price History'!E3)*0.642857142857143</f>
        <v>279.887142857143</v>
      </c>
      <c r="AA102" s="107" t="n">
        <f aca="false">'Price History'!F3+('Price History'!F158-'Price History'!F3)*0.642857142857143</f>
        <v>135.931428571429</v>
      </c>
      <c r="AB102" s="107" t="n">
        <f aca="false">'Price History'!G3+('Price History'!G158-'Price History'!G3)*0.642857142857143</f>
        <v>134.634285714286</v>
      </c>
      <c r="AC102" s="107" t="n">
        <f aca="false">'Price History'!H3+('Price History'!H158-'Price History'!H3)*0.642857142857143</f>
        <v>552.08</v>
      </c>
      <c r="AD102" s="107" t="n">
        <f aca="false">'Price History'!I3+('Price History'!I158-'Price History'!I3)*0.642857142857143</f>
        <v>143.642857142857</v>
      </c>
      <c r="AE102" s="107" t="n">
        <f aca="false">'Price History'!J3+('Price History'!J158-'Price History'!J3)*0.642857142857143</f>
        <v>137.074285714286</v>
      </c>
      <c r="AF102" s="107" t="n">
        <f aca="false">'Price History'!K3+('Price History'!K158-'Price History'!K3)*0.642857142857143</f>
        <v>84.6135714285715</v>
      </c>
      <c r="AG102" s="107" t="n">
        <f aca="false">'Price History'!L3+('Price History'!L158-'Price History'!L3)*0.642857142857143</f>
        <v>292.728571428571</v>
      </c>
      <c r="AH102" s="107" t="n">
        <f aca="false">'Price History'!M3+('Price History'!M158-'Price History'!M3)*0.642857142857143</f>
        <v>167.262857142857</v>
      </c>
      <c r="AI102" s="107" t="n">
        <f aca="false">'Price History'!N3+('Price History'!N158-'Price History'!N3)*0.642857142857143</f>
        <v>431.657142857143</v>
      </c>
      <c r="AJ102" s="107" t="n">
        <f aca="false">'Price History'!O3+('Price History'!O158-'Price History'!O3)*0.642857142857143</f>
        <v>110.126428571429</v>
      </c>
      <c r="AK102" s="107" t="n">
        <f aca="false">'Price History'!Q3+('Price History'!Q151-'Price History'!Q3)*0.642857142857143</f>
        <v>61.8035714285714</v>
      </c>
      <c r="AL102" s="107" t="n">
        <f aca="false">'Price History'!R3+('Price History'!R158-'Price History'!R3)*0.642857142857143</f>
        <v>54.525</v>
      </c>
      <c r="AM102" s="107" t="n">
        <f aca="false">'Price History'!S3+('Price History'!S158-'Price History'!S3)*0.642857142857143</f>
        <v>113.369285714286</v>
      </c>
      <c r="AN102" s="107" t="n">
        <f aca="false">'Price History'!T3+('Price History'!T158-'Price History'!T3)*0.642857142857143</f>
        <v>41.5864285714286</v>
      </c>
    </row>
    <row r="103" customFormat="false" ht="15" hidden="false" customHeight="true" outlineLevel="0" collapsed="false">
      <c r="A103" s="104" t="n">
        <f aca="false">IF('Price History'!A104="","",'Price History'!A104)</f>
        <v>45856</v>
      </c>
      <c r="B103" s="105" t="n">
        <f aca="false">IFERROR(IF(OR(NOT(ISNUMBER('Price History'!B104)),NOT(ISNUMBER('Price History'!B103)),'Price History'!B103=0),"",'Price History'!B104/'Price History'!B103-1),"")</f>
        <v>0.00671528828952805</v>
      </c>
      <c r="C103" s="105" t="n">
        <f aca="false">IFERROR(IF(OR(NOT(ISNUMBER('Price History'!C104)),NOT(ISNUMBER('Price History'!C103)),'Price History'!C103=0),"",'Price History'!C104/'Price History'!C103-1),"")</f>
        <v>0.0295661785023489</v>
      </c>
      <c r="D103" s="105" t="n">
        <f aca="false">IFERROR(IF(OR(NOT(ISNUMBER('Price History'!D104)),NOT(ISNUMBER('Price History'!D103)),'Price History'!D103=0),"",'Price History'!D104/'Price History'!D103-1),"")</f>
        <v>-0.0839848864614118</v>
      </c>
      <c r="E103" s="105" t="n">
        <f aca="false">IFERROR(IF(OR(NOT(ISNUMBER('Price History'!E104)),NOT(ISNUMBER('Price History'!E103)),'Price History'!E103=0),"",'Price History'!E104/'Price History'!E103-1),"")</f>
        <v>0.0326554413586995</v>
      </c>
      <c r="F103" s="105" t="n">
        <f aca="false">IFERROR(IF(OR(NOT(ISNUMBER('Price History'!F104)),NOT(ISNUMBER('Price History'!F103)),'Price History'!F103=0),"",'Price History'!F104/'Price History'!F103-1),"")</f>
        <v>-0.00518351308419029</v>
      </c>
      <c r="G103" s="105" t="n">
        <f aca="false">IFERROR(IF(OR(NOT(ISNUMBER('Price History'!G104)),NOT(ISNUMBER('Price History'!G103)),'Price History'!G103=0),"",'Price History'!G104/'Price History'!G103-1),"")</f>
        <v>0.00703006705602438</v>
      </c>
      <c r="H103" s="105" t="n">
        <f aca="false">IFERROR(IF(OR(NOT(ISNUMBER('Price History'!H104)),NOT(ISNUMBER('Price History'!H103)),'Price History'!H103=0),"",'Price History'!H104/'Price History'!H103-1),"")</f>
        <v>-0.0814261623705131</v>
      </c>
      <c r="I103" s="105" t="n">
        <f aca="false">IFERROR(IF(OR(NOT(ISNUMBER('Price History'!I104)),NOT(ISNUMBER('Price History'!I103)),'Price History'!I103=0),"",'Price History'!I104/'Price History'!I103-1),"")</f>
        <v>0.0454159592529713</v>
      </c>
      <c r="J103" s="105" t="n">
        <f aca="false">IFERROR(IF(OR(NOT(ISNUMBER('Price History'!J104)),NOT(ISNUMBER('Price History'!J103)),'Price History'!J103=0),"",'Price History'!J104/'Price History'!J103-1),"")</f>
        <v>-0.0218924612988917</v>
      </c>
      <c r="K103" s="105" t="n">
        <f aca="false">IFERROR(IF(OR(NOT(ISNUMBER('Price History'!K104)),NOT(ISNUMBER('Price History'!K103)),'Price History'!K103=0),"",'Price History'!K104/'Price History'!K103-1),"")</f>
        <v>0.08036593947924</v>
      </c>
      <c r="L103" s="105" t="n">
        <f aca="false">IFERROR(IF(OR(NOT(ISNUMBER('Price History'!L104)),NOT(ISNUMBER('Price History'!L103)),'Price History'!L103=0),"",'Price History'!L104/'Price History'!L103-1),"")</f>
        <v>0.0434027777777777</v>
      </c>
      <c r="M103" s="105" t="n">
        <f aca="false">IFERROR(IF(OR(NOT(ISNUMBER('Price History'!M104)),NOT(ISNUMBER('Price History'!M103)),'Price History'!M103=0),"",'Price History'!M104/'Price History'!M103-1),"")</f>
        <v>0.0467153284671533</v>
      </c>
      <c r="N103" s="105" t="n">
        <f aca="false">IFERROR(IF(OR(NOT(ISNUMBER('Price History'!N104)),NOT(ISNUMBER('Price History'!N103)),'Price History'!N103=0),"",'Price History'!N104/'Price History'!N103-1),"")</f>
        <v>-0.0192812200063986</v>
      </c>
      <c r="O103" s="105" t="n">
        <f aca="false">IFERROR(IF(OR(NOT(ISNUMBER('Price History'!O104)),NOT(ISNUMBER('Price History'!O103)),'Price History'!O103=0),"",'Price History'!O104/'Price History'!O103-1),"")</f>
        <v>-0.0116989881956155</v>
      </c>
      <c r="P103" s="105" t="str">
        <f aca="false">IFERROR(IF(OR(NOT(ISNUMBER('Price History'!P104)),NOT(ISNUMBER('Price History'!P103)),'Price History'!P103=0),"",'Price History'!P104/'Price History'!P103-1),"")</f>
        <v/>
      </c>
      <c r="Q103" s="105" t="n">
        <f aca="false">IFERROR(IF(OR(NOT(ISNUMBER('Price History'!Q104)),NOT(ISNUMBER('Price History'!Q103)),'Price History'!Q103=0),"",'Price History'!Q104/'Price History'!Q103-1),"")</f>
        <v>0.00218136491118703</v>
      </c>
      <c r="R103" s="105" t="n">
        <f aca="false">IFERROR(IF(OR(NOT(ISNUMBER('Price History'!R104)),NOT(ISNUMBER('Price History'!R103)),'Price History'!R103=0),"",'Price History'!R104/'Price History'!R103-1),"")</f>
        <v>0.00607064017660042</v>
      </c>
      <c r="S103" s="105" t="n">
        <f aca="false">IFERROR(IF(OR(NOT(ISNUMBER('Price History'!S104)),NOT(ISNUMBER('Price History'!S103)),'Price History'!S103=0),"",'Price History'!S104/'Price History'!S103-1),"")</f>
        <v>0.014798965855398</v>
      </c>
      <c r="T103" s="105" t="n">
        <f aca="false">IFERROR(IF(OR(NOT(ISNUMBER('Price History'!T104)),NOT(ISNUMBER('Price History'!T103)),'Price History'!T103=0),"",'Price History'!T104/'Price History'!T103-1),"")</f>
        <v>-0.0212053571428573</v>
      </c>
      <c r="U103" s="105" t="str">
        <f aca="false">IFERROR(IF(OR(NOT(ISNUMBER('Price History'!U104)),NOT(ISNUMBER('Price History'!U103)),'Price History'!U103=0),"",'Price History'!U104/'Price History'!U103-1),"")</f>
        <v/>
      </c>
      <c r="V103" s="106" t="n">
        <f aca="false">IFERROR(IF(OR(NOT(ISNUMBER('Price History'!V104)),NOT(ISNUMBER('Price History'!V103)),'Price History'!V103=0),"",'Price History'!V104/'Price History'!V103-1),"")</f>
        <v>0.00322149988390996</v>
      </c>
      <c r="W103" s="107" t="n">
        <f aca="false">'Price History'!B3+('Price History'!B158-'Price History'!B3)*0.649350649350649</f>
        <v>340.891558441559</v>
      </c>
      <c r="X103" s="107" t="n">
        <f aca="false">'Price History'!C3+('Price History'!C158-'Price History'!C3)*0.649350649350649</f>
        <v>132.447792207792</v>
      </c>
      <c r="Y103" s="107" t="n">
        <f aca="false">'Price History'!D3+('Price History'!D158-'Price History'!D3)*0.649350649350649</f>
        <v>1289.84493506493</v>
      </c>
      <c r="Z103" s="107" t="n">
        <f aca="false">'Price History'!E3+('Price History'!E158-'Price History'!E3)*0.649350649350649</f>
        <v>281.876103896104</v>
      </c>
      <c r="AA103" s="107" t="n">
        <f aca="false">'Price History'!F3+('Price History'!F158-'Price History'!F3)*0.649350649350649</f>
        <v>136.93012987013</v>
      </c>
      <c r="AB103" s="107" t="n">
        <f aca="false">'Price History'!G3+('Price History'!G158-'Price History'!G3)*0.649350649350649</f>
        <v>135.51038961039</v>
      </c>
      <c r="AC103" s="107" t="n">
        <f aca="false">'Price History'!H3+('Price History'!H158-'Price History'!H3)*0.649350649350649</f>
        <v>557.006363636363</v>
      </c>
      <c r="AD103" s="107" t="n">
        <f aca="false">'Price History'!I3+('Price History'!I158-'Price History'!I3)*0.649350649350649</f>
        <v>144.681168831169</v>
      </c>
      <c r="AE103" s="107" t="n">
        <f aca="false">'Price History'!J3+('Price History'!J158-'Price History'!J3)*0.649350649350649</f>
        <v>137.211298701299</v>
      </c>
      <c r="AF103" s="107" t="n">
        <f aca="false">'Price History'!K3+('Price History'!K158-'Price History'!K3)*0.649350649350649</f>
        <v>85.3125974025974</v>
      </c>
      <c r="AG103" s="107" t="n">
        <f aca="false">'Price History'!L3+('Price History'!L158-'Price History'!L3)*0.649350649350649</f>
        <v>294.756233766234</v>
      </c>
      <c r="AH103" s="107" t="n">
        <f aca="false">'Price History'!M3+('Price History'!M158-'Price History'!M3)*0.649350649350649</f>
        <v>168.613896103896</v>
      </c>
      <c r="AI103" s="107" t="n">
        <f aca="false">'Price History'!N3+('Price History'!N158-'Price History'!N3)*0.649350649350649</f>
        <v>432.483376623377</v>
      </c>
      <c r="AJ103" s="107" t="n">
        <f aca="false">'Price History'!O3+('Price History'!O158-'Price History'!O3)*0.649350649350649</f>
        <v>110.401948051948</v>
      </c>
      <c r="AK103" s="107" t="n">
        <f aca="false">'Price History'!Q3+('Price History'!Q151-'Price History'!Q3)*0.649350649350649</f>
        <v>61.9244155844156</v>
      </c>
      <c r="AL103" s="107" t="n">
        <f aca="false">'Price History'!R3+('Price History'!R158-'Price History'!R3)*0.649350649350649</f>
        <v>54.5927272727273</v>
      </c>
      <c r="AM103" s="107" t="n">
        <f aca="false">'Price History'!S3+('Price History'!S158-'Price History'!S3)*0.649350649350649</f>
        <v>113.923116883117</v>
      </c>
      <c r="AN103" s="107" t="n">
        <f aca="false">'Price History'!T3+('Price History'!T158-'Price History'!T3)*0.649350649350649</f>
        <v>41.7346753246753</v>
      </c>
    </row>
    <row r="104" customFormat="false" ht="15" hidden="false" customHeight="true" outlineLevel="0" collapsed="false">
      <c r="A104" s="104" t="n">
        <f aca="false">IF('Price History'!A105="","",'Price History'!A105)</f>
        <v>45863</v>
      </c>
      <c r="B104" s="105" t="n">
        <f aca="false">IFERROR(IF(OR(NOT(ISNUMBER('Price History'!B105)),NOT(ISNUMBER('Price History'!B104)),'Price History'!B104=0),"",'Price History'!B105/'Price History'!B104-1),"")</f>
        <v>0.0135323546297055</v>
      </c>
      <c r="C104" s="105" t="n">
        <f aca="false">IFERROR(IF(OR(NOT(ISNUMBER('Price History'!C105)),NOT(ISNUMBER('Price History'!C104)),'Price History'!C104=0),"",'Price History'!C105/'Price History'!C104-1),"")</f>
        <v>0.0223653605296117</v>
      </c>
      <c r="D104" s="105" t="n">
        <f aca="false">IFERROR(IF(OR(NOT(ISNUMBER('Price History'!D105)),NOT(ISNUMBER('Price History'!D104)),'Price History'!D104=0),"",'Price History'!D105/'Price History'!D104-1),"")</f>
        <v>-0.0317596449671922</v>
      </c>
      <c r="E104" s="105" t="n">
        <f aca="false">IFERROR(IF(OR(NOT(ISNUMBER('Price History'!E105)),NOT(ISNUMBER('Price History'!E104)),'Price History'!E104=0),"",'Price History'!E105/'Price History'!E104-1),"")</f>
        <v>0.0241406084562716</v>
      </c>
      <c r="F104" s="105" t="n">
        <f aca="false">IFERROR(IF(OR(NOT(ISNUMBER('Price History'!F105)),NOT(ISNUMBER('Price History'!F104)),'Price History'!F104=0),"",'Price History'!F105/'Price History'!F104-1),"")</f>
        <v>-0.0168921758130934</v>
      </c>
      <c r="G104" s="105" t="n">
        <f aca="false">IFERROR(IF(OR(NOT(ISNUMBER('Price History'!G105)),NOT(ISNUMBER('Price History'!G104)),'Price History'!G104=0),"",'Price History'!G105/'Price History'!G104-1),"")</f>
        <v>-0.0311459563956611</v>
      </c>
      <c r="H104" s="105" t="n">
        <f aca="false">IFERROR(IF(OR(NOT(ISNUMBER('Price History'!H105)),NOT(ISNUMBER('Price History'!H104)),'Price History'!H104=0),"",'Price History'!H105/'Price History'!H104-1),"")</f>
        <v>-0.0273625316898329</v>
      </c>
      <c r="I104" s="105" t="n">
        <f aca="false">IFERROR(IF(OR(NOT(ISNUMBER('Price History'!I105)),NOT(ISNUMBER('Price History'!I104)),'Price History'!I104=0),"",'Price History'!I105/'Price History'!I104-1),"")</f>
        <v>0.00632213908706003</v>
      </c>
      <c r="J104" s="105" t="n">
        <f aca="false">IFERROR(IF(OR(NOT(ISNUMBER('Price History'!J105)),NOT(ISNUMBER('Price History'!J104)),'Price History'!J104=0),"",'Price History'!J105/'Price History'!J104-1),"")</f>
        <v>0.0328713242180183</v>
      </c>
      <c r="K104" s="105" t="n">
        <f aca="false">IFERROR(IF(OR(NOT(ISNUMBER('Price History'!K105)),NOT(ISNUMBER('Price History'!K104)),'Price History'!K104=0),"",'Price History'!K105/'Price History'!K104-1),"")</f>
        <v>0.0343929129755081</v>
      </c>
      <c r="L104" s="105" t="n">
        <f aca="false">IFERROR(IF(OR(NOT(ISNUMBER('Price History'!L105)),NOT(ISNUMBER('Price History'!L104)),'Price History'!L104=0),"",'Price History'!L105/'Price History'!L104-1),"")</f>
        <v>0.021630615640599</v>
      </c>
      <c r="M104" s="105" t="n">
        <f aca="false">IFERROR(IF(OR(NOT(ISNUMBER('Price History'!M105)),NOT(ISNUMBER('Price History'!M104)),'Price History'!M104=0),"",'Price History'!M105/'Price History'!M104-1),"")</f>
        <v>0.0651634898496822</v>
      </c>
      <c r="N104" s="105" t="n">
        <f aca="false">IFERROR(IF(OR(NOT(ISNUMBER('Price History'!N105)),NOT(ISNUMBER('Price History'!N104)),'Price History'!N104=0),"",'Price History'!N105/'Price History'!N104-1),"")</f>
        <v>0.0214001435375482</v>
      </c>
      <c r="O104" s="105" t="n">
        <f aca="false">IFERROR(IF(OR(NOT(ISNUMBER('Price History'!O105)),NOT(ISNUMBER('Price History'!O104)),'Price History'!O104=0),"",'Price History'!O105/'Price History'!O104-1),"")</f>
        <v>0.014716860403114</v>
      </c>
      <c r="P104" s="105" t="str">
        <f aca="false">IFERROR(IF(OR(NOT(ISNUMBER('Price History'!P105)),NOT(ISNUMBER('Price History'!P104)),'Price History'!P104=0),"",'Price History'!P105/'Price History'!P104-1),"")</f>
        <v/>
      </c>
      <c r="Q104" s="105" t="n">
        <f aca="false">IFERROR(IF(OR(NOT(ISNUMBER('Price History'!Q105)),NOT(ISNUMBER('Price History'!Q104)),'Price History'!Q104=0),"",'Price History'!Q105/'Price History'!Q104-1),"")</f>
        <v>0.00855099502487589</v>
      </c>
      <c r="R104" s="105" t="n">
        <f aca="false">IFERROR(IF(OR(NOT(ISNUMBER('Price History'!R105)),NOT(ISNUMBER('Price History'!R104)),'Price History'!R104=0),"",'Price History'!R105/'Price History'!R104-1),"")</f>
        <v>0.00713110257816796</v>
      </c>
      <c r="S104" s="105" t="n">
        <f aca="false">IFERROR(IF(OR(NOT(ISNUMBER('Price History'!S105)),NOT(ISNUMBER('Price History'!S104)),'Price History'!S104=0),"",'Price History'!S105/'Price History'!S104-1),"")</f>
        <v>0.0105420363700255</v>
      </c>
      <c r="T104" s="105" t="n">
        <f aca="false">IFERROR(IF(OR(NOT(ISNUMBER('Price History'!T105)),NOT(ISNUMBER('Price History'!T104)),'Price History'!T104=0),"",'Price History'!T105/'Price History'!T104-1),"")</f>
        <v>0.0219498289623719</v>
      </c>
      <c r="U104" s="105" t="str">
        <f aca="false">IFERROR(IF(OR(NOT(ISNUMBER('Price History'!U105)),NOT(ISNUMBER('Price History'!U104)),'Price History'!U104=0),"",'Price History'!U105/'Price History'!U104-1),"")</f>
        <v/>
      </c>
      <c r="V104" s="106" t="n">
        <f aca="false">IFERROR(IF(OR(NOT(ISNUMBER('Price History'!V105)),NOT(ISNUMBER('Price History'!V104)),'Price History'!V104=0),"",'Price History'!V105/'Price History'!V104-1),"")</f>
        <v>0.0229120259206757</v>
      </c>
      <c r="W104" s="107" t="n">
        <f aca="false">'Price History'!B3+('Price History'!B158-'Price History'!B3)*0.655844155844156</f>
        <v>339.215974025974</v>
      </c>
      <c r="X104" s="107" t="n">
        <f aca="false">'Price History'!C3+('Price History'!C158-'Price History'!C3)*0.655844155844156</f>
        <v>133.33487012987</v>
      </c>
      <c r="Y104" s="107" t="n">
        <f aca="false">'Price History'!D3+('Price History'!D158-'Price History'!D3)*0.655844155844156</f>
        <v>1296.12558441558</v>
      </c>
      <c r="Z104" s="107" t="n">
        <f aca="false">'Price History'!E3+('Price History'!E158-'Price History'!E3)*0.655844155844156</f>
        <v>283.865064935065</v>
      </c>
      <c r="AA104" s="107" t="n">
        <f aca="false">'Price History'!F3+('Price History'!F158-'Price History'!F3)*0.655844155844156</f>
        <v>137.928831168831</v>
      </c>
      <c r="AB104" s="107" t="n">
        <f aca="false">'Price History'!G3+('Price History'!G158-'Price History'!G3)*0.655844155844156</f>
        <v>136.386493506494</v>
      </c>
      <c r="AC104" s="107" t="n">
        <f aca="false">'Price History'!H3+('Price History'!H158-'Price History'!H3)*0.655844155844156</f>
        <v>561.932727272727</v>
      </c>
      <c r="AD104" s="107" t="n">
        <f aca="false">'Price History'!I3+('Price History'!I158-'Price History'!I3)*0.655844155844156</f>
        <v>145.719480519481</v>
      </c>
      <c r="AE104" s="107" t="n">
        <f aca="false">'Price History'!J3+('Price History'!J158-'Price History'!J3)*0.655844155844156</f>
        <v>137.348311688312</v>
      </c>
      <c r="AF104" s="107" t="n">
        <f aca="false">'Price History'!K3+('Price History'!K158-'Price History'!K3)*0.655844155844156</f>
        <v>86.0116233766234</v>
      </c>
      <c r="AG104" s="107" t="n">
        <f aca="false">'Price History'!L3+('Price History'!L158-'Price History'!L3)*0.655844155844156</f>
        <v>296.783896103896</v>
      </c>
      <c r="AH104" s="107" t="n">
        <f aca="false">'Price History'!M3+('Price History'!M158-'Price History'!M3)*0.655844155844156</f>
        <v>169.964935064935</v>
      </c>
      <c r="AI104" s="107" t="n">
        <f aca="false">'Price History'!N3+('Price History'!N158-'Price History'!N3)*0.655844155844156</f>
        <v>433.30961038961</v>
      </c>
      <c r="AJ104" s="107" t="n">
        <f aca="false">'Price History'!O3+('Price History'!O158-'Price History'!O3)*0.655844155844156</f>
        <v>110.677467532468</v>
      </c>
      <c r="AK104" s="107" t="n">
        <f aca="false">'Price History'!Q3+('Price History'!Q151-'Price History'!Q3)*0.655844155844156</f>
        <v>62.0452597402597</v>
      </c>
      <c r="AL104" s="107" t="n">
        <f aca="false">'Price History'!R3+('Price History'!R158-'Price History'!R3)*0.655844155844156</f>
        <v>54.6604545454546</v>
      </c>
      <c r="AM104" s="107" t="n">
        <f aca="false">'Price History'!S3+('Price History'!S158-'Price History'!S3)*0.655844155844156</f>
        <v>114.476948051948</v>
      </c>
      <c r="AN104" s="107" t="n">
        <f aca="false">'Price History'!T3+('Price History'!T158-'Price History'!T3)*0.655844155844156</f>
        <v>41.8829220779221</v>
      </c>
    </row>
    <row r="105" customFormat="false" ht="15" hidden="false" customHeight="true" outlineLevel="0" collapsed="false">
      <c r="A105" s="104" t="n">
        <f aca="false">IF('Price History'!A106="","",'Price History'!A106)</f>
        <v>45870</v>
      </c>
      <c r="B105" s="105" t="n">
        <f aca="false">IFERROR(IF(OR(NOT(ISNUMBER('Price History'!B106)),NOT(ISNUMBER('Price History'!B105)),'Price History'!B105=0),"",'Price History'!B106/'Price History'!B105-1),"")</f>
        <v>-0.06187624750499</v>
      </c>
      <c r="C105" s="105" t="n">
        <f aca="false">IFERROR(IF(OR(NOT(ISNUMBER('Price History'!C106)),NOT(ISNUMBER('Price History'!C105)),'Price History'!C105=0),"",'Price History'!C106/'Price History'!C105-1),"")</f>
        <v>0.0287889394469723</v>
      </c>
      <c r="D105" s="105" t="n">
        <f aca="false">IFERROR(IF(OR(NOT(ISNUMBER('Price History'!D106)),NOT(ISNUMBER('Price History'!D105)),'Price History'!D105=0),"",'Price History'!D106/'Price History'!D105-1),"")</f>
        <v>-0.0301300527240772</v>
      </c>
      <c r="E105" s="105" t="n">
        <f aca="false">IFERROR(IF(OR(NOT(ISNUMBER('Price History'!E106)),NOT(ISNUMBER('Price History'!E105)),'Price History'!E105=0),"",'Price History'!E106/'Price History'!E105-1),"")</f>
        <v>-0.00530705079605764</v>
      </c>
      <c r="F105" s="105" t="n">
        <f aca="false">IFERROR(IF(OR(NOT(ISNUMBER('Price History'!F106)),NOT(ISNUMBER('Price History'!F105)),'Price History'!F105=0),"",'Price History'!F106/'Price History'!F105-1),"")</f>
        <v>-0.0453923747649171</v>
      </c>
      <c r="G105" s="105" t="n">
        <f aca="false">IFERROR(IF(OR(NOT(ISNUMBER('Price History'!G106)),NOT(ISNUMBER('Price History'!G105)),'Price History'!G105=0),"",'Price History'!G106/'Price History'!G105-1),"")</f>
        <v>-0.0171821305841924</v>
      </c>
      <c r="H105" s="105" t="n">
        <f aca="false">IFERROR(IF(OR(NOT(ISNUMBER('Price History'!H106)),NOT(ISNUMBER('Price History'!H105)),'Price History'!H105=0),"",'Price History'!H106/'Price History'!H105-1),"")</f>
        <v>-0.0573431601653784</v>
      </c>
      <c r="I105" s="105" t="n">
        <f aca="false">IFERROR(IF(OR(NOT(ISNUMBER('Price History'!I106)),NOT(ISNUMBER('Price History'!I105)),'Price History'!I105=0),"",'Price History'!I106/'Price History'!I105-1),"")</f>
        <v>0.00126801152737754</v>
      </c>
      <c r="J105" s="105" t="n">
        <f aca="false">IFERROR(IF(OR(NOT(ISNUMBER('Price History'!J106)),NOT(ISNUMBER('Price History'!J105)),'Price History'!J105=0),"",'Price History'!J106/'Price History'!J105-1),"")</f>
        <v>-0.0487804878048781</v>
      </c>
      <c r="K105" s="105" t="n">
        <f aca="false">IFERROR(IF(OR(NOT(ISNUMBER('Price History'!K106)),NOT(ISNUMBER('Price History'!K105)),'Price History'!K105=0),"",'Price History'!K106/'Price History'!K105-1),"")</f>
        <v>-0.0285264483627204</v>
      </c>
      <c r="L105" s="105" t="n">
        <f aca="false">IFERROR(IF(OR(NOT(ISNUMBER('Price History'!L106)),NOT(ISNUMBER('Price History'!L105)),'Price History'!L105=0),"",'Price History'!L106/'Price History'!L105-1),"")</f>
        <v>-0.0423045602605863</v>
      </c>
      <c r="M105" s="105" t="n">
        <f aca="false">IFERROR(IF(OR(NOT(ISNUMBER('Price History'!M106)),NOT(ISNUMBER('Price History'!M105)),'Price History'!M105=0),"",'Price History'!M106/'Price History'!M105-1),"")</f>
        <v>0.0299701753109769</v>
      </c>
      <c r="N105" s="105" t="n">
        <f aca="false">IFERROR(IF(OR(NOT(ISNUMBER('Price History'!N106)),NOT(ISNUMBER('Price History'!N105)),'Price History'!N105=0),"",'Price History'!N106/'Price History'!N105-1),"")</f>
        <v>-0.0160119237730224</v>
      </c>
      <c r="O105" s="105" t="n">
        <f aca="false">IFERROR(IF(OR(NOT(ISNUMBER('Price History'!O106)),NOT(ISNUMBER('Price History'!O105)),'Price History'!O105=0),"",'Price History'!O106/'Price History'!O105-1),"")</f>
        <v>-0.0502364687335786</v>
      </c>
      <c r="P105" s="105" t="str">
        <f aca="false">IFERROR(IF(OR(NOT(ISNUMBER('Price History'!P106)),NOT(ISNUMBER('Price History'!P105)),'Price History'!P105=0),"",'Price History'!P106/'Price History'!P105-1),"")</f>
        <v/>
      </c>
      <c r="Q105" s="105" t="n">
        <f aca="false">IFERROR(IF(OR(NOT(ISNUMBER('Price History'!Q106)),NOT(ISNUMBER('Price History'!Q105)),'Price History'!Q105=0),"",'Price History'!Q106/'Price History'!Q105-1),"")</f>
        <v>0.00200400801603196</v>
      </c>
      <c r="R105" s="105" t="n">
        <f aca="false">IFERROR(IF(OR(NOT(ISNUMBER('Price History'!R106)),NOT(ISNUMBER('Price History'!R105)),'Price History'!R105=0),"",'Price History'!R106/'Price History'!R105-1),"")</f>
        <v>-0.0230573710965867</v>
      </c>
      <c r="S105" s="105" t="n">
        <f aca="false">IFERROR(IF(OR(NOT(ISNUMBER('Price History'!S106)),NOT(ISNUMBER('Price History'!S105)),'Price History'!S105=0),"",'Price History'!S106/'Price History'!S105-1),"")</f>
        <v>-0.0156480918021386</v>
      </c>
      <c r="T105" s="105" t="n">
        <f aca="false">IFERROR(IF(OR(NOT(ISNUMBER('Price History'!T106)),NOT(ISNUMBER('Price History'!T105)),'Price History'!T105=0),"",'Price History'!T106/'Price History'!T105-1),"")</f>
        <v>-0.0418410041841004</v>
      </c>
      <c r="U105" s="105" t="str">
        <f aca="false">IFERROR(IF(OR(NOT(ISNUMBER('Price History'!U106)),NOT(ISNUMBER('Price History'!U105)),'Price History'!U105=0),"",'Price History'!U106/'Price History'!U105-1),"")</f>
        <v/>
      </c>
      <c r="V105" s="106" t="n">
        <f aca="false">IFERROR(IF(OR(NOT(ISNUMBER('Price History'!V106)),NOT(ISNUMBER('Price History'!V105)),'Price History'!V105=0),"",'Price History'!V106/'Price History'!V105-1),"")</f>
        <v>-0.0495489125823694</v>
      </c>
      <c r="W105" s="107" t="n">
        <f aca="false">'Price History'!B3+('Price History'!B158-'Price History'!B3)*0.662337662337662</f>
        <v>337.54038961039</v>
      </c>
      <c r="X105" s="107" t="n">
        <f aca="false">'Price History'!C3+('Price History'!C158-'Price History'!C3)*0.662337662337662</f>
        <v>134.221948051948</v>
      </c>
      <c r="Y105" s="107" t="n">
        <f aca="false">'Price History'!D3+('Price History'!D158-'Price History'!D3)*0.662337662337662</f>
        <v>1302.40623376623</v>
      </c>
      <c r="Z105" s="107" t="n">
        <f aca="false">'Price History'!E3+('Price History'!E158-'Price History'!E3)*0.662337662337662</f>
        <v>285.854025974026</v>
      </c>
      <c r="AA105" s="107" t="n">
        <f aca="false">'Price History'!F3+('Price History'!F158-'Price History'!F3)*0.662337662337662</f>
        <v>138.927532467532</v>
      </c>
      <c r="AB105" s="107" t="n">
        <f aca="false">'Price History'!G3+('Price History'!G158-'Price History'!G3)*0.662337662337662</f>
        <v>137.262597402597</v>
      </c>
      <c r="AC105" s="107" t="n">
        <f aca="false">'Price History'!H3+('Price History'!H158-'Price History'!H3)*0.662337662337662</f>
        <v>566.859090909091</v>
      </c>
      <c r="AD105" s="107" t="n">
        <f aca="false">'Price History'!I3+('Price History'!I158-'Price History'!I3)*0.662337662337662</f>
        <v>146.757792207792</v>
      </c>
      <c r="AE105" s="107" t="n">
        <f aca="false">'Price History'!J3+('Price History'!J158-'Price History'!J3)*0.662337662337662</f>
        <v>137.485324675325</v>
      </c>
      <c r="AF105" s="107" t="n">
        <f aca="false">'Price History'!K3+('Price History'!K158-'Price History'!K3)*0.662337662337662</f>
        <v>86.7106493506493</v>
      </c>
      <c r="AG105" s="107" t="n">
        <f aca="false">'Price History'!L3+('Price History'!L158-'Price History'!L3)*0.662337662337662</f>
        <v>298.811558441558</v>
      </c>
      <c r="AH105" s="107" t="n">
        <f aca="false">'Price History'!M3+('Price History'!M158-'Price History'!M3)*0.662337662337662</f>
        <v>171.315974025974</v>
      </c>
      <c r="AI105" s="107" t="n">
        <f aca="false">'Price History'!N3+('Price History'!N158-'Price History'!N3)*0.662337662337662</f>
        <v>434.135844155844</v>
      </c>
      <c r="AJ105" s="107" t="n">
        <f aca="false">'Price History'!O3+('Price History'!O158-'Price History'!O3)*0.662337662337662</f>
        <v>110.952987012987</v>
      </c>
      <c r="AK105" s="107" t="n">
        <f aca="false">'Price History'!Q3+('Price History'!Q151-'Price History'!Q3)*0.662337662337662</f>
        <v>62.1661038961039</v>
      </c>
      <c r="AL105" s="107" t="n">
        <f aca="false">'Price History'!R3+('Price History'!R158-'Price History'!R3)*0.662337662337662</f>
        <v>54.7281818181818</v>
      </c>
      <c r="AM105" s="107" t="n">
        <f aca="false">'Price History'!S3+('Price History'!S158-'Price History'!S3)*0.662337662337662</f>
        <v>115.030779220779</v>
      </c>
      <c r="AN105" s="107" t="n">
        <f aca="false">'Price History'!T3+('Price History'!T158-'Price History'!T3)*0.662337662337662</f>
        <v>42.0311688311688</v>
      </c>
    </row>
    <row r="106" customFormat="false" ht="15" hidden="false" customHeight="true" outlineLevel="0" collapsed="false">
      <c r="A106" s="104" t="n">
        <f aca="false">IF('Price History'!A107="","",'Price History'!A107)</f>
        <v>45877</v>
      </c>
      <c r="B106" s="105" t="n">
        <f aca="false">IFERROR(IF(OR(NOT(ISNUMBER('Price History'!B107)),NOT(ISNUMBER('Price History'!B106)),'Price History'!B106=0),"",'Price History'!B107/'Price History'!B106-1),"")</f>
        <v>-0.0194077055779184</v>
      </c>
      <c r="C106" s="105" t="n">
        <f aca="false">IFERROR(IF(OR(NOT(ISNUMBER('Price History'!C107)),NOT(ISNUMBER('Price History'!C106)),'Price History'!C106=0),"",'Price History'!C107/'Price History'!C106-1),"")</f>
        <v>0.183805392532109</v>
      </c>
      <c r="D106" s="105" t="n">
        <f aca="false">IFERROR(IF(OR(NOT(ISNUMBER('Price History'!D107)),NOT(ISNUMBER('Price History'!D106)),'Price History'!D106=0),"",'Price History'!D107/'Price History'!D106-1),"")</f>
        <v>0.0471137398161838</v>
      </c>
      <c r="E106" s="105" t="n">
        <f aca="false">IFERROR(IF(OR(NOT(ISNUMBER('Price History'!E107)),NOT(ISNUMBER('Price History'!E106)),'Price History'!E106=0),"",'Price History'!E107/'Price History'!E106-1),"")</f>
        <v>0.0565756651884701</v>
      </c>
      <c r="F106" s="105" t="n">
        <f aca="false">IFERROR(IF(OR(NOT(ISNUMBER('Price History'!F107)),NOT(ISNUMBER('Price History'!F106)),'Price History'!F106=0),"",'Price History'!F107/'Price History'!F106-1),"")</f>
        <v>-0.0497000089549565</v>
      </c>
      <c r="G106" s="105" t="n">
        <f aca="false">IFERROR(IF(OR(NOT(ISNUMBER('Price History'!G107)),NOT(ISNUMBER('Price History'!G106)),'Price History'!G106=0),"",'Price History'!G107/'Price History'!G106-1),"")</f>
        <v>0.0318069027746448</v>
      </c>
      <c r="H106" s="105" t="n">
        <f aca="false">IFERROR(IF(OR(NOT(ISNUMBER('Price History'!H107)),NOT(ISNUMBER('Price History'!H106)),'Price History'!H106=0),"",'Price History'!H107/'Price History'!H106-1),"")</f>
        <v>0.13358123569794</v>
      </c>
      <c r="I106" s="105" t="n">
        <f aca="false">IFERROR(IF(OR(NOT(ISNUMBER('Price History'!I107)),NOT(ISNUMBER('Price History'!I106)),'Price History'!I106=0),"",'Price History'!I107/'Price History'!I106-1),"")</f>
        <v>0.0516923785401795</v>
      </c>
      <c r="J106" s="105" t="n">
        <f aca="false">IFERROR(IF(OR(NOT(ISNUMBER('Price History'!J107)),NOT(ISNUMBER('Price History'!J106)),'Price History'!J106=0),"",'Price History'!J107/'Price History'!J106-1),"")</f>
        <v>0.00733962443999636</v>
      </c>
      <c r="K106" s="105" t="n">
        <f aca="false">IFERROR(IF(OR(NOT(ISNUMBER('Price History'!K107)),NOT(ISNUMBER('Price History'!K106)),'Price History'!K106=0),"",'Price History'!K107/'Price History'!K106-1),"")</f>
        <v>0.211901212160498</v>
      </c>
      <c r="L106" s="105" t="n">
        <f aca="false">IFERROR(IF(OR(NOT(ISNUMBER('Price History'!L107)),NOT(ISNUMBER('Price History'!L106)),'Price History'!L106=0),"",'Price History'!L107/'Price History'!L106-1),"")</f>
        <v>0.0281450618596149</v>
      </c>
      <c r="M106" s="105" t="n">
        <f aca="false">IFERROR(IF(OR(NOT(ISNUMBER('Price History'!M107)),NOT(ISNUMBER('Price History'!M106)),'Price History'!M106=0),"",'Price History'!M107/'Price History'!M106-1),"")</f>
        <v>-0.011723991807331</v>
      </c>
      <c r="N106" s="105" t="n">
        <f aca="false">IFERROR(IF(OR(NOT(ISNUMBER('Price History'!N107)),NOT(ISNUMBER('Price History'!N106)),'Price History'!N106=0),"",'Price History'!N107/'Price History'!N106-1),"")</f>
        <v>-0.206846558327743</v>
      </c>
      <c r="O106" s="105" t="n">
        <f aca="false">IFERROR(IF(OR(NOT(ISNUMBER('Price History'!O107)),NOT(ISNUMBER('Price History'!O106)),'Price History'!O106=0),"",'Price History'!O107/'Price History'!O106-1),"")</f>
        <v>0.0232378001549185</v>
      </c>
      <c r="P106" s="105" t="str">
        <f aca="false">IFERROR(IF(OR(NOT(ISNUMBER('Price History'!P107)),NOT(ISNUMBER('Price History'!P106)),'Price History'!P106=0),"",'Price History'!P107/'Price History'!P106-1),"")</f>
        <v/>
      </c>
      <c r="Q106" s="105" t="n">
        <f aca="false">IFERROR(IF(OR(NOT(ISNUMBER('Price History'!Q107)),NOT(ISNUMBER('Price History'!Q106)),'Price History'!Q106=0),"",'Price History'!Q107/'Price History'!Q106-1),"")</f>
        <v>-0.00169230769230766</v>
      </c>
      <c r="R106" s="105" t="n">
        <f aca="false">IFERROR(IF(OR(NOT(ISNUMBER('Price History'!R107)),NOT(ISNUMBER('Price History'!R106)),'Price History'!R106=0),"",'Price History'!R107/'Price History'!R106-1),"")</f>
        <v>0.0280616985690392</v>
      </c>
      <c r="S106" s="105" t="n">
        <f aca="false">IFERROR(IF(OR(NOT(ISNUMBER('Price History'!S107)),NOT(ISNUMBER('Price History'!S106)),'Price History'!S106=0),"",'Price History'!S107/'Price History'!S106-1),"")</f>
        <v>0.0349730636757042</v>
      </c>
      <c r="T106" s="105" t="n">
        <f aca="false">IFERROR(IF(OR(NOT(ISNUMBER('Price History'!T107)),NOT(ISNUMBER('Price History'!T106)),'Price History'!T106=0),"",'Price History'!T107/'Price History'!T106-1),"")</f>
        <v>0.00989810771470157</v>
      </c>
      <c r="U106" s="105" t="str">
        <f aca="false">IFERROR(IF(OR(NOT(ISNUMBER('Price History'!U107)),NOT(ISNUMBER('Price History'!U106)),'Price History'!U106=0),"",'Price History'!U107/'Price History'!U106-1),"")</f>
        <v/>
      </c>
      <c r="V106" s="106" t="n">
        <f aca="false">IFERROR(IF(OR(NOT(ISNUMBER('Price History'!V107)),NOT(ISNUMBER('Price History'!V106)),'Price History'!V106=0),"",'Price History'!V107/'Price History'!V106-1),"")</f>
        <v>-0.00758770494242278</v>
      </c>
      <c r="W106" s="107" t="n">
        <f aca="false">'Price History'!B3+('Price History'!B158-'Price History'!B3)*0.668831168831169</f>
        <v>335.864805194805</v>
      </c>
      <c r="X106" s="107" t="n">
        <f aca="false">'Price History'!C3+('Price History'!C158-'Price History'!C3)*0.668831168831169</f>
        <v>135.109025974026</v>
      </c>
      <c r="Y106" s="107" t="n">
        <f aca="false">'Price History'!D3+('Price History'!D158-'Price History'!D3)*0.668831168831169</f>
        <v>1308.68688311688</v>
      </c>
      <c r="Z106" s="107" t="n">
        <f aca="false">'Price History'!E3+('Price History'!E158-'Price History'!E3)*0.668831168831169</f>
        <v>287.842987012987</v>
      </c>
      <c r="AA106" s="107" t="n">
        <f aca="false">'Price History'!F3+('Price History'!F158-'Price History'!F3)*0.668831168831169</f>
        <v>139.926233766234</v>
      </c>
      <c r="AB106" s="107" t="n">
        <f aca="false">'Price History'!G3+('Price History'!G158-'Price History'!G3)*0.668831168831169</f>
        <v>138.138701298701</v>
      </c>
      <c r="AC106" s="107" t="n">
        <f aca="false">'Price History'!H3+('Price History'!H158-'Price History'!H3)*0.668831168831169</f>
        <v>571.785454545455</v>
      </c>
      <c r="AD106" s="107" t="n">
        <f aca="false">'Price History'!I3+('Price History'!I158-'Price History'!I3)*0.668831168831169</f>
        <v>147.796103896104</v>
      </c>
      <c r="AE106" s="107" t="n">
        <f aca="false">'Price History'!J3+('Price History'!J158-'Price History'!J3)*0.668831168831169</f>
        <v>137.622337662338</v>
      </c>
      <c r="AF106" s="107" t="n">
        <f aca="false">'Price History'!K3+('Price History'!K158-'Price History'!K3)*0.668831168831169</f>
        <v>87.4096753246754</v>
      </c>
      <c r="AG106" s="107" t="n">
        <f aca="false">'Price History'!L3+('Price History'!L158-'Price History'!L3)*0.668831168831169</f>
        <v>300.839220779221</v>
      </c>
      <c r="AH106" s="107" t="n">
        <f aca="false">'Price History'!M3+('Price History'!M158-'Price History'!M3)*0.668831168831169</f>
        <v>172.667012987013</v>
      </c>
      <c r="AI106" s="107" t="n">
        <f aca="false">'Price History'!N3+('Price History'!N158-'Price History'!N3)*0.668831168831169</f>
        <v>434.962077922078</v>
      </c>
      <c r="AJ106" s="107" t="n">
        <f aca="false">'Price History'!O3+('Price History'!O158-'Price History'!O3)*0.668831168831169</f>
        <v>111.228506493507</v>
      </c>
      <c r="AK106" s="107" t="n">
        <f aca="false">'Price History'!Q3+('Price History'!Q151-'Price History'!Q3)*0.668831168831169</f>
        <v>62.2869480519481</v>
      </c>
      <c r="AL106" s="107" t="n">
        <f aca="false">'Price History'!R3+('Price History'!R158-'Price History'!R3)*0.668831168831169</f>
        <v>54.7959090909091</v>
      </c>
      <c r="AM106" s="107" t="n">
        <f aca="false">'Price History'!S3+('Price History'!S158-'Price History'!S3)*0.668831168831169</f>
        <v>115.58461038961</v>
      </c>
      <c r="AN106" s="107" t="n">
        <f aca="false">'Price History'!T3+('Price History'!T158-'Price History'!T3)*0.668831168831169</f>
        <v>42.1794155844156</v>
      </c>
    </row>
    <row r="107" customFormat="false" ht="15" hidden="false" customHeight="true" outlineLevel="0" collapsed="false">
      <c r="A107" s="104" t="n">
        <f aca="false">IF('Price History'!A108="","",'Price History'!A108)</f>
        <v>45884</v>
      </c>
      <c r="B107" s="105" t="n">
        <f aca="false">IFERROR(IF(OR(NOT(ISNUMBER('Price History'!B108)),NOT(ISNUMBER('Price History'!B107)),'Price History'!B107=0),"",'Price History'!B108/'Price History'!B107-1),"")</f>
        <v>0.0404632751795924</v>
      </c>
      <c r="C107" s="105" t="n">
        <f aca="false">IFERROR(IF(OR(NOT(ISNUMBER('Price History'!C108)),NOT(ISNUMBER('Price History'!C107)),'Price History'!C107=0),"",'Price History'!C108/'Price History'!C107-1),"")</f>
        <v>-0.0135076878861905</v>
      </c>
      <c r="D107" s="105" t="n">
        <f aca="false">IFERROR(IF(OR(NOT(ISNUMBER('Price History'!D108)),NOT(ISNUMBER('Price History'!D107)),'Price History'!D107=0),"",'Price History'!D108/'Price History'!D107-1),"")</f>
        <v>0.0274670506146859</v>
      </c>
      <c r="E107" s="105" t="n">
        <f aca="false">IFERROR(IF(OR(NOT(ISNUMBER('Price History'!E108)),NOT(ISNUMBER('Price History'!E107)),'Price History'!E107=0),"",'Price History'!E108/'Price History'!E107-1),"")</f>
        <v>0.00449224513886604</v>
      </c>
      <c r="F107" s="105" t="n">
        <f aca="false">IFERROR(IF(OR(NOT(ISNUMBER('Price History'!F108)),NOT(ISNUMBER('Price History'!F107)),'Price History'!F107=0),"",'Price History'!F108/'Price History'!F107-1),"")</f>
        <v>0.00810403316999619</v>
      </c>
      <c r="G107" s="105" t="n">
        <f aca="false">IFERROR(IF(OR(NOT(ISNUMBER('Price History'!G108)),NOT(ISNUMBER('Price History'!G107)),'Price History'!G107=0),"",'Price History'!G108/'Price History'!G107-1),"")</f>
        <v>-0.0436160909488413</v>
      </c>
      <c r="H107" s="105" t="n">
        <f aca="false">IFERROR(IF(OR(NOT(ISNUMBER('Price History'!H108)),NOT(ISNUMBER('Price History'!H107)),'Price History'!H107=0),"",'Price History'!H108/'Price History'!H107-1),"")</f>
        <v>0.0166540499621499</v>
      </c>
      <c r="I107" s="105" t="n">
        <f aca="false">IFERROR(IF(OR(NOT(ISNUMBER('Price History'!I108)),NOT(ISNUMBER('Price History'!I107)),'Price History'!I107=0),"",'Price History'!I108/'Price History'!I107-1),"")</f>
        <v>-0.0123152709359606</v>
      </c>
      <c r="J107" s="105" t="n">
        <f aca="false">IFERROR(IF(OR(NOT(ISNUMBER('Price History'!J108)),NOT(ISNUMBER('Price History'!J107)),'Price History'!J107=0),"",'Price History'!J108/'Price History'!J107-1),"")</f>
        <v>0.00861090083270244</v>
      </c>
      <c r="K107" s="105" t="n">
        <f aca="false">IFERROR(IF(OR(NOT(ISNUMBER('Price History'!K108)),NOT(ISNUMBER('Price History'!K107)),'Price History'!K107=0),"",'Price History'!K108/'Price History'!K107-1),"")</f>
        <v>-0.0523641420624734</v>
      </c>
      <c r="L107" s="105" t="n">
        <f aca="false">IFERROR(IF(OR(NOT(ISNUMBER('Price History'!L108)),NOT(ISNUMBER('Price History'!L107)),'Price History'!L107=0),"",'Price History'!L108/'Price History'!L107-1),"")</f>
        <v>-0.0121986519455817</v>
      </c>
      <c r="M107" s="105" t="n">
        <f aca="false">IFERROR(IF(OR(NOT(ISNUMBER('Price History'!M108)),NOT(ISNUMBER('Price History'!M107)),'Price History'!M107=0),"",'Price History'!M108/'Price History'!M107-1),"")</f>
        <v>-0.0490245122561281</v>
      </c>
      <c r="N107" s="105" t="n">
        <f aca="false">IFERROR(IF(OR(NOT(ISNUMBER('Price History'!N108)),NOT(ISNUMBER('Price History'!N107)),'Price History'!N107=0),"",'Price History'!N108/'Price History'!N107-1),"")</f>
        <v>0.0716156490423965</v>
      </c>
      <c r="O107" s="105" t="n">
        <f aca="false">IFERROR(IF(OR(NOT(ISNUMBER('Price History'!O108)),NOT(ISNUMBER('Price History'!O107)),'Price History'!O107=0),"",'Price History'!O108/'Price History'!O107-1),"")</f>
        <v>0.029847518113983</v>
      </c>
      <c r="P107" s="105" t="str">
        <f aca="false">IFERROR(IF(OR(NOT(ISNUMBER('Price History'!P108)),NOT(ISNUMBER('Price History'!P107)),'Price History'!P107=0),"",'Price History'!P108/'Price History'!P107-1),"")</f>
        <v/>
      </c>
      <c r="Q107" s="105" t="n">
        <f aca="false">IFERROR(IF(OR(NOT(ISNUMBER('Price History'!Q108)),NOT(ISNUMBER('Price History'!Q107)),'Price History'!Q107=0),"",'Price History'!Q108/'Price History'!Q107-1),"")</f>
        <v>0.00323624595469241</v>
      </c>
      <c r="R107" s="105" t="n">
        <f aca="false">IFERROR(IF(OR(NOT(ISNUMBER('Price History'!R108)),NOT(ISNUMBER('Price History'!R107)),'Price History'!R107=0),"",'Price History'!R108/'Price History'!R107-1),"")</f>
        <v>0.00867678958785234</v>
      </c>
      <c r="S107" s="105" t="n">
        <f aca="false">IFERROR(IF(OR(NOT(ISNUMBER('Price History'!S108)),NOT(ISNUMBER('Price History'!S107)),'Price History'!S107=0),"",'Price History'!S108/'Price History'!S107-1),"")</f>
        <v>0.00102397815513267</v>
      </c>
      <c r="T107" s="105" t="n">
        <f aca="false">IFERROR(IF(OR(NOT(ISNUMBER('Price History'!T108)),NOT(ISNUMBER('Price History'!T107)),'Price History'!T107=0),"",'Price History'!T108/'Price History'!T107-1),"")</f>
        <v>0.0394926491784378</v>
      </c>
      <c r="U107" s="105" t="str">
        <f aca="false">IFERROR(IF(OR(NOT(ISNUMBER('Price History'!U108)),NOT(ISNUMBER('Price History'!U107)),'Price History'!U107=0),"",'Price History'!U108/'Price History'!U107-1),"")</f>
        <v/>
      </c>
      <c r="V107" s="106" t="n">
        <f aca="false">IFERROR(IF(OR(NOT(ISNUMBER('Price History'!V108)),NOT(ISNUMBER('Price History'!V107)),'Price History'!V107=0),"",'Price History'!V108/'Price History'!V107-1),"")</f>
        <v>0.0246461981290478</v>
      </c>
      <c r="W107" s="107" t="n">
        <f aca="false">'Price History'!B3+('Price History'!B158-'Price History'!B3)*0.675324675324675</f>
        <v>334.189220779221</v>
      </c>
      <c r="X107" s="107" t="n">
        <f aca="false">'Price History'!C3+('Price History'!C158-'Price History'!C3)*0.675324675324675</f>
        <v>135.996103896104</v>
      </c>
      <c r="Y107" s="107" t="n">
        <f aca="false">'Price History'!D3+('Price History'!D158-'Price History'!D3)*0.675324675324675</f>
        <v>1314.96753246753</v>
      </c>
      <c r="Z107" s="107" t="n">
        <f aca="false">'Price History'!E3+('Price History'!E158-'Price History'!E3)*0.675324675324675</f>
        <v>289.831948051948</v>
      </c>
      <c r="AA107" s="107" t="n">
        <f aca="false">'Price History'!F3+('Price History'!F158-'Price History'!F3)*0.675324675324675</f>
        <v>140.924935064935</v>
      </c>
      <c r="AB107" s="107" t="n">
        <f aca="false">'Price History'!G3+('Price History'!G158-'Price History'!G3)*0.675324675324675</f>
        <v>139.014805194805</v>
      </c>
      <c r="AC107" s="107" t="n">
        <f aca="false">'Price History'!H3+('Price History'!H158-'Price History'!H3)*0.675324675324675</f>
        <v>576.711818181818</v>
      </c>
      <c r="AD107" s="107" t="n">
        <f aca="false">'Price History'!I3+('Price History'!I158-'Price History'!I3)*0.675324675324675</f>
        <v>148.834415584416</v>
      </c>
      <c r="AE107" s="107" t="n">
        <f aca="false">'Price History'!J3+('Price History'!J158-'Price History'!J3)*0.675324675324675</f>
        <v>137.759350649351</v>
      </c>
      <c r="AF107" s="107" t="n">
        <f aca="false">'Price History'!K3+('Price History'!K158-'Price History'!K3)*0.675324675324675</f>
        <v>88.1087012987013</v>
      </c>
      <c r="AG107" s="107" t="n">
        <f aca="false">'Price History'!L3+('Price History'!L158-'Price History'!L3)*0.675324675324675</f>
        <v>302.866883116883</v>
      </c>
      <c r="AH107" s="107" t="n">
        <f aca="false">'Price History'!M3+('Price History'!M158-'Price History'!M3)*0.675324675324675</f>
        <v>174.018051948052</v>
      </c>
      <c r="AI107" s="107" t="n">
        <f aca="false">'Price History'!N3+('Price History'!N158-'Price History'!N3)*0.675324675324675</f>
        <v>435.788311688312</v>
      </c>
      <c r="AJ107" s="107" t="n">
        <f aca="false">'Price History'!O3+('Price History'!O158-'Price History'!O3)*0.675324675324675</f>
        <v>111.504025974026</v>
      </c>
      <c r="AK107" s="107" t="n">
        <f aca="false">'Price History'!Q3+('Price History'!Q151-'Price History'!Q3)*0.675324675324675</f>
        <v>62.4077922077922</v>
      </c>
      <c r="AL107" s="107" t="n">
        <f aca="false">'Price History'!R3+('Price History'!R158-'Price History'!R3)*0.675324675324675</f>
        <v>54.8636363636364</v>
      </c>
      <c r="AM107" s="107" t="n">
        <f aca="false">'Price History'!S3+('Price History'!S158-'Price History'!S3)*0.675324675324675</f>
        <v>116.138441558442</v>
      </c>
      <c r="AN107" s="107" t="n">
        <f aca="false">'Price History'!T3+('Price History'!T158-'Price History'!T3)*0.675324675324675</f>
        <v>42.3276623376623</v>
      </c>
    </row>
    <row r="108" customFormat="false" ht="15" hidden="false" customHeight="true" outlineLevel="0" collapsed="false">
      <c r="A108" s="104" t="n">
        <f aca="false">IF('Price History'!A109="","",'Price History'!A109)</f>
        <v>45891</v>
      </c>
      <c r="B108" s="105" t="n">
        <f aca="false">IFERROR(IF(OR(NOT(ISNUMBER('Price History'!B109)),NOT(ISNUMBER('Price History'!B108)),'Price History'!B108=0),"",'Price History'!B109/'Price History'!B108-1),"")</f>
        <v>0.0204029871776805</v>
      </c>
      <c r="C108" s="105" t="n">
        <f aca="false">IFERROR(IF(OR(NOT(ISNUMBER('Price History'!C109)),NOT(ISNUMBER('Price History'!C108)),'Price History'!C108=0),"",'Price History'!C109/'Price History'!C108-1),"")</f>
        <v>-0.029497450837582</v>
      </c>
      <c r="D108" s="105" t="n">
        <f aca="false">IFERROR(IF(OR(NOT(ISNUMBER('Price History'!D109)),NOT(ISNUMBER('Price History'!D108)),'Price History'!D108=0),"",'Price History'!D109/'Price History'!D108-1),"")</f>
        <v>0.0171526355502858</v>
      </c>
      <c r="E108" s="105" t="n">
        <f aca="false">IFERROR(IF(OR(NOT(ISNUMBER('Price History'!E109)),NOT(ISNUMBER('Price History'!E108)),'Price History'!E108=0),"",'Price History'!E109/'Price History'!E108-1),"")</f>
        <v>-0.0402820395638832</v>
      </c>
      <c r="F108" s="105" t="n">
        <f aca="false">IFERROR(IF(OR(NOT(ISNUMBER('Price History'!F109)),NOT(ISNUMBER('Price History'!F108)),'Price History'!F108=0),"",'Price History'!F109/'Price History'!F108-1),"")</f>
        <v>-0.0171994765376706</v>
      </c>
      <c r="G108" s="105" t="n">
        <f aca="false">IFERROR(IF(OR(NOT(ISNUMBER('Price History'!G109)),NOT(ISNUMBER('Price History'!G108)),'Price History'!G108=0),"",'Price History'!G109/'Price History'!G108-1),"")</f>
        <v>-0.00525774374214194</v>
      </c>
      <c r="H108" s="105" t="n">
        <f aca="false">IFERROR(IF(OR(NOT(ISNUMBER('Price History'!H109)),NOT(ISNUMBER('Price History'!H108)),'Price History'!H108=0),"",'Price History'!H109/'Price History'!H108-1),"")</f>
        <v>-0.0263919913957144</v>
      </c>
      <c r="I108" s="105" t="n">
        <f aca="false">IFERROR(IF(OR(NOT(ISNUMBER('Price History'!I109)),NOT(ISNUMBER('Price History'!I108)),'Price History'!I108=0),"",'Price History'!I109/'Price History'!I108-1),"")</f>
        <v>-0.0136325852036574</v>
      </c>
      <c r="J108" s="105" t="n">
        <f aca="false">IFERROR(IF(OR(NOT(ISNUMBER('Price History'!J109)),NOT(ISNUMBER('Price History'!J108)),'Price History'!J108=0),"",'Price History'!J109/'Price History'!J108-1),"")</f>
        <v>0.0533821183975982</v>
      </c>
      <c r="K108" s="105" t="n">
        <f aca="false">IFERROR(IF(OR(NOT(ISNUMBER('Price History'!K109)),NOT(ISNUMBER('Price History'!K108)),'Price History'!K108=0),"",'Price History'!K109/'Price History'!K108-1),"")</f>
        <v>-0.104024383360614</v>
      </c>
      <c r="L108" s="105" t="n">
        <f aca="false">IFERROR(IF(OR(NOT(ISNUMBER('Price History'!L109)),NOT(ISNUMBER('Price History'!L108)),'Price History'!L108=0),"",'Price History'!L109/'Price History'!L108-1),"")</f>
        <v>-0.0246567314132619</v>
      </c>
      <c r="M108" s="105" t="n">
        <f aca="false">IFERROR(IF(OR(NOT(ISNUMBER('Price History'!M109)),NOT(ISNUMBER('Price History'!M108)),'Price History'!M108=0),"",'Price History'!M109/'Price History'!M108-1),"")</f>
        <v>-0.0533553768693169</v>
      </c>
      <c r="N108" s="105" t="n">
        <f aca="false">IFERROR(IF(OR(NOT(ISNUMBER('Price History'!N109)),NOT(ISNUMBER('Price History'!N108)),'Price History'!N108=0),"",'Price History'!N109/'Price History'!N108-1),"")</f>
        <v>0.00593192291046107</v>
      </c>
      <c r="O108" s="105" t="n">
        <f aca="false">IFERROR(IF(OR(NOT(ISNUMBER('Price History'!O109)),NOT(ISNUMBER('Price History'!O108)),'Price History'!O108=0),"",'Price History'!O109/'Price History'!O108-1),"")</f>
        <v>0.0397983828625432</v>
      </c>
      <c r="P108" s="105" t="str">
        <f aca="false">IFERROR(IF(OR(NOT(ISNUMBER('Price History'!P109)),NOT(ISNUMBER('Price History'!P108)),'Price History'!P108=0),"",'Price History'!P109/'Price History'!P108-1),"")</f>
        <v/>
      </c>
      <c r="Q108" s="105" t="n">
        <f aca="false">IFERROR(IF(OR(NOT(ISNUMBER('Price History'!Q109)),NOT(ISNUMBER('Price History'!Q108)),'Price History'!Q108=0),"",'Price History'!Q109/'Price History'!Q108-1),"")</f>
        <v>-0.0125960061443932</v>
      </c>
      <c r="R108" s="105" t="n">
        <f aca="false">IFERROR(IF(OR(NOT(ISNUMBER('Price History'!R109)),NOT(ISNUMBER('Price History'!R108)),'Price History'!R108=0),"",'Price History'!R109/'Price History'!R108-1),"")</f>
        <v>-0.00232974910394257</v>
      </c>
      <c r="S108" s="105" t="n">
        <f aca="false">IFERROR(IF(OR(NOT(ISNUMBER('Price History'!S109)),NOT(ISNUMBER('Price History'!S108)),'Price History'!S108=0),"",'Price History'!S109/'Price History'!S108-1),"")</f>
        <v>-0.00681953797630208</v>
      </c>
      <c r="T108" s="105" t="n">
        <f aca="false">IFERROR(IF(OR(NOT(ISNUMBER('Price History'!T109)),NOT(ISNUMBER('Price History'!T108)),'Price History'!T108=0),"",'Price History'!T109/'Price History'!T108-1),"")</f>
        <v>0.0257903494176373</v>
      </c>
      <c r="U108" s="105" t="str">
        <f aca="false">IFERROR(IF(OR(NOT(ISNUMBER('Price History'!U109)),NOT(ISNUMBER('Price History'!U108)),'Price History'!U108=0),"",'Price History'!U109/'Price History'!U108-1),"")</f>
        <v/>
      </c>
      <c r="V108" s="106" t="n">
        <f aca="false">IFERROR(IF(OR(NOT(ISNUMBER('Price History'!V109)),NOT(ISNUMBER('Price History'!V108)),'Price History'!V108=0),"",'Price History'!V109/'Price History'!V108-1),"")</f>
        <v>0.0161526306548838</v>
      </c>
      <c r="W108" s="107" t="n">
        <f aca="false">'Price History'!B3+('Price History'!B158-'Price History'!B3)*0.681818181818182</f>
        <v>332.513636363636</v>
      </c>
      <c r="X108" s="107" t="n">
        <f aca="false">'Price History'!C3+('Price History'!C158-'Price History'!C3)*0.681818181818182</f>
        <v>136.883181818182</v>
      </c>
      <c r="Y108" s="107" t="n">
        <f aca="false">'Price History'!D3+('Price History'!D158-'Price History'!D3)*0.681818181818182</f>
        <v>1321.24818181818</v>
      </c>
      <c r="Z108" s="107" t="n">
        <f aca="false">'Price History'!E3+('Price History'!E158-'Price History'!E3)*0.681818181818182</f>
        <v>291.820909090909</v>
      </c>
      <c r="AA108" s="107" t="n">
        <f aca="false">'Price History'!F3+('Price History'!F158-'Price History'!F3)*0.681818181818182</f>
        <v>141.923636363636</v>
      </c>
      <c r="AB108" s="107" t="n">
        <f aca="false">'Price History'!G3+('Price History'!G158-'Price History'!G3)*0.681818181818182</f>
        <v>139.890909090909</v>
      </c>
      <c r="AC108" s="107" t="n">
        <f aca="false">'Price History'!H3+('Price History'!H158-'Price History'!H3)*0.681818181818182</f>
        <v>581.638181818182</v>
      </c>
      <c r="AD108" s="107" t="n">
        <f aca="false">'Price History'!I3+('Price History'!I158-'Price History'!I3)*0.681818181818182</f>
        <v>149.872727272727</v>
      </c>
      <c r="AE108" s="107" t="n">
        <f aca="false">'Price History'!J3+('Price History'!J158-'Price History'!J3)*0.681818181818182</f>
        <v>137.896363636364</v>
      </c>
      <c r="AF108" s="107" t="n">
        <f aca="false">'Price History'!K3+('Price History'!K158-'Price History'!K3)*0.681818181818182</f>
        <v>88.8077272727273</v>
      </c>
      <c r="AG108" s="107" t="n">
        <f aca="false">'Price History'!L3+('Price History'!L158-'Price History'!L3)*0.681818181818182</f>
        <v>304.894545454546</v>
      </c>
      <c r="AH108" s="107" t="n">
        <f aca="false">'Price History'!M3+('Price History'!M158-'Price History'!M3)*0.681818181818182</f>
        <v>175.369090909091</v>
      </c>
      <c r="AI108" s="107" t="n">
        <f aca="false">'Price History'!N3+('Price History'!N158-'Price History'!N3)*0.681818181818182</f>
        <v>436.614545454545</v>
      </c>
      <c r="AJ108" s="107" t="n">
        <f aca="false">'Price History'!O3+('Price History'!O158-'Price History'!O3)*0.681818181818182</f>
        <v>111.779545454545</v>
      </c>
      <c r="AK108" s="107" t="n">
        <f aca="false">'Price History'!Q3+('Price History'!Q151-'Price History'!Q3)*0.681818181818182</f>
        <v>62.5286363636364</v>
      </c>
      <c r="AL108" s="107" t="n">
        <f aca="false">'Price History'!R3+('Price History'!R158-'Price History'!R3)*0.681818181818182</f>
        <v>54.9313636363636</v>
      </c>
      <c r="AM108" s="107" t="n">
        <f aca="false">'Price History'!S3+('Price History'!S158-'Price History'!S3)*0.681818181818182</f>
        <v>116.692272727273</v>
      </c>
      <c r="AN108" s="107" t="n">
        <f aca="false">'Price History'!T3+('Price History'!T158-'Price History'!T3)*0.681818181818182</f>
        <v>42.4759090909091</v>
      </c>
    </row>
    <row r="109" customFormat="false" ht="15" hidden="false" customHeight="true" outlineLevel="0" collapsed="false">
      <c r="A109" s="104" t="n">
        <f aca="false">IF('Price History'!A110="","",'Price History'!A110)</f>
        <v>45898</v>
      </c>
      <c r="B109" s="105" t="n">
        <f aca="false">IFERROR(IF(OR(NOT(ISNUMBER('Price History'!B110)),NOT(ISNUMBER('Price History'!B109)),'Price History'!B109=0),"",'Price History'!B110/'Price History'!B109-1),"")</f>
        <v>-0.0148858018724626</v>
      </c>
      <c r="C109" s="105" t="n">
        <f aca="false">IFERROR(IF(OR(NOT(ISNUMBER('Price History'!C110)),NOT(ISNUMBER('Price History'!C109)),'Price History'!C109=0),"",'Price History'!C110/'Price History'!C109-1),"")</f>
        <v>0.024765478424015</v>
      </c>
      <c r="D109" s="105" t="n">
        <f aca="false">IFERROR(IF(OR(NOT(ISNUMBER('Price History'!D110)),NOT(ISNUMBER('Price History'!D109)),'Price History'!D109=0),"",'Price History'!D110/'Price History'!D109-1),"")</f>
        <v>-0.0162540237650518</v>
      </c>
      <c r="E109" s="105" t="n">
        <f aca="false">IFERROR(IF(OR(NOT(ISNUMBER('Price History'!E110)),NOT(ISNUMBER('Price History'!E109)),'Price History'!E109=0),"",'Price History'!E110/'Price History'!E109-1),"")</f>
        <v>0.0115306122448979</v>
      </c>
      <c r="F109" s="105" t="n">
        <f aca="false">IFERROR(IF(OR(NOT(ISNUMBER('Price History'!F110)),NOT(ISNUMBER('Price History'!F109)),'Price History'!F109=0),"",'Price History'!F110/'Price History'!F109-1),"")</f>
        <v>0.00751379113562867</v>
      </c>
      <c r="G109" s="105" t="n">
        <f aca="false">IFERROR(IF(OR(NOT(ISNUMBER('Price History'!G110)),NOT(ISNUMBER('Price History'!G109)),'Price History'!G109=0),"",'Price History'!G110/'Price History'!G109-1),"")</f>
        <v>0.00195334941974035</v>
      </c>
      <c r="H109" s="105" t="n">
        <f aca="false">IFERROR(IF(OR(NOT(ISNUMBER('Price History'!H110)),NOT(ISNUMBER('Price History'!H109)),'Price History'!H109=0),"",'Price History'!H110/'Price History'!H109-1),"")</f>
        <v>0.0113018354860639</v>
      </c>
      <c r="I109" s="105" t="n">
        <f aca="false">IFERROR(IF(OR(NOT(ISNUMBER('Price History'!I110)),NOT(ISNUMBER('Price History'!I109)),'Price History'!I109=0),"",'Price History'!I110/'Price History'!I109-1),"")</f>
        <v>-0.0214056969492669</v>
      </c>
      <c r="J109" s="105" t="n">
        <f aca="false">IFERROR(IF(OR(NOT(ISNUMBER('Price History'!J110)),NOT(ISNUMBER('Price History'!J109)),'Price History'!J109=0),"",'Price History'!J110/'Price History'!J109-1),"")</f>
        <v>0.0133594584966157</v>
      </c>
      <c r="K109" s="105" t="n">
        <f aca="false">IFERROR(IF(OR(NOT(ISNUMBER('Price History'!K110)),NOT(ISNUMBER('Price History'!K109)),'Price History'!K109=0),"",'Price History'!K110/'Price History'!K109-1),"")</f>
        <v>-0.0127882071311579</v>
      </c>
      <c r="L109" s="105" t="n">
        <f aca="false">IFERROR(IF(OR(NOT(ISNUMBER('Price History'!L110)),NOT(ISNUMBER('Price History'!L109)),'Price History'!L109=0),"",'Price History'!L110/'Price History'!L109-1),"")</f>
        <v>-0.00909910296579253</v>
      </c>
      <c r="M109" s="105" t="n">
        <f aca="false">IFERROR(IF(OR(NOT(ISNUMBER('Price History'!M110)),NOT(ISNUMBER('Price History'!M109)),'Price History'!M109=0),"",'Price History'!M110/'Price History'!M109-1),"")</f>
        <v>0.0125426688894181</v>
      </c>
      <c r="N109" s="105" t="n">
        <f aca="false">IFERROR(IF(OR(NOT(ISNUMBER('Price History'!N110)),NOT(ISNUMBER('Price History'!N109)),'Price History'!N109=0),"",'Price History'!N110/'Price History'!N109-1),"")</f>
        <v>-0.0103765944523183</v>
      </c>
      <c r="O109" s="105" t="n">
        <f aca="false">IFERROR(IF(OR(NOT(ISNUMBER('Price History'!O110)),NOT(ISNUMBER('Price History'!O109)),'Price History'!O109=0),"",'Price History'!O110/'Price History'!O109-1),"")</f>
        <v>0.00838214502120782</v>
      </c>
      <c r="P109" s="105" t="str">
        <f aca="false">IFERROR(IF(OR(NOT(ISNUMBER('Price History'!P110)),NOT(ISNUMBER('Price History'!P109)),'Price History'!P109=0),"",'Price History'!P110/'Price History'!P109-1),"")</f>
        <v/>
      </c>
      <c r="Q109" s="105" t="n">
        <f aca="false">IFERROR(IF(OR(NOT(ISNUMBER('Price History'!Q110)),NOT(ISNUMBER('Price History'!Q109)),'Price History'!Q109=0),"",'Price History'!Q110/'Price History'!Q109-1),"")</f>
        <v>0.00980087118855</v>
      </c>
      <c r="R109" s="105" t="n">
        <f aca="false">IFERROR(IF(OR(NOT(ISNUMBER('Price History'!R110)),NOT(ISNUMBER('Price History'!R109)),'Price History'!R109=0),"",'Price History'!R110/'Price History'!R109-1),"")</f>
        <v>0.000179629962277605</v>
      </c>
      <c r="S109" s="105" t="n">
        <f aca="false">IFERROR(IF(OR(NOT(ISNUMBER('Price History'!S110)),NOT(ISNUMBER('Price History'!S109)),'Price History'!S109=0),"",'Price History'!S110/'Price History'!S109-1),"")</f>
        <v>-0.000257488627585678</v>
      </c>
      <c r="T109" s="105" t="n">
        <f aca="false">IFERROR(IF(OR(NOT(ISNUMBER('Price History'!T110)),NOT(ISNUMBER('Price History'!T109)),'Price History'!T109=0),"",'Price History'!T110/'Price History'!T109-1),"")</f>
        <v>0.00919167342524996</v>
      </c>
      <c r="U109" s="105" t="str">
        <f aca="false">IFERROR(IF(OR(NOT(ISNUMBER('Price History'!U110)),NOT(ISNUMBER('Price History'!U109)),'Price History'!U109=0),"",'Price History'!U110/'Price History'!U109-1),"")</f>
        <v/>
      </c>
      <c r="V109" s="106" t="n">
        <f aca="false">IFERROR(IF(OR(NOT(ISNUMBER('Price History'!V110)),NOT(ISNUMBER('Price History'!V109)),'Price History'!V109=0),"",'Price History'!V110/'Price History'!V109-1),"")</f>
        <v>0.00498185797385253</v>
      </c>
      <c r="W109" s="107" t="n">
        <f aca="false">'Price History'!B3+('Price History'!B158-'Price History'!B3)*0.688311688311688</f>
        <v>330.838051948052</v>
      </c>
      <c r="X109" s="107" t="n">
        <f aca="false">'Price History'!C3+('Price History'!C158-'Price History'!C3)*0.688311688311688</f>
        <v>137.77025974026</v>
      </c>
      <c r="Y109" s="107" t="n">
        <f aca="false">'Price History'!D3+('Price History'!D158-'Price History'!D3)*0.688311688311688</f>
        <v>1327.52883116883</v>
      </c>
      <c r="Z109" s="107" t="n">
        <f aca="false">'Price History'!E3+('Price History'!E158-'Price History'!E3)*0.688311688311688</f>
        <v>293.80987012987</v>
      </c>
      <c r="AA109" s="107" t="n">
        <f aca="false">'Price History'!F3+('Price History'!F158-'Price History'!F3)*0.688311688311688</f>
        <v>142.922337662338</v>
      </c>
      <c r="AB109" s="107" t="n">
        <f aca="false">'Price History'!G3+('Price History'!G158-'Price History'!G3)*0.688311688311688</f>
        <v>140.767012987013</v>
      </c>
      <c r="AC109" s="107" t="n">
        <f aca="false">'Price History'!H3+('Price History'!H158-'Price History'!H3)*0.688311688311688</f>
        <v>586.564545454545</v>
      </c>
      <c r="AD109" s="107" t="n">
        <f aca="false">'Price History'!I3+('Price History'!I158-'Price History'!I3)*0.688311688311688</f>
        <v>150.911038961039</v>
      </c>
      <c r="AE109" s="107" t="n">
        <f aca="false">'Price History'!J3+('Price History'!J158-'Price History'!J3)*0.688311688311688</f>
        <v>138.033376623377</v>
      </c>
      <c r="AF109" s="107" t="n">
        <f aca="false">'Price History'!K3+('Price History'!K158-'Price History'!K3)*0.688311688311688</f>
        <v>89.5067532467532</v>
      </c>
      <c r="AG109" s="107" t="n">
        <f aca="false">'Price History'!L3+('Price History'!L158-'Price History'!L3)*0.688311688311688</f>
        <v>306.922207792208</v>
      </c>
      <c r="AH109" s="107" t="n">
        <f aca="false">'Price History'!M3+('Price History'!M158-'Price History'!M3)*0.688311688311688</f>
        <v>176.72012987013</v>
      </c>
      <c r="AI109" s="107" t="n">
        <f aca="false">'Price History'!N3+('Price History'!N158-'Price History'!N3)*0.688311688311688</f>
        <v>437.440779220779</v>
      </c>
      <c r="AJ109" s="107" t="n">
        <f aca="false">'Price History'!O3+('Price History'!O158-'Price History'!O3)*0.688311688311688</f>
        <v>112.055064935065</v>
      </c>
      <c r="AK109" s="107" t="n">
        <f aca="false">'Price History'!Q3+('Price History'!Q151-'Price History'!Q3)*0.688311688311688</f>
        <v>62.6494805194805</v>
      </c>
      <c r="AL109" s="107" t="n">
        <f aca="false">'Price History'!R3+('Price History'!R158-'Price History'!R3)*0.688311688311688</f>
        <v>54.9990909090909</v>
      </c>
      <c r="AM109" s="107" t="n">
        <f aca="false">'Price History'!S3+('Price History'!S158-'Price History'!S3)*0.688311688311688</f>
        <v>117.246103896104</v>
      </c>
      <c r="AN109" s="107" t="n">
        <f aca="false">'Price History'!T3+('Price History'!T158-'Price History'!T3)*0.688311688311688</f>
        <v>42.6241558441558</v>
      </c>
    </row>
    <row r="110" customFormat="false" ht="15" hidden="false" customHeight="true" outlineLevel="0" collapsed="false">
      <c r="A110" s="104" t="n">
        <f aca="false">IF('Price History'!A111="","",'Price History'!A111)</f>
        <v>45905</v>
      </c>
      <c r="B110" s="105" t="n">
        <f aca="false">IFERROR(IF(OR(NOT(ISNUMBER('Price History'!B111)),NOT(ISNUMBER('Price History'!B110)),'Price History'!B110=0),"",'Price History'!B111/'Price History'!B110-1),"")</f>
        <v>-0.0216708718811325</v>
      </c>
      <c r="C110" s="105" t="n">
        <f aca="false">IFERROR(IF(OR(NOT(ISNUMBER('Price History'!C111)),NOT(ISNUMBER('Price History'!C110)),'Price History'!C110=0),"",'Price History'!C111/'Price History'!C110-1),"")</f>
        <v>0.0461369461735626</v>
      </c>
      <c r="D110" s="105" t="n">
        <f aca="false">IFERROR(IF(OR(NOT(ISNUMBER('Price History'!D111)),NOT(ISNUMBER('Price History'!D110)),'Price History'!D110=0),"",'Price History'!D111/'Price History'!D110-1),"")</f>
        <v>0.0526244916646468</v>
      </c>
      <c r="E110" s="105" t="n">
        <f aca="false">IFERROR(IF(OR(NOT(ISNUMBER('Price History'!E111)),NOT(ISNUMBER('Price History'!E110)),'Price History'!E110=0),"",'Price History'!E111/'Price History'!E110-1),"")</f>
        <v>0.126097044285282</v>
      </c>
      <c r="F110" s="105" t="n">
        <f aca="false">IFERROR(IF(OR(NOT(ISNUMBER('Price History'!F111)),NOT(ISNUMBER('Price History'!F110)),'Price History'!F110=0),"",'Price History'!F111/'Price History'!F110-1),"")</f>
        <v>-0.0143490984612481</v>
      </c>
      <c r="G110" s="105" t="n">
        <f aca="false">IFERROR(IF(OR(NOT(ISNUMBER('Price History'!G111)),NOT(ISNUMBER('Price History'!G110)),'Price History'!G110=0),"",'Price History'!G111/'Price History'!G110-1),"")</f>
        <v>0.0379587155963304</v>
      </c>
      <c r="H110" s="105" t="n">
        <f aca="false">IFERROR(IF(OR(NOT(ISNUMBER('Price History'!H111)),NOT(ISNUMBER('Price History'!H110)),'Price History'!H110=0),"",'Price History'!H111/'Price History'!H110-1),"")</f>
        <v>0.103856818754726</v>
      </c>
      <c r="I110" s="105" t="n">
        <f aca="false">IFERROR(IF(OR(NOT(ISNUMBER('Price History'!I111)),NOT(ISNUMBER('Price History'!I110)),'Price History'!I110=0),"",'Price History'!I111/'Price History'!I110-1),"")</f>
        <v>-0.0411069009071076</v>
      </c>
      <c r="J110" s="105" t="n">
        <f aca="false">IFERROR(IF(OR(NOT(ISNUMBER('Price History'!J111)),NOT(ISNUMBER('Price History'!J110)),'Price History'!J110=0),"",'Price History'!J111/'Price History'!J110-1),"")</f>
        <v>-0.00114255580945677</v>
      </c>
      <c r="K110" s="105" t="n">
        <f aca="false">IFERROR(IF(OR(NOT(ISNUMBER('Price History'!K111)),NOT(ISNUMBER('Price History'!K110)),'Price History'!K110=0),"",'Price History'!K111/'Price History'!K110-1),"")</f>
        <v>-0.0229723693446493</v>
      </c>
      <c r="L110" s="105" t="n">
        <f aca="false">IFERROR(IF(OR(NOT(ISNUMBER('Price History'!L111)),NOT(ISNUMBER('Price History'!L110)),'Price History'!L110=0),"",'Price History'!L111/'Price History'!L110-1),"")</f>
        <v>0.0543162818902412</v>
      </c>
      <c r="M110" s="105" t="n">
        <f aca="false">IFERROR(IF(OR(NOT(ISNUMBER('Price History'!M111)),NOT(ISNUMBER('Price History'!M110)),'Price History'!M110=0),"",'Price History'!M111/'Price History'!M110-1),"")</f>
        <v>-0.0278322226577813</v>
      </c>
      <c r="N110" s="105" t="n">
        <f aca="false">IFERROR(IF(OR(NOT(ISNUMBER('Price History'!N111)),NOT(ISNUMBER('Price History'!N110)),'Price History'!N110=0),"",'Price History'!N111/'Price History'!N110-1),"")</f>
        <v>0.0130428111094063</v>
      </c>
      <c r="O110" s="105" t="n">
        <f aca="false">IFERROR(IF(OR(NOT(ISNUMBER('Price History'!O111)),NOT(ISNUMBER('Price History'!O110)),'Price History'!O110=0),"",'Price History'!O111/'Price History'!O110-1),"")</f>
        <v>0.0109163745618428</v>
      </c>
      <c r="P110" s="105" t="str">
        <f aca="false">IFERROR(IF(OR(NOT(ISNUMBER('Price History'!P111)),NOT(ISNUMBER('Price History'!P110)),'Price History'!P110=0),"",'Price History'!P111/'Price History'!P110-1),"")</f>
        <v/>
      </c>
      <c r="Q110" s="105" t="n">
        <f aca="false">IFERROR(IF(OR(NOT(ISNUMBER('Price History'!Q111)),NOT(ISNUMBER('Price History'!Q110)),'Price History'!Q110=0),"",'Price History'!Q111/'Price History'!Q110-1),"")</f>
        <v>0.0100138653520259</v>
      </c>
      <c r="R110" s="105" t="n">
        <f aca="false">IFERROR(IF(OR(NOT(ISNUMBER('Price History'!R111)),NOT(ISNUMBER('Price History'!R110)),'Price History'!R110=0),"",'Price History'!R111/'Price History'!R110-1),"")</f>
        <v>0.00179597701149437</v>
      </c>
      <c r="S110" s="105" t="n">
        <f aca="false">IFERROR(IF(OR(NOT(ISNUMBER('Price History'!S111)),NOT(ISNUMBER('Price History'!S110)),'Price History'!S110=0),"",'Price History'!S111/'Price History'!S110-1),"")</f>
        <v>0.0048935439560438</v>
      </c>
      <c r="T110" s="105" t="n">
        <f aca="false">IFERROR(IF(OR(NOT(ISNUMBER('Price History'!T111)),NOT(ISNUMBER('Price History'!T110)),'Price History'!T110=0),"",'Price History'!T111/'Price History'!T110-1),"")</f>
        <v>0.00750066970265206</v>
      </c>
      <c r="U110" s="105" t="str">
        <f aca="false">IFERROR(IF(OR(NOT(ISNUMBER('Price History'!U111)),NOT(ISNUMBER('Price History'!U110)),'Price History'!U110=0),"",'Price History'!U111/'Price History'!U110-1),"")</f>
        <v/>
      </c>
      <c r="V110" s="106" t="n">
        <f aca="false">IFERROR(IF(OR(NOT(ISNUMBER('Price History'!V111)),NOT(ISNUMBER('Price History'!V110)),'Price History'!V110=0),"",'Price History'!V111/'Price History'!V110-1),"")</f>
        <v>-0.0243273446230551</v>
      </c>
      <c r="W110" s="107" t="n">
        <f aca="false">'Price History'!B3+('Price History'!B158-'Price History'!B3)*0.694805194805195</f>
        <v>329.162467532468</v>
      </c>
      <c r="X110" s="107" t="n">
        <f aca="false">'Price History'!C3+('Price History'!C158-'Price History'!C3)*0.694805194805195</f>
        <v>138.657337662338</v>
      </c>
      <c r="Y110" s="107" t="n">
        <f aca="false">'Price History'!D3+('Price History'!D158-'Price History'!D3)*0.694805194805195</f>
        <v>1333.80948051948</v>
      </c>
      <c r="Z110" s="107" t="n">
        <f aca="false">'Price History'!E3+('Price History'!E158-'Price History'!E3)*0.694805194805195</f>
        <v>295.798831168831</v>
      </c>
      <c r="AA110" s="107" t="n">
        <f aca="false">'Price History'!F3+('Price History'!F158-'Price History'!F3)*0.694805194805195</f>
        <v>143.921038961039</v>
      </c>
      <c r="AB110" s="107" t="n">
        <f aca="false">'Price History'!G3+('Price History'!G158-'Price History'!G3)*0.694805194805195</f>
        <v>141.643116883117</v>
      </c>
      <c r="AC110" s="107" t="n">
        <f aca="false">'Price History'!H3+('Price History'!H158-'Price History'!H3)*0.694805194805195</f>
        <v>591.490909090909</v>
      </c>
      <c r="AD110" s="107" t="n">
        <f aca="false">'Price History'!I3+('Price History'!I158-'Price History'!I3)*0.694805194805195</f>
        <v>151.949350649351</v>
      </c>
      <c r="AE110" s="107" t="n">
        <f aca="false">'Price History'!J3+('Price History'!J158-'Price History'!J3)*0.694805194805195</f>
        <v>138.17038961039</v>
      </c>
      <c r="AF110" s="107" t="n">
        <f aca="false">'Price History'!K3+('Price History'!K158-'Price History'!K3)*0.694805194805195</f>
        <v>90.2057792207792</v>
      </c>
      <c r="AG110" s="107" t="n">
        <f aca="false">'Price History'!L3+('Price History'!L158-'Price History'!L3)*0.694805194805195</f>
        <v>308.94987012987</v>
      </c>
      <c r="AH110" s="107" t="n">
        <f aca="false">'Price History'!M3+('Price History'!M158-'Price History'!M3)*0.694805194805195</f>
        <v>178.071168831169</v>
      </c>
      <c r="AI110" s="107" t="n">
        <f aca="false">'Price History'!N3+('Price History'!N158-'Price History'!N3)*0.694805194805195</f>
        <v>438.267012987013</v>
      </c>
      <c r="AJ110" s="107" t="n">
        <f aca="false">'Price History'!O3+('Price History'!O158-'Price History'!O3)*0.694805194805195</f>
        <v>112.330584415584</v>
      </c>
      <c r="AK110" s="107" t="n">
        <f aca="false">'Price History'!Q3+('Price History'!Q151-'Price History'!Q3)*0.694805194805195</f>
        <v>62.7703246753247</v>
      </c>
      <c r="AL110" s="107" t="n">
        <f aca="false">'Price History'!R3+('Price History'!R158-'Price History'!R3)*0.694805194805195</f>
        <v>55.0668181818182</v>
      </c>
      <c r="AM110" s="107" t="n">
        <f aca="false">'Price History'!S3+('Price History'!S158-'Price History'!S3)*0.694805194805195</f>
        <v>117.799935064935</v>
      </c>
      <c r="AN110" s="107" t="n">
        <f aca="false">'Price History'!T3+('Price History'!T158-'Price History'!T3)*0.694805194805195</f>
        <v>42.7724025974026</v>
      </c>
    </row>
    <row r="111" customFormat="false" ht="15" hidden="false" customHeight="true" outlineLevel="0" collapsed="false">
      <c r="A111" s="104" t="n">
        <f aca="false">IF('Price History'!A112="","",'Price History'!A112)</f>
        <v>45912</v>
      </c>
      <c r="B111" s="105" t="n">
        <f aca="false">IFERROR(IF(OR(NOT(ISNUMBER('Price History'!B112)),NOT(ISNUMBER('Price History'!B111)),'Price History'!B111=0),"",'Price History'!B112/'Price History'!B111-1),"")</f>
        <v>0.00111757457661121</v>
      </c>
      <c r="C111" s="105" t="n">
        <f aca="false">IFERROR(IF(OR(NOT(ISNUMBER('Price History'!C112)),NOT(ISNUMBER('Price History'!C111)),'Price History'!C111=0),"",'Price History'!C112/'Price History'!C111-1),"")</f>
        <v>-0.0242212110605531</v>
      </c>
      <c r="D111" s="105" t="n">
        <f aca="false">IFERROR(IF(OR(NOT(ISNUMBER('Price History'!D112)),NOT(ISNUMBER('Price History'!D111)),'Price History'!D111=0),"",'Price History'!D112/'Price History'!D111-1),"")</f>
        <v>0.0411538953562747</v>
      </c>
      <c r="E111" s="105" t="n">
        <f aca="false">IFERROR(IF(OR(NOT(ISNUMBER('Price History'!E112)),NOT(ISNUMBER('Price History'!E111)),'Price History'!E111=0),"",'Price History'!E112/'Price History'!E111-1),"")</f>
        <v>0.0745916569619876</v>
      </c>
      <c r="F111" s="105" t="n">
        <f aca="false">IFERROR(IF(OR(NOT(ISNUMBER('Price History'!F112)),NOT(ISNUMBER('Price History'!F111)),'Price History'!F111=0),"",'Price History'!F112/'Price History'!F111-1),"")</f>
        <v>0.0442486351882003</v>
      </c>
      <c r="G111" s="105" t="n">
        <f aca="false">IFERROR(IF(OR(NOT(ISNUMBER('Price History'!G112)),NOT(ISNUMBER('Price History'!G111)),'Price History'!G111=0),"",'Price History'!G112/'Price History'!G111-1),"")</f>
        <v>0.0650756822450558</v>
      </c>
      <c r="H111" s="105" t="n">
        <f aca="false">IFERROR(IF(OR(NOT(ISNUMBER('Price History'!H112)),NOT(ISNUMBER('Price History'!H111)),'Price History'!H111=0),"",'Price History'!H112/'Price History'!H111-1),"")</f>
        <v>0.196848595569765</v>
      </c>
      <c r="I111" s="105" t="n">
        <f aca="false">IFERROR(IF(OR(NOT(ISNUMBER('Price History'!I112)),NOT(ISNUMBER('Price History'!I111)),'Price History'!I111=0),"",'Price History'!I112/'Price History'!I111-1),"")</f>
        <v>0.0646629146210034</v>
      </c>
      <c r="J111" s="105" t="n">
        <f aca="false">IFERROR(IF(OR(NOT(ISNUMBER('Price History'!J112)),NOT(ISNUMBER('Price History'!J111)),'Price History'!J111=0),"",'Price History'!J112/'Price History'!J111-1),"")</f>
        <v>0.014958205015398</v>
      </c>
      <c r="K111" s="105" t="n">
        <f aca="false">IFERROR(IF(OR(NOT(ISNUMBER('Price History'!K112)),NOT(ISNUMBER('Price History'!K111)),'Price History'!K111=0),"",'Price History'!K112/'Price History'!K111-1),"")</f>
        <v>0.119652537391418</v>
      </c>
      <c r="L111" s="105" t="n">
        <f aca="false">IFERROR(IF(OR(NOT(ISNUMBER('Price History'!L112)),NOT(ISNUMBER('Price History'!L111)),'Price History'!L111=0),"",'Price History'!L112/'Price History'!L111-1),"")</f>
        <v>0.0654040507785219</v>
      </c>
      <c r="M111" s="105" t="n">
        <f aca="false">IFERROR(IF(OR(NOT(ISNUMBER('Price History'!M112)),NOT(ISNUMBER('Price History'!M111)),'Price History'!M111=0),"",'Price History'!M112/'Price History'!M111-1),"")</f>
        <v>0.0874193548387097</v>
      </c>
      <c r="N111" s="105" t="n">
        <f aca="false">IFERROR(IF(OR(NOT(ISNUMBER('Price History'!N112)),NOT(ISNUMBER('Price History'!N111)),'Price History'!N111=0),"",'Price History'!N112/'Price History'!N111-1),"")</f>
        <v>-0.00401393517116033</v>
      </c>
      <c r="O111" s="105" t="n">
        <f aca="false">IFERROR(IF(OR(NOT(ISNUMBER('Price History'!O112)),NOT(ISNUMBER('Price History'!O111)),'Price History'!O111=0),"",'Price History'!O112/'Price History'!O111-1),"")</f>
        <v>-0.00792550029720618</v>
      </c>
      <c r="P111" s="105" t="str">
        <f aca="false">IFERROR(IF(OR(NOT(ISNUMBER('Price History'!P112)),NOT(ISNUMBER('Price History'!P111)),'Price History'!P111=0),"",'Price History'!P112/'Price History'!P111-1),"")</f>
        <v/>
      </c>
      <c r="Q111" s="105" t="n">
        <f aca="false">IFERROR(IF(OR(NOT(ISNUMBER('Price History'!Q112)),NOT(ISNUMBER('Price History'!Q111)),'Price History'!Q111=0),"",'Price History'!Q112/'Price History'!Q111-1),"")</f>
        <v>0.000610128126906639</v>
      </c>
      <c r="R111" s="105" t="n">
        <f aca="false">IFERROR(IF(OR(NOT(ISNUMBER('Price History'!R112)),NOT(ISNUMBER('Price History'!R111)),'Price History'!R111=0),"",'Price History'!R112/'Price History'!R111-1),"")</f>
        <v>0.0136249551810685</v>
      </c>
      <c r="S111" s="105" t="n">
        <f aca="false">IFERROR(IF(OR(NOT(ISNUMBER('Price History'!S112)),NOT(ISNUMBER('Price History'!S111)),'Price History'!S111=0),"",'Price History'!S112/'Price History'!S111-1),"")</f>
        <v>0.0293037163605296</v>
      </c>
      <c r="T111" s="105" t="n">
        <f aca="false">IFERROR(IF(OR(NOT(ISNUMBER('Price History'!T112)),NOT(ISNUMBER('Price History'!T111)),'Price History'!T111=0),"",'Price History'!T112/'Price History'!T111-1),"")</f>
        <v>-0.00292475405477266</v>
      </c>
      <c r="U111" s="105" t="str">
        <f aca="false">IFERROR(IF(OR(NOT(ISNUMBER('Price History'!U112)),NOT(ISNUMBER('Price History'!U111)),'Price History'!U111=0),"",'Price History'!U112/'Price History'!U111-1),"")</f>
        <v/>
      </c>
      <c r="V111" s="106" t="n">
        <f aca="false">IFERROR(IF(OR(NOT(ISNUMBER('Price History'!V112)),NOT(ISNUMBER('Price History'!V111)),'Price History'!V111=0),"",'Price History'!V112/'Price History'!V111-1),"")</f>
        <v>-0.0110425844346549</v>
      </c>
      <c r="W111" s="107" t="n">
        <f aca="false">'Price History'!B3+('Price History'!B158-'Price History'!B3)*0.701298701298701</f>
        <v>327.486883116883</v>
      </c>
      <c r="X111" s="107" t="n">
        <f aca="false">'Price History'!C3+('Price History'!C158-'Price History'!C3)*0.701298701298701</f>
        <v>139.544415584416</v>
      </c>
      <c r="Y111" s="107" t="n">
        <f aca="false">'Price History'!D3+('Price History'!D158-'Price History'!D3)*0.701298701298701</f>
        <v>1340.09012987013</v>
      </c>
      <c r="Z111" s="107" t="n">
        <f aca="false">'Price History'!E3+('Price History'!E158-'Price History'!E3)*0.701298701298701</f>
        <v>297.787792207792</v>
      </c>
      <c r="AA111" s="107" t="n">
        <f aca="false">'Price History'!F3+('Price History'!F158-'Price History'!F3)*0.701298701298701</f>
        <v>144.91974025974</v>
      </c>
      <c r="AB111" s="107" t="n">
        <f aca="false">'Price History'!G3+('Price History'!G158-'Price History'!G3)*0.701298701298701</f>
        <v>142.519220779221</v>
      </c>
      <c r="AC111" s="107" t="n">
        <f aca="false">'Price History'!H3+('Price History'!H158-'Price History'!H3)*0.701298701298701</f>
        <v>596.417272727273</v>
      </c>
      <c r="AD111" s="107" t="n">
        <f aca="false">'Price History'!I3+('Price History'!I158-'Price History'!I3)*0.701298701298701</f>
        <v>152.987662337662</v>
      </c>
      <c r="AE111" s="107" t="n">
        <f aca="false">'Price History'!J3+('Price History'!J158-'Price History'!J3)*0.701298701298701</f>
        <v>138.307402597403</v>
      </c>
      <c r="AF111" s="107" t="n">
        <f aca="false">'Price History'!K3+('Price History'!K158-'Price History'!K3)*0.701298701298701</f>
        <v>90.9048051948052</v>
      </c>
      <c r="AG111" s="107" t="n">
        <f aca="false">'Price History'!L3+('Price History'!L158-'Price History'!L3)*0.701298701298701</f>
        <v>310.977532467532</v>
      </c>
      <c r="AH111" s="107" t="n">
        <f aca="false">'Price History'!M3+('Price History'!M158-'Price History'!M3)*0.701298701298701</f>
        <v>179.422207792208</v>
      </c>
      <c r="AI111" s="107" t="n">
        <f aca="false">'Price History'!N3+('Price History'!N158-'Price History'!N3)*0.701298701298701</f>
        <v>439.093246753247</v>
      </c>
      <c r="AJ111" s="107" t="n">
        <f aca="false">'Price History'!O3+('Price History'!O158-'Price History'!O3)*0.701298701298701</f>
        <v>112.606103896104</v>
      </c>
      <c r="AK111" s="107" t="n">
        <f aca="false">'Price History'!Q3+('Price History'!Q151-'Price History'!Q3)*0.701298701298701</f>
        <v>62.8911688311688</v>
      </c>
      <c r="AL111" s="107" t="n">
        <f aca="false">'Price History'!R3+('Price History'!R158-'Price History'!R3)*0.701298701298701</f>
        <v>55.1345454545455</v>
      </c>
      <c r="AM111" s="107" t="n">
        <f aca="false">'Price History'!S3+('Price History'!S158-'Price History'!S3)*0.701298701298701</f>
        <v>118.353766233766</v>
      </c>
      <c r="AN111" s="107" t="n">
        <f aca="false">'Price History'!T3+('Price History'!T158-'Price History'!T3)*0.701298701298701</f>
        <v>42.9206493506493</v>
      </c>
    </row>
    <row r="112" customFormat="false" ht="15" hidden="false" customHeight="true" outlineLevel="0" collapsed="false">
      <c r="A112" s="104" t="n">
        <f aca="false">IF('Price History'!A113="","",'Price History'!A113)</f>
        <v>45919</v>
      </c>
      <c r="B112" s="105" t="n">
        <f aca="false">IFERROR(IF(OR(NOT(ISNUMBER('Price History'!B113)),NOT(ISNUMBER('Price History'!B112)),'Price History'!B112=0),"",'Price History'!B113/'Price History'!B112-1),"")</f>
        <v>0.0473437142202884</v>
      </c>
      <c r="C112" s="105" t="n">
        <f aca="false">IFERROR(IF(OR(NOT(ISNUMBER('Price History'!C113)),NOT(ISNUMBER('Price History'!C112)),'Price History'!C112=0),"",'Price History'!C113/'Price History'!C112-1),"")</f>
        <v>0.0733194633761392</v>
      </c>
      <c r="D112" s="105" t="n">
        <f aca="false">IFERROR(IF(OR(NOT(ISNUMBER('Price History'!D113)),NOT(ISNUMBER('Price History'!D112)),'Price History'!D112=0),"",'Price History'!D113/'Price History'!D112-1),"")</f>
        <v>0.145330335311536</v>
      </c>
      <c r="E112" s="105" t="n">
        <f aca="false">IFERROR(IF(OR(NOT(ISNUMBER('Price History'!E113)),NOT(ISNUMBER('Price History'!E112)),'Price History'!E112=0),"",'Price History'!E113/'Price History'!E112-1),"")</f>
        <v>-0.0414872037124517</v>
      </c>
      <c r="F112" s="105" t="n">
        <f aca="false">IFERROR(IF(OR(NOT(ISNUMBER('Price History'!F113)),NOT(ISNUMBER('Price History'!F112)),'Price History'!F112=0),"",'Price History'!F113/'Price History'!F112-1),"")</f>
        <v>0.152343391727048</v>
      </c>
      <c r="G112" s="105" t="n">
        <f aca="false">IFERROR(IF(OR(NOT(ISNUMBER('Price History'!G113)),NOT(ISNUMBER('Price History'!G112)),'Price History'!G112=0),"",'Price History'!G113/'Price History'!G112-1),"")</f>
        <v>0.083817427385892</v>
      </c>
      <c r="H112" s="105" t="n">
        <f aca="false">IFERROR(IF(OR(NOT(ISNUMBER('Price History'!H113)),NOT(ISNUMBER('Price History'!H112)),'Price History'!H112=0),"",'Price History'!H113/'Price History'!H112-1),"")</f>
        <v>0.0349806016663488</v>
      </c>
      <c r="I112" s="105" t="n">
        <f aca="false">IFERROR(IF(OR(NOT(ISNUMBER('Price History'!I113)),NOT(ISNUMBER('Price History'!I112)),'Price History'!I112=0),"",'Price History'!I113/'Price History'!I112-1),"")</f>
        <v>-0.00646721403666628</v>
      </c>
      <c r="J112" s="105" t="n">
        <f aca="false">IFERROR(IF(OR(NOT(ISNUMBER('Price History'!J113)),NOT(ISNUMBER('Price History'!J112)),'Price History'!J112=0),"",'Price History'!J113/'Price History'!J112-1),"")</f>
        <v>-0.0159514521022973</v>
      </c>
      <c r="K112" s="105" t="n">
        <f aca="false">IFERROR(IF(OR(NOT(ISNUMBER('Price History'!K113)),NOT(ISNUMBER('Price History'!K112)),'Price History'!K112=0),"",'Price History'!K113/'Price History'!K112-1),"")</f>
        <v>0.0639328005599953</v>
      </c>
      <c r="L112" s="105" t="n">
        <f aca="false">IFERROR(IF(OR(NOT(ISNUMBER('Price History'!L113)),NOT(ISNUMBER('Price History'!L112)),'Price History'!L112=0),"",'Price History'!L113/'Price History'!L112-1),"")</f>
        <v>0.0213627424517024</v>
      </c>
      <c r="M112" s="105" t="n">
        <f aca="false">IFERROR(IF(OR(NOT(ISNUMBER('Price History'!M113)),NOT(ISNUMBER('Price History'!M112)),'Price History'!M112=0),"",'Price History'!M113/'Price History'!M112-1),"")</f>
        <v>0.0649658854939186</v>
      </c>
      <c r="N112" s="105" t="n">
        <f aca="false">IFERROR(IF(OR(NOT(ISNUMBER('Price History'!N113)),NOT(ISNUMBER('Price History'!N112)),'Price History'!N112=0),"",'Price History'!N113/'Price History'!N112-1),"")</f>
        <v>-0.0289204876688718</v>
      </c>
      <c r="O112" s="105" t="n">
        <f aca="false">IFERROR(IF(OR(NOT(ISNUMBER('Price History'!O113)),NOT(ISNUMBER('Price History'!O112)),'Price History'!O112=0),"",'Price History'!O113/'Price History'!O112-1),"")</f>
        <v>0.00569203115638106</v>
      </c>
      <c r="P112" s="105" t="str">
        <f aca="false">IFERROR(IF(OR(NOT(ISNUMBER('Price History'!P113)),NOT(ISNUMBER('Price History'!P112)),'Price History'!P112=0),"",'Price History'!P113/'Price History'!P112-1),"")</f>
        <v/>
      </c>
      <c r="Q112" s="105" t="n">
        <f aca="false">IFERROR(IF(OR(NOT(ISNUMBER('Price History'!Q113)),NOT(ISNUMBER('Price History'!Q112)),'Price History'!Q112=0),"",'Price History'!Q113/'Price History'!Q112-1),"")</f>
        <v>-0.00503048780487803</v>
      </c>
      <c r="R112" s="105" t="n">
        <f aca="false">IFERROR(IF(OR(NOT(ISNUMBER('Price History'!R113)),NOT(ISNUMBER('Price History'!R112)),'Price History'!R112=0),"",'Price History'!R113/'Price History'!R112-1),"")</f>
        <v>0.0109656880084896</v>
      </c>
      <c r="S112" s="105" t="n">
        <f aca="false">IFERROR(IF(OR(NOT(ISNUMBER('Price History'!S113)),NOT(ISNUMBER('Price History'!S112)),'Price History'!S112=0),"",'Price History'!S113/'Price History'!S112-1),"")</f>
        <v>0.0120351925630811</v>
      </c>
      <c r="T112" s="105" t="n">
        <f aca="false">IFERROR(IF(OR(NOT(ISNUMBER('Price History'!T113)),NOT(ISNUMBER('Price History'!T112)),'Price History'!T112=0),"",'Price History'!T113/'Price History'!T112-1),"")</f>
        <v>-0.0013333333333333</v>
      </c>
      <c r="U112" s="105" t="str">
        <f aca="false">IFERROR(IF(OR(NOT(ISNUMBER('Price History'!U113)),NOT(ISNUMBER('Price History'!U112)),'Price History'!U112=0),"",'Price History'!U113/'Price History'!U112-1),"")</f>
        <v/>
      </c>
      <c r="V112" s="106" t="n">
        <f aca="false">IFERROR(IF(OR(NOT(ISNUMBER('Price History'!V113)),NOT(ISNUMBER('Price History'!V112)),'Price History'!V112=0),"",'Price History'!V113/'Price History'!V112-1),"")</f>
        <v>0.00641444437845218</v>
      </c>
      <c r="W112" s="107" t="n">
        <f aca="false">'Price History'!B3+('Price History'!B158-'Price History'!B3)*0.707792207792208</f>
        <v>325.811298701299</v>
      </c>
      <c r="X112" s="107" t="n">
        <f aca="false">'Price History'!C3+('Price History'!C158-'Price History'!C3)*0.707792207792208</f>
        <v>140.431493506494</v>
      </c>
      <c r="Y112" s="107" t="n">
        <f aca="false">'Price History'!D3+('Price History'!D158-'Price History'!D3)*0.707792207792208</f>
        <v>1346.37077922078</v>
      </c>
      <c r="Z112" s="107" t="n">
        <f aca="false">'Price History'!E3+('Price History'!E158-'Price History'!E3)*0.707792207792208</f>
        <v>299.776753246753</v>
      </c>
      <c r="AA112" s="107" t="n">
        <f aca="false">'Price History'!F3+('Price History'!F158-'Price History'!F3)*0.707792207792208</f>
        <v>145.918441558442</v>
      </c>
      <c r="AB112" s="107" t="n">
        <f aca="false">'Price History'!G3+('Price History'!G158-'Price History'!G3)*0.707792207792208</f>
        <v>143.395324675325</v>
      </c>
      <c r="AC112" s="107" t="n">
        <f aca="false">'Price History'!H3+('Price History'!H158-'Price History'!H3)*0.707792207792208</f>
        <v>601.343636363637</v>
      </c>
      <c r="AD112" s="107" t="n">
        <f aca="false">'Price History'!I3+('Price History'!I158-'Price History'!I3)*0.707792207792208</f>
        <v>154.025974025974</v>
      </c>
      <c r="AE112" s="107" t="n">
        <f aca="false">'Price History'!J3+('Price History'!J158-'Price History'!J3)*0.707792207792208</f>
        <v>138.444415584416</v>
      </c>
      <c r="AF112" s="107" t="n">
        <f aca="false">'Price History'!K3+('Price History'!K158-'Price History'!K3)*0.707792207792208</f>
        <v>91.6038311688312</v>
      </c>
      <c r="AG112" s="107" t="n">
        <f aca="false">'Price History'!L3+('Price History'!L158-'Price History'!L3)*0.707792207792208</f>
        <v>313.005194805195</v>
      </c>
      <c r="AH112" s="107" t="n">
        <f aca="false">'Price History'!M3+('Price History'!M158-'Price History'!M3)*0.707792207792208</f>
        <v>180.773246753247</v>
      </c>
      <c r="AI112" s="107" t="n">
        <f aca="false">'Price History'!N3+('Price History'!N158-'Price History'!N3)*0.707792207792208</f>
        <v>439.919480519481</v>
      </c>
      <c r="AJ112" s="107" t="n">
        <f aca="false">'Price History'!O3+('Price History'!O158-'Price History'!O3)*0.707792207792208</f>
        <v>112.881623376623</v>
      </c>
      <c r="AK112" s="107" t="n">
        <f aca="false">'Price History'!Q3+('Price History'!Q151-'Price History'!Q3)*0.707792207792208</f>
        <v>63.012012987013</v>
      </c>
      <c r="AL112" s="107" t="n">
        <f aca="false">'Price History'!R3+('Price History'!R158-'Price History'!R3)*0.707792207792208</f>
        <v>55.2022727272727</v>
      </c>
      <c r="AM112" s="107" t="n">
        <f aca="false">'Price History'!S3+('Price History'!S158-'Price History'!S3)*0.707792207792208</f>
        <v>118.907597402597</v>
      </c>
      <c r="AN112" s="107" t="n">
        <f aca="false">'Price History'!T3+('Price History'!T158-'Price History'!T3)*0.707792207792208</f>
        <v>43.0688961038961</v>
      </c>
    </row>
    <row r="113" customFormat="false" ht="15" hidden="false" customHeight="true" outlineLevel="0" collapsed="false">
      <c r="A113" s="104" t="n">
        <f aca="false">IF('Price History'!A114="","",'Price History'!A114)</f>
        <v>45926</v>
      </c>
      <c r="B113" s="105" t="n">
        <f aca="false">IFERROR(IF(OR(NOT(ISNUMBER('Price History'!B114)),NOT(ISNUMBER('Price History'!B113)),'Price History'!B113=0),"",'Price History'!B114/'Price History'!B113-1),"")</f>
        <v>-0.0151134189669307</v>
      </c>
      <c r="C113" s="105" t="n">
        <f aca="false">IFERROR(IF(OR(NOT(ISNUMBER('Price History'!C114)),NOT(ISNUMBER('Price History'!C113)),'Price History'!C113=0),"",'Price History'!C114/'Price History'!C113-1),"")</f>
        <v>-0.0475235612592742</v>
      </c>
      <c r="D113" s="105" t="n">
        <f aca="false">IFERROR(IF(OR(NOT(ISNUMBER('Price History'!D114)),NOT(ISNUMBER('Price History'!D113)),'Price History'!D113=0),"",'Price History'!D114/'Price History'!D113-1),"")</f>
        <v>0.020779917395269</v>
      </c>
      <c r="E113" s="105" t="n">
        <f aca="false">IFERROR(IF(OR(NOT(ISNUMBER('Price History'!E114)),NOT(ISNUMBER('Price History'!E113)),'Price History'!E113=0),"",'Price History'!E114/'Price History'!E113-1),"")</f>
        <v>-0.0301791615933207</v>
      </c>
      <c r="F113" s="105" t="n">
        <f aca="false">IFERROR(IF(OR(NOT(ISNUMBER('Price History'!F114)),NOT(ISNUMBER('Price History'!F113)),'Price History'!F113=0),"",'Price History'!F114/'Price History'!F113-1),"")</f>
        <v>-0.0420248328557784</v>
      </c>
      <c r="G113" s="105" t="n">
        <f aca="false">IFERROR(IF(OR(NOT(ISNUMBER('Price History'!G114)),NOT(ISNUMBER('Price History'!G113)),'Price History'!G113=0),"",'Price History'!G114/'Price History'!G113-1),"")</f>
        <v>0.0186638591117918</v>
      </c>
      <c r="H113" s="105" t="n">
        <f aca="false">IFERROR(IF(OR(NOT(ISNUMBER('Price History'!H114)),NOT(ISNUMBER('Price History'!H113)),'Price History'!H113=0),"",'Price History'!H114/'Price History'!H113-1),"")</f>
        <v>-0.0335525102931235</v>
      </c>
      <c r="I113" s="105" t="n">
        <f aca="false">IFERROR(IF(OR(NOT(ISNUMBER('Price History'!I114)),NOT(ISNUMBER('Price History'!I113)),'Price History'!I113=0),"",'Price History'!I114/'Price History'!I113-1),"")</f>
        <v>0.00860361125261799</v>
      </c>
      <c r="J113" s="105" t="n">
        <f aca="false">IFERROR(IF(OR(NOT(ISNUMBER('Price History'!J114)),NOT(ISNUMBER('Price History'!J113)),'Price History'!J113=0),"",'Price History'!J114/'Price History'!J113-1),"")</f>
        <v>0.0059906616157166</v>
      </c>
      <c r="K113" s="105" t="n">
        <f aca="false">IFERROR(IF(OR(NOT(ISNUMBER('Price History'!K114)),NOT(ISNUMBER('Price History'!K113)),'Price History'!K113=0),"",'Price History'!K114/'Price History'!K113-1),"")</f>
        <v>-0.0264268874390043</v>
      </c>
      <c r="L113" s="105" t="n">
        <f aca="false">IFERROR(IF(OR(NOT(ISNUMBER('Price History'!L114)),NOT(ISNUMBER('Price History'!L113)),'Price History'!L113=0),"",'Price History'!L114/'Price History'!L113-1),"")</f>
        <v>0.0320534601880167</v>
      </c>
      <c r="M113" s="105" t="n">
        <f aca="false">IFERROR(IF(OR(NOT(ISNUMBER('Price History'!M114)),NOT(ISNUMBER('Price History'!M113)),'Price History'!M113=0),"",'Price History'!M114/'Price History'!M113-1),"")</f>
        <v>-0.0346796657381615</v>
      </c>
      <c r="N113" s="105" t="n">
        <f aca="false">IFERROR(IF(OR(NOT(ISNUMBER('Price History'!N114)),NOT(ISNUMBER('Price History'!N113)),'Price History'!N113=0),"",'Price History'!N114/'Price History'!N113-1),"")</f>
        <v>0.00683858843182295</v>
      </c>
      <c r="O113" s="105" t="n">
        <f aca="false">IFERROR(IF(OR(NOT(ISNUMBER('Price History'!O114)),NOT(ISNUMBER('Price History'!O113)),'Price History'!O113=0),"",'Price History'!O114/'Price History'!O113-1),"")</f>
        <v>-0.00158872008737954</v>
      </c>
      <c r="P113" s="105" t="str">
        <f aca="false">IFERROR(IF(OR(NOT(ISNUMBER('Price History'!P114)),NOT(ISNUMBER('Price History'!P113)),'Price History'!P113=0),"",'Price History'!P114/'Price History'!P113-1),"")</f>
        <v/>
      </c>
      <c r="Q113" s="105" t="n">
        <f aca="false">IFERROR(IF(OR(NOT(ISNUMBER('Price History'!Q114)),NOT(ISNUMBER('Price History'!Q113)),'Price History'!Q113=0),"",'Price History'!Q114/'Price History'!Q113-1),"")</f>
        <v>0.00153209744139748</v>
      </c>
      <c r="R113" s="105" t="n">
        <f aca="false">IFERROR(IF(OR(NOT(ISNUMBER('Price History'!R114)),NOT(ISNUMBER('Price History'!R113)),'Price History'!R113=0),"",'Price History'!R114/'Price History'!R113-1),"")</f>
        <v>0.00157452764170762</v>
      </c>
      <c r="S113" s="105" t="n">
        <f aca="false">IFERROR(IF(OR(NOT(ISNUMBER('Price History'!S114)),NOT(ISNUMBER('Price History'!S113)),'Price History'!S113=0),"",'Price History'!S114/'Price History'!S113-1),"")</f>
        <v>-0.0110719265152137</v>
      </c>
      <c r="T113" s="105" t="n">
        <f aca="false">IFERROR(IF(OR(NOT(ISNUMBER('Price History'!T114)),NOT(ISNUMBER('Price History'!T113)),'Price History'!T113=0),"",'Price History'!T114/'Price History'!T113-1),"")</f>
        <v>0.0077436582109478</v>
      </c>
      <c r="U113" s="105" t="str">
        <f aca="false">IFERROR(IF(OR(NOT(ISNUMBER('Price History'!U114)),NOT(ISNUMBER('Price History'!U113)),'Price History'!U113=0),"",'Price History'!U114/'Price History'!U113-1),"")</f>
        <v/>
      </c>
      <c r="V113" s="106" t="n">
        <f aca="false">IFERROR(IF(OR(NOT(ISNUMBER('Price History'!V114)),NOT(ISNUMBER('Price History'!V113)),'Price History'!V113=0),"",'Price History'!V114/'Price History'!V113-1),"")</f>
        <v>-0.0124225435231631</v>
      </c>
      <c r="W113" s="107" t="n">
        <f aca="false">'Price History'!B3+('Price History'!B158-'Price History'!B3)*0.714285714285714</f>
        <v>324.135714285714</v>
      </c>
      <c r="X113" s="107" t="n">
        <f aca="false">'Price History'!C3+('Price History'!C158-'Price History'!C3)*0.714285714285714</f>
        <v>141.318571428571</v>
      </c>
      <c r="Y113" s="107" t="n">
        <f aca="false">'Price History'!D3+('Price History'!D158-'Price History'!D3)*0.714285714285714</f>
        <v>1352.65142857143</v>
      </c>
      <c r="Z113" s="107" t="n">
        <f aca="false">'Price History'!E3+('Price History'!E158-'Price History'!E3)*0.714285714285714</f>
        <v>301.765714285714</v>
      </c>
      <c r="AA113" s="107" t="n">
        <f aca="false">'Price History'!F3+('Price History'!F158-'Price History'!F3)*0.714285714285714</f>
        <v>146.917142857143</v>
      </c>
      <c r="AB113" s="107" t="n">
        <f aca="false">'Price History'!G3+('Price History'!G158-'Price History'!G3)*0.714285714285714</f>
        <v>144.271428571429</v>
      </c>
      <c r="AC113" s="107" t="n">
        <f aca="false">'Price History'!H3+('Price History'!H158-'Price History'!H3)*0.714285714285714</f>
        <v>606.27</v>
      </c>
      <c r="AD113" s="107" t="n">
        <f aca="false">'Price History'!I3+('Price History'!I158-'Price History'!I3)*0.714285714285714</f>
        <v>155.064285714286</v>
      </c>
      <c r="AE113" s="107" t="n">
        <f aca="false">'Price History'!J3+('Price History'!J158-'Price History'!J3)*0.714285714285714</f>
        <v>138.581428571429</v>
      </c>
      <c r="AF113" s="107" t="n">
        <f aca="false">'Price History'!K3+('Price History'!K158-'Price History'!K3)*0.714285714285714</f>
        <v>92.3028571428571</v>
      </c>
      <c r="AG113" s="107" t="n">
        <f aca="false">'Price History'!L3+('Price History'!L158-'Price History'!L3)*0.714285714285714</f>
        <v>315.032857142857</v>
      </c>
      <c r="AH113" s="107" t="n">
        <f aca="false">'Price History'!M3+('Price History'!M158-'Price History'!M3)*0.714285714285714</f>
        <v>182.124285714286</v>
      </c>
      <c r="AI113" s="107" t="n">
        <f aca="false">'Price History'!N3+('Price History'!N158-'Price History'!N3)*0.714285714285714</f>
        <v>440.745714285714</v>
      </c>
      <c r="AJ113" s="107" t="n">
        <f aca="false">'Price History'!O3+('Price History'!O158-'Price History'!O3)*0.714285714285714</f>
        <v>113.157142857143</v>
      </c>
      <c r="AK113" s="107" t="n">
        <f aca="false">'Price History'!Q3+('Price History'!Q151-'Price History'!Q3)*0.714285714285714</f>
        <v>63.1328571428571</v>
      </c>
      <c r="AL113" s="107" t="n">
        <f aca="false">'Price History'!R3+('Price History'!R158-'Price History'!R3)*0.714285714285714</f>
        <v>55.27</v>
      </c>
      <c r="AM113" s="107" t="n">
        <f aca="false">'Price History'!S3+('Price History'!S158-'Price History'!S3)*0.714285714285714</f>
        <v>119.461428571429</v>
      </c>
      <c r="AN113" s="107" t="n">
        <f aca="false">'Price History'!T3+('Price History'!T158-'Price History'!T3)*0.714285714285714</f>
        <v>43.2171428571428</v>
      </c>
    </row>
    <row r="114" customFormat="false" ht="15" hidden="false" customHeight="true" outlineLevel="0" collapsed="false">
      <c r="A114" s="104" t="n">
        <f aca="false">IF('Price History'!A115="","",'Price History'!A115)</f>
        <v>45933</v>
      </c>
      <c r="B114" s="105" t="n">
        <f aca="false">IFERROR(IF(OR(NOT(ISNUMBER('Price History'!B115)),NOT(ISNUMBER('Price History'!B114)),'Price History'!B114=0),"",'Price History'!B115/'Price History'!B114-1),"")</f>
        <v>-0.0378222382551267</v>
      </c>
      <c r="C114" s="105" t="n">
        <f aca="false">IFERROR(IF(OR(NOT(ISNUMBER('Price History'!C115)),NOT(ISNUMBER('Price History'!C114)),'Price History'!C114=0),"",'Price History'!C115/'Price History'!C114-1),"")</f>
        <v>0.0210526315789474</v>
      </c>
      <c r="D114" s="105" t="n">
        <f aca="false">IFERROR(IF(OR(NOT(ISNUMBER('Price History'!D115)),NOT(ISNUMBER('Price History'!D114)),'Price History'!D114=0),"",'Price History'!D115/'Price History'!D114-1),"")</f>
        <v>0.0848116697494536</v>
      </c>
      <c r="E114" s="105" t="n">
        <f aca="false">IFERROR(IF(OR(NOT(ISNUMBER('Price History'!E115)),NOT(ISNUMBER('Price History'!E114)),'Price History'!E114=0),"",'Price History'!E115/'Price History'!E114-1),"")</f>
        <v>0.0114787911398082</v>
      </c>
      <c r="F114" s="105" t="n">
        <f aca="false">IFERROR(IF(OR(NOT(ISNUMBER('Price History'!F115)),NOT(ISNUMBER('Price History'!F114)),'Price History'!F114=0),"",'Price History'!F115/'Price History'!F114-1),"")</f>
        <v>0.0175307411100034</v>
      </c>
      <c r="G114" s="105" t="n">
        <f aca="false">IFERROR(IF(OR(NOT(ISNUMBER('Price History'!G115)),NOT(ISNUMBER('Price History'!G114)),'Price History'!G114=0),"",'Price History'!G115/'Price History'!G114-1),"")</f>
        <v>0.0350465094428263</v>
      </c>
      <c r="H114" s="105" t="n">
        <f aca="false">IFERROR(IF(OR(NOT(ISNUMBER('Price History'!H115)),NOT(ISNUMBER('Price History'!H114)),'Price History'!H114=0),"",'Price History'!H115/'Price History'!H114-1),"")</f>
        <v>0.194315508361417</v>
      </c>
      <c r="I114" s="105" t="n">
        <f aca="false">IFERROR(IF(OR(NOT(ISNUMBER('Price History'!I115)),NOT(ISNUMBER('Price History'!I114)),'Price History'!I114=0),"",'Price History'!I115/'Price History'!I114-1),"")</f>
        <v>0.0529210393400303</v>
      </c>
      <c r="J114" s="105" t="n">
        <f aca="false">IFERROR(IF(OR(NOT(ISNUMBER('Price History'!J115)),NOT(ISNUMBER('Price History'!J114)),'Price History'!J114=0),"",'Price History'!J115/'Price History'!J114-1),"")</f>
        <v>0.0251335493475786</v>
      </c>
      <c r="K114" s="105" t="n">
        <f aca="false">IFERROR(IF(OR(NOT(ISNUMBER('Price History'!K115)),NOT(ISNUMBER('Price History'!K114)),'Price History'!K114=0),"",'Price History'!K115/'Price History'!K114-1),"")</f>
        <v>-0.025342118601115</v>
      </c>
      <c r="L114" s="105" t="n">
        <f aca="false">IFERROR(IF(OR(NOT(ISNUMBER('Price History'!L115)),NOT(ISNUMBER('Price History'!L114)),'Price History'!L114=0),"",'Price History'!L115/'Price History'!L114-1),"")</f>
        <v>0.0688835235586771</v>
      </c>
      <c r="M114" s="105" t="n">
        <f aca="false">IFERROR(IF(OR(NOT(ISNUMBER('Price History'!M115)),NOT(ISNUMBER('Price History'!M114)),'Price History'!M114=0),"",'Price History'!M115/'Price History'!M114-1),"")</f>
        <v>0.155677391429808</v>
      </c>
      <c r="N114" s="105" t="n">
        <f aca="false">IFERROR(IF(OR(NOT(ISNUMBER('Price History'!N115)),NOT(ISNUMBER('Price History'!N114)),'Price History'!N114=0),"",'Price History'!N115/'Price History'!N114-1),"")</f>
        <v>0.0455228910665215</v>
      </c>
      <c r="O114" s="105" t="n">
        <f aca="false">IFERROR(IF(OR(NOT(ISNUMBER('Price History'!O115)),NOT(ISNUMBER('Price History'!O114)),'Price History'!O114=0),"",'Price History'!O115/'Price History'!O114-1),"")</f>
        <v>0.00109398309298858</v>
      </c>
      <c r="P114" s="105" t="str">
        <f aca="false">IFERROR(IF(OR(NOT(ISNUMBER('Price History'!P115)),NOT(ISNUMBER('Price History'!P114)),'Price History'!P114=0),"",'Price History'!P115/'Price History'!P114-1),"")</f>
        <v/>
      </c>
      <c r="Q114" s="105" t="n">
        <f aca="false">IFERROR(IF(OR(NOT(ISNUMBER('Price History'!Q115)),NOT(ISNUMBER('Price History'!Q114)),'Price History'!Q114=0),"",'Price History'!Q115/'Price History'!Q114-1),"")</f>
        <v>-0.00887257151598586</v>
      </c>
      <c r="R114" s="105" t="n">
        <f aca="false">IFERROR(IF(OR(NOT(ISNUMBER('Price History'!R115)),NOT(ISNUMBER('Price History'!R114)),'Price History'!R114=0),"",'Price History'!R115/'Price History'!R114-1),"")</f>
        <v>0.00052401746724895</v>
      </c>
      <c r="S114" s="105" t="n">
        <f aca="false">IFERROR(IF(OR(NOT(ISNUMBER('Price History'!S115)),NOT(ISNUMBER('Price History'!S114)),'Price History'!S114=0),"",'Price History'!S115/'Price History'!S114-1),"")</f>
        <v>-0.00406369215458613</v>
      </c>
      <c r="T114" s="105" t="n">
        <f aca="false">IFERROR(IF(OR(NOT(ISNUMBER('Price History'!T115)),NOT(ISNUMBER('Price History'!T114)),'Price History'!T114=0),"",'Price History'!T115/'Price History'!T114-1),"")</f>
        <v>0.00344462109167987</v>
      </c>
      <c r="U114" s="105" t="str">
        <f aca="false">IFERROR(IF(OR(NOT(ISNUMBER('Price History'!U115)),NOT(ISNUMBER('Price History'!U114)),'Price History'!U114=0),"",'Price History'!U115/'Price History'!U114-1),"")</f>
        <v/>
      </c>
      <c r="V114" s="106" t="n">
        <f aca="false">IFERROR(IF(OR(NOT(ISNUMBER('Price History'!V115)),NOT(ISNUMBER('Price History'!V114)),'Price History'!V114=0),"",'Price History'!V115/'Price History'!V114-1),"")</f>
        <v>0.0369595745316562</v>
      </c>
      <c r="W114" s="107" t="n">
        <f aca="false">'Price History'!B3+('Price History'!B158-'Price History'!B3)*0.720779220779221</f>
        <v>322.46012987013</v>
      </c>
      <c r="X114" s="107" t="n">
        <f aca="false">'Price History'!C3+('Price History'!C158-'Price History'!C3)*0.720779220779221</f>
        <v>142.205649350649</v>
      </c>
      <c r="Y114" s="107" t="n">
        <f aca="false">'Price History'!D3+('Price History'!D158-'Price History'!D3)*0.720779220779221</f>
        <v>1358.93207792208</v>
      </c>
      <c r="Z114" s="107" t="n">
        <f aca="false">'Price History'!E3+('Price History'!E158-'Price History'!E3)*0.720779220779221</f>
        <v>303.754675324675</v>
      </c>
      <c r="AA114" s="107" t="n">
        <f aca="false">'Price History'!F3+('Price History'!F158-'Price History'!F3)*0.720779220779221</f>
        <v>147.915844155844</v>
      </c>
      <c r="AB114" s="107" t="n">
        <f aca="false">'Price History'!G3+('Price History'!G158-'Price History'!G3)*0.720779220779221</f>
        <v>145.147532467532</v>
      </c>
      <c r="AC114" s="107" t="n">
        <f aca="false">'Price History'!H3+('Price History'!H158-'Price History'!H3)*0.720779220779221</f>
        <v>611.196363636364</v>
      </c>
      <c r="AD114" s="107" t="n">
        <f aca="false">'Price History'!I3+('Price History'!I158-'Price History'!I3)*0.720779220779221</f>
        <v>156.102597402597</v>
      </c>
      <c r="AE114" s="107" t="n">
        <f aca="false">'Price History'!J3+('Price History'!J158-'Price History'!J3)*0.720779220779221</f>
        <v>138.718441558442</v>
      </c>
      <c r="AF114" s="107" t="n">
        <f aca="false">'Price History'!K3+('Price History'!K158-'Price History'!K3)*0.720779220779221</f>
        <v>93.0018831168831</v>
      </c>
      <c r="AG114" s="107" t="n">
        <f aca="false">'Price History'!L3+('Price History'!L158-'Price History'!L3)*0.720779220779221</f>
        <v>317.06051948052</v>
      </c>
      <c r="AH114" s="107" t="n">
        <f aca="false">'Price History'!M3+('Price History'!M158-'Price History'!M3)*0.720779220779221</f>
        <v>183.475324675325</v>
      </c>
      <c r="AI114" s="107" t="n">
        <f aca="false">'Price History'!N3+('Price History'!N158-'Price History'!N3)*0.720779220779221</f>
        <v>441.571948051948</v>
      </c>
      <c r="AJ114" s="107" t="n">
        <f aca="false">'Price History'!O3+('Price History'!O158-'Price History'!O3)*0.720779220779221</f>
        <v>113.432662337662</v>
      </c>
      <c r="AK114" s="107" t="n">
        <f aca="false">'Price History'!Q3+('Price History'!Q151-'Price History'!Q3)*0.720779220779221</f>
        <v>63.2537012987013</v>
      </c>
      <c r="AL114" s="107" t="n">
        <f aca="false">'Price History'!R3+('Price History'!R158-'Price History'!R3)*0.720779220779221</f>
        <v>55.3377272727273</v>
      </c>
      <c r="AM114" s="107" t="n">
        <f aca="false">'Price History'!S3+('Price History'!S158-'Price History'!S3)*0.720779220779221</f>
        <v>120.01525974026</v>
      </c>
      <c r="AN114" s="107" t="n">
        <f aca="false">'Price History'!T3+('Price History'!T158-'Price History'!T3)*0.720779220779221</f>
        <v>43.3653896103896</v>
      </c>
    </row>
    <row r="115" customFormat="false" ht="15" hidden="false" customHeight="true" outlineLevel="0" collapsed="false">
      <c r="A115" s="104" t="n">
        <f aca="false">IF('Price History'!A116="","",'Price History'!A116)</f>
        <v>45940</v>
      </c>
      <c r="B115" s="105" t="n">
        <f aca="false">IFERROR(IF(OR(NOT(ISNUMBER('Price History'!B116)),NOT(ISNUMBER('Price History'!B115)),'Price History'!B115=0),"",'Price History'!B116/'Price History'!B115-1),"")</f>
        <v>-0.026619368979639</v>
      </c>
      <c r="C115" s="105" t="n">
        <f aca="false">IFERROR(IF(OR(NOT(ISNUMBER('Price History'!C116)),NOT(ISNUMBER('Price History'!C115)),'Price History'!C115=0),"",'Price History'!C116/'Price History'!C115-1),"")</f>
        <v>0.059106529209622</v>
      </c>
      <c r="D115" s="105" t="n">
        <f aca="false">IFERROR(IF(OR(NOT(ISNUMBER('Price History'!D116)),NOT(ISNUMBER('Price History'!D115)),'Price History'!D115=0),"",'Price History'!D116/'Price History'!D115-1),"")</f>
        <v>-0.0930324930731821</v>
      </c>
      <c r="E115" s="105" t="n">
        <f aca="false">IFERROR(IF(OR(NOT(ISNUMBER('Price History'!E116)),NOT(ISNUMBER('Price History'!E115)),'Price History'!E115=0),"",'Price History'!E116/'Price History'!E115-1),"")</f>
        <v>-0.0406064367408459</v>
      </c>
      <c r="F115" s="105" t="n">
        <f aca="false">IFERROR(IF(OR(NOT(ISNUMBER('Price History'!F116)),NOT(ISNUMBER('Price History'!F115)),'Price History'!F115=0),"",'Price History'!F116/'Price History'!F115-1),"")</f>
        <v>0.00775700171470573</v>
      </c>
      <c r="G115" s="105" t="n">
        <f aca="false">IFERROR(IF(OR(NOT(ISNUMBER('Price History'!G116)),NOT(ISNUMBER('Price History'!G115)),'Price History'!G115=0),"",'Price History'!G116/'Price History'!G115-1),"")</f>
        <v>-0.107843137254902</v>
      </c>
      <c r="H115" s="105" t="n">
        <f aca="false">IFERROR(IF(OR(NOT(ISNUMBER('Price History'!H116)),NOT(ISNUMBER('Price History'!H115)),'Price History'!H115=0),"",'Price History'!H116/'Price History'!H115-1),"")</f>
        <v>-0.03316829047543</v>
      </c>
      <c r="I115" s="105" t="n">
        <f aca="false">IFERROR(IF(OR(NOT(ISNUMBER('Price History'!I116)),NOT(ISNUMBER('Price History'!I115)),'Price History'!I115=0),"",'Price History'!I116/'Price History'!I115-1),"")</f>
        <v>-0.0237714529367872</v>
      </c>
      <c r="J115" s="105" t="n">
        <f aca="false">IFERROR(IF(OR(NOT(ISNUMBER('Price History'!J116)),NOT(ISNUMBER('Price History'!J115)),'Price History'!J115=0),"",'Price History'!J116/'Price History'!J115-1),"")</f>
        <v>-0.0498035195626174</v>
      </c>
      <c r="K115" s="105" t="n">
        <f aca="false">IFERROR(IF(OR(NOT(ISNUMBER('Price History'!K116)),NOT(ISNUMBER('Price History'!K115)),'Price History'!K115=0),"",'Price History'!K116/'Price History'!K115-1),"")</f>
        <v>0.0136938810885769</v>
      </c>
      <c r="L115" s="105" t="n">
        <f aca="false">IFERROR(IF(OR(NOT(ISNUMBER('Price History'!L116)),NOT(ISNUMBER('Price History'!L115)),'Price History'!L115=0),"",'Price History'!L116/'Price History'!L115-1),"")</f>
        <v>-0.0394606249358294</v>
      </c>
      <c r="M115" s="105" t="n">
        <f aca="false">IFERROR(IF(OR(NOT(ISNUMBER('Price History'!M116)),NOT(ISNUMBER('Price History'!M115)),'Price History'!M115=0),"",'Price History'!M116/'Price History'!M115-1),"")</f>
        <v>0.0549937578027466</v>
      </c>
      <c r="N115" s="105" t="n">
        <f aca="false">IFERROR(IF(OR(NOT(ISNUMBER('Price History'!N116)),NOT(ISNUMBER('Price History'!N115)),'Price History'!N115=0),"",'Price History'!N116/'Price History'!N115-1),"")</f>
        <v>0.0111331515001241</v>
      </c>
      <c r="O115" s="105" t="n">
        <f aca="false">IFERROR(IF(OR(NOT(ISNUMBER('Price History'!O116)),NOT(ISNUMBER('Price History'!O115)),'Price History'!O115=0),"",'Price History'!O116/'Price History'!O115-1),"")</f>
        <v>-0.05434134710908</v>
      </c>
      <c r="P115" s="105" t="str">
        <f aca="false">IFERROR(IF(OR(NOT(ISNUMBER('Price History'!P116)),NOT(ISNUMBER('Price History'!P115)),'Price History'!P115=0),"",'Price History'!P116/'Price History'!P115-1),"")</f>
        <v/>
      </c>
      <c r="Q115" s="105" t="n">
        <f aca="false">IFERROR(IF(OR(NOT(ISNUMBER('Price History'!Q116)),NOT(ISNUMBER('Price History'!Q115)),'Price History'!Q115=0),"",'Price History'!Q116/'Price History'!Q115-1),"")</f>
        <v>0.0217626176879147</v>
      </c>
      <c r="R115" s="105" t="n">
        <f aca="false">IFERROR(IF(OR(NOT(ISNUMBER('Price History'!R116)),NOT(ISNUMBER('Price History'!R115)),'Price History'!R115=0),"",'Price History'!R116/'Price History'!R115-1),"")</f>
        <v>-0.0165851955307264</v>
      </c>
      <c r="S115" s="105" t="n">
        <f aca="false">IFERROR(IF(OR(NOT(ISNUMBER('Price History'!S116)),NOT(ISNUMBER('Price History'!S115)),'Price History'!S115=0),"",'Price History'!S116/'Price History'!S115-1),"")</f>
        <v>-0.0132400699475393</v>
      </c>
      <c r="T115" s="105" t="n">
        <f aca="false">IFERROR(IF(OR(NOT(ISNUMBER('Price History'!T116)),NOT(ISNUMBER('Price History'!T115)),'Price History'!T115=0),"",'Price History'!T116/'Price History'!T115-1),"")</f>
        <v>-0.0340639028254555</v>
      </c>
      <c r="U115" s="105" t="str">
        <f aca="false">IFERROR(IF(OR(NOT(ISNUMBER('Price History'!U116)),NOT(ISNUMBER('Price History'!U115)),'Price History'!U115=0),"",'Price History'!U116/'Price History'!U115-1),"")</f>
        <v/>
      </c>
      <c r="V115" s="106" t="n">
        <f aca="false">IFERROR(IF(OR(NOT(ISNUMBER('Price History'!V116)),NOT(ISNUMBER('Price History'!V115)),'Price History'!V115=0),"",'Price History'!V116/'Price History'!V115-1),"")</f>
        <v>-0.0176914654526594</v>
      </c>
      <c r="W115" s="107" t="n">
        <f aca="false">'Price History'!B3+('Price History'!B158-'Price History'!B3)*0.727272727272727</f>
        <v>320.784545454546</v>
      </c>
      <c r="X115" s="107" t="n">
        <f aca="false">'Price History'!C3+('Price History'!C158-'Price History'!C3)*0.727272727272727</f>
        <v>143.092727272727</v>
      </c>
      <c r="Y115" s="107" t="n">
        <f aca="false">'Price History'!D3+('Price History'!D158-'Price History'!D3)*0.727272727272727</f>
        <v>1365.21272727273</v>
      </c>
      <c r="Z115" s="107" t="n">
        <f aca="false">'Price History'!E3+('Price History'!E158-'Price History'!E3)*0.727272727272727</f>
        <v>305.743636363636</v>
      </c>
      <c r="AA115" s="107" t="n">
        <f aca="false">'Price History'!F3+('Price History'!F158-'Price History'!F3)*0.727272727272727</f>
        <v>148.914545454545</v>
      </c>
      <c r="AB115" s="107" t="n">
        <f aca="false">'Price History'!G3+('Price History'!G158-'Price History'!G3)*0.727272727272727</f>
        <v>146.023636363636</v>
      </c>
      <c r="AC115" s="107" t="n">
        <f aca="false">'Price History'!H3+('Price History'!H158-'Price History'!H3)*0.727272727272727</f>
        <v>616.122727272727</v>
      </c>
      <c r="AD115" s="107" t="n">
        <f aca="false">'Price History'!I3+('Price History'!I158-'Price History'!I3)*0.727272727272727</f>
        <v>157.140909090909</v>
      </c>
      <c r="AE115" s="107" t="n">
        <f aca="false">'Price History'!J3+('Price History'!J158-'Price History'!J3)*0.727272727272727</f>
        <v>138.855454545455</v>
      </c>
      <c r="AF115" s="107" t="n">
        <f aca="false">'Price History'!K3+('Price History'!K158-'Price History'!K3)*0.727272727272727</f>
        <v>93.7009090909091</v>
      </c>
      <c r="AG115" s="107" t="n">
        <f aca="false">'Price History'!L3+('Price History'!L158-'Price History'!L3)*0.727272727272727</f>
        <v>319.088181818182</v>
      </c>
      <c r="AH115" s="107" t="n">
        <f aca="false">'Price History'!M3+('Price History'!M158-'Price History'!M3)*0.727272727272727</f>
        <v>184.826363636364</v>
      </c>
      <c r="AI115" s="107" t="n">
        <f aca="false">'Price History'!N3+('Price History'!N158-'Price History'!N3)*0.727272727272727</f>
        <v>442.398181818182</v>
      </c>
      <c r="AJ115" s="107" t="n">
        <f aca="false">'Price History'!O3+('Price History'!O158-'Price History'!O3)*0.727272727272727</f>
        <v>113.708181818182</v>
      </c>
      <c r="AK115" s="107" t="n">
        <f aca="false">'Price History'!Q3+('Price History'!Q151-'Price History'!Q3)*0.727272727272727</f>
        <v>63.3745454545455</v>
      </c>
      <c r="AL115" s="107" t="n">
        <f aca="false">'Price History'!R3+('Price History'!R158-'Price History'!R3)*0.727272727272727</f>
        <v>55.4054545454545</v>
      </c>
      <c r="AM115" s="107" t="n">
        <f aca="false">'Price History'!S3+('Price History'!S158-'Price History'!S3)*0.727272727272727</f>
        <v>120.569090909091</v>
      </c>
      <c r="AN115" s="107" t="n">
        <f aca="false">'Price History'!T3+('Price History'!T158-'Price History'!T3)*0.727272727272727</f>
        <v>43.5136363636364</v>
      </c>
    </row>
    <row r="116" customFormat="false" ht="15" hidden="false" customHeight="true" outlineLevel="0" collapsed="false">
      <c r="A116" s="104" t="n">
        <f aca="false">IF('Price History'!A117="","",'Price History'!A117)</f>
        <v>45947</v>
      </c>
      <c r="B116" s="105" t="n">
        <f aca="false">IFERROR(IF(OR(NOT(ISNUMBER('Price History'!B117)),NOT(ISNUMBER('Price History'!B116)),'Price History'!B116=0),"",'Price History'!B117/'Price History'!B116-1),"")</f>
        <v>-0.0125922194897929</v>
      </c>
      <c r="C116" s="105" t="n">
        <f aca="false">IFERROR(IF(OR(NOT(ISNUMBER('Price History'!C117)),NOT(ISNUMBER('Price History'!C116)),'Price History'!C116=0),"",'Price History'!C117/'Price History'!C116-1),"")</f>
        <v>-0.0713822193380922</v>
      </c>
      <c r="D116" s="105" t="n">
        <f aca="false">IFERROR(IF(OR(NOT(ISNUMBER('Price History'!D117)),NOT(ISNUMBER('Price History'!D116)),'Price History'!D116=0),"",'Price History'!D117/'Price History'!D116-1),"")</f>
        <v>0.099424262169004</v>
      </c>
      <c r="E116" s="105" t="n">
        <f aca="false">IFERROR(IF(OR(NOT(ISNUMBER('Price History'!E117)),NOT(ISNUMBER('Price History'!E116)),'Price History'!E116=0),"",'Price History'!E117/'Price History'!E116-1),"")</f>
        <v>0.0760866216923883</v>
      </c>
      <c r="F116" s="105" t="n">
        <f aca="false">IFERROR(IF(OR(NOT(ISNUMBER('Price History'!F117)),NOT(ISNUMBER('Price History'!F116)),'Price History'!F116=0),"",'Price History'!F117/'Price History'!F116-1),"")</f>
        <v>-0.0183114568141306</v>
      </c>
      <c r="G116" s="105" t="n">
        <f aca="false">IFERROR(IF(OR(NOT(ISNUMBER('Price History'!G117)),NOT(ISNUMBER('Price History'!G116)),'Price History'!G116=0),"",'Price History'!G117/'Price History'!G116-1),"")</f>
        <v>0.126068376068376</v>
      </c>
      <c r="H116" s="105" t="n">
        <f aca="false">IFERROR(IF(OR(NOT(ISNUMBER('Price History'!H117)),NOT(ISNUMBER('Price History'!H116)),'Price History'!H116=0),"",'Price History'!H117/'Price History'!H116-1),"")</f>
        <v>0.11442731277533</v>
      </c>
      <c r="I116" s="105" t="n">
        <f aca="false">IFERROR(IF(OR(NOT(ISNUMBER('Price History'!I117)),NOT(ISNUMBER('Price History'!I116)),'Price History'!I116=0),"",'Price History'!I117/'Price History'!I116-1),"")</f>
        <v>0.000327582441581153</v>
      </c>
      <c r="J116" s="105" t="n">
        <f aca="false">IFERROR(IF(OR(NOT(ISNUMBER('Price History'!J117)),NOT(ISNUMBER('Price History'!J116)),'Price History'!J116=0),"",'Price History'!J117/'Price History'!J116-1),"")</f>
        <v>0.11552638676616</v>
      </c>
      <c r="K116" s="105" t="n">
        <f aca="false">IFERROR(IF(OR(NOT(ISNUMBER('Price History'!K117)),NOT(ISNUMBER('Price History'!K116)),'Price History'!K116=0),"",'Price History'!K117/'Price History'!K116-1),"")</f>
        <v>0.0154468764249887</v>
      </c>
      <c r="L116" s="105" t="n">
        <f aca="false">IFERROR(IF(OR(NOT(ISNUMBER('Price History'!L117)),NOT(ISNUMBER('Price History'!L116)),'Price History'!L116=0),"",'Price History'!L117/'Price History'!L116-1),"")</f>
        <v>0.0513788926102756</v>
      </c>
      <c r="M116" s="105" t="n">
        <f aca="false">IFERROR(IF(OR(NOT(ISNUMBER('Price History'!M117)),NOT(ISNUMBER('Price History'!M116)),'Price History'!M116=0),"",'Price History'!M117/'Price History'!M116-1),"")</f>
        <v>0.0295248801846044</v>
      </c>
      <c r="N116" s="105" t="n">
        <f aca="false">IFERROR(IF(OR(NOT(ISNUMBER('Price History'!N117)),NOT(ISNUMBER('Price History'!N116)),'Price History'!N116=0),"",'Price History'!N117/'Price History'!N116-1),"")</f>
        <v>0.022119228034037</v>
      </c>
      <c r="O116" s="105" t="n">
        <f aca="false">IFERROR(IF(OR(NOT(ISNUMBER('Price History'!O117)),NOT(ISNUMBER('Price History'!O116)),'Price History'!O116=0),"",'Price History'!O117/'Price History'!O116-1),"")</f>
        <v>0.0196449206849461</v>
      </c>
      <c r="P116" s="105" t="str">
        <f aca="false">IFERROR(IF(OR(NOT(ISNUMBER('Price History'!P117)),NOT(ISNUMBER('Price History'!P116)),'Price History'!P116=0),"",'Price History'!P117/'Price History'!P116-1),"")</f>
        <v/>
      </c>
      <c r="Q116" s="105" t="n">
        <f aca="false">IFERROR(IF(OR(NOT(ISNUMBER('Price History'!Q117)),NOT(ISNUMBER('Price History'!Q116)),'Price History'!Q116=0),"",'Price History'!Q117/'Price History'!Q116-1),"")</f>
        <v>0.00226586102719017</v>
      </c>
      <c r="R116" s="105" t="n">
        <f aca="false">IFERROR(IF(OR(NOT(ISNUMBER('Price History'!R117)),NOT(ISNUMBER('Price History'!R116)),'Price History'!R116=0),"",'Price History'!R117/'Price History'!R116-1),"")</f>
        <v>0.0204154091958104</v>
      </c>
      <c r="S116" s="105" t="n">
        <f aca="false">IFERROR(IF(OR(NOT(ISNUMBER('Price History'!S117)),NOT(ISNUMBER('Price History'!S116)),'Price History'!S116=0),"",'Price History'!S117/'Price History'!S116-1),"")</f>
        <v>0.0162025316455696</v>
      </c>
      <c r="T116" s="105" t="n">
        <f aca="false">IFERROR(IF(OR(NOT(ISNUMBER('Price History'!T117)),NOT(ISNUMBER('Price History'!T116)),'Price History'!T116=0),"",'Price History'!T117/'Price History'!T116-1),"")</f>
        <v>0.0139420448332424</v>
      </c>
      <c r="U116" s="105" t="str">
        <f aca="false">IFERROR(IF(OR(NOT(ISNUMBER('Price History'!U117)),NOT(ISNUMBER('Price History'!U116)),'Price History'!U116=0),"",'Price History'!U117/'Price History'!U116-1),"")</f>
        <v/>
      </c>
      <c r="V116" s="106" t="n">
        <f aca="false">IFERROR(IF(OR(NOT(ISNUMBER('Price History'!V117)),NOT(ISNUMBER('Price History'!V116)),'Price History'!V116=0),"",'Price History'!V117/'Price History'!V116-1),"")</f>
        <v>-0.00510383667722636</v>
      </c>
      <c r="W116" s="107" t="n">
        <f aca="false">'Price History'!B3+('Price History'!B158-'Price History'!B3)*0.733766233766234</f>
        <v>319.108961038961</v>
      </c>
      <c r="X116" s="107" t="n">
        <f aca="false">'Price History'!C3+('Price History'!C158-'Price History'!C3)*0.733766233766234</f>
        <v>143.979805194805</v>
      </c>
      <c r="Y116" s="107" t="n">
        <f aca="false">'Price History'!D3+('Price History'!D158-'Price History'!D3)*0.733766233766234</f>
        <v>1371.49337662338</v>
      </c>
      <c r="Z116" s="107" t="n">
        <f aca="false">'Price History'!E3+('Price History'!E158-'Price History'!E3)*0.733766233766234</f>
        <v>307.732597402597</v>
      </c>
      <c r="AA116" s="107" t="n">
        <f aca="false">'Price History'!F3+('Price History'!F158-'Price History'!F3)*0.733766233766234</f>
        <v>149.913246753247</v>
      </c>
      <c r="AB116" s="107" t="n">
        <f aca="false">'Price History'!G3+('Price History'!G158-'Price History'!G3)*0.733766233766234</f>
        <v>146.89974025974</v>
      </c>
      <c r="AC116" s="107" t="n">
        <f aca="false">'Price History'!H3+('Price History'!H158-'Price History'!H3)*0.733766233766234</f>
        <v>621.049090909091</v>
      </c>
      <c r="AD116" s="107" t="n">
        <f aca="false">'Price History'!I3+('Price History'!I158-'Price History'!I3)*0.733766233766234</f>
        <v>158.179220779221</v>
      </c>
      <c r="AE116" s="107" t="n">
        <f aca="false">'Price History'!J3+('Price History'!J158-'Price History'!J3)*0.733766233766234</f>
        <v>138.992467532468</v>
      </c>
      <c r="AF116" s="107" t="n">
        <f aca="false">'Price History'!K3+('Price History'!K158-'Price History'!K3)*0.733766233766234</f>
        <v>94.3999350649351</v>
      </c>
      <c r="AG116" s="107" t="n">
        <f aca="false">'Price History'!L3+('Price History'!L158-'Price History'!L3)*0.733766233766234</f>
        <v>321.115844155844</v>
      </c>
      <c r="AH116" s="107" t="n">
        <f aca="false">'Price History'!M3+('Price History'!M158-'Price History'!M3)*0.733766233766234</f>
        <v>186.177402597403</v>
      </c>
      <c r="AI116" s="107" t="n">
        <f aca="false">'Price History'!N3+('Price History'!N158-'Price History'!N3)*0.733766233766234</f>
        <v>443.224415584416</v>
      </c>
      <c r="AJ116" s="107" t="n">
        <f aca="false">'Price History'!O3+('Price History'!O158-'Price History'!O3)*0.733766233766234</f>
        <v>113.983701298701</v>
      </c>
      <c r="AK116" s="107" t="n">
        <f aca="false">'Price History'!Q3+('Price History'!Q151-'Price History'!Q3)*0.733766233766234</f>
        <v>63.4953896103896</v>
      </c>
      <c r="AL116" s="107" t="n">
        <f aca="false">'Price History'!R3+('Price History'!R158-'Price History'!R3)*0.733766233766234</f>
        <v>55.4731818181818</v>
      </c>
      <c r="AM116" s="107" t="n">
        <f aca="false">'Price History'!S3+('Price History'!S158-'Price History'!S3)*0.733766233766234</f>
        <v>121.122922077922</v>
      </c>
      <c r="AN116" s="107" t="n">
        <f aca="false">'Price History'!T3+('Price History'!T158-'Price History'!T3)*0.733766233766234</f>
        <v>43.6618831168831</v>
      </c>
    </row>
    <row r="117" customFormat="false" ht="15" hidden="false" customHeight="true" outlineLevel="0" collapsed="false">
      <c r="A117" s="104" t="n">
        <f aca="false">IF('Price History'!A118="","",'Price History'!A118)</f>
        <v>45954</v>
      </c>
      <c r="B117" s="105" t="n">
        <f aca="false">IFERROR(IF(OR(NOT(ISNUMBER('Price History'!B118)),NOT(ISNUMBER('Price History'!B117)),'Price History'!B117=0),"",'Price History'!B118/'Price History'!B117-1),"")</f>
        <v>0.0607933745423992</v>
      </c>
      <c r="C117" s="105" t="n">
        <f aca="false">IFERROR(IF(OR(NOT(ISNUMBER('Price History'!C118)),NOT(ISNUMBER('Price History'!C117)),'Price History'!C117=0),"",'Price History'!C118/'Price History'!C117-1),"")</f>
        <v>0.0749126484975542</v>
      </c>
      <c r="D117" s="105" t="n">
        <f aca="false">IFERROR(IF(OR(NOT(ISNUMBER('Price History'!D118)),NOT(ISNUMBER('Price History'!D117)),'Price History'!D117=0),"",'Price History'!D118/'Price History'!D117-1),"")</f>
        <v>0.00372108387497927</v>
      </c>
      <c r="E117" s="105" t="n">
        <f aca="false">IFERROR(IF(OR(NOT(ISNUMBER('Price History'!E118)),NOT(ISNUMBER('Price History'!E117)),'Price History'!E117=0),"",'Price History'!E118/'Price History'!E117-1),"")</f>
        <v>0.0137405891277589</v>
      </c>
      <c r="F117" s="105" t="n">
        <f aca="false">IFERROR(IF(OR(NOT(ISNUMBER('Price History'!F118)),NOT(ISNUMBER('Price History'!F117)),'Price History'!F117=0),"",'Price History'!F118/'Price History'!F117-1),"")</f>
        <v>0.0880653681082868</v>
      </c>
      <c r="G117" s="105" t="n">
        <f aca="false">IFERROR(IF(OR(NOT(ISNUMBER('Price History'!G118)),NOT(ISNUMBER('Price History'!G117)),'Price History'!G117=0),"",'Price History'!G118/'Price History'!G117-1),"")</f>
        <v>0.0687629890665944</v>
      </c>
      <c r="H117" s="105" t="n">
        <f aca="false">IFERROR(IF(OR(NOT(ISNUMBER('Price History'!H118)),NOT(ISNUMBER('Price History'!H117)),'Price History'!H117=0),"",'Price History'!H118/'Price History'!H117-1),"")</f>
        <v>0.0822215633955925</v>
      </c>
      <c r="I117" s="105" t="n">
        <f aca="false">IFERROR(IF(OR(NOT(ISNUMBER('Price History'!I118)),NOT(ISNUMBER('Price History'!I117)),'Price History'!I117=0),"",'Price History'!I118/'Price History'!I117-1),"")</f>
        <v>0.0165920751009714</v>
      </c>
      <c r="J117" s="105" t="n">
        <f aca="false">IFERROR(IF(OR(NOT(ISNUMBER('Price History'!J118)),NOT(ISNUMBER('Price History'!J117)),'Price History'!J117=0),"",'Price History'!J118/'Price History'!J117-1),"")</f>
        <v>0.018939393939394</v>
      </c>
      <c r="K117" s="105" t="n">
        <f aca="false">IFERROR(IF(OR(NOT(ISNUMBER('Price History'!K118)),NOT(ISNUMBER('Price History'!K117)),'Price History'!K117=0),"",'Price History'!K118/'Price History'!K117-1),"")</f>
        <v>0.0363738422677518</v>
      </c>
      <c r="L117" s="105" t="n">
        <f aca="false">IFERROR(IF(OR(NOT(ISNUMBER('Price History'!L118)),NOT(ISNUMBER('Price History'!L117)),'Price History'!L117=0),"",'Price History'!L118/'Price History'!L117-1),"")</f>
        <v>-0.000406669377795876</v>
      </c>
      <c r="M117" s="105" t="n">
        <f aca="false">IFERROR(IF(OR(NOT(ISNUMBER('Price History'!M118)),NOT(ISNUMBER('Price History'!M117)),'Price History'!M117=0),"",'Price History'!M118/'Price History'!M117-1),"")</f>
        <v>0.0693103448275863</v>
      </c>
      <c r="N117" s="105" t="n">
        <f aca="false">IFERROR(IF(OR(NOT(ISNUMBER('Price History'!N118)),NOT(ISNUMBER('Price History'!N117)),'Price History'!N117=0),"",'Price History'!N118/'Price History'!N117-1),"")</f>
        <v>0.0109882200523019</v>
      </c>
      <c r="O117" s="105" t="n">
        <f aca="false">IFERROR(IF(OR(NOT(ISNUMBER('Price History'!O118)),NOT(ISNUMBER('Price History'!O117)),'Price History'!O117=0),"",'Price History'!O118/'Price History'!O117-1),"")</f>
        <v>0.0293632804450854</v>
      </c>
      <c r="P117" s="105" t="str">
        <f aca="false">IFERROR(IF(OR(NOT(ISNUMBER('Price History'!P118)),NOT(ISNUMBER('Price History'!P117)),'Price History'!P117=0),"",'Price History'!P118/'Price History'!P117-1),"")</f>
        <v/>
      </c>
      <c r="Q117" s="105" t="n">
        <f aca="false">IFERROR(IF(OR(NOT(ISNUMBER('Price History'!Q118)),NOT(ISNUMBER('Price History'!Q117)),'Price History'!Q117=0),"",'Price History'!Q118/'Price History'!Q117-1),"")</f>
        <v>-0.00120572720422008</v>
      </c>
      <c r="R117" s="105" t="n">
        <f aca="false">IFERROR(IF(OR(NOT(ISNUMBER('Price History'!R118)),NOT(ISNUMBER('Price History'!R117)),'Price History'!R117=0),"",'Price History'!R118/'Price History'!R117-1),"")</f>
        <v>0.0186151704940849</v>
      </c>
      <c r="S117" s="105" t="n">
        <f aca="false">IFERROR(IF(OR(NOT(ISNUMBER('Price History'!S118)),NOT(ISNUMBER('Price History'!S117)),'Price History'!S117=0),"",'Price History'!S118/'Price History'!S117-1),"")</f>
        <v>0.0107125062282012</v>
      </c>
      <c r="T117" s="105" t="n">
        <f aca="false">IFERROR(IF(OR(NOT(ISNUMBER('Price History'!T118)),NOT(ISNUMBER('Price History'!T117)),'Price History'!T117=0),"",'Price History'!T118/'Price History'!T117-1),"")</f>
        <v>0.0261526017794553</v>
      </c>
      <c r="U117" s="105" t="str">
        <f aca="false">IFERROR(IF(OR(NOT(ISNUMBER('Price History'!U118)),NOT(ISNUMBER('Price History'!U117)),'Price History'!U117=0),"",'Price History'!U118/'Price History'!U117-1),"")</f>
        <v/>
      </c>
      <c r="V117" s="106" t="n">
        <f aca="false">IFERROR(IF(OR(NOT(ISNUMBER('Price History'!V118)),NOT(ISNUMBER('Price History'!V117)),'Price History'!V117=0),"",'Price History'!V118/'Price History'!V117-1),"")</f>
        <v>0.0160386815260334</v>
      </c>
      <c r="W117" s="107" t="n">
        <f aca="false">'Price History'!B3+('Price History'!B158-'Price History'!B3)*0.74025974025974</f>
        <v>317.433376623377</v>
      </c>
      <c r="X117" s="107" t="n">
        <f aca="false">'Price History'!C3+('Price History'!C158-'Price History'!C3)*0.74025974025974</f>
        <v>144.866883116883</v>
      </c>
      <c r="Y117" s="107" t="n">
        <f aca="false">'Price History'!D3+('Price History'!D158-'Price History'!D3)*0.74025974025974</f>
        <v>1377.77402597403</v>
      </c>
      <c r="Z117" s="107" t="n">
        <f aca="false">'Price History'!E3+('Price History'!E158-'Price History'!E3)*0.74025974025974</f>
        <v>309.721558441558</v>
      </c>
      <c r="AA117" s="107" t="n">
        <f aca="false">'Price History'!F3+('Price History'!F158-'Price History'!F3)*0.74025974025974</f>
        <v>150.911948051948</v>
      </c>
      <c r="AB117" s="107" t="n">
        <f aca="false">'Price History'!G3+('Price History'!G158-'Price History'!G3)*0.74025974025974</f>
        <v>147.775844155844</v>
      </c>
      <c r="AC117" s="107" t="n">
        <f aca="false">'Price History'!H3+('Price History'!H158-'Price History'!H3)*0.74025974025974</f>
        <v>625.975454545454</v>
      </c>
      <c r="AD117" s="107" t="n">
        <f aca="false">'Price History'!I3+('Price History'!I158-'Price History'!I3)*0.74025974025974</f>
        <v>159.217532467532</v>
      </c>
      <c r="AE117" s="107" t="n">
        <f aca="false">'Price History'!J3+('Price History'!J158-'Price History'!J3)*0.74025974025974</f>
        <v>139.129480519481</v>
      </c>
      <c r="AF117" s="107" t="n">
        <f aca="false">'Price History'!K3+('Price History'!K158-'Price History'!K3)*0.74025974025974</f>
        <v>95.098961038961</v>
      </c>
      <c r="AG117" s="107" t="n">
        <f aca="false">'Price History'!L3+('Price History'!L158-'Price History'!L3)*0.74025974025974</f>
        <v>323.143506493506</v>
      </c>
      <c r="AH117" s="107" t="n">
        <f aca="false">'Price History'!M3+('Price History'!M158-'Price History'!M3)*0.74025974025974</f>
        <v>187.528441558442</v>
      </c>
      <c r="AI117" s="107" t="n">
        <f aca="false">'Price History'!N3+('Price History'!N158-'Price History'!N3)*0.74025974025974</f>
        <v>444.050649350649</v>
      </c>
      <c r="AJ117" s="107" t="n">
        <f aca="false">'Price History'!O3+('Price History'!O158-'Price History'!O3)*0.74025974025974</f>
        <v>114.259220779221</v>
      </c>
      <c r="AK117" s="107" t="n">
        <f aca="false">'Price History'!Q3+('Price History'!Q151-'Price History'!Q3)*0.74025974025974</f>
        <v>63.6162337662338</v>
      </c>
      <c r="AL117" s="107" t="n">
        <f aca="false">'Price History'!R3+('Price History'!R158-'Price History'!R3)*0.74025974025974</f>
        <v>55.5409090909091</v>
      </c>
      <c r="AM117" s="107" t="n">
        <f aca="false">'Price History'!S3+('Price History'!S158-'Price History'!S3)*0.74025974025974</f>
        <v>121.676753246753</v>
      </c>
      <c r="AN117" s="107" t="n">
        <f aca="false">'Price History'!T3+('Price History'!T158-'Price History'!T3)*0.74025974025974</f>
        <v>43.8101298701299</v>
      </c>
    </row>
    <row r="118" customFormat="false" ht="15" hidden="false" customHeight="true" outlineLevel="0" collapsed="false">
      <c r="A118" s="104" t="n">
        <f aca="false">IF('Price History'!A119="","",'Price History'!A119)</f>
        <v>45961</v>
      </c>
      <c r="B118" s="105" t="n">
        <f aca="false">IFERROR(IF(OR(NOT(ISNUMBER('Price History'!B119)),NOT(ISNUMBER('Price History'!B118)),'Price History'!B118=0),"",'Price History'!B119/'Price History'!B118-1),"")</f>
        <v>-0.037367051369088</v>
      </c>
      <c r="C118" s="105" t="n">
        <f aca="false">IFERROR(IF(OR(NOT(ISNUMBER('Price History'!C119)),NOT(ISNUMBER('Price History'!C118)),'Price History'!C118=0),"",'Price History'!C119/'Price History'!C118-1),"")</f>
        <v>0.0251592770771032</v>
      </c>
      <c r="D118" s="105" t="n">
        <f aca="false">IFERROR(IF(OR(NOT(ISNUMBER('Price History'!D119)),NOT(ISNUMBER('Price History'!D118)),'Price History'!D118=0),"",'Price History'!D119/'Price History'!D118-1),"")</f>
        <v>0.0252928080534316</v>
      </c>
      <c r="E118" s="105" t="n">
        <f aca="false">IFERROR(IF(OR(NOT(ISNUMBER('Price History'!E119)),NOT(ISNUMBER('Price History'!E118)),'Price History'!E118=0),"",'Price History'!E119/'Price History'!E118-1),"")</f>
        <v>0.0437692372857426</v>
      </c>
      <c r="F118" s="105" t="n">
        <f aca="false">IFERROR(IF(OR(NOT(ISNUMBER('Price History'!F119)),NOT(ISNUMBER('Price History'!F118)),'Price History'!F118=0),"",'Price History'!F119/'Price History'!F118-1),"")</f>
        <v>0.029735265114162</v>
      </c>
      <c r="G118" s="105" t="n">
        <f aca="false">IFERROR(IF(OR(NOT(ISNUMBER('Price History'!G119)),NOT(ISNUMBER('Price History'!G118)),'Price History'!G118=0),"",'Price History'!G119/'Price History'!G118-1),"")</f>
        <v>0.021897193101116</v>
      </c>
      <c r="H118" s="105" t="n">
        <f aca="false">IFERROR(IF(OR(NOT(ISNUMBER('Price History'!H119)),NOT(ISNUMBER('Price History'!H118)),'Price History'!H118=0),"",'Price History'!H119/'Price History'!H118-1),"")</f>
        <v>0.0216875171217241</v>
      </c>
      <c r="I118" s="105" t="n">
        <f aca="false">IFERROR(IF(OR(NOT(ISNUMBER('Price History'!I119)),NOT(ISNUMBER('Price History'!I118)),'Price History'!I118=0),"",'Price History'!I119/'Price History'!I118-1),"")</f>
        <v>0.0871362611403415</v>
      </c>
      <c r="J118" s="105" t="n">
        <f aca="false">IFERROR(IF(OR(NOT(ISNUMBER('Price History'!J119)),NOT(ISNUMBER('Price History'!J118)),'Price History'!J118=0),"",'Price History'!J119/'Price History'!J118-1),"")</f>
        <v>-0.0185082654433284</v>
      </c>
      <c r="K118" s="105" t="n">
        <f aca="false">IFERROR(IF(OR(NOT(ISNUMBER('Price History'!K119)),NOT(ISNUMBER('Price History'!K118)),'Price History'!K118=0),"",'Price History'!K119/'Price History'!K118-1),"")</f>
        <v>0.0857932080376971</v>
      </c>
      <c r="L118" s="105" t="n">
        <f aca="false">IFERROR(IF(OR(NOT(ISNUMBER('Price History'!L119)),NOT(ISNUMBER('Price History'!L118)),'Price History'!L118=0),"",'Price History'!L119/'Price History'!L118-1),"")</f>
        <v>0.0185448874423653</v>
      </c>
      <c r="M118" s="105" t="n">
        <f aca="false">IFERROR(IF(OR(NOT(ISNUMBER('Price History'!M119)),NOT(ISNUMBER('Price History'!M118)),'Price History'!M118=0),"",'Price History'!M119/'Price History'!M118-1),"")</f>
        <v>0.0365473503171021</v>
      </c>
      <c r="N118" s="105" t="n">
        <f aca="false">IFERROR(IF(OR(NOT(ISNUMBER('Price History'!N119)),NOT(ISNUMBER('Price History'!N118)),'Price History'!N118=0),"",'Price History'!N119/'Price History'!N118-1),"")</f>
        <v>0.00991955195899297</v>
      </c>
      <c r="O118" s="105" t="n">
        <f aca="false">IFERROR(IF(OR(NOT(ISNUMBER('Price History'!O119)),NOT(ISNUMBER('Price History'!O118)),'Price History'!O118=0),"",'Price History'!O119/'Price History'!O118-1),"")</f>
        <v>-0.0211190071063958</v>
      </c>
      <c r="P118" s="105" t="str">
        <f aca="false">IFERROR(IF(OR(NOT(ISNUMBER('Price History'!P119)),NOT(ISNUMBER('Price History'!P118)),'Price History'!P118=0),"",'Price History'!P119/'Price History'!P118-1),"")</f>
        <v/>
      </c>
      <c r="Q118" s="105" t="n">
        <f aca="false">IFERROR(IF(OR(NOT(ISNUMBER('Price History'!Q119)),NOT(ISNUMBER('Price History'!Q118)),'Price History'!Q118=0),"",'Price History'!Q119/'Price History'!Q118-1),"")</f>
        <v>0.000301795684321871</v>
      </c>
      <c r="R118" s="105" t="n">
        <f aca="false">IFERROR(IF(OR(NOT(ISNUMBER('Price History'!R119)),NOT(ISNUMBER('Price History'!R118)),'Price History'!R118=0),"",'Price History'!R119/'Price History'!R118-1),"")</f>
        <v>0.00939368061485912</v>
      </c>
      <c r="S118" s="105" t="n">
        <f aca="false">IFERROR(IF(OR(NOT(ISNUMBER('Price History'!S119)),NOT(ISNUMBER('Price History'!S118)),'Price History'!S118=0),"",'Price History'!S119/'Price History'!S118-1),"")</f>
        <v>-8.21625174594054E-005</v>
      </c>
      <c r="T118" s="105" t="n">
        <f aca="false">IFERROR(IF(OR(NOT(ISNUMBER('Price History'!T119)),NOT(ISNUMBER('Price History'!T118)),'Price History'!T118=0),"",'Price History'!T119/'Price History'!T118-1),"")</f>
        <v>-0.0063058328954283</v>
      </c>
      <c r="U118" s="105" t="str">
        <f aca="false">IFERROR(IF(OR(NOT(ISNUMBER('Price History'!U119)),NOT(ISNUMBER('Price History'!U118)),'Price History'!U118=0),"",'Price History'!U119/'Price History'!U118-1),"")</f>
        <v/>
      </c>
      <c r="V118" s="106" t="n">
        <f aca="false">IFERROR(IF(OR(NOT(ISNUMBER('Price History'!V119)),NOT(ISNUMBER('Price History'!V118)),'Price History'!V118=0),"",'Price History'!V119/'Price History'!V118-1),"")</f>
        <v>-0.0190934942835587</v>
      </c>
      <c r="W118" s="107" t="n">
        <f aca="false">'Price History'!B3+('Price History'!B158-'Price History'!B3)*0.746753246753247</f>
        <v>315.757792207792</v>
      </c>
      <c r="X118" s="107" t="n">
        <f aca="false">'Price History'!C3+('Price History'!C158-'Price History'!C3)*0.746753246753247</f>
        <v>145.753961038961</v>
      </c>
      <c r="Y118" s="107" t="n">
        <f aca="false">'Price History'!D3+('Price History'!D158-'Price History'!D3)*0.746753246753247</f>
        <v>1384.05467532468</v>
      </c>
      <c r="Z118" s="107" t="n">
        <f aca="false">'Price History'!E3+('Price History'!E158-'Price History'!E3)*0.746753246753247</f>
        <v>311.71051948052</v>
      </c>
      <c r="AA118" s="107" t="n">
        <f aca="false">'Price History'!F3+('Price History'!F158-'Price History'!F3)*0.746753246753247</f>
        <v>151.910649350649</v>
      </c>
      <c r="AB118" s="107" t="n">
        <f aca="false">'Price History'!G3+('Price History'!G158-'Price History'!G3)*0.746753246753247</f>
        <v>148.651948051948</v>
      </c>
      <c r="AC118" s="107" t="n">
        <f aca="false">'Price History'!H3+('Price History'!H158-'Price History'!H3)*0.746753246753247</f>
        <v>630.901818181818</v>
      </c>
      <c r="AD118" s="107" t="n">
        <f aca="false">'Price History'!I3+('Price History'!I158-'Price History'!I3)*0.746753246753247</f>
        <v>160.255844155844</v>
      </c>
      <c r="AE118" s="107" t="n">
        <f aca="false">'Price History'!J3+('Price History'!J158-'Price History'!J3)*0.746753246753247</f>
        <v>139.266493506494</v>
      </c>
      <c r="AF118" s="107" t="n">
        <f aca="false">'Price History'!K3+('Price History'!K158-'Price History'!K3)*0.746753246753247</f>
        <v>95.797987012987</v>
      </c>
      <c r="AG118" s="107" t="n">
        <f aca="false">'Price History'!L3+('Price History'!L158-'Price History'!L3)*0.746753246753247</f>
        <v>325.171168831169</v>
      </c>
      <c r="AH118" s="107" t="n">
        <f aca="false">'Price History'!M3+('Price History'!M158-'Price History'!M3)*0.746753246753247</f>
        <v>188.879480519481</v>
      </c>
      <c r="AI118" s="107" t="n">
        <f aca="false">'Price History'!N3+('Price History'!N158-'Price History'!N3)*0.746753246753247</f>
        <v>444.876883116883</v>
      </c>
      <c r="AJ118" s="107" t="n">
        <f aca="false">'Price History'!O3+('Price History'!O158-'Price History'!O3)*0.746753246753247</f>
        <v>114.53474025974</v>
      </c>
      <c r="AK118" s="107" t="n">
        <f aca="false">'Price History'!Q3+('Price History'!Q151-'Price History'!Q3)*0.746753246753247</f>
        <v>63.7370779220779</v>
      </c>
      <c r="AL118" s="107" t="n">
        <f aca="false">'Price History'!R3+('Price History'!R158-'Price History'!R3)*0.746753246753247</f>
        <v>55.6086363636364</v>
      </c>
      <c r="AM118" s="107" t="n">
        <f aca="false">'Price History'!S3+('Price History'!S158-'Price History'!S3)*0.746753246753247</f>
        <v>122.230584415584</v>
      </c>
      <c r="AN118" s="107" t="n">
        <f aca="false">'Price History'!T3+('Price History'!T158-'Price History'!T3)*0.746753246753247</f>
        <v>43.9583766233766</v>
      </c>
    </row>
    <row r="119" customFormat="false" ht="15" hidden="false" customHeight="true" outlineLevel="0" collapsed="false">
      <c r="A119" s="104" t="n">
        <f aca="false">IF('Price History'!A120="","",'Price History'!A120)</f>
        <v>45968</v>
      </c>
      <c r="B119" s="105" t="n">
        <f aca="false">IFERROR(IF(OR(NOT(ISNUMBER('Price History'!B120)),NOT(ISNUMBER('Price History'!B119)),'Price History'!B119=0),"",'Price History'!B120/'Price History'!B119-1),"")</f>
        <v>-0.0392583232934678</v>
      </c>
      <c r="C119" s="105" t="n">
        <f aca="false">IFERROR(IF(OR(NOT(ISNUMBER('Price History'!C120)),NOT(ISNUMBER('Price History'!C119)),'Price History'!C119=0),"",'Price History'!C120/'Price History'!C119-1),"")</f>
        <v>-0.146109455260321</v>
      </c>
      <c r="D119" s="105" t="n">
        <f aca="false">IFERROR(IF(OR(NOT(ISNUMBER('Price History'!D120)),NOT(ISNUMBER('Price History'!D119)),'Price History'!D119=0),"",'Price History'!D120/'Price History'!D119-1),"")</f>
        <v>-0.0399063470634329</v>
      </c>
      <c r="E119" s="105" t="n">
        <f aca="false">IFERROR(IF(OR(NOT(ISNUMBER('Price History'!E120)),NOT(ISNUMBER('Price History'!E119)),'Price History'!E119=0),"",'Price History'!E120/'Price History'!E119-1),"")</f>
        <v>-0.054649243838433</v>
      </c>
      <c r="F119" s="105" t="n">
        <f aca="false">IFERROR(IF(OR(NOT(ISNUMBER('Price History'!F120)),NOT(ISNUMBER('Price History'!F119)),'Price History'!F119=0),"",'Price History'!F120/'Price History'!F119-1),"")</f>
        <v>-0.00589318600368327</v>
      </c>
      <c r="G119" s="105" t="n">
        <f aca="false">IFERROR(IF(OR(NOT(ISNUMBER('Price History'!G120)),NOT(ISNUMBER('Price History'!G119)),'Price History'!G119=0),"",'Price History'!G120/'Price History'!G119-1),"")</f>
        <v>-0.0126582278481012</v>
      </c>
      <c r="H119" s="105" t="n">
        <f aca="false">IFERROR(IF(OR(NOT(ISNUMBER('Price History'!H120)),NOT(ISNUMBER('Price History'!H119)),'Price History'!H119=0),"",'Price History'!H120/'Price History'!H119-1),"")</f>
        <v>0.0632345712115117</v>
      </c>
      <c r="I119" s="105" t="n">
        <f aca="false">IFERROR(IF(OR(NOT(ISNUMBER('Price History'!I120)),NOT(ISNUMBER('Price History'!I119)),'Price History'!I119=0),"",'Price History'!I120/'Price History'!I119-1),"")</f>
        <v>-0.0708183120154082</v>
      </c>
      <c r="J119" s="105" t="n">
        <f aca="false">IFERROR(IF(OR(NOT(ISNUMBER('Price History'!J120)),NOT(ISNUMBER('Price History'!J119)),'Price History'!J119=0),"",'Price History'!J120/'Price History'!J119-1),"")</f>
        <v>0.0121685873156578</v>
      </c>
      <c r="K119" s="105" t="n">
        <f aca="false">IFERROR(IF(OR(NOT(ISNUMBER('Price History'!K120)),NOT(ISNUMBER('Price History'!K119)),'Price History'!K119=0),"",'Price History'!K120/'Price History'!K119-1),"")</f>
        <v>-0.112435775926573</v>
      </c>
      <c r="L119" s="105" t="n">
        <f aca="false">IFERROR(IF(OR(NOT(ISNUMBER('Price History'!L120)),NOT(ISNUMBER('Price History'!L119)),'Price History'!L119=0),"",'Price History'!L120/'Price History'!L119-1),"")</f>
        <v>-0.0463668741470559</v>
      </c>
      <c r="M119" s="105" t="n">
        <f aca="false">IFERROR(IF(OR(NOT(ISNUMBER('Price History'!M120)),NOT(ISNUMBER('Price History'!M119)),'Price History'!M119=0),"",'Price History'!M120/'Price History'!M119-1),"")</f>
        <v>-0.0677175152960697</v>
      </c>
      <c r="N119" s="105" t="n">
        <f aca="false">IFERROR(IF(OR(NOT(ISNUMBER('Price History'!N120)),NOT(ISNUMBER('Price History'!N119)),'Price History'!N119=0),"",'Price History'!N120/'Price History'!N119-1),"")</f>
        <v>-0.0378316140705406</v>
      </c>
      <c r="O119" s="105" t="n">
        <f aca="false">IFERROR(IF(OR(NOT(ISNUMBER('Price History'!O120)),NOT(ISNUMBER('Price History'!O119)),'Price History'!O119=0),"",'Price History'!O120/'Price History'!O119-1),"")</f>
        <v>-0.000613496932515334</v>
      </c>
      <c r="P119" s="105" t="str">
        <f aca="false">IFERROR(IF(OR(NOT(ISNUMBER('Price History'!P120)),NOT(ISNUMBER('Price History'!P119)),'Price History'!P119=0),"",'Price History'!P120/'Price History'!P119-1),"")</f>
        <v/>
      </c>
      <c r="Q119" s="105" t="n">
        <f aca="false">IFERROR(IF(OR(NOT(ISNUMBER('Price History'!Q120)),NOT(ISNUMBER('Price History'!Q119)),'Price History'!Q119=0),"",'Price History'!Q120/'Price History'!Q119-1),"")</f>
        <v>0.0107105144063961</v>
      </c>
      <c r="R119" s="105" t="n">
        <f aca="false">IFERROR(IF(OR(NOT(ISNUMBER('Price History'!R120)),NOT(ISNUMBER('Price History'!R119)),'Price History'!R119=0),"",'Price History'!R120/'Price History'!R119-1),"")</f>
        <v>-0.0235194585448393</v>
      </c>
      <c r="S119" s="105" t="n">
        <f aca="false">IFERROR(IF(OR(NOT(ISNUMBER('Price History'!S120)),NOT(ISNUMBER('Price History'!S119)),'Price History'!S119=0),"",'Price History'!S120/'Price History'!S119-1),"")</f>
        <v>-0.0260476581758422</v>
      </c>
      <c r="T119" s="105" t="n">
        <f aca="false">IFERROR(IF(OR(NOT(ISNUMBER('Price History'!T120)),NOT(ISNUMBER('Price History'!T119)),'Price History'!T119=0),"",'Price History'!T120/'Price History'!T119-1),"")</f>
        <v>0.00158646218931779</v>
      </c>
      <c r="U119" s="105" t="str">
        <f aca="false">IFERROR(IF(OR(NOT(ISNUMBER('Price History'!U120)),NOT(ISNUMBER('Price History'!U119)),'Price History'!U119=0),"",'Price History'!U120/'Price History'!U119-1),"")</f>
        <v/>
      </c>
      <c r="V119" s="106" t="n">
        <f aca="false">IFERROR(IF(OR(NOT(ISNUMBER('Price History'!V120)),NOT(ISNUMBER('Price History'!V119)),'Price History'!V119=0),"",'Price History'!V120/'Price History'!V119-1),"")</f>
        <v>-0.0138740977399124</v>
      </c>
      <c r="W119" s="107" t="n">
        <f aca="false">'Price History'!B3+('Price History'!B158-'Price History'!B3)*0.753246753246753</f>
        <v>314.082207792208</v>
      </c>
      <c r="X119" s="107" t="n">
        <f aca="false">'Price History'!C3+('Price History'!C158-'Price History'!C3)*0.753246753246753</f>
        <v>146.641038961039</v>
      </c>
      <c r="Y119" s="107" t="n">
        <f aca="false">'Price History'!D3+('Price History'!D158-'Price History'!D3)*0.753246753246753</f>
        <v>1390.33532467532</v>
      </c>
      <c r="Z119" s="107" t="n">
        <f aca="false">'Price History'!E3+('Price History'!E158-'Price History'!E3)*0.753246753246753</f>
        <v>313.69948051948</v>
      </c>
      <c r="AA119" s="107" t="n">
        <f aca="false">'Price History'!F3+('Price History'!F158-'Price History'!F3)*0.753246753246753</f>
        <v>152.909350649351</v>
      </c>
      <c r="AB119" s="107" t="n">
        <f aca="false">'Price History'!G3+('Price History'!G158-'Price History'!G3)*0.753246753246753</f>
        <v>149.528051948052</v>
      </c>
      <c r="AC119" s="107" t="n">
        <f aca="false">'Price History'!H3+('Price History'!H158-'Price History'!H3)*0.753246753246753</f>
        <v>635.828181818182</v>
      </c>
      <c r="AD119" s="107" t="n">
        <f aca="false">'Price History'!I3+('Price History'!I158-'Price History'!I3)*0.753246753246753</f>
        <v>161.294155844156</v>
      </c>
      <c r="AE119" s="107" t="n">
        <f aca="false">'Price History'!J3+('Price History'!J158-'Price History'!J3)*0.753246753246753</f>
        <v>139.403506493507</v>
      </c>
      <c r="AF119" s="107" t="n">
        <f aca="false">'Price History'!K3+('Price History'!K158-'Price History'!K3)*0.753246753246753</f>
        <v>96.497012987013</v>
      </c>
      <c r="AG119" s="107" t="n">
        <f aca="false">'Price History'!L3+('Price History'!L158-'Price History'!L3)*0.753246753246753</f>
        <v>327.198831168831</v>
      </c>
      <c r="AH119" s="107" t="n">
        <f aca="false">'Price History'!M3+('Price History'!M158-'Price History'!M3)*0.753246753246753</f>
        <v>190.230519480519</v>
      </c>
      <c r="AI119" s="107" t="n">
        <f aca="false">'Price History'!N3+('Price History'!N158-'Price History'!N3)*0.753246753246753</f>
        <v>445.703116883117</v>
      </c>
      <c r="AJ119" s="107" t="n">
        <f aca="false">'Price History'!O3+('Price History'!O158-'Price History'!O3)*0.753246753246753</f>
        <v>114.81025974026</v>
      </c>
      <c r="AK119" s="107" t="n">
        <f aca="false">'Price History'!Q3+('Price History'!Q151-'Price History'!Q3)*0.753246753246753</f>
        <v>63.8579220779221</v>
      </c>
      <c r="AL119" s="107" t="n">
        <f aca="false">'Price History'!R3+('Price History'!R158-'Price History'!R3)*0.753246753246753</f>
        <v>55.6763636363636</v>
      </c>
      <c r="AM119" s="107" t="n">
        <f aca="false">'Price History'!S3+('Price History'!S158-'Price History'!S3)*0.753246753246753</f>
        <v>122.784415584416</v>
      </c>
      <c r="AN119" s="107" t="n">
        <f aca="false">'Price History'!T3+('Price History'!T158-'Price History'!T3)*0.753246753246753</f>
        <v>44.1066233766234</v>
      </c>
    </row>
    <row r="120" customFormat="false" ht="15" hidden="false" customHeight="true" outlineLevel="0" collapsed="false">
      <c r="A120" s="104" t="n">
        <f aca="false">IF('Price History'!A121="","",'Price History'!A121)</f>
        <v>45975</v>
      </c>
      <c r="B120" s="105" t="n">
        <f aca="false">IFERROR(IF(OR(NOT(ISNUMBER('Price History'!B121)),NOT(ISNUMBER('Price History'!B120)),'Price History'!B120=0),"",'Price History'!B121/'Price History'!B120-1),"")</f>
        <v>0.0127236580516898</v>
      </c>
      <c r="C120" s="105" t="n">
        <f aca="false">IFERROR(IF(OR(NOT(ISNUMBER('Price History'!C121)),NOT(ISNUMBER('Price History'!C120)),'Price History'!C120=0),"",'Price History'!C121/'Price History'!C120-1),"")</f>
        <v>-0.024359450427033</v>
      </c>
      <c r="D120" s="105" t="n">
        <f aca="false">IFERROR(IF(OR(NOT(ISNUMBER('Price History'!D121)),NOT(ISNUMBER('Price History'!D120)),'Price History'!D120=0),"",'Price History'!D121/'Price History'!D120-1),"")</f>
        <v>-0.00981356198867212</v>
      </c>
      <c r="E120" s="105" t="n">
        <f aca="false">IFERROR(IF(OR(NOT(ISNUMBER('Price History'!E121)),NOT(ISNUMBER('Price History'!E120)),'Price History'!E120=0),"",'Price History'!E121/'Price History'!E120-1),"")</f>
        <v>-0.0199467704547407</v>
      </c>
      <c r="F120" s="105" t="n">
        <f aca="false">IFERROR(IF(OR(NOT(ISNUMBER('Price History'!F121)),NOT(ISNUMBER('Price History'!F120)),'Price History'!F120=0),"",'Price History'!F121/'Price History'!F120-1),"")</f>
        <v>-0.00414968506854396</v>
      </c>
      <c r="G120" s="105" t="n">
        <f aca="false">IFERROR(IF(OR(NOT(ISNUMBER('Price History'!G121)),NOT(ISNUMBER('Price History'!G120)),'Price History'!G120=0),"",'Price History'!G121/'Price History'!G120-1),"")</f>
        <v>-0.0495223730517848</v>
      </c>
      <c r="H120" s="105" t="n">
        <f aca="false">IFERROR(IF(OR(NOT(ISNUMBER('Price History'!H121)),NOT(ISNUMBER('Price History'!H120)),'Price History'!H120=0),"",'Price History'!H121/'Price History'!H120-1),"")</f>
        <v>0.0374495628782785</v>
      </c>
      <c r="I120" s="105" t="n">
        <f aca="false">IFERROR(IF(OR(NOT(ISNUMBER('Price History'!I121)),NOT(ISNUMBER('Price History'!I120)),'Price History'!I120=0),"",'Price History'!I121/'Price History'!I120-1),"")</f>
        <v>0.0107361148020195</v>
      </c>
      <c r="J120" s="105" t="n">
        <f aca="false">IFERROR(IF(OR(NOT(ISNUMBER('Price History'!J121)),NOT(ISNUMBER('Price History'!J120)),'Price History'!J120=0),"",'Price History'!J121/'Price History'!J120-1),"")</f>
        <v>-0.0220541401273885</v>
      </c>
      <c r="K120" s="105" t="n">
        <f aca="false">IFERROR(IF(OR(NOT(ISNUMBER('Price History'!K121)),NOT(ISNUMBER('Price History'!K120)),'Price History'!K120=0),"",'Price History'!K121/'Price History'!K120-1),"")</f>
        <v>-0.0220311358399371</v>
      </c>
      <c r="L120" s="105" t="n">
        <f aca="false">IFERROR(IF(OR(NOT(ISNUMBER('Price History'!L121)),NOT(ISNUMBER('Price History'!L120)),'Price History'!L120=0),"",'Price History'!L121/'Price History'!L120-1),"")</f>
        <v>-0.0058638743455498</v>
      </c>
      <c r="M120" s="105" t="n">
        <f aca="false">IFERROR(IF(OR(NOT(ISNUMBER('Price History'!M121)),NOT(ISNUMBER('Price History'!M120)),'Price History'!M120=0),"",'Price History'!M121/'Price History'!M120-1),"")</f>
        <v>-0.0491101223581758</v>
      </c>
      <c r="N120" s="105" t="n">
        <f aca="false">IFERROR(IF(OR(NOT(ISNUMBER('Price History'!N121)),NOT(ISNUMBER('Price History'!N120)),'Price History'!N120=0),"",'Price History'!N121/'Price History'!N120-1),"")</f>
        <v>0.0675995799448066</v>
      </c>
      <c r="O120" s="105" t="n">
        <f aca="false">IFERROR(IF(OR(NOT(ISNUMBER('Price History'!O121)),NOT(ISNUMBER('Price History'!O120)),'Price History'!O120=0),"",'Price History'!O121/'Price History'!O120-1),"")</f>
        <v>-0.00153468385512578</v>
      </c>
      <c r="P120" s="105" t="str">
        <f aca="false">IFERROR(IF(OR(NOT(ISNUMBER('Price History'!P121)),NOT(ISNUMBER('Price History'!P120)),'Price History'!P120=0),"",'Price History'!P121/'Price History'!P120-1),"")</f>
        <v/>
      </c>
      <c r="Q120" s="105" t="n">
        <f aca="false">IFERROR(IF(OR(NOT(ISNUMBER('Price History'!Q121)),NOT(ISNUMBER('Price History'!Q120)),'Price History'!Q120=0),"",'Price History'!Q121/'Price History'!Q120-1),"")</f>
        <v>-0.00835820895522388</v>
      </c>
      <c r="R120" s="105" t="n">
        <f aca="false">IFERROR(IF(OR(NOT(ISNUMBER('Price History'!R121)),NOT(ISNUMBER('Price History'!R120)),'Price History'!R120=0),"",'Price History'!R121/'Price History'!R120-1),"")</f>
        <v>0.00190608213481203</v>
      </c>
      <c r="S120" s="105" t="n">
        <f aca="false">IFERROR(IF(OR(NOT(ISNUMBER('Price History'!S121)),NOT(ISNUMBER('Price History'!S120)),'Price History'!S120=0),"",'Price History'!S121/'Price History'!S120-1),"")</f>
        <v>-0.00590567788745466</v>
      </c>
      <c r="T120" s="105" t="n">
        <f aca="false">IFERROR(IF(OR(NOT(ISNUMBER('Price History'!T121)),NOT(ISNUMBER('Price History'!T120)),'Price History'!T120=0),"",'Price History'!T121/'Price History'!T120-1),"")</f>
        <v>0.0110876451953537</v>
      </c>
      <c r="U120" s="105" t="str">
        <f aca="false">IFERROR(IF(OR(NOT(ISNUMBER('Price History'!U121)),NOT(ISNUMBER('Price History'!U120)),'Price History'!U120=0),"",'Price History'!U121/'Price History'!U120-1),"")</f>
        <v/>
      </c>
      <c r="V120" s="106" t="n">
        <f aca="false">IFERROR(IF(OR(NOT(ISNUMBER('Price History'!V121)),NOT(ISNUMBER('Price History'!V120)),'Price History'!V120=0),"",'Price History'!V121/'Price History'!V120-1),"")</f>
        <v>-0.0158992050397481</v>
      </c>
      <c r="W120" s="107" t="n">
        <f aca="false">'Price History'!B3+('Price History'!B158-'Price History'!B3)*0.75974025974026</f>
        <v>312.406623376623</v>
      </c>
      <c r="X120" s="107" t="n">
        <f aca="false">'Price History'!C3+('Price History'!C158-'Price History'!C3)*0.75974025974026</f>
        <v>147.528116883117</v>
      </c>
      <c r="Y120" s="107" t="n">
        <f aca="false">'Price History'!D3+('Price History'!D158-'Price History'!D3)*0.75974025974026</f>
        <v>1396.61597402597</v>
      </c>
      <c r="Z120" s="107" t="n">
        <f aca="false">'Price History'!E3+('Price History'!E158-'Price History'!E3)*0.75974025974026</f>
        <v>315.688441558442</v>
      </c>
      <c r="AA120" s="107" t="n">
        <f aca="false">'Price History'!F3+('Price History'!F158-'Price History'!F3)*0.75974025974026</f>
        <v>153.908051948052</v>
      </c>
      <c r="AB120" s="107" t="n">
        <f aca="false">'Price History'!G3+('Price History'!G158-'Price History'!G3)*0.75974025974026</f>
        <v>150.404155844156</v>
      </c>
      <c r="AC120" s="107" t="n">
        <f aca="false">'Price History'!H3+('Price History'!H158-'Price History'!H3)*0.75974025974026</f>
        <v>640.754545454546</v>
      </c>
      <c r="AD120" s="107" t="n">
        <f aca="false">'Price History'!I3+('Price History'!I158-'Price History'!I3)*0.75974025974026</f>
        <v>162.332467532468</v>
      </c>
      <c r="AE120" s="107" t="n">
        <f aca="false">'Price History'!J3+('Price History'!J158-'Price History'!J3)*0.75974025974026</f>
        <v>139.54051948052</v>
      </c>
      <c r="AF120" s="107" t="n">
        <f aca="false">'Price History'!K3+('Price History'!K158-'Price History'!K3)*0.75974025974026</f>
        <v>97.196038961039</v>
      </c>
      <c r="AG120" s="107" t="n">
        <f aca="false">'Price History'!L3+('Price History'!L158-'Price History'!L3)*0.75974025974026</f>
        <v>329.226493506494</v>
      </c>
      <c r="AH120" s="107" t="n">
        <f aca="false">'Price History'!M3+('Price History'!M158-'Price History'!M3)*0.75974025974026</f>
        <v>191.581558441558</v>
      </c>
      <c r="AI120" s="107" t="n">
        <f aca="false">'Price History'!N3+('Price History'!N158-'Price History'!N3)*0.75974025974026</f>
        <v>446.529350649351</v>
      </c>
      <c r="AJ120" s="107" t="n">
        <f aca="false">'Price History'!O3+('Price History'!O158-'Price History'!O3)*0.75974025974026</f>
        <v>115.085779220779</v>
      </c>
      <c r="AK120" s="107" t="n">
        <f aca="false">'Price History'!Q3+('Price History'!Q151-'Price History'!Q3)*0.75974025974026</f>
        <v>63.9787662337662</v>
      </c>
      <c r="AL120" s="107" t="n">
        <f aca="false">'Price History'!R3+('Price History'!R158-'Price History'!R3)*0.75974025974026</f>
        <v>55.7440909090909</v>
      </c>
      <c r="AM120" s="107" t="n">
        <f aca="false">'Price History'!S3+('Price History'!S158-'Price History'!S3)*0.75974025974026</f>
        <v>123.338246753247</v>
      </c>
      <c r="AN120" s="107" t="n">
        <f aca="false">'Price History'!T3+('Price History'!T158-'Price History'!T3)*0.75974025974026</f>
        <v>44.2548701298701</v>
      </c>
    </row>
    <row r="121" customFormat="false" ht="15" hidden="false" customHeight="true" outlineLevel="0" collapsed="false">
      <c r="A121" s="104" t="n">
        <f aca="false">IF('Price History'!A122="","",'Price History'!A122)</f>
        <v>45982</v>
      </c>
      <c r="B121" s="105" t="n">
        <f aca="false">IFERROR(IF(OR(NOT(ISNUMBER('Price History'!B122)),NOT(ISNUMBER('Price History'!B121)),'Price History'!B121=0),"",'Price History'!B122/'Price History'!B121-1),"")</f>
        <v>-0.0208993989912718</v>
      </c>
      <c r="C121" s="105" t="n">
        <f aca="false">IFERROR(IF(OR(NOT(ISNUMBER('Price History'!C122)),NOT(ISNUMBER('Price History'!C121)),'Price History'!C121=0),"",'Price History'!C122/'Price History'!C121-1),"")</f>
        <v>-0.106112506660577</v>
      </c>
      <c r="D121" s="105" t="n">
        <f aca="false">IFERROR(IF(OR(NOT(ISNUMBER('Price History'!D122)),NOT(ISNUMBER('Price History'!D121)),'Price History'!D121=0),"",'Price History'!D122/'Price History'!D121-1),"")</f>
        <v>-0.0401298933444557</v>
      </c>
      <c r="E121" s="105" t="n">
        <f aca="false">IFERROR(IF(OR(NOT(ISNUMBER('Price History'!E122)),NOT(ISNUMBER('Price History'!E121)),'Price History'!E121=0),"",'Price History'!E122/'Price History'!E121-1),"")</f>
        <v>-0.00659931086842258</v>
      </c>
      <c r="F121" s="105" t="n">
        <f aca="false">IFERROR(IF(OR(NOT(ISNUMBER('Price History'!F122)),NOT(ISNUMBER('Price History'!F121)),'Price History'!F121=0),"",'Price History'!F122/'Price History'!F121-1),"")</f>
        <v>-0.0872088697075675</v>
      </c>
      <c r="G121" s="105" t="n">
        <f aca="false">IFERROR(IF(OR(NOT(ISNUMBER('Price History'!G122)),NOT(ISNUMBER('Price History'!G121)),'Price History'!G121=0),"",'Price History'!G122/'Price History'!G121-1),"")</f>
        <v>-0.0327955567310236</v>
      </c>
      <c r="H121" s="105" t="n">
        <f aca="false">IFERROR(IF(OR(NOT(ISNUMBER('Price History'!H122)),NOT(ISNUMBER('Price History'!H121)),'Price History'!H121=0),"",'Price History'!H122/'Price History'!H121-1),"")</f>
        <v>-0.159867115018434</v>
      </c>
      <c r="I121" s="105" t="n">
        <f aca="false">IFERROR(IF(OR(NOT(ISNUMBER('Price History'!I122)),NOT(ISNUMBER('Price History'!I121)),'Price History'!I121=0),"",'Price History'!I122/'Price History'!I121-1),"")</f>
        <v>-0.0593679339538308</v>
      </c>
      <c r="J121" s="105" t="n">
        <f aca="false">IFERROR(IF(OR(NOT(ISNUMBER('Price History'!J122)),NOT(ISNUMBER('Price History'!J121)),'Price History'!J121=0),"",'Price History'!J122/'Price History'!J121-1),"")</f>
        <v>0.0240983473092893</v>
      </c>
      <c r="K121" s="105" t="n">
        <f aca="false">IFERROR(IF(OR(NOT(ISNUMBER('Price History'!K122)),NOT(ISNUMBER('Price History'!K121)),'Price History'!K121=0),"",'Price History'!K122/'Price History'!K121-1),"")</f>
        <v>-0.110108614447446</v>
      </c>
      <c r="L121" s="105" t="n">
        <f aca="false">IFERROR(IF(OR(NOT(ISNUMBER('Price History'!L122)),NOT(ISNUMBER('Price History'!L121)),'Price History'!L121=0),"",'Price History'!L122/'Price History'!L121-1),"")</f>
        <v>-0.0342672565128853</v>
      </c>
      <c r="M121" s="105" t="n">
        <f aca="false">IFERROR(IF(OR(NOT(ISNUMBER('Price History'!M122)),NOT(ISNUMBER('Price History'!M121)),'Price History'!M121=0),"",'Price History'!M122/'Price History'!M121-1),"")</f>
        <v>-0.065157629993566</v>
      </c>
      <c r="N121" s="105" t="n">
        <f aca="false">IFERROR(IF(OR(NOT(ISNUMBER('Price History'!N122)),NOT(ISNUMBER('Price History'!N121)),'Price History'!N121=0),"",'Price History'!N122/'Price History'!N121-1),"")</f>
        <v>-0.023767585496969</v>
      </c>
      <c r="O121" s="105" t="n">
        <f aca="false">IFERROR(IF(OR(NOT(ISNUMBER('Price History'!O122)),NOT(ISNUMBER('Price History'!O121)),'Price History'!O121=0),"",'Price History'!O122/'Price History'!O121-1),"")</f>
        <v>-0.00778768316425871</v>
      </c>
      <c r="P121" s="105" t="str">
        <f aca="false">IFERROR(IF(OR(NOT(ISNUMBER('Price History'!P122)),NOT(ISNUMBER('Price History'!P121)),'Price History'!P121=0),"",'Price History'!P122/'Price History'!P121-1),"")</f>
        <v/>
      </c>
      <c r="Q121" s="105" t="n">
        <f aca="false">IFERROR(IF(OR(NOT(ISNUMBER('Price History'!Q122)),NOT(ISNUMBER('Price History'!Q121)),'Price History'!Q121=0),"",'Price History'!Q122/'Price History'!Q121-1),"")</f>
        <v>0.00918121613485856</v>
      </c>
      <c r="R121" s="105" t="n">
        <f aca="false">IFERROR(IF(OR(NOT(ISNUMBER('Price History'!R122)),NOT(ISNUMBER('Price History'!R121)),'Price History'!R121=0),"",'Price History'!R122/'Price History'!R121-1),"")</f>
        <v>-0.0273261847111725</v>
      </c>
      <c r="S121" s="105" t="n">
        <f aca="false">IFERROR(IF(OR(NOT(ISNUMBER('Price History'!S122)),NOT(ISNUMBER('Price History'!S121)),'Price History'!S121=0),"",'Price History'!S122/'Price History'!S121-1),"")</f>
        <v>-0.0299584146651957</v>
      </c>
      <c r="T121" s="105" t="n">
        <f aca="false">IFERROR(IF(OR(NOT(ISNUMBER('Price History'!T122)),NOT(ISNUMBER('Price History'!T121)),'Price History'!T121=0),"",'Price History'!T122/'Price History'!T121-1),"")</f>
        <v>-0.0201044386422975</v>
      </c>
      <c r="U121" s="105" t="str">
        <f aca="false">IFERROR(IF(OR(NOT(ISNUMBER('Price History'!U122)),NOT(ISNUMBER('Price History'!U121)),'Price History'!U121=0),"",'Price History'!U122/'Price History'!U121-1),"")</f>
        <v/>
      </c>
      <c r="V121" s="106" t="n">
        <f aca="false">IFERROR(IF(OR(NOT(ISNUMBER('Price History'!V122)),NOT(ISNUMBER('Price History'!V121)),'Price History'!V121=0),"",'Price History'!V122/'Price History'!V121-1),"")</f>
        <v>-0.00618808108520053</v>
      </c>
      <c r="W121" s="107" t="n">
        <f aca="false">'Price History'!B3+('Price History'!B158-'Price History'!B3)*0.766233766233766</f>
        <v>310.731038961039</v>
      </c>
      <c r="X121" s="107" t="n">
        <f aca="false">'Price History'!C3+('Price History'!C158-'Price History'!C3)*0.766233766233766</f>
        <v>148.415194805195</v>
      </c>
      <c r="Y121" s="107" t="n">
        <f aca="false">'Price History'!D3+('Price History'!D158-'Price History'!D3)*0.766233766233766</f>
        <v>1402.89662337662</v>
      </c>
      <c r="Z121" s="107" t="n">
        <f aca="false">'Price History'!E3+('Price History'!E158-'Price History'!E3)*0.766233766233766</f>
        <v>317.677402597403</v>
      </c>
      <c r="AA121" s="107" t="n">
        <f aca="false">'Price History'!F3+('Price History'!F158-'Price History'!F3)*0.766233766233766</f>
        <v>154.906753246753</v>
      </c>
      <c r="AB121" s="107" t="n">
        <f aca="false">'Price History'!G3+('Price History'!G158-'Price History'!G3)*0.766233766233766</f>
        <v>151.28025974026</v>
      </c>
      <c r="AC121" s="107" t="n">
        <f aca="false">'Price History'!H3+('Price History'!H158-'Price History'!H3)*0.766233766233766</f>
        <v>645.680909090909</v>
      </c>
      <c r="AD121" s="107" t="n">
        <f aca="false">'Price History'!I3+('Price History'!I158-'Price History'!I3)*0.766233766233766</f>
        <v>163.370779220779</v>
      </c>
      <c r="AE121" s="107" t="n">
        <f aca="false">'Price History'!J3+('Price History'!J158-'Price History'!J3)*0.766233766233766</f>
        <v>139.677532467532</v>
      </c>
      <c r="AF121" s="107" t="n">
        <f aca="false">'Price History'!K3+('Price History'!K158-'Price History'!K3)*0.766233766233766</f>
        <v>97.8950649350649</v>
      </c>
      <c r="AG121" s="107" t="n">
        <f aca="false">'Price History'!L3+('Price History'!L158-'Price History'!L3)*0.766233766233766</f>
        <v>331.254155844156</v>
      </c>
      <c r="AH121" s="107" t="n">
        <f aca="false">'Price History'!M3+('Price History'!M158-'Price History'!M3)*0.766233766233766</f>
        <v>192.932597402597</v>
      </c>
      <c r="AI121" s="107" t="n">
        <f aca="false">'Price History'!N3+('Price History'!N158-'Price History'!N3)*0.766233766233766</f>
        <v>447.355584415584</v>
      </c>
      <c r="AJ121" s="107" t="n">
        <f aca="false">'Price History'!O3+('Price History'!O158-'Price History'!O3)*0.766233766233766</f>
        <v>115.361298701299</v>
      </c>
      <c r="AK121" s="107" t="n">
        <f aca="false">'Price History'!Q3+('Price History'!Q151-'Price History'!Q3)*0.766233766233766</f>
        <v>64.0996103896104</v>
      </c>
      <c r="AL121" s="107" t="n">
        <f aca="false">'Price History'!R3+('Price History'!R158-'Price History'!R3)*0.766233766233766</f>
        <v>55.8118181818182</v>
      </c>
      <c r="AM121" s="107" t="n">
        <f aca="false">'Price History'!S3+('Price History'!S158-'Price History'!S3)*0.766233766233766</f>
        <v>123.892077922078</v>
      </c>
      <c r="AN121" s="107" t="n">
        <f aca="false">'Price History'!T3+('Price History'!T158-'Price History'!T3)*0.766233766233766</f>
        <v>44.4031168831169</v>
      </c>
    </row>
    <row r="122" customFormat="false" ht="15" hidden="false" customHeight="true" outlineLevel="0" collapsed="false">
      <c r="A122" s="104" t="n">
        <f aca="false">IF('Price History'!A123="","",'Price History'!A123)</f>
        <v>45989</v>
      </c>
      <c r="B122" s="105" t="n">
        <f aca="false">IFERROR(IF(OR(NOT(ISNUMBER('Price History'!B123)),NOT(ISNUMBER('Price History'!B122)),'Price History'!B122=0),"",'Price History'!B123/'Price History'!B122-1),"")</f>
        <v>-0.0125235201579321</v>
      </c>
      <c r="C122" s="105" t="n">
        <f aca="false">IFERROR(IF(OR(NOT(ISNUMBER('Price History'!C123)),NOT(ISNUMBER('Price History'!C122)),'Price History'!C122=0),"",'Price History'!C123/'Price History'!C122-1),"")</f>
        <v>0.112833177211956</v>
      </c>
      <c r="D122" s="105" t="n">
        <f aca="false">IFERROR(IF(OR(NOT(ISNUMBER('Price History'!D123)),NOT(ISNUMBER('Price History'!D122)),'Price History'!D122=0),"",'Price History'!D123/'Price History'!D122-1),"")</f>
        <v>0.0966613902769586</v>
      </c>
      <c r="E122" s="105" t="n">
        <f aca="false">IFERROR(IF(OR(NOT(ISNUMBER('Price History'!E123)),NOT(ISNUMBER('Price History'!E122)),'Price History'!E122=0),"",'Price History'!E123/'Price History'!E122-1),"")</f>
        <v>0.184479717813051</v>
      </c>
      <c r="F122" s="105" t="n">
        <f aca="false">IFERROR(IF(OR(NOT(ISNUMBER('Price History'!F123)),NOT(ISNUMBER('Price History'!F122)),'Price History'!F122=0),"",'Price History'!F123/'Price History'!F122-1),"")</f>
        <v>0.0376620200538029</v>
      </c>
      <c r="G122" s="105" t="n">
        <f aca="false">IFERROR(IF(OR(NOT(ISNUMBER('Price History'!G123)),NOT(ISNUMBER('Price History'!G122)),'Price History'!G122=0),"",'Price History'!G123/'Price History'!G122-1),"")</f>
        <v>0.0714611247835202</v>
      </c>
      <c r="H122" s="105" t="n">
        <f aca="false">IFERROR(IF(OR(NOT(ISNUMBER('Price History'!H123)),NOT(ISNUMBER('Price History'!H122)),'Price History'!H122=0),"",'Price History'!H123/'Price History'!H122-1),"")</f>
        <v>0.140377103727636</v>
      </c>
      <c r="I122" s="105" t="n">
        <f aca="false">IFERROR(IF(OR(NOT(ISNUMBER('Price History'!I123)),NOT(ISNUMBER('Price History'!I122)),'Price History'!I122=0),"",'Price History'!I123/'Price History'!I122-1),"")</f>
        <v>-0.0105098389982111</v>
      </c>
      <c r="J122" s="105" t="n">
        <f aca="false">IFERROR(IF(OR(NOT(ISNUMBER('Price History'!J123)),NOT(ISNUMBER('Price History'!J122)),'Price History'!J122=0),"",'Price History'!J123/'Price History'!J122-1),"")</f>
        <v>0.021782335638763</v>
      </c>
      <c r="K122" s="105" t="n">
        <f aca="false">IFERROR(IF(OR(NOT(ISNUMBER('Price History'!K123)),NOT(ISNUMBER('Price History'!K122)),'Price History'!K122=0),"",'Price History'!K123/'Price History'!K122-1),"")</f>
        <v>0.0878269292864062</v>
      </c>
      <c r="L122" s="105" t="n">
        <f aca="false">IFERROR(IF(OR(NOT(ISNUMBER('Price History'!L123)),NOT(ISNUMBER('Price History'!L122)),'Price History'!L122=0),"",'Price History'!L123/'Price History'!L122-1),"")</f>
        <v>0.0598051334254344</v>
      </c>
      <c r="M122" s="105" t="n">
        <f aca="false">IFERROR(IF(OR(NOT(ISNUMBER('Price History'!M123)),NOT(ISNUMBER('Price History'!M122)),'Price History'!M122=0),"",'Price History'!M123/'Price History'!M122-1),"")</f>
        <v>0.124507288994557</v>
      </c>
      <c r="N122" s="105" t="n">
        <f aca="false">IFERROR(IF(OR(NOT(ISNUMBER('Price History'!N123)),NOT(ISNUMBER('Price History'!N122)),'Price History'!N122=0),"",'Price History'!N123/'Price History'!N122-1),"")</f>
        <v>0.0160511763051834</v>
      </c>
      <c r="O122" s="105" t="n">
        <f aca="false">IFERROR(IF(OR(NOT(ISNUMBER('Price History'!O123)),NOT(ISNUMBER('Price History'!O122)),'Price History'!O122=0),"",'Price History'!O123/'Price History'!O122-1),"")</f>
        <v>0.0444077248786532</v>
      </c>
      <c r="P122" s="105" t="str">
        <f aca="false">IFERROR(IF(OR(NOT(ISNUMBER('Price History'!P123)),NOT(ISNUMBER('Price History'!P122)),'Price History'!P122=0),"",'Price History'!P123/'Price History'!P122-1),"")</f>
        <v/>
      </c>
      <c r="Q122" s="105" t="n">
        <f aca="false">IFERROR(IF(OR(NOT(ISNUMBER('Price History'!Q123)),NOT(ISNUMBER('Price History'!Q122)),'Price History'!Q122=0),"",'Price History'!Q123/'Price History'!Q122-1),"")</f>
        <v>-0.00462341536167044</v>
      </c>
      <c r="R122" s="105" t="n">
        <f aca="false">IFERROR(IF(OR(NOT(ISNUMBER('Price History'!R123)),NOT(ISNUMBER('Price History'!R122)),'Price History'!R122=0),"",'Price History'!R123/'Price History'!R122-1),"")</f>
        <v>0.045697012802276</v>
      </c>
      <c r="S122" s="105" t="n">
        <f aca="false">IFERROR(IF(OR(NOT(ISNUMBER('Price History'!S123)),NOT(ISNUMBER('Price History'!S122)),'Price History'!S122=0),"",'Price History'!S123/'Price History'!S122-1),"")</f>
        <v>0.0509186351706037</v>
      </c>
      <c r="T122" s="105" t="n">
        <f aca="false">IFERROR(IF(OR(NOT(ISNUMBER('Price History'!T123)),NOT(ISNUMBER('Price History'!T122)),'Price History'!T122=0),"",'Price History'!T123/'Price History'!T122-1),"")</f>
        <v>0.0343725019984014</v>
      </c>
      <c r="U122" s="105" t="str">
        <f aca="false">IFERROR(IF(OR(NOT(ISNUMBER('Price History'!U123)),NOT(ISNUMBER('Price History'!U122)),'Price History'!U122=0),"",'Price History'!U123/'Price History'!U122-1),"")</f>
        <v/>
      </c>
      <c r="V122" s="106" t="n">
        <f aca="false">IFERROR(IF(OR(NOT(ISNUMBER('Price History'!V123)),NOT(ISNUMBER('Price History'!V122)),'Price History'!V122=0),"",'Price History'!V123/'Price History'!V122-1),"")</f>
        <v>0.0196920434329182</v>
      </c>
      <c r="W122" s="107" t="n">
        <f aca="false">'Price History'!B3+('Price History'!B158-'Price History'!B3)*0.772727272727273</f>
        <v>309.055454545455</v>
      </c>
      <c r="X122" s="107" t="n">
        <f aca="false">'Price History'!C3+('Price History'!C158-'Price History'!C3)*0.772727272727273</f>
        <v>149.302272727273</v>
      </c>
      <c r="Y122" s="107" t="n">
        <f aca="false">'Price History'!D3+('Price History'!D158-'Price History'!D3)*0.772727272727273</f>
        <v>1409.17727272727</v>
      </c>
      <c r="Z122" s="107" t="n">
        <f aca="false">'Price History'!E3+('Price History'!E158-'Price History'!E3)*0.772727272727273</f>
        <v>319.666363636364</v>
      </c>
      <c r="AA122" s="107" t="n">
        <f aca="false">'Price History'!F3+('Price History'!F158-'Price History'!F3)*0.772727272727273</f>
        <v>155.905454545455</v>
      </c>
      <c r="AB122" s="107" t="n">
        <f aca="false">'Price History'!G3+('Price History'!G158-'Price History'!G3)*0.772727272727273</f>
        <v>152.156363636364</v>
      </c>
      <c r="AC122" s="107" t="n">
        <f aca="false">'Price History'!H3+('Price History'!H158-'Price History'!H3)*0.772727272727273</f>
        <v>650.607272727273</v>
      </c>
      <c r="AD122" s="107" t="n">
        <f aca="false">'Price History'!I3+('Price History'!I158-'Price History'!I3)*0.772727272727273</f>
        <v>164.409090909091</v>
      </c>
      <c r="AE122" s="107" t="n">
        <f aca="false">'Price History'!J3+('Price History'!J158-'Price History'!J3)*0.772727272727273</f>
        <v>139.814545454545</v>
      </c>
      <c r="AF122" s="107" t="n">
        <f aca="false">'Price History'!K3+('Price History'!K158-'Price History'!K3)*0.772727272727273</f>
        <v>98.5940909090909</v>
      </c>
      <c r="AG122" s="107" t="n">
        <f aca="false">'Price History'!L3+('Price History'!L158-'Price History'!L3)*0.772727272727273</f>
        <v>333.281818181818</v>
      </c>
      <c r="AH122" s="107" t="n">
        <f aca="false">'Price History'!M3+('Price History'!M158-'Price History'!M3)*0.772727272727273</f>
        <v>194.283636363636</v>
      </c>
      <c r="AI122" s="107" t="n">
        <f aca="false">'Price History'!N3+('Price History'!N158-'Price History'!N3)*0.772727272727273</f>
        <v>448.181818181818</v>
      </c>
      <c r="AJ122" s="107" t="n">
        <f aca="false">'Price History'!O3+('Price History'!O158-'Price History'!O3)*0.772727272727273</f>
        <v>115.636818181818</v>
      </c>
      <c r="AK122" s="107" t="n">
        <f aca="false">'Price History'!Q3+('Price History'!Q151-'Price History'!Q3)*0.772727272727273</f>
        <v>64.2204545454546</v>
      </c>
      <c r="AL122" s="107" t="n">
        <f aca="false">'Price History'!R3+('Price History'!R158-'Price History'!R3)*0.772727272727273</f>
        <v>55.8795454545455</v>
      </c>
      <c r="AM122" s="107" t="n">
        <f aca="false">'Price History'!S3+('Price History'!S158-'Price History'!S3)*0.772727272727273</f>
        <v>124.445909090909</v>
      </c>
      <c r="AN122" s="107" t="n">
        <f aca="false">'Price History'!T3+('Price History'!T158-'Price History'!T3)*0.772727272727273</f>
        <v>44.5513636363637</v>
      </c>
    </row>
    <row r="123" customFormat="false" ht="15" hidden="false" customHeight="true" outlineLevel="0" collapsed="false">
      <c r="A123" s="104" t="n">
        <f aca="false">IF('Price History'!A124="","",'Price History'!A124)</f>
        <v>45996</v>
      </c>
      <c r="B123" s="105" t="n">
        <f aca="false">IFERROR(IF(OR(NOT(ISNUMBER('Price History'!B124)),NOT(ISNUMBER('Price History'!B123)),'Price History'!B123=0),"",'Price History'!B124/'Price History'!B123-1),"")</f>
        <v>0.0816230906194357</v>
      </c>
      <c r="C123" s="105" t="n">
        <f aca="false">IFERROR(IF(OR(NOT(ISNUMBER('Price History'!C124)),NOT(ISNUMBER('Price History'!C123)),'Price History'!C123=0),"",'Price History'!C124/'Price History'!C123-1),"")</f>
        <v>-0.015993265993266</v>
      </c>
      <c r="D123" s="105" t="n">
        <f aca="false">IFERROR(IF(OR(NOT(ISNUMBER('Price History'!D124)),NOT(ISNUMBER('Price History'!D123)),'Price History'!D123=0),"",'Price History'!D124/'Price History'!D123-1),"")</f>
        <v>0.0372358490566038</v>
      </c>
      <c r="E123" s="105" t="n">
        <f aca="false">IFERROR(IF(OR(NOT(ISNUMBER('Price History'!E124)),NOT(ISNUMBER('Price History'!E123)),'Price History'!E123=0),"",'Price History'!E124/'Price History'!E123-1),"")</f>
        <v>-0.0315664085765336</v>
      </c>
      <c r="F123" s="105" t="n">
        <f aca="false">IFERROR(IF(OR(NOT(ISNUMBER('Price History'!F124)),NOT(ISNUMBER('Price History'!F123)),'Price History'!F123=0),"",'Price History'!F124/'Price History'!F123-1),"")</f>
        <v>0.00565637520622198</v>
      </c>
      <c r="G123" s="105" t="n">
        <f aca="false">IFERROR(IF(OR(NOT(ISNUMBER('Price History'!G124)),NOT(ISNUMBER('Price History'!G123)),'Price History'!G123=0),"",'Price History'!G124/'Price History'!G123-1),"")</f>
        <v>0.0331773713313484</v>
      </c>
      <c r="H123" s="105" t="n">
        <f aca="false">IFERROR(IF(OR(NOT(ISNUMBER('Price History'!H124)),NOT(ISNUMBER('Price History'!H123)),'Price History'!H123=0),"",'Price History'!H124/'Price History'!H123-1),"")</f>
        <v>0.00312922868741539</v>
      </c>
      <c r="I123" s="105" t="n">
        <f aca="false">IFERROR(IF(OR(NOT(ISNUMBER('Price History'!I124)),NOT(ISNUMBER('Price History'!I123)),'Price History'!I123=0),"",'Price History'!I124/'Price History'!I123-1),"")</f>
        <v>0.0305649717514125</v>
      </c>
      <c r="J123" s="105" t="n">
        <f aca="false">IFERROR(IF(OR(NOT(ISNUMBER('Price History'!J124)),NOT(ISNUMBER('Price History'!J123)),'Price History'!J123=0),"",'Price History'!J124/'Price History'!J123-1),"")</f>
        <v>-0.00427915661713219</v>
      </c>
      <c r="K123" s="105" t="n">
        <f aca="false">IFERROR(IF(OR(NOT(ISNUMBER('Price History'!K124)),NOT(ISNUMBER('Price History'!K123)),'Price History'!K123=0),"",'Price History'!K124/'Price History'!K123-1),"")</f>
        <v>0.0790145443751855</v>
      </c>
      <c r="L123" s="105" t="n">
        <f aca="false">IFERROR(IF(OR(NOT(ISNUMBER('Price History'!L124)),NOT(ISNUMBER('Price History'!L123)),'Price History'!L123=0),"",'Price History'!L124/'Price History'!L123-1),"")</f>
        <v>0.0110116291036328</v>
      </c>
      <c r="M123" s="105" t="n">
        <f aca="false">IFERROR(IF(OR(NOT(ISNUMBER('Price History'!M124)),NOT(ISNUMBER('Price History'!M123)),'Price History'!M123=0),"",'Price History'!M124/'Price History'!M123-1),"")</f>
        <v>0.0516886440772271</v>
      </c>
      <c r="N123" s="105" t="n">
        <f aca="false">IFERROR(IF(OR(NOT(ISNUMBER('Price History'!N124)),NOT(ISNUMBER('Price History'!N123)),'Price History'!N123=0),"",'Price History'!N124/'Price History'!N123-1),"")</f>
        <v>0.0504370286663132</v>
      </c>
      <c r="O123" s="105" t="n">
        <f aca="false">IFERROR(IF(OR(NOT(ISNUMBER('Price History'!O124)),NOT(ISNUMBER('Price History'!O123)),'Price History'!O123=0),"",'Price History'!O124/'Price History'!O123-1),"")</f>
        <v>0.0175022248590924</v>
      </c>
      <c r="P123" s="105" t="str">
        <f aca="false">IFERROR(IF(OR(NOT(ISNUMBER('Price History'!P124)),NOT(ISNUMBER('Price History'!P123)),'Price History'!P123=0),"",'Price History'!P124/'Price History'!P123-1),"")</f>
        <v/>
      </c>
      <c r="Q123" s="105" t="n">
        <f aca="false">IFERROR(IF(OR(NOT(ISNUMBER('Price History'!Q124)),NOT(ISNUMBER('Price History'!Q123)),'Price History'!Q123=0),"",'Price History'!Q124/'Price History'!Q123-1),"")</f>
        <v>-0.000299670362601034</v>
      </c>
      <c r="R123" s="105" t="n">
        <f aca="false">IFERROR(IF(OR(NOT(ISNUMBER('Price History'!R124)),NOT(ISNUMBER('Price History'!R123)),'Price History'!R123=0),"",'Price History'!R124/'Price History'!R123-1),"")</f>
        <v>0.000170039108994935</v>
      </c>
      <c r="S123" s="105" t="n">
        <f aca="false">IFERROR(IF(OR(NOT(ISNUMBER('Price History'!S124)),NOT(ISNUMBER('Price History'!S123)),'Price History'!S123=0),"",'Price History'!S124/'Price History'!S123-1),"")</f>
        <v>0.00607725607725596</v>
      </c>
      <c r="T123" s="105" t="n">
        <f aca="false">IFERROR(IF(OR(NOT(ISNUMBER('Price History'!T124)),NOT(ISNUMBER('Price History'!T123)),'Price History'!T123=0),"",'Price History'!T124/'Price History'!T123-1),"")</f>
        <v>0.0154559505409584</v>
      </c>
      <c r="U123" s="105" t="str">
        <f aca="false">IFERROR(IF(OR(NOT(ISNUMBER('Price History'!U124)),NOT(ISNUMBER('Price History'!U123)),'Price History'!U123=0),"",'Price History'!U124/'Price History'!U123-1),"")</f>
        <v/>
      </c>
      <c r="V123" s="106" t="n">
        <f aca="false">IFERROR(IF(OR(NOT(ISNUMBER('Price History'!V124)),NOT(ISNUMBER('Price History'!V123)),'Price History'!V123=0),"",'Price History'!V124/'Price History'!V123-1),"")</f>
        <v>-0.00956563590422332</v>
      </c>
      <c r="W123" s="107" t="n">
        <f aca="false">'Price History'!B3+('Price History'!B158-'Price History'!B3)*0.779220779220779</f>
        <v>307.37987012987</v>
      </c>
      <c r="X123" s="107" t="n">
        <f aca="false">'Price History'!C3+('Price History'!C158-'Price History'!C3)*0.779220779220779</f>
        <v>150.189350649351</v>
      </c>
      <c r="Y123" s="107" t="n">
        <f aca="false">'Price History'!D3+('Price History'!D158-'Price History'!D3)*0.779220779220779</f>
        <v>1415.45792207792</v>
      </c>
      <c r="Z123" s="107" t="n">
        <f aca="false">'Price History'!E3+('Price History'!E158-'Price History'!E3)*0.779220779220779</f>
        <v>321.655324675325</v>
      </c>
      <c r="AA123" s="107" t="n">
        <f aca="false">'Price History'!F3+('Price History'!F158-'Price History'!F3)*0.779220779220779</f>
        <v>156.904155844156</v>
      </c>
      <c r="AB123" s="107" t="n">
        <f aca="false">'Price History'!G3+('Price History'!G158-'Price History'!G3)*0.779220779220779</f>
        <v>153.032467532468</v>
      </c>
      <c r="AC123" s="107" t="n">
        <f aca="false">'Price History'!H3+('Price History'!H158-'Price History'!H3)*0.779220779220779</f>
        <v>655.533636363636</v>
      </c>
      <c r="AD123" s="107" t="n">
        <f aca="false">'Price History'!I3+('Price History'!I158-'Price History'!I3)*0.779220779220779</f>
        <v>165.447402597403</v>
      </c>
      <c r="AE123" s="107" t="n">
        <f aca="false">'Price History'!J3+('Price History'!J158-'Price History'!J3)*0.779220779220779</f>
        <v>139.951558441558</v>
      </c>
      <c r="AF123" s="107" t="n">
        <f aca="false">'Price History'!K3+('Price History'!K158-'Price History'!K3)*0.779220779220779</f>
        <v>99.2931168831169</v>
      </c>
      <c r="AG123" s="107" t="n">
        <f aca="false">'Price History'!L3+('Price History'!L158-'Price History'!L3)*0.779220779220779</f>
        <v>335.309480519481</v>
      </c>
      <c r="AH123" s="107" t="n">
        <f aca="false">'Price History'!M3+('Price History'!M158-'Price History'!M3)*0.779220779220779</f>
        <v>195.634675324675</v>
      </c>
      <c r="AI123" s="107" t="n">
        <f aca="false">'Price History'!N3+('Price History'!N158-'Price History'!N3)*0.779220779220779</f>
        <v>449.008051948052</v>
      </c>
      <c r="AJ123" s="107" t="n">
        <f aca="false">'Price History'!O3+('Price History'!O158-'Price History'!O3)*0.779220779220779</f>
        <v>115.912337662338</v>
      </c>
      <c r="AK123" s="107" t="n">
        <f aca="false">'Price History'!Q3+('Price History'!Q151-'Price History'!Q3)*0.779220779220779</f>
        <v>64.3412987012987</v>
      </c>
      <c r="AL123" s="107" t="n">
        <f aca="false">'Price History'!R3+('Price History'!R158-'Price History'!R3)*0.779220779220779</f>
        <v>55.9472727272727</v>
      </c>
      <c r="AM123" s="107" t="n">
        <f aca="false">'Price History'!S3+('Price History'!S158-'Price History'!S3)*0.779220779220779</f>
        <v>124.99974025974</v>
      </c>
      <c r="AN123" s="107" t="n">
        <f aca="false">'Price History'!T3+('Price History'!T158-'Price History'!T3)*0.779220779220779</f>
        <v>44.6996103896104</v>
      </c>
    </row>
    <row r="124" customFormat="false" ht="15" hidden="false" customHeight="true" outlineLevel="0" collapsed="false">
      <c r="A124" s="104" t="n">
        <f aca="false">IF('Price History'!A125="","",'Price History'!A125)</f>
        <v>46003</v>
      </c>
      <c r="B124" s="105" t="n">
        <f aca="false">IFERROR(IF(OR(NOT(ISNUMBER('Price History'!B125)),NOT(ISNUMBER('Price History'!B124)),'Price History'!B124=0),"",'Price History'!B125/'Price History'!B124-1),"")</f>
        <v>0.0293709928955122</v>
      </c>
      <c r="C124" s="105" t="n">
        <f aca="false">IFERROR(IF(OR(NOT(ISNUMBER('Price History'!C125)),NOT(ISNUMBER('Price History'!C124)),'Price History'!C124=0),"",'Price History'!C125/'Price History'!C124-1),"")</f>
        <v>-0.0297845866708142</v>
      </c>
      <c r="D124" s="105" t="n">
        <f aca="false">IFERROR(IF(OR(NOT(ISNUMBER('Price History'!D125)),NOT(ISNUMBER('Price History'!D124)),'Price History'!D124=0),"",'Price History'!D125/'Price History'!D124-1),"")</f>
        <v>-0.0169354325265811</v>
      </c>
      <c r="E124" s="105" t="n">
        <f aca="false">IFERROR(IF(OR(NOT(ISNUMBER('Price History'!E125)),NOT(ISNUMBER('Price History'!E124)),'Price History'!E124=0),"",'Price History'!E125/'Price History'!E124-1),"")</f>
        <v>-0.077670151701517</v>
      </c>
      <c r="F124" s="105" t="n">
        <f aca="false">IFERROR(IF(OR(NOT(ISNUMBER('Price History'!F125)),NOT(ISNUMBER('Price History'!F124)),'Price History'!F124=0),"",'Price History'!F125/'Price History'!F124-1),"")</f>
        <v>-0.0141395203499726</v>
      </c>
      <c r="G124" s="105" t="n">
        <f aca="false">IFERROR(IF(OR(NOT(ISNUMBER('Price History'!G125)),NOT(ISNUMBER('Price History'!G124)),'Price History'!G124=0),"",'Price History'!G125/'Price History'!G124-1),"")</f>
        <v>-0.0169617126389461</v>
      </c>
      <c r="H124" s="105" t="n">
        <f aca="false">IFERROR(IF(OR(NOT(ISNUMBER('Price History'!H125)),NOT(ISNUMBER('Price History'!H124)),'Price History'!H124=0),"",'Price History'!H125/'Price History'!H124-1),"")</f>
        <v>0.0165247449624821</v>
      </c>
      <c r="I124" s="105" t="n">
        <f aca="false">IFERROR(IF(OR(NOT(ISNUMBER('Price History'!I125)),NOT(ISNUMBER('Price History'!I124)),'Price History'!I124=0),"",'Price History'!I125/'Price History'!I124-1),"")</f>
        <v>-0.0405131297626226</v>
      </c>
      <c r="J124" s="105" t="n">
        <f aca="false">IFERROR(IF(OR(NOT(ISNUMBER('Price History'!J125)),NOT(ISNUMBER('Price History'!J124)),'Price History'!J124=0),"",'Price History'!J125/'Price History'!J124-1),"")</f>
        <v>0.0171901859665573</v>
      </c>
      <c r="K124" s="105" t="n">
        <f aca="false">IFERROR(IF(OR(NOT(ISNUMBER('Price History'!K125)),NOT(ISNUMBER('Price History'!K124)),'Price History'!K124=0),"",'Price History'!K125/'Price History'!K124-1),"")</f>
        <v>0.00995818661971826</v>
      </c>
      <c r="L124" s="105" t="n">
        <f aca="false">IFERROR(IF(OR(NOT(ISNUMBER('Price History'!L125)),NOT(ISNUMBER('Price History'!L124)),'Price History'!L124=0),"",'Price History'!L125/'Price History'!L124-1),"")</f>
        <v>-0.0090933767643866</v>
      </c>
      <c r="M124" s="105" t="n">
        <f aca="false">IFERROR(IF(OR(NOT(ISNUMBER('Price History'!M125)),NOT(ISNUMBER('Price History'!M124)),'Price History'!M124=0),"",'Price History'!M125/'Price History'!M124-1),"")</f>
        <v>-0.146809861390329</v>
      </c>
      <c r="N124" s="105" t="n">
        <f aca="false">IFERROR(IF(OR(NOT(ISNUMBER('Price History'!N125)),NOT(ISNUMBER('Price History'!N124)),'Price History'!N124=0),"",'Price History'!N125/'Price History'!N124-1),"")</f>
        <v>-0.00755247211732679</v>
      </c>
      <c r="O124" s="105" t="n">
        <f aca="false">IFERROR(IF(OR(NOT(ISNUMBER('Price History'!O125)),NOT(ISNUMBER('Price History'!O124)),'Price History'!O124=0),"",'Price History'!O125/'Price History'!O124-1),"")</f>
        <v>0.0214771622934888</v>
      </c>
      <c r="P124" s="105" t="str">
        <f aca="false">IFERROR(IF(OR(NOT(ISNUMBER('Price History'!P125)),NOT(ISNUMBER('Price History'!P124)),'Price History'!P124=0),"",'Price History'!P125/'Price History'!P124-1),"")</f>
        <v/>
      </c>
      <c r="Q124" s="105" t="n">
        <f aca="false">IFERROR(IF(OR(NOT(ISNUMBER('Price History'!Q125)),NOT(ISNUMBER('Price History'!Q124)),'Price History'!Q124=0),"",'Price History'!Q125/'Price History'!Q124-1),"")</f>
        <v>0.00374700239808146</v>
      </c>
      <c r="R124" s="105" t="n">
        <f aca="false">IFERROR(IF(OR(NOT(ISNUMBER('Price History'!R125)),NOT(ISNUMBER('Price History'!R124)),'Price History'!R124=0),"",'Price History'!R125/'Price History'!R124-1),"")</f>
        <v>-0.0108806528391704</v>
      </c>
      <c r="S124" s="105" t="n">
        <f aca="false">IFERROR(IF(OR(NOT(ISNUMBER('Price History'!S125)),NOT(ISNUMBER('Price History'!S124)),'Price History'!S124=0),"",'Price History'!S125/'Price History'!S124-1),"")</f>
        <v>-0.014480761274307</v>
      </c>
      <c r="T124" s="105" t="n">
        <f aca="false">IFERROR(IF(OR(NOT(ISNUMBER('Price History'!T125)),NOT(ISNUMBER('Price History'!T124)),'Price History'!T124=0),"",'Price History'!T125/'Price History'!T124-1),"")</f>
        <v>0.00710299340436338</v>
      </c>
      <c r="U124" s="105" t="str">
        <f aca="false">IFERROR(IF(OR(NOT(ISNUMBER('Price History'!U125)),NOT(ISNUMBER('Price History'!U124)),'Price History'!U124=0),"",'Price History'!U125/'Price History'!U124-1),"")</f>
        <v/>
      </c>
      <c r="V124" s="106" t="n">
        <f aca="false">IFERROR(IF(OR(NOT(ISNUMBER('Price History'!V125)),NOT(ISNUMBER('Price History'!V124)),'Price History'!V124=0),"",'Price History'!V125/'Price History'!V124-1),"")</f>
        <v>0.0500820020652373</v>
      </c>
      <c r="W124" s="107" t="n">
        <f aca="false">'Price History'!B3+('Price History'!B158-'Price History'!B3)*0.785714285714286</f>
        <v>305.704285714286</v>
      </c>
      <c r="X124" s="107" t="n">
        <f aca="false">'Price History'!C3+('Price History'!C158-'Price History'!C3)*0.785714285714286</f>
        <v>151.076428571429</v>
      </c>
      <c r="Y124" s="107" t="n">
        <f aca="false">'Price History'!D3+('Price History'!D158-'Price History'!D3)*0.785714285714286</f>
        <v>1421.73857142857</v>
      </c>
      <c r="Z124" s="107" t="n">
        <f aca="false">'Price History'!E3+('Price History'!E158-'Price History'!E3)*0.785714285714286</f>
        <v>323.644285714286</v>
      </c>
      <c r="AA124" s="107" t="n">
        <f aca="false">'Price History'!F3+('Price History'!F158-'Price History'!F3)*0.785714285714286</f>
        <v>157.902857142857</v>
      </c>
      <c r="AB124" s="107" t="n">
        <f aca="false">'Price History'!G3+('Price History'!G158-'Price History'!G3)*0.785714285714286</f>
        <v>153.908571428571</v>
      </c>
      <c r="AC124" s="107" t="n">
        <f aca="false">'Price History'!H3+('Price History'!H158-'Price History'!H3)*0.785714285714286</f>
        <v>660.46</v>
      </c>
      <c r="AD124" s="107" t="n">
        <f aca="false">'Price History'!I3+('Price History'!I158-'Price History'!I3)*0.785714285714286</f>
        <v>166.485714285714</v>
      </c>
      <c r="AE124" s="107" t="n">
        <f aca="false">'Price History'!J3+('Price History'!J158-'Price History'!J3)*0.785714285714286</f>
        <v>140.088571428571</v>
      </c>
      <c r="AF124" s="107" t="n">
        <f aca="false">'Price History'!K3+('Price History'!K158-'Price History'!K3)*0.785714285714286</f>
        <v>99.9921428571429</v>
      </c>
      <c r="AG124" s="107" t="n">
        <f aca="false">'Price History'!L3+('Price History'!L158-'Price History'!L3)*0.785714285714286</f>
        <v>337.337142857143</v>
      </c>
      <c r="AH124" s="107" t="n">
        <f aca="false">'Price History'!M3+('Price History'!M158-'Price History'!M3)*0.785714285714286</f>
        <v>196.985714285714</v>
      </c>
      <c r="AI124" s="107" t="n">
        <f aca="false">'Price History'!N3+('Price History'!N158-'Price History'!N3)*0.785714285714286</f>
        <v>449.834285714286</v>
      </c>
      <c r="AJ124" s="107" t="n">
        <f aca="false">'Price History'!O3+('Price History'!O158-'Price History'!O3)*0.785714285714286</f>
        <v>116.187857142857</v>
      </c>
      <c r="AK124" s="107" t="n">
        <f aca="false">'Price History'!Q3+('Price History'!Q151-'Price History'!Q3)*0.785714285714286</f>
        <v>64.4621428571429</v>
      </c>
      <c r="AL124" s="107" t="n">
        <f aca="false">'Price History'!R3+('Price History'!R158-'Price History'!R3)*0.785714285714286</f>
        <v>56.015</v>
      </c>
      <c r="AM124" s="107" t="n">
        <f aca="false">'Price History'!S3+('Price History'!S158-'Price History'!S3)*0.785714285714286</f>
        <v>125.553571428571</v>
      </c>
      <c r="AN124" s="107" t="n">
        <f aca="false">'Price History'!T3+('Price History'!T158-'Price History'!T3)*0.785714285714286</f>
        <v>44.8478571428572</v>
      </c>
    </row>
    <row r="125" customFormat="false" ht="15" hidden="false" customHeight="true" outlineLevel="0" collapsed="false">
      <c r="A125" s="104" t="n">
        <f aca="false">IF('Price History'!A126="","",'Price History'!A126)</f>
        <v>46010</v>
      </c>
      <c r="B125" s="105" t="n">
        <f aca="false">IFERROR(IF(OR(NOT(ISNUMBER('Price History'!B126)),NOT(ISNUMBER('Price History'!B125)),'Price History'!B125=0),"",'Price History'!B126/'Price History'!B125-1),"")</f>
        <v>-0.00159919198720648</v>
      </c>
      <c r="C125" s="105" t="n">
        <f aca="false">IFERROR(IF(OR(NOT(ISNUMBER('Price History'!C126)),NOT(ISNUMBER('Price History'!C125)),'Price History'!C125=0),"",'Price History'!C126/'Price History'!C125-1),"")</f>
        <v>0.0509778775248477</v>
      </c>
      <c r="D125" s="105" t="n">
        <f aca="false">IFERROR(IF(OR(NOT(ISNUMBER('Price History'!D126)),NOT(ISNUMBER('Price History'!D125)),'Price History'!D125=0),"",'Price History'!D126/'Price History'!D125-1),"")</f>
        <v>-0.0229726604061618</v>
      </c>
      <c r="E125" s="105" t="n">
        <f aca="false">IFERROR(IF(OR(NOT(ISNUMBER('Price History'!E126)),NOT(ISNUMBER('Price History'!E125)),'Price History'!E125=0),"",'Price History'!E126/'Price History'!E125-1),"")</f>
        <v>-0.05437168338288</v>
      </c>
      <c r="F125" s="105" t="n">
        <f aca="false">IFERROR(IF(OR(NOT(ISNUMBER('Price History'!F126)),NOT(ISNUMBER('Price History'!F125)),'Price History'!F125=0),"",'Price History'!F126/'Price History'!F125-1),"")</f>
        <v>-0.0465927099841522</v>
      </c>
      <c r="G125" s="105" t="n">
        <f aca="false">IFERROR(IF(OR(NOT(ISNUMBER('Price History'!G126)),NOT(ISNUMBER('Price History'!G125)),'Price History'!G125=0),"",'Price History'!G126/'Price History'!G125-1),"")</f>
        <v>0.0433872183599966</v>
      </c>
      <c r="H125" s="105" t="n">
        <f aca="false">IFERROR(IF(OR(NOT(ISNUMBER('Price History'!H126)),NOT(ISNUMBER('Price History'!H125)),'Price History'!H125=0),"",'Price History'!H126/'Price History'!H125-1),"")</f>
        <v>0.102761881064942</v>
      </c>
      <c r="I125" s="105" t="n">
        <f aca="false">IFERROR(IF(OR(NOT(ISNUMBER('Price History'!I126)),NOT(ISNUMBER('Price History'!I125)),'Price History'!I125=0),"",'Price History'!I126/'Price History'!I125-1),"")</f>
        <v>0.0341103873842989</v>
      </c>
      <c r="J125" s="105" t="n">
        <f aca="false">IFERROR(IF(OR(NOT(ISNUMBER('Price History'!J126)),NOT(ISNUMBER('Price History'!J125)),'Price History'!J125=0),"",'Price History'!J126/'Price History'!J125-1),"")</f>
        <v>-0.0226609310185897</v>
      </c>
      <c r="K125" s="105" t="n">
        <f aca="false">IFERROR(IF(OR(NOT(ISNUMBER('Price History'!K126)),NOT(ISNUMBER('Price History'!K125)),'Price History'!K125=0),"",'Price History'!K126/'Price History'!K125-1),"")</f>
        <v>0.0534401045922537</v>
      </c>
      <c r="L125" s="105" t="n">
        <f aca="false">IFERROR(IF(OR(NOT(ISNUMBER('Price History'!L126)),NOT(ISNUMBER('Price History'!L125)),'Price History'!L125=0),"",'Price History'!L126/'Price History'!L125-1),"")</f>
        <v>-0.0105807423640598</v>
      </c>
      <c r="M125" s="105" t="n">
        <f aca="false">IFERROR(IF(OR(NOT(ISNUMBER('Price History'!M126)),NOT(ISNUMBER('Price History'!M125)),'Price History'!M125=0),"",'Price History'!M126/'Price History'!M125-1),"")</f>
        <v>-0.00899113288274334</v>
      </c>
      <c r="N125" s="105" t="n">
        <f aca="false">IFERROR(IF(OR(NOT(ISNUMBER('Price History'!N126)),NOT(ISNUMBER('Price History'!N125)),'Price History'!N125=0),"",'Price History'!N126/'Price History'!N125-1),"")</f>
        <v>0.00920272542252887</v>
      </c>
      <c r="O125" s="105" t="n">
        <f aca="false">IFERROR(IF(OR(NOT(ISNUMBER('Price History'!O126)),NOT(ISNUMBER('Price History'!O125)),'Price History'!O125=0),"",'Price History'!O126/'Price History'!O125-1),"")</f>
        <v>-0.0126534107125867</v>
      </c>
      <c r="P125" s="105" t="str">
        <f aca="false">IFERROR(IF(OR(NOT(ISNUMBER('Price History'!P126)),NOT(ISNUMBER('Price History'!P125)),'Price History'!P125=0),"",'Price History'!P126/'Price History'!P125-1),"")</f>
        <v/>
      </c>
      <c r="Q125" s="105" t="n">
        <f aca="false">IFERROR(IF(OR(NOT(ISNUMBER('Price History'!Q126)),NOT(ISNUMBER('Price History'!Q125)),'Price History'!Q125=0),"",'Price History'!Q126/'Price History'!Q125-1),"")</f>
        <v>0.00283709123488118</v>
      </c>
      <c r="R125" s="105" t="n">
        <f aca="false">IFERROR(IF(OR(NOT(ISNUMBER('Price History'!R126)),NOT(ISNUMBER('Price History'!R125)),'Price History'!R125=0),"",'Price History'!R126/'Price History'!R125-1),"")</f>
        <v>0.00756273633551041</v>
      </c>
      <c r="S125" s="105" t="n">
        <f aca="false">IFERROR(IF(OR(NOT(ISNUMBER('Price History'!S126)),NOT(ISNUMBER('Price History'!S125)),'Price History'!S125=0),"",'Price History'!S126/'Price History'!S125-1),"")</f>
        <v>0.00361041141897567</v>
      </c>
      <c r="T125" s="105" t="n">
        <f aca="false">IFERROR(IF(OR(NOT(ISNUMBER('Price History'!T126)),NOT(ISNUMBER('Price History'!T125)),'Price History'!T125=0),"",'Price History'!T126/'Price History'!T125-1),"")</f>
        <v>-0.00428211586901772</v>
      </c>
      <c r="U125" s="105" t="str">
        <f aca="false">IFERROR(IF(OR(NOT(ISNUMBER('Price History'!U126)),NOT(ISNUMBER('Price History'!U125)),'Price History'!U125=0),"",'Price History'!U126/'Price History'!U125-1),"")</f>
        <v/>
      </c>
      <c r="V125" s="106" t="n">
        <f aca="false">IFERROR(IF(OR(NOT(ISNUMBER('Price History'!V126)),NOT(ISNUMBER('Price History'!V125)),'Price History'!V125=0),"",'Price History'!V126/'Price History'!V125-1),"")</f>
        <v>0.00410701373825018</v>
      </c>
      <c r="W125" s="107" t="n">
        <f aca="false">'Price History'!B3+('Price History'!B158-'Price History'!B3)*0.792207792207792</f>
        <v>304.028701298701</v>
      </c>
      <c r="X125" s="107" t="n">
        <f aca="false">'Price History'!C3+('Price History'!C158-'Price History'!C3)*0.792207792207792</f>
        <v>151.963506493506</v>
      </c>
      <c r="Y125" s="107" t="n">
        <f aca="false">'Price History'!D3+('Price History'!D158-'Price History'!D3)*0.792207792207792</f>
        <v>1428.01922077922</v>
      </c>
      <c r="Z125" s="107" t="n">
        <f aca="false">'Price History'!E3+('Price History'!E158-'Price History'!E3)*0.792207792207792</f>
        <v>325.633246753247</v>
      </c>
      <c r="AA125" s="107" t="n">
        <f aca="false">'Price History'!F3+('Price History'!F158-'Price History'!F3)*0.792207792207792</f>
        <v>158.901558441558</v>
      </c>
      <c r="AB125" s="107" t="n">
        <f aca="false">'Price History'!G3+('Price History'!G158-'Price History'!G3)*0.792207792207792</f>
        <v>154.784675324675</v>
      </c>
      <c r="AC125" s="107" t="n">
        <f aca="false">'Price History'!H3+('Price History'!H158-'Price History'!H3)*0.792207792207792</f>
        <v>665.386363636364</v>
      </c>
      <c r="AD125" s="107" t="n">
        <f aca="false">'Price History'!I3+('Price History'!I158-'Price History'!I3)*0.792207792207792</f>
        <v>167.524025974026</v>
      </c>
      <c r="AE125" s="107" t="n">
        <f aca="false">'Price History'!J3+('Price History'!J158-'Price History'!J3)*0.792207792207792</f>
        <v>140.225584415584</v>
      </c>
      <c r="AF125" s="107" t="n">
        <f aca="false">'Price History'!K3+('Price History'!K158-'Price History'!K3)*0.792207792207792</f>
        <v>100.691168831169</v>
      </c>
      <c r="AG125" s="107" t="n">
        <f aca="false">'Price History'!L3+('Price History'!L158-'Price History'!L3)*0.792207792207792</f>
        <v>339.364805194805</v>
      </c>
      <c r="AH125" s="107" t="n">
        <f aca="false">'Price History'!M3+('Price History'!M158-'Price History'!M3)*0.792207792207792</f>
        <v>198.336753246753</v>
      </c>
      <c r="AI125" s="107" t="n">
        <f aca="false">'Price History'!N3+('Price History'!N158-'Price History'!N3)*0.792207792207792</f>
        <v>450.66051948052</v>
      </c>
      <c r="AJ125" s="107" t="n">
        <f aca="false">'Price History'!O3+('Price History'!O158-'Price History'!O3)*0.792207792207792</f>
        <v>116.463376623377</v>
      </c>
      <c r="AK125" s="107" t="n">
        <f aca="false">'Price History'!Q3+('Price History'!Q151-'Price History'!Q3)*0.792207792207792</f>
        <v>64.582987012987</v>
      </c>
      <c r="AL125" s="107" t="n">
        <f aca="false">'Price History'!R3+('Price History'!R158-'Price History'!R3)*0.792207792207792</f>
        <v>56.0827272727273</v>
      </c>
      <c r="AM125" s="107" t="n">
        <f aca="false">'Price History'!S3+('Price History'!S158-'Price History'!S3)*0.792207792207792</f>
        <v>126.107402597403</v>
      </c>
      <c r="AN125" s="107" t="n">
        <f aca="false">'Price History'!T3+('Price History'!T158-'Price History'!T3)*0.792207792207792</f>
        <v>44.9961038961039</v>
      </c>
    </row>
    <row r="126" customFormat="false" ht="15" hidden="false" customHeight="true" outlineLevel="0" collapsed="false">
      <c r="A126" s="104" t="n">
        <f aca="false">IF('Price History'!A127="","",'Price History'!A127)</f>
        <v>46017</v>
      </c>
      <c r="B126" s="105" t="n">
        <f aca="false">IFERROR(IF(OR(NOT(ISNUMBER('Price History'!B127)),NOT(ISNUMBER('Price History'!B126)),'Price History'!B126=0),"",'Price History'!B127/'Price History'!B126-1),"")</f>
        <v>-0.00578879334569771</v>
      </c>
      <c r="C126" s="105" t="n">
        <f aca="false">IFERROR(IF(OR(NOT(ISNUMBER('Price History'!C127)),NOT(ISNUMBER('Price History'!C126)),'Price History'!C126=0),"",'Price History'!C127/'Price History'!C126-1),"")</f>
        <v>0.00549115314215976</v>
      </c>
      <c r="D126" s="105" t="n">
        <f aca="false">IFERROR(IF(OR(NOT(ISNUMBER('Price History'!D127)),NOT(ISNUMBER('Price History'!D126)),'Price History'!D126=0),"",'Price History'!D127/'Price History'!D126-1),"")</f>
        <v>0.0158425029828981</v>
      </c>
      <c r="E126" s="105" t="n">
        <f aca="false">IFERROR(IF(OR(NOT(ISNUMBER('Price History'!E127)),NOT(ISNUMBER('Price History'!E126)),'Price History'!E126=0),"",'Price History'!E127/'Price History'!E126-1),"")</f>
        <v>0.0345810318486308</v>
      </c>
      <c r="F126" s="105" t="n">
        <f aca="false">IFERROR(IF(OR(NOT(ISNUMBER('Price History'!F127)),NOT(ISNUMBER('Price History'!F126)),'Price History'!F126=0),"",'Price History'!F127/'Price History'!F126-1),"")</f>
        <v>-0.000166223404255317</v>
      </c>
      <c r="G126" s="105" t="n">
        <f aca="false">IFERROR(IF(OR(NOT(ISNUMBER('Price History'!G127)),NOT(ISNUMBER('Price History'!G126)),'Price History'!G126=0),"",'Price History'!G127/'Price History'!G126-1),"")</f>
        <v>0.0272136148350326</v>
      </c>
      <c r="H126" s="105" t="n">
        <f aca="false">IFERROR(IF(OR(NOT(ISNUMBER('Price History'!H127)),NOT(ISNUMBER('Price History'!H126)),'Price History'!H126=0),"",'Price History'!H127/'Price History'!H126-1),"")</f>
        <v>0.0709611913357402</v>
      </c>
      <c r="I126" s="105" t="n">
        <f aca="false">IFERROR(IF(OR(NOT(ISNUMBER('Price History'!I127)),NOT(ISNUMBER('Price History'!I126)),'Price History'!I126=0),"",'Price History'!I127/'Price History'!I126-1),"")</f>
        <v>0.052710094480358</v>
      </c>
      <c r="J126" s="105" t="n">
        <f aca="false">IFERROR(IF(OR(NOT(ISNUMBER('Price History'!J127)),NOT(ISNUMBER('Price History'!J126)),'Price History'!J126=0),"",'Price History'!J127/'Price History'!J126-1),"")</f>
        <v>0.0116324766171501</v>
      </c>
      <c r="K126" s="105" t="n">
        <f aca="false">IFERROR(IF(OR(NOT(ISNUMBER('Price History'!K127)),NOT(ISNUMBER('Price History'!K126)),'Price History'!K126=0),"",'Price History'!K127/'Price History'!K126-1),"")</f>
        <v>-0.0241493432619712</v>
      </c>
      <c r="L126" s="105" t="n">
        <f aca="false">IFERROR(IF(OR(NOT(ISNUMBER('Price History'!L127)),NOT(ISNUMBER('Price History'!L126)),'Price History'!L126=0),"",'Price History'!L127/'Price History'!L126-1),"")</f>
        <v>0.0480706004499047</v>
      </c>
      <c r="M126" s="105" t="n">
        <f aca="false">IFERROR(IF(OR(NOT(ISNUMBER('Price History'!M127)),NOT(ISNUMBER('Price History'!M126)),'Price History'!M126=0),"",'Price History'!M127/'Price History'!M126-1),"")</f>
        <v>0.0485546239519461</v>
      </c>
      <c r="N126" s="105" t="n">
        <f aca="false">IFERROR(IF(OR(NOT(ISNUMBER('Price History'!N127)),NOT(ISNUMBER('Price History'!N126)),'Price History'!N126=0),"",'Price History'!N127/'Price History'!N126-1),"")</f>
        <v>0.0146865409907935</v>
      </c>
      <c r="O126" s="105" t="n">
        <f aca="false">IFERROR(IF(OR(NOT(ISNUMBER('Price History'!O127)),NOT(ISNUMBER('Price History'!O126)),'Price History'!O126=0),"",'Price History'!O127/'Price History'!O126-1),"")</f>
        <v>-0.000867219117363649</v>
      </c>
      <c r="P126" s="105" t="str">
        <f aca="false">IFERROR(IF(OR(NOT(ISNUMBER('Price History'!P127)),NOT(ISNUMBER('Price History'!P126)),'Price History'!P126=0),"",'Price History'!P127/'Price History'!P126-1),"")</f>
        <v/>
      </c>
      <c r="Q126" s="105" t="n">
        <f aca="false">IFERROR(IF(OR(NOT(ISNUMBER('Price History'!Q127)),NOT(ISNUMBER('Price History'!Q126)),'Price History'!Q126=0),"",'Price History'!Q127/'Price History'!Q126-1),"")</f>
        <v>-0.00878499106611086</v>
      </c>
      <c r="R126" s="105" t="n">
        <f aca="false">IFERROR(IF(OR(NOT(ISNUMBER('Price History'!R127)),NOT(ISNUMBER('Price History'!R126)),'Price History'!R126=0),"",'Price History'!R127/'Price History'!R126-1),"")</f>
        <v>0.0122824974411464</v>
      </c>
      <c r="S126" s="105" t="n">
        <f aca="false">IFERROR(IF(OR(NOT(ISNUMBER('Price History'!S127)),NOT(ISNUMBER('Price History'!S126)),'Price History'!S126=0),"",'Price History'!S127/'Price History'!S126-1),"")</f>
        <v>0.0154772860369781</v>
      </c>
      <c r="T126" s="105" t="n">
        <f aca="false">IFERROR(IF(OR(NOT(ISNUMBER('Price History'!T127)),NOT(ISNUMBER('Price History'!T126)),'Price History'!T126=0),"",'Price History'!T127/'Price History'!T126-1),"")</f>
        <v>0.00657728307614458</v>
      </c>
      <c r="U126" s="105" t="str">
        <f aca="false">IFERROR(IF(OR(NOT(ISNUMBER('Price History'!U127)),NOT(ISNUMBER('Price History'!U126)),'Price History'!U126=0),"",'Price History'!U127/'Price History'!U126-1),"")</f>
        <v/>
      </c>
      <c r="V126" s="106" t="n">
        <f aca="false">IFERROR(IF(OR(NOT(ISNUMBER('Price History'!V127)),NOT(ISNUMBER('Price History'!V126)),'Price History'!V126=0),"",'Price History'!V127/'Price History'!V126-1),"")</f>
        <v>0.0164472736699599</v>
      </c>
      <c r="W126" s="107" t="n">
        <f aca="false">'Price History'!B3+('Price History'!B158-'Price History'!B3)*0.798701298701299</f>
        <v>302.353116883117</v>
      </c>
      <c r="X126" s="107" t="n">
        <f aca="false">'Price History'!C3+('Price History'!C158-'Price History'!C3)*0.798701298701299</f>
        <v>152.850584415584</v>
      </c>
      <c r="Y126" s="107" t="n">
        <f aca="false">'Price History'!D3+('Price History'!D158-'Price History'!D3)*0.798701298701299</f>
        <v>1434.29987012987</v>
      </c>
      <c r="Z126" s="107" t="n">
        <f aca="false">'Price History'!E3+('Price History'!E158-'Price History'!E3)*0.798701298701299</f>
        <v>327.622207792208</v>
      </c>
      <c r="AA126" s="107" t="n">
        <f aca="false">'Price History'!F3+('Price History'!F158-'Price History'!F3)*0.798701298701299</f>
        <v>159.90025974026</v>
      </c>
      <c r="AB126" s="107" t="n">
        <f aca="false">'Price History'!G3+('Price History'!G158-'Price History'!G3)*0.798701298701299</f>
        <v>155.660779220779</v>
      </c>
      <c r="AC126" s="107" t="n">
        <f aca="false">'Price History'!H3+('Price History'!H158-'Price History'!H3)*0.798701298701299</f>
        <v>670.312727272727</v>
      </c>
      <c r="AD126" s="107" t="n">
        <f aca="false">'Price History'!I3+('Price History'!I158-'Price History'!I3)*0.798701298701299</f>
        <v>168.562337662338</v>
      </c>
      <c r="AE126" s="107" t="n">
        <f aca="false">'Price History'!J3+('Price History'!J158-'Price History'!J3)*0.798701298701299</f>
        <v>140.362597402597</v>
      </c>
      <c r="AF126" s="107" t="n">
        <f aca="false">'Price History'!K3+('Price History'!K158-'Price History'!K3)*0.798701298701299</f>
        <v>101.390194805195</v>
      </c>
      <c r="AG126" s="107" t="n">
        <f aca="false">'Price History'!L3+('Price History'!L158-'Price History'!L3)*0.798701298701299</f>
        <v>341.392467532468</v>
      </c>
      <c r="AH126" s="107" t="n">
        <f aca="false">'Price History'!M3+('Price History'!M158-'Price History'!M3)*0.798701298701299</f>
        <v>199.687792207792</v>
      </c>
      <c r="AI126" s="107" t="n">
        <f aca="false">'Price History'!N3+('Price History'!N158-'Price History'!N3)*0.798701298701299</f>
        <v>451.486753246753</v>
      </c>
      <c r="AJ126" s="107" t="n">
        <f aca="false">'Price History'!O3+('Price History'!O158-'Price History'!O3)*0.798701298701299</f>
        <v>116.738896103896</v>
      </c>
      <c r="AK126" s="107" t="n">
        <f aca="false">'Price History'!Q3+('Price History'!Q151-'Price History'!Q3)*0.798701298701299</f>
        <v>64.7038311688312</v>
      </c>
      <c r="AL126" s="107" t="n">
        <f aca="false">'Price History'!R3+('Price History'!R158-'Price History'!R3)*0.798701298701299</f>
        <v>56.1504545454546</v>
      </c>
      <c r="AM126" s="107" t="n">
        <f aca="false">'Price History'!S3+('Price History'!S158-'Price History'!S3)*0.798701298701299</f>
        <v>126.661233766234</v>
      </c>
      <c r="AN126" s="107" t="n">
        <f aca="false">'Price History'!T3+('Price History'!T158-'Price History'!T3)*0.798701298701299</f>
        <v>45.1443506493507</v>
      </c>
    </row>
    <row r="127" customFormat="false" ht="15" hidden="false" customHeight="true" outlineLevel="0" collapsed="false">
      <c r="A127" s="104" t="n">
        <f aca="false">IF('Price History'!A128="","",'Price History'!A128)</f>
        <v>46024</v>
      </c>
      <c r="B127" s="105" t="n">
        <f aca="false">IFERROR(IF(OR(NOT(ISNUMBER('Price History'!B128)),NOT(ISNUMBER('Price History'!B127)),'Price History'!B127=0),"",'Price History'!B128/'Price History'!B127-1),"")</f>
        <v>-0.0579423403052572</v>
      </c>
      <c r="C127" s="105" t="n">
        <f aca="false">IFERROR(IF(OR(NOT(ISNUMBER('Price History'!C128)),NOT(ISNUMBER('Price History'!C127)),'Price History'!C127=0),"",'Price History'!C128/'Price History'!C127-1),"")</f>
        <v>0.0133495145631066</v>
      </c>
      <c r="D127" s="105" t="n">
        <f aca="false">IFERROR(IF(OR(NOT(ISNUMBER('Price History'!D128)),NOT(ISNUMBER('Price History'!D127)),'Price History'!D127=0),"",'Price History'!D128/'Price History'!D127-1),"")</f>
        <v>0.0848566767653227</v>
      </c>
      <c r="E127" s="105" t="n">
        <f aca="false">IFERROR(IF(OR(NOT(ISNUMBER('Price History'!E128)),NOT(ISNUMBER('Price History'!E127)),'Price History'!E127=0),"",'Price History'!E128/'Price History'!E127-1),"")</f>
        <v>-0.012807769857723</v>
      </c>
      <c r="F127" s="105" t="n">
        <f aca="false">IFERROR(IF(OR(NOT(ISNUMBER('Price History'!F128)),NOT(ISNUMBER('Price History'!F127)),'Price History'!F127=0),"",'Price History'!F128/'Price History'!F127-1),"")</f>
        <v>-0.057356608478803</v>
      </c>
      <c r="G127" s="105" t="n">
        <f aca="false">IFERROR(IF(OR(NOT(ISNUMBER('Price History'!G128)),NOT(ISNUMBER('Price History'!G127)),'Price History'!G127=0),"",'Price History'!G128/'Price History'!G127-1),"")</f>
        <v>-0.00398562050640816</v>
      </c>
      <c r="H127" s="105" t="n">
        <f aca="false">IFERROR(IF(OR(NOT(ISNUMBER('Price History'!H128)),NOT(ISNUMBER('Price History'!H127)),'Price History'!H127=0),"",'Price History'!H128/'Price History'!H127-1),"")</f>
        <v>0.107552933740651</v>
      </c>
      <c r="I127" s="105" t="n">
        <f aca="false">IFERROR(IF(OR(NOT(ISNUMBER('Price History'!I128)),NOT(ISNUMBER('Price History'!I127)),'Price History'!I127=0),"",'Price History'!I128/'Price History'!I127-1),"")</f>
        <v>-0.00881750905369239</v>
      </c>
      <c r="J127" s="105" t="n">
        <f aca="false">IFERROR(IF(OR(NOT(ISNUMBER('Price History'!J128)),NOT(ISNUMBER('Price History'!J127)),'Price History'!J127=0),"",'Price History'!J128/'Price History'!J127-1),"")</f>
        <v>0.00264159738948022</v>
      </c>
      <c r="K127" s="105" t="n">
        <f aca="false">IFERROR(IF(OR(NOT(ISNUMBER('Price History'!K128)),NOT(ISNUMBER('Price History'!K127)),'Price History'!K127=0),"",'Price History'!K128/'Price History'!K127-1),"")</f>
        <v>-0.110486990620529</v>
      </c>
      <c r="L127" s="105" t="n">
        <f aca="false">IFERROR(IF(OR(NOT(ISNUMBER('Price History'!L128)),NOT(ISNUMBER('Price History'!L127)),'Price History'!L127=0),"",'Price History'!L128/'Price History'!L127-1),"")</f>
        <v>0.0553757759873201</v>
      </c>
      <c r="M127" s="105" t="n">
        <f aca="false">IFERROR(IF(OR(NOT(ISNUMBER('Price History'!M128)),NOT(ISNUMBER('Price History'!M127)),'Price History'!M127=0),"",'Price History'!M128/'Price History'!M127-1),"")</f>
        <v>0.0479174125790667</v>
      </c>
      <c r="N127" s="105" t="n">
        <f aca="false">IFERROR(IF(OR(NOT(ISNUMBER('Price History'!N128)),NOT(ISNUMBER('Price History'!N127)),'Price History'!N127=0),"",'Price History'!N128/'Price History'!N127-1),"")</f>
        <v>-0.0232663642255346</v>
      </c>
      <c r="O127" s="105" t="n">
        <f aca="false">IFERROR(IF(OR(NOT(ISNUMBER('Price History'!O128)),NOT(ISNUMBER('Price History'!O127)),'Price History'!O127=0),"",'Price History'!O128/'Price History'!O127-1),"")</f>
        <v>-0.00549715498119385</v>
      </c>
      <c r="P127" s="105" t="str">
        <f aca="false">IFERROR(IF(OR(NOT(ISNUMBER('Price History'!P128)),NOT(ISNUMBER('Price History'!P127)),'Price History'!P127=0),"",'Price History'!P128/'Price History'!P127-1),"")</f>
        <v/>
      </c>
      <c r="Q127" s="105" t="n">
        <f aca="false">IFERROR(IF(OR(NOT(ISNUMBER('Price History'!Q128)),NOT(ISNUMBER('Price History'!Q127)),'Price History'!Q127=0),"",'Price History'!Q128/'Price History'!Q127-1),"")</f>
        <v>0.00691001952831627</v>
      </c>
      <c r="R127" s="105" t="n">
        <f aca="false">IFERROR(IF(OR(NOT(ISNUMBER('Price History'!R128)),NOT(ISNUMBER('Price History'!R127)),'Price History'!R127=0),"",'Price History'!R128/'Price History'!R127-1),"")</f>
        <v>-0.0210650488709134</v>
      </c>
      <c r="S127" s="105" t="n">
        <f aca="false">IFERROR(IF(OR(NOT(ISNUMBER('Price History'!S128)),NOT(ISNUMBER('Price History'!S127)),'Price History'!S127=0),"",'Price History'!S128/'Price History'!S127-1),"")</f>
        <v>-0.014087988136431</v>
      </c>
      <c r="T127" s="105" t="n">
        <f aca="false">IFERROR(IF(OR(NOT(ISNUMBER('Price History'!T128)),NOT(ISNUMBER('Price History'!T127)),'Price History'!T127=0),"",'Price History'!T128/'Price History'!T127-1),"")</f>
        <v>-0.0092988187986931</v>
      </c>
      <c r="U127" s="105" t="str">
        <f aca="false">IFERROR(IF(OR(NOT(ISNUMBER('Price History'!U128)),NOT(ISNUMBER('Price History'!U127)),'Price History'!U127=0),"",'Price History'!U128/'Price History'!U127-1),"")</f>
        <v/>
      </c>
      <c r="V127" s="106" t="n">
        <f aca="false">IFERROR(IF(OR(NOT(ISNUMBER('Price History'!V128)),NOT(ISNUMBER('Price History'!V127)),'Price History'!V127=0),"",'Price History'!V128/'Price History'!V127-1),"")</f>
        <v>-0.0240024937655859</v>
      </c>
      <c r="W127" s="107" t="n">
        <f aca="false">'Price History'!B3+('Price History'!B158-'Price History'!B3)*0.805194805194805</f>
        <v>300.677532467533</v>
      </c>
      <c r="X127" s="107" t="n">
        <f aca="false">'Price History'!C3+('Price History'!C158-'Price History'!C3)*0.805194805194805</f>
        <v>153.737662337662</v>
      </c>
      <c r="Y127" s="107" t="n">
        <f aca="false">'Price History'!D3+('Price History'!D158-'Price History'!D3)*0.805194805194805</f>
        <v>1440.58051948052</v>
      </c>
      <c r="Z127" s="107" t="n">
        <f aca="false">'Price History'!E3+('Price History'!E158-'Price History'!E3)*0.805194805194805</f>
        <v>329.611168831169</v>
      </c>
      <c r="AA127" s="107" t="n">
        <f aca="false">'Price History'!F3+('Price History'!F158-'Price History'!F3)*0.805194805194805</f>
        <v>160.898961038961</v>
      </c>
      <c r="AB127" s="107" t="n">
        <f aca="false">'Price History'!G3+('Price History'!G158-'Price History'!G3)*0.805194805194805</f>
        <v>156.536883116883</v>
      </c>
      <c r="AC127" s="107" t="n">
        <f aca="false">'Price History'!H3+('Price History'!H158-'Price History'!H3)*0.805194805194805</f>
        <v>675.239090909091</v>
      </c>
      <c r="AD127" s="107" t="n">
        <f aca="false">'Price History'!I3+('Price History'!I158-'Price History'!I3)*0.805194805194805</f>
        <v>169.600649350649</v>
      </c>
      <c r="AE127" s="107" t="n">
        <f aca="false">'Price History'!J3+('Price History'!J158-'Price History'!J3)*0.805194805194805</f>
        <v>140.49961038961</v>
      </c>
      <c r="AF127" s="107" t="n">
        <f aca="false">'Price History'!K3+('Price History'!K158-'Price History'!K3)*0.805194805194805</f>
        <v>102.089220779221</v>
      </c>
      <c r="AG127" s="107" t="n">
        <f aca="false">'Price History'!L3+('Price History'!L158-'Price History'!L3)*0.805194805194805</f>
        <v>343.42012987013</v>
      </c>
      <c r="AH127" s="107" t="n">
        <f aca="false">'Price History'!M3+('Price History'!M158-'Price History'!M3)*0.805194805194805</f>
        <v>201.038831168831</v>
      </c>
      <c r="AI127" s="107" t="n">
        <f aca="false">'Price History'!N3+('Price History'!N158-'Price History'!N3)*0.805194805194805</f>
        <v>452.312987012987</v>
      </c>
      <c r="AJ127" s="107" t="n">
        <f aca="false">'Price History'!O3+('Price History'!O158-'Price History'!O3)*0.805194805194805</f>
        <v>117.014415584416</v>
      </c>
      <c r="AK127" s="107" t="n">
        <f aca="false">'Price History'!Q3+('Price History'!Q151-'Price History'!Q3)*0.805194805194805</f>
        <v>64.8246753246753</v>
      </c>
      <c r="AL127" s="107" t="n">
        <f aca="false">'Price History'!R3+('Price History'!R158-'Price History'!R3)*0.805194805194805</f>
        <v>56.2181818181818</v>
      </c>
      <c r="AM127" s="107" t="n">
        <f aca="false">'Price History'!S3+('Price History'!S158-'Price History'!S3)*0.805194805194805</f>
        <v>127.215064935065</v>
      </c>
      <c r="AN127" s="107" t="n">
        <f aca="false">'Price History'!T3+('Price History'!T158-'Price History'!T3)*0.805194805194805</f>
        <v>45.2925974025974</v>
      </c>
    </row>
    <row r="128" customFormat="false" ht="15" hidden="false" customHeight="true" outlineLevel="0" collapsed="false">
      <c r="A128" s="104" t="n">
        <f aca="false">IF('Price History'!A129="","",'Price History'!A129)</f>
        <v>46031</v>
      </c>
      <c r="B128" s="105" t="n">
        <f aca="false">IFERROR(IF(OR(NOT(ISNUMBER('Price History'!B129)),NOT(ISNUMBER('Price History'!B128)),'Price History'!B128=0),"",'Price History'!B129/'Price History'!B128-1),"")</f>
        <v>0.00195019501950178</v>
      </c>
      <c r="C128" s="105" t="n">
        <f aca="false">IFERROR(IF(OR(NOT(ISNUMBER('Price History'!C129)),NOT(ISNUMBER('Price History'!C128)),'Price History'!C128=0),"",'Price History'!C129/'Price History'!C128-1),"")</f>
        <v>-0.0801646706586826</v>
      </c>
      <c r="D128" s="105" t="n">
        <f aca="false">IFERROR(IF(OR(NOT(ISNUMBER('Price History'!D129)),NOT(ISNUMBER('Price History'!D128)),'Price History'!D128=0),"",'Price History'!D129/'Price History'!D128-1),"")</f>
        <v>0.0946055096324048</v>
      </c>
      <c r="E128" s="105" t="n">
        <f aca="false">IFERROR(IF(OR(NOT(ISNUMBER('Price History'!E129)),NOT(ISNUMBER('Price History'!E128)),'Price History'!E128=0),"",'Price History'!E129/'Price History'!E128-1),"")</f>
        <v>-0.00762326678557035</v>
      </c>
      <c r="F128" s="105" t="n">
        <f aca="false">IFERROR(IF(OR(NOT(ISNUMBER('Price History'!F129)),NOT(ISNUMBER('Price History'!F128)),'Price History'!F128=0),"",'Price History'!F129/'Price History'!F128-1),"")</f>
        <v>0.0374779541446209</v>
      </c>
      <c r="G128" s="105" t="n">
        <f aca="false">IFERROR(IF(OR(NOT(ISNUMBER('Price History'!G129)),NOT(ISNUMBER('Price History'!G128)),'Price History'!G128=0),"",'Price History'!G129/'Price History'!G128-1),"")</f>
        <v>0.0984699882306788</v>
      </c>
      <c r="H128" s="105" t="n">
        <f aca="false">IFERROR(IF(OR(NOT(ISNUMBER('Price History'!H129)),NOT(ISNUMBER('Price History'!H128)),'Price History'!H128=0),"",'Price History'!H129/'Price History'!H128-1),"")</f>
        <v>0.0940650561156551</v>
      </c>
      <c r="I128" s="105" t="n">
        <f aca="false">IFERROR(IF(OR(NOT(ISNUMBER('Price History'!I129)),NOT(ISNUMBER('Price History'!I128)),'Price History'!I128=0),"",'Price History'!I129/'Price History'!I128-1),"")</f>
        <v>-0.0211278792692612</v>
      </c>
      <c r="J128" s="105" t="n">
        <f aca="false">IFERROR(IF(OR(NOT(ISNUMBER('Price History'!J129)),NOT(ISNUMBER('Price History'!J128)),'Price History'!J128=0),"",'Price History'!J129/'Price History'!J128-1),"")</f>
        <v>0.00271212708252611</v>
      </c>
      <c r="K128" s="105" t="n">
        <f aca="false">IFERROR(IF(OR(NOT(ISNUMBER('Price History'!K129)),NOT(ISNUMBER('Price History'!K128)),'Price History'!K128=0),"",'Price History'!K129/'Price History'!K128-1),"")</f>
        <v>0.0573692362683189</v>
      </c>
      <c r="L128" s="105" t="n">
        <f aca="false">IFERROR(IF(OR(NOT(ISNUMBER('Price History'!L129)),NOT(ISNUMBER('Price History'!L128)),'Price History'!L128=0),"",'Price History'!L129/'Price History'!L128-1),"")</f>
        <v>0.0125778292293732</v>
      </c>
      <c r="M128" s="105" t="n">
        <f aca="false">IFERROR(IF(OR(NOT(ISNUMBER('Price History'!M129)),NOT(ISNUMBER('Price History'!M128)),'Price History'!M128=0),"",'Price History'!M129/'Price History'!M128-1),"")</f>
        <v>-0.0685040715221229</v>
      </c>
      <c r="N128" s="105" t="n">
        <f aca="false">IFERROR(IF(OR(NOT(ISNUMBER('Price History'!N129)),NOT(ISNUMBER('Price History'!N128)),'Price History'!N128=0),"",'Price History'!N129/'Price History'!N128-1),"")</f>
        <v>0.0259438657023423</v>
      </c>
      <c r="O128" s="105" t="n">
        <f aca="false">IFERROR(IF(OR(NOT(ISNUMBER('Price History'!O129)),NOT(ISNUMBER('Price History'!O128)),'Price History'!O128=0),"",'Price History'!O129/'Price History'!O128-1),"")</f>
        <v>0.0408262218774242</v>
      </c>
      <c r="P128" s="105" t="str">
        <f aca="false">IFERROR(IF(OR(NOT(ISNUMBER('Price History'!P129)),NOT(ISNUMBER('Price History'!P128)),'Price History'!P128=0),"",'Price History'!P129/'Price History'!P128-1),"")</f>
        <v/>
      </c>
      <c r="Q128" s="105" t="n">
        <f aca="false">IFERROR(IF(OR(NOT(ISNUMBER('Price History'!Q129)),NOT(ISNUMBER('Price History'!Q128)),'Price History'!Q128=0),"",'Price History'!Q129/'Price History'!Q128-1),"")</f>
        <v>-0.00581829031776815</v>
      </c>
      <c r="R128" s="105" t="n">
        <f aca="false">IFERROR(IF(OR(NOT(ISNUMBER('Price History'!R129)),NOT(ISNUMBER('Price History'!R128)),'Price History'!R128=0),"",'Price History'!R129/'Price History'!R128-1),"")</f>
        <v>0.0184196935789291</v>
      </c>
      <c r="S128" s="105" t="n">
        <f aca="false">IFERROR(IF(OR(NOT(ISNUMBER('Price History'!S129)),NOT(ISNUMBER('Price History'!S128)),'Price History'!S128=0),"",'Price History'!S129/'Price History'!S128-1),"")</f>
        <v>0.00300827275006266</v>
      </c>
      <c r="T128" s="105" t="n">
        <f aca="false">IFERROR(IF(OR(NOT(ISNUMBER('Price History'!T129)),NOT(ISNUMBER('Price History'!T128)),'Price History'!T128=0),"",'Price History'!T129/'Price History'!T128-1),"")</f>
        <v>0.0256215119228818</v>
      </c>
      <c r="U128" s="105" t="str">
        <f aca="false">IFERROR(IF(OR(NOT(ISNUMBER('Price History'!U129)),NOT(ISNUMBER('Price History'!U128)),'Price History'!U128=0),"",'Price History'!U129/'Price History'!U128-1),"")</f>
        <v/>
      </c>
      <c r="V128" s="106" t="n">
        <f aca="false">IFERROR(IF(OR(NOT(ISNUMBER('Price History'!V129)),NOT(ISNUMBER('Price History'!V128)),'Price History'!V128=0),"",'Price History'!V129/'Price History'!V128-1),"")</f>
        <v>0.0094944978368805</v>
      </c>
      <c r="W128" s="107" t="n">
        <f aca="false">'Price History'!B3+('Price History'!B158-'Price History'!B3)*0.811688311688312</f>
        <v>299.001948051948</v>
      </c>
      <c r="X128" s="107" t="n">
        <f aca="false">'Price History'!C3+('Price History'!C158-'Price History'!C3)*0.811688311688312</f>
        <v>154.62474025974</v>
      </c>
      <c r="Y128" s="107" t="n">
        <f aca="false">'Price History'!D3+('Price History'!D158-'Price History'!D3)*0.811688311688312</f>
        <v>1446.86116883117</v>
      </c>
      <c r="Z128" s="107" t="n">
        <f aca="false">'Price History'!E3+('Price History'!E158-'Price History'!E3)*0.811688311688312</f>
        <v>331.60012987013</v>
      </c>
      <c r="AA128" s="107" t="n">
        <f aca="false">'Price History'!F3+('Price History'!F158-'Price History'!F3)*0.811688311688312</f>
        <v>161.897662337662</v>
      </c>
      <c r="AB128" s="107" t="n">
        <f aca="false">'Price History'!G3+('Price History'!G158-'Price History'!G3)*0.811688311688312</f>
        <v>157.412987012987</v>
      </c>
      <c r="AC128" s="107" t="n">
        <f aca="false">'Price History'!H3+('Price History'!H158-'Price History'!H3)*0.811688311688312</f>
        <v>680.165454545455</v>
      </c>
      <c r="AD128" s="107" t="n">
        <f aca="false">'Price History'!I3+('Price History'!I158-'Price History'!I3)*0.811688311688312</f>
        <v>170.638961038961</v>
      </c>
      <c r="AE128" s="107" t="n">
        <f aca="false">'Price History'!J3+('Price History'!J158-'Price History'!J3)*0.811688311688312</f>
        <v>140.636623376623</v>
      </c>
      <c r="AF128" s="107" t="n">
        <f aca="false">'Price History'!K3+('Price History'!K158-'Price History'!K3)*0.811688311688312</f>
        <v>102.788246753247</v>
      </c>
      <c r="AG128" s="107" t="n">
        <f aca="false">'Price History'!L3+('Price History'!L158-'Price History'!L3)*0.811688311688312</f>
        <v>345.447792207792</v>
      </c>
      <c r="AH128" s="107" t="n">
        <f aca="false">'Price History'!M3+('Price History'!M158-'Price History'!M3)*0.811688311688312</f>
        <v>202.38987012987</v>
      </c>
      <c r="AI128" s="107" t="n">
        <f aca="false">'Price History'!N3+('Price History'!N158-'Price History'!N3)*0.811688311688312</f>
        <v>453.139220779221</v>
      </c>
      <c r="AJ128" s="107" t="n">
        <f aca="false">'Price History'!O3+('Price History'!O158-'Price History'!O3)*0.811688311688312</f>
        <v>117.289935064935</v>
      </c>
      <c r="AK128" s="107" t="n">
        <f aca="false">'Price History'!Q3+('Price History'!Q151-'Price History'!Q3)*0.811688311688312</f>
        <v>64.9455194805195</v>
      </c>
      <c r="AL128" s="107" t="n">
        <f aca="false">'Price History'!R3+('Price History'!R158-'Price History'!R3)*0.811688311688312</f>
        <v>56.2859090909091</v>
      </c>
      <c r="AM128" s="107" t="n">
        <f aca="false">'Price History'!S3+('Price History'!S158-'Price History'!S3)*0.811688311688312</f>
        <v>127.768896103896</v>
      </c>
      <c r="AN128" s="107" t="n">
        <f aca="false">'Price History'!T3+('Price History'!T158-'Price History'!T3)*0.811688311688312</f>
        <v>45.4408441558442</v>
      </c>
    </row>
    <row r="129" customFormat="false" ht="15" hidden="false" customHeight="true" outlineLevel="0" collapsed="false">
      <c r="A129" s="104" t="n">
        <f aca="false">IF('Price History'!A130="","",'Price History'!A130)</f>
        <v>46038</v>
      </c>
      <c r="B129" s="105" t="n">
        <f aca="false">IFERROR(IF(OR(NOT(ISNUMBER('Price History'!B130)),NOT(ISNUMBER('Price History'!B129)),'Price History'!B129=0),"",'Price History'!B130/'Price History'!B129-1),"")</f>
        <v>-0.113280431202276</v>
      </c>
      <c r="C129" s="105" t="n">
        <f aca="false">IFERROR(IF(OR(NOT(ISNUMBER('Price History'!C130)),NOT(ISNUMBER('Price History'!C129)),'Price History'!C129=0),"",'Price History'!C130/'Price History'!C129-1),"")</f>
        <v>0.0564732687769551</v>
      </c>
      <c r="D129" s="105" t="n">
        <f aca="false">IFERROR(IF(OR(NOT(ISNUMBER('Price History'!D130)),NOT(ISNUMBER('Price History'!D129)),'Price History'!D129=0),"",'Price History'!D130/'Price History'!D129-1),"")</f>
        <v>0.0664819292241026</v>
      </c>
      <c r="E129" s="105" t="n">
        <f aca="false">IFERROR(IF(OR(NOT(ISNUMBER('Price History'!E130)),NOT(ISNUMBER('Price History'!E129)),'Price History'!E129=0),"",'Price History'!E130/'Price History'!E129-1),"")</f>
        <v>0.0195379308345651</v>
      </c>
      <c r="F129" s="105" t="n">
        <f aca="false">IFERROR(IF(OR(NOT(ISNUMBER('Price History'!F130)),NOT(ISNUMBER('Price History'!F129)),'Price History'!F129=0),"",'Price History'!F130/'Price History'!F129-1),"")</f>
        <v>-0.0355291117722057</v>
      </c>
      <c r="G129" s="105" t="n">
        <f aca="false">IFERROR(IF(OR(NOT(ISNUMBER('Price History'!G130)),NOT(ISNUMBER('Price History'!G129)),'Price History'!G129=0),"",'Price History'!G130/'Price History'!G129-1),"")</f>
        <v>0.119857142857143</v>
      </c>
      <c r="H129" s="105" t="n">
        <f aca="false">IFERROR(IF(OR(NOT(ISNUMBER('Price History'!H130)),NOT(ISNUMBER('Price History'!H129)),'Price History'!H129=0),"",'Price History'!H130/'Price History'!H129-1),"")</f>
        <v>0.0511750557825497</v>
      </c>
      <c r="I129" s="105" t="n">
        <f aca="false">IFERROR(IF(OR(NOT(ISNUMBER('Price History'!I130)),NOT(ISNUMBER('Price History'!I129)),'Price History'!I129=0),"",'Price History'!I130/'Price History'!I129-1),"")</f>
        <v>0.00741101374012754</v>
      </c>
      <c r="J129" s="105" t="n">
        <f aca="false">IFERROR(IF(OR(NOT(ISNUMBER('Price History'!J130)),NOT(ISNUMBER('Price History'!J129)),'Price History'!J129=0),"",'Price History'!J130/'Price History'!J129-1),"")</f>
        <v>0.0294435857805255</v>
      </c>
      <c r="K129" s="105" t="n">
        <f aca="false">IFERROR(IF(OR(NOT(ISNUMBER('Price History'!K130)),NOT(ISNUMBER('Price History'!K129)),'Price History'!K129=0),"",'Price History'!K130/'Price History'!K129-1),"")</f>
        <v>-0.0367908051157811</v>
      </c>
      <c r="L129" s="105" t="n">
        <f aca="false">IFERROR(IF(OR(NOT(ISNUMBER('Price History'!L130)),NOT(ISNUMBER('Price History'!L129)),'Price History'!L129=0),"",'Price History'!L130/'Price History'!L129-1),"")</f>
        <v>0.0579983314278651</v>
      </c>
      <c r="M129" s="105" t="n">
        <f aca="false">IFERROR(IF(OR(NOT(ISNUMBER('Price History'!M130)),NOT(ISNUMBER('Price History'!M129)),'Price History'!M129=0),"",'Price History'!M130/'Price History'!M129-1),"")</f>
        <v>0.0816114439418021</v>
      </c>
      <c r="N129" s="105" t="n">
        <f aca="false">IFERROR(IF(OR(NOT(ISNUMBER('Price History'!N130)),NOT(ISNUMBER('Price History'!N129)),'Price History'!N129=0),"",'Price History'!N130/'Price History'!N129-1),"")</f>
        <v>-0.0485060147458285</v>
      </c>
      <c r="O129" s="105" t="n">
        <f aca="false">IFERROR(IF(OR(NOT(ISNUMBER('Price History'!O130)),NOT(ISNUMBER('Price History'!O129)),'Price History'!O129=0),"",'Price History'!O130/'Price History'!O129-1),"")</f>
        <v>0.0109941302524923</v>
      </c>
      <c r="P129" s="105" t="str">
        <f aca="false">IFERROR(IF(OR(NOT(ISNUMBER('Price History'!P130)),NOT(ISNUMBER('Price History'!P129)),'Price History'!P129=0),"",'Price History'!P130/'Price History'!P129-1),"")</f>
        <v/>
      </c>
      <c r="Q129" s="105" t="n">
        <f aca="false">IFERROR(IF(OR(NOT(ISNUMBER('Price History'!Q130)),NOT(ISNUMBER('Price History'!Q129)),'Price History'!Q129=0),"",'Price History'!Q130/'Price History'!Q129-1),"")</f>
        <v>-0.0112545018007203</v>
      </c>
      <c r="R129" s="105" t="n">
        <f aca="false">IFERROR(IF(OR(NOT(ISNUMBER('Price History'!R130)),NOT(ISNUMBER('Price History'!R129)),'Price History'!R129=0),"",'Price History'!R130/'Price History'!R129-1),"")</f>
        <v>-0.00405679513184576</v>
      </c>
      <c r="S129" s="105" t="n">
        <f aca="false">IFERROR(IF(OR(NOT(ISNUMBER('Price History'!S130)),NOT(ISNUMBER('Price History'!S129)),'Price History'!S129=0),"",'Price History'!S130/'Price History'!S129-1),"")</f>
        <v>-0.000249937515621079</v>
      </c>
      <c r="T129" s="105" t="n">
        <f aca="false">IFERROR(IF(OR(NOT(ISNUMBER('Price History'!T130)),NOT(ISNUMBER('Price History'!T129)),'Price History'!T129=0),"",'Price History'!T130/'Price History'!T129-1),"")</f>
        <v>-0.0202819688350235</v>
      </c>
      <c r="U129" s="105" t="str">
        <f aca="false">IFERROR(IF(OR(NOT(ISNUMBER('Price History'!U130)),NOT(ISNUMBER('Price History'!U129)),'Price History'!U129=0),"",'Price History'!U130/'Price History'!U129-1),"")</f>
        <v/>
      </c>
      <c r="V129" s="106" t="n">
        <f aca="false">IFERROR(IF(OR(NOT(ISNUMBER('Price History'!V130)),NOT(ISNUMBER('Price History'!V129)),'Price History'!V129=0),"",'Price History'!V130/'Price History'!V129-1),"")</f>
        <v>-0.0613782788771284</v>
      </c>
      <c r="W129" s="107" t="n">
        <f aca="false">'Price History'!B3+('Price History'!B158-'Price History'!B3)*0.818181818181818</f>
        <v>297.326363636364</v>
      </c>
      <c r="X129" s="107" t="n">
        <f aca="false">'Price History'!C3+('Price History'!C158-'Price History'!C3)*0.818181818181818</f>
        <v>155.511818181818</v>
      </c>
      <c r="Y129" s="107" t="n">
        <f aca="false">'Price History'!D3+('Price History'!D158-'Price History'!D3)*0.818181818181818</f>
        <v>1453.14181818182</v>
      </c>
      <c r="Z129" s="107" t="n">
        <f aca="false">'Price History'!E3+('Price History'!E158-'Price History'!E3)*0.818181818181818</f>
        <v>333.589090909091</v>
      </c>
      <c r="AA129" s="107" t="n">
        <f aca="false">'Price History'!F3+('Price History'!F158-'Price History'!F3)*0.818181818181818</f>
        <v>162.896363636364</v>
      </c>
      <c r="AB129" s="107" t="n">
        <f aca="false">'Price History'!G3+('Price History'!G158-'Price History'!G3)*0.818181818181818</f>
        <v>158.289090909091</v>
      </c>
      <c r="AC129" s="107" t="n">
        <f aca="false">'Price History'!H3+('Price History'!H158-'Price History'!H3)*0.818181818181818</f>
        <v>685.091818181818</v>
      </c>
      <c r="AD129" s="107" t="n">
        <f aca="false">'Price History'!I3+('Price History'!I158-'Price History'!I3)*0.818181818181818</f>
        <v>171.677272727273</v>
      </c>
      <c r="AE129" s="107" t="n">
        <f aca="false">'Price History'!J3+('Price History'!J158-'Price History'!J3)*0.818181818181818</f>
        <v>140.773636363636</v>
      </c>
      <c r="AF129" s="107" t="n">
        <f aca="false">'Price History'!K3+('Price History'!K158-'Price History'!K3)*0.818181818181818</f>
        <v>103.487272727273</v>
      </c>
      <c r="AG129" s="107" t="n">
        <f aca="false">'Price History'!L3+('Price History'!L158-'Price History'!L3)*0.818181818181818</f>
        <v>347.475454545454</v>
      </c>
      <c r="AH129" s="107" t="n">
        <f aca="false">'Price History'!M3+('Price History'!M158-'Price History'!M3)*0.818181818181818</f>
        <v>203.740909090909</v>
      </c>
      <c r="AI129" s="107" t="n">
        <f aca="false">'Price History'!N3+('Price History'!N158-'Price History'!N3)*0.818181818181818</f>
        <v>453.965454545455</v>
      </c>
      <c r="AJ129" s="107" t="n">
        <f aca="false">'Price History'!O3+('Price History'!O158-'Price History'!O3)*0.818181818181818</f>
        <v>117.565454545455</v>
      </c>
      <c r="AK129" s="107" t="n">
        <f aca="false">'Price History'!Q3+('Price History'!Q151-'Price History'!Q3)*0.818181818181818</f>
        <v>65.0663636363636</v>
      </c>
      <c r="AL129" s="107" t="n">
        <f aca="false">'Price History'!R3+('Price History'!R158-'Price History'!R3)*0.818181818181818</f>
        <v>56.3536363636364</v>
      </c>
      <c r="AM129" s="107" t="n">
        <f aca="false">'Price History'!S3+('Price History'!S158-'Price History'!S3)*0.818181818181818</f>
        <v>128.322727272727</v>
      </c>
      <c r="AN129" s="107" t="n">
        <f aca="false">'Price History'!T3+('Price History'!T158-'Price History'!T3)*0.818181818181818</f>
        <v>45.5890909090909</v>
      </c>
    </row>
    <row r="130" customFormat="false" ht="15" hidden="false" customHeight="true" outlineLevel="0" collapsed="false">
      <c r="A130" s="104" t="n">
        <f aca="false">IF('Price History'!A131="","",'Price History'!A131)</f>
        <v>46045</v>
      </c>
      <c r="B130" s="105" t="n">
        <f aca="false">IFERROR(IF(OR(NOT(ISNUMBER('Price History'!B131)),NOT(ISNUMBER('Price History'!B130)),'Price History'!B130=0),"",'Price History'!B131/'Price History'!B130-1),"")</f>
        <v>0.0167161961367013</v>
      </c>
      <c r="C130" s="105" t="n">
        <f aca="false">IFERROR(IF(OR(NOT(ISNUMBER('Price History'!C131)),NOT(ISNUMBER('Price History'!C130)),'Price History'!C130=0),"",'Price History'!C131/'Price History'!C130-1),"")</f>
        <v>0.0501424940306554</v>
      </c>
      <c r="D130" s="105" t="n">
        <f aca="false">IFERROR(IF(OR(NOT(ISNUMBER('Price History'!D131)),NOT(ISNUMBER('Price History'!D130)),'Price History'!D130=0),"",'Price History'!D131/'Price History'!D130-1),"")</f>
        <v>0.0224279941408982</v>
      </c>
      <c r="E130" s="105" t="n">
        <f aca="false">IFERROR(IF(OR(NOT(ISNUMBER('Price History'!E131)),NOT(ISNUMBER('Price History'!E130)),'Price History'!E130=0),"",'Price History'!E131/'Price History'!E130-1),"")</f>
        <v>-0.090017343834409</v>
      </c>
      <c r="F130" s="105" t="n">
        <f aca="false">IFERROR(IF(OR(NOT(ISNUMBER('Price History'!F131)),NOT(ISNUMBER('Price History'!F130)),'Price History'!F130=0),"",'Price History'!F131/'Price History'!F130-1),"")</f>
        <v>-0.00308451573103019</v>
      </c>
      <c r="G130" s="105" t="n">
        <f aca="false">IFERROR(IF(OR(NOT(ISNUMBER('Price History'!G131)),NOT(ISNUMBER('Price History'!G130)),'Price History'!G130=0),"",'Price History'!G131/'Price History'!G130-1),"")</f>
        <v>-0.0350810052302589</v>
      </c>
      <c r="H130" s="105" t="n">
        <f aca="false">IFERROR(IF(OR(NOT(ISNUMBER('Price History'!H131)),NOT(ISNUMBER('Price History'!H130)),'Price History'!H130=0),"",'Price History'!H131/'Price History'!H130-1),"")</f>
        <v>0.101722949689869</v>
      </c>
      <c r="I130" s="105" t="n">
        <f aca="false">IFERROR(IF(OR(NOT(ISNUMBER('Price History'!I131)),NOT(ISNUMBER('Price History'!I130)),'Price History'!I130=0),"",'Price History'!I131/'Price History'!I130-1),"")</f>
        <v>0.00773237394619564</v>
      </c>
      <c r="J130" s="105" t="n">
        <f aca="false">IFERROR(IF(OR(NOT(ISNUMBER('Price History'!J131)),NOT(ISNUMBER('Price History'!J130)),'Price History'!J130=0),"",'Price History'!J131/'Price History'!J130-1),"")</f>
        <v>-0.0454920801741611</v>
      </c>
      <c r="K130" s="105" t="n">
        <f aca="false">IFERROR(IF(OR(NOT(ISNUMBER('Price History'!K131)),NOT(ISNUMBER('Price History'!K130)),'Price History'!K130=0),"",'Price History'!K131/'Price History'!K130-1),"")</f>
        <v>-0.0079550772110436</v>
      </c>
      <c r="L130" s="105" t="n">
        <f aca="false">IFERROR(IF(OR(NOT(ISNUMBER('Price History'!L131)),NOT(ISNUMBER('Price History'!L130)),'Price History'!L130=0),"",'Price History'!L131/'Price History'!L130-1),"")</f>
        <v>-0.0219918224299065</v>
      </c>
      <c r="M130" s="105" t="n">
        <f aca="false">IFERROR(IF(OR(NOT(ISNUMBER('Price History'!M131)),NOT(ISNUMBER('Price History'!M130)),'Price History'!M130=0),"",'Price History'!M131/'Price History'!M130-1),"")</f>
        <v>0.031424857288193</v>
      </c>
      <c r="N130" s="105" t="n">
        <f aca="false">IFERROR(IF(OR(NOT(ISNUMBER('Price History'!N131)),NOT(ISNUMBER('Price History'!N130)),'Price History'!N130=0),"",'Price History'!N131/'Price History'!N130-1),"")</f>
        <v>0.0612878375928947</v>
      </c>
      <c r="O130" s="105" t="n">
        <f aca="false">IFERROR(IF(OR(NOT(ISNUMBER('Price History'!O131)),NOT(ISNUMBER('Price History'!O130)),'Price History'!O130=0),"",'Price History'!O131/'Price History'!O130-1),"")</f>
        <v>-0.000184314809695052</v>
      </c>
      <c r="P130" s="105" t="str">
        <f aca="false">IFERROR(IF(OR(NOT(ISNUMBER('Price History'!P131)),NOT(ISNUMBER('Price History'!P130)),'Price History'!P130=0),"",'Price History'!P131/'Price History'!P130-1),"")</f>
        <v/>
      </c>
      <c r="Q130" s="105" t="n">
        <f aca="false">IFERROR(IF(OR(NOT(ISNUMBER('Price History'!Q131)),NOT(ISNUMBER('Price History'!Q130)),'Price History'!Q130=0),"",'Price History'!Q131/'Price History'!Q130-1),"")</f>
        <v>-0.013355592654424</v>
      </c>
      <c r="R130" s="105" t="n">
        <f aca="false">IFERROR(IF(OR(NOT(ISNUMBER('Price History'!R131)),NOT(ISNUMBER('Price History'!R130)),'Price History'!R130=0),"",'Price History'!R131/'Price History'!R130-1),"")</f>
        <v>0.00509164969450104</v>
      </c>
      <c r="S130" s="105" t="n">
        <f aca="false">IFERROR(IF(OR(NOT(ISNUMBER('Price History'!S131)),NOT(ISNUMBER('Price History'!S130)),'Price History'!S130=0),"",'Price History'!S131/'Price History'!S130-1),"")</f>
        <v>-0.0173333333333333</v>
      </c>
      <c r="T130" s="105" t="n">
        <f aca="false">IFERROR(IF(OR(NOT(ISNUMBER('Price History'!T131)),NOT(ISNUMBER('Price History'!T130)),'Price History'!T130=0),"",'Price History'!T131/'Price History'!T130-1),"")</f>
        <v>0.0063115374905327</v>
      </c>
      <c r="U130" s="105" t="str">
        <f aca="false">IFERROR(IF(OR(NOT(ISNUMBER('Price History'!U131)),NOT(ISNUMBER('Price History'!U130)),'Price History'!U130=0),"",'Price History'!U131/'Price History'!U130-1),"")</f>
        <v/>
      </c>
      <c r="V130" s="106" t="n">
        <f aca="false">IFERROR(IF(OR(NOT(ISNUMBER('Price History'!V131)),NOT(ISNUMBER('Price History'!V130)),'Price History'!V130=0),"",'Price History'!V131/'Price History'!V130-1),"")</f>
        <v>-0.00646564932279203</v>
      </c>
      <c r="W130" s="107" t="n">
        <f aca="false">'Price History'!B3+('Price History'!B158-'Price History'!B3)*0.824675324675325</f>
        <v>295.650779220779</v>
      </c>
      <c r="X130" s="107" t="n">
        <f aca="false">'Price History'!C3+('Price History'!C158-'Price History'!C3)*0.824675324675325</f>
        <v>156.398896103896</v>
      </c>
      <c r="Y130" s="107" t="n">
        <f aca="false">'Price History'!D3+('Price History'!D158-'Price History'!D3)*0.824675324675325</f>
        <v>1459.42246753247</v>
      </c>
      <c r="Z130" s="107" t="n">
        <f aca="false">'Price History'!E3+('Price History'!E158-'Price History'!E3)*0.824675324675325</f>
        <v>335.578051948052</v>
      </c>
      <c r="AA130" s="107" t="n">
        <f aca="false">'Price History'!F3+('Price History'!F158-'Price History'!F3)*0.824675324675325</f>
        <v>163.895064935065</v>
      </c>
      <c r="AB130" s="107" t="n">
        <f aca="false">'Price History'!G3+('Price History'!G158-'Price History'!G3)*0.824675324675325</f>
        <v>159.165194805195</v>
      </c>
      <c r="AC130" s="107" t="n">
        <f aca="false">'Price History'!H3+('Price History'!H158-'Price History'!H3)*0.824675324675325</f>
        <v>690.018181818182</v>
      </c>
      <c r="AD130" s="107" t="n">
        <f aca="false">'Price History'!I3+('Price History'!I158-'Price History'!I3)*0.824675324675325</f>
        <v>172.715584415584</v>
      </c>
      <c r="AE130" s="107" t="n">
        <f aca="false">'Price History'!J3+('Price History'!J158-'Price History'!J3)*0.824675324675325</f>
        <v>140.910649350649</v>
      </c>
      <c r="AF130" s="107" t="n">
        <f aca="false">'Price History'!K3+('Price History'!K158-'Price History'!K3)*0.824675324675325</f>
        <v>104.186298701299</v>
      </c>
      <c r="AG130" s="107" t="n">
        <f aca="false">'Price History'!L3+('Price History'!L158-'Price History'!L3)*0.824675324675325</f>
        <v>349.503116883117</v>
      </c>
      <c r="AH130" s="107" t="n">
        <f aca="false">'Price History'!M3+('Price History'!M158-'Price History'!M3)*0.824675324675325</f>
        <v>205.091948051948</v>
      </c>
      <c r="AI130" s="107" t="n">
        <f aca="false">'Price History'!N3+('Price History'!N158-'Price History'!N3)*0.824675324675325</f>
        <v>454.791688311688</v>
      </c>
      <c r="AJ130" s="107" t="n">
        <f aca="false">'Price History'!O3+('Price History'!O158-'Price History'!O3)*0.824675324675325</f>
        <v>117.840974025974</v>
      </c>
      <c r="AK130" s="107" t="n">
        <f aca="false">'Price History'!Q3+('Price History'!Q151-'Price History'!Q3)*0.824675324675325</f>
        <v>65.1872077922078</v>
      </c>
      <c r="AL130" s="107" t="n">
        <f aca="false">'Price History'!R3+('Price History'!R158-'Price History'!R3)*0.824675324675325</f>
        <v>56.4213636363636</v>
      </c>
      <c r="AM130" s="107" t="n">
        <f aca="false">'Price History'!S3+('Price History'!S158-'Price History'!S3)*0.824675324675325</f>
        <v>128.876558441558</v>
      </c>
      <c r="AN130" s="107" t="n">
        <f aca="false">'Price History'!T3+('Price History'!T158-'Price History'!T3)*0.824675324675325</f>
        <v>45.7373376623377</v>
      </c>
    </row>
    <row r="131" customFormat="false" ht="15" hidden="false" customHeight="true" outlineLevel="0" collapsed="false">
      <c r="A131" s="104" t="n">
        <f aca="false">IF('Price History'!A132="","",'Price History'!A132)</f>
        <v>46052</v>
      </c>
      <c r="B131" s="105" t="n">
        <f aca="false">IFERROR(IF(OR(NOT(ISNUMBER('Price History'!B132)),NOT(ISNUMBER('Price History'!B131)),'Price History'!B131=0),"",'Price History'!B132/'Price History'!B131-1),"")</f>
        <v>-0.025974025974026</v>
      </c>
      <c r="C131" s="105" t="n">
        <f aca="false">IFERROR(IF(OR(NOT(ISNUMBER('Price History'!C132)),NOT(ISNUMBER('Price History'!C131)),'Price History'!C131=0),"",'Price History'!C132/'Price History'!C131-1),"")</f>
        <v>0.0396068651899664</v>
      </c>
      <c r="D131" s="105" t="n">
        <f aca="false">IFERROR(IF(OR(NOT(ISNUMBER('Price History'!D132)),NOT(ISNUMBER('Price History'!D131)),'Price History'!D131=0),"",'Price History'!D132/'Price History'!D131-1),"")</f>
        <v>0.0244485399988481</v>
      </c>
      <c r="E131" s="105" t="n">
        <f aca="false">IFERROR(IF(OR(NOT(ISNUMBER('Price History'!E132)),NOT(ISNUMBER('Price History'!E131)),'Price History'!E131=0),"",'Price History'!E132/'Price History'!E131-1),"")</f>
        <v>0.0351507576941104</v>
      </c>
      <c r="F131" s="105" t="n">
        <f aca="false">IFERROR(IF(OR(NOT(ISNUMBER('Price History'!F132)),NOT(ISNUMBER('Price History'!F131)),'Price History'!F131=0),"",'Price History'!F132/'Price History'!F131-1),"")</f>
        <v>-0.0244872701555871</v>
      </c>
      <c r="G131" s="105" t="n">
        <f aca="false">IFERROR(IF(OR(NOT(ISNUMBER('Price History'!G132)),NOT(ISNUMBER('Price History'!G131)),'Price History'!G131=0),"",'Price History'!G132/'Price History'!G131-1),"")</f>
        <v>-0.056121099947118</v>
      </c>
      <c r="H131" s="105" t="n">
        <f aca="false">IFERROR(IF(OR(NOT(ISNUMBER('Price History'!H132)),NOT(ISNUMBER('Price History'!H131)),'Price History'!H131=0),"",'Price History'!H132/'Price History'!H131-1),"")</f>
        <v>0.0381083448017014</v>
      </c>
      <c r="I131" s="105" t="n">
        <f aca="false">IFERROR(IF(OR(NOT(ISNUMBER('Price History'!I132)),NOT(ISNUMBER('Price History'!I131)),'Price History'!I131=0),"",'Price History'!I132/'Price History'!I131-1),"")</f>
        <v>0.01843661746683</v>
      </c>
      <c r="J131" s="105" t="n">
        <f aca="false">IFERROR(IF(OR(NOT(ISNUMBER('Price History'!J132)),NOT(ISNUMBER('Price History'!J131)),'Price History'!J131=0),"",'Price History'!J132/'Price History'!J131-1),"")</f>
        <v>0.0268187180495478</v>
      </c>
      <c r="K131" s="105" t="n">
        <f aca="false">IFERROR(IF(OR(NOT(ISNUMBER('Price History'!K132)),NOT(ISNUMBER('Price History'!K131)),'Price History'!K131=0),"",'Price History'!K132/'Price History'!K131-1),"")</f>
        <v>-0.135672169811321</v>
      </c>
      <c r="L131" s="105" t="n">
        <f aca="false">IFERROR(IF(OR(NOT(ISNUMBER('Price History'!L132)),NOT(ISNUMBER('Price History'!L131)),'Price History'!L131=0),"",'Price History'!L132/'Price History'!L131-1),"")</f>
        <v>-0.0128706662286857</v>
      </c>
      <c r="M131" s="105" t="n">
        <f aca="false">IFERROR(IF(OR(NOT(ISNUMBER('Price History'!M132)),NOT(ISNUMBER('Price History'!M131)),'Price History'!M131=0),"",'Price History'!M132/'Price History'!M131-1),"")</f>
        <v>0.0202202860430709</v>
      </c>
      <c r="N131" s="105" t="n">
        <f aca="false">IFERROR(IF(OR(NOT(ISNUMBER('Price History'!N132)),NOT(ISNUMBER('Price History'!N131)),'Price History'!N131=0),"",'Price History'!N132/'Price History'!N131-1),"")</f>
        <v>0.0031809739330928</v>
      </c>
      <c r="O131" s="105" t="n">
        <f aca="false">IFERROR(IF(OR(NOT(ISNUMBER('Price History'!O132)),NOT(ISNUMBER('Price History'!O131)),'Price History'!O131=0),"",'Price History'!O132/'Price History'!O131-1),"")</f>
        <v>0.007189602728362</v>
      </c>
      <c r="P131" s="105" t="str">
        <f aca="false">IFERROR(IF(OR(NOT(ISNUMBER('Price History'!P132)),NOT(ISNUMBER('Price History'!P131)),'Price History'!P131=0),"",'Price History'!P132/'Price History'!P131-1),"")</f>
        <v/>
      </c>
      <c r="Q131" s="105" t="n">
        <f aca="false">IFERROR(IF(OR(NOT(ISNUMBER('Price History'!Q132)),NOT(ISNUMBER('Price History'!Q131)),'Price History'!Q131=0),"",'Price History'!Q132/'Price History'!Q131-1),"")</f>
        <v>-0.0112290416858946</v>
      </c>
      <c r="R131" s="105" t="n">
        <f aca="false">IFERROR(IF(OR(NOT(ISNUMBER('Price History'!R132)),NOT(ISNUMBER('Price History'!R131)),'Price History'!R131=0),"",'Price History'!R132/'Price History'!R131-1),"")</f>
        <v>0.00354609929078009</v>
      </c>
      <c r="S131" s="105" t="n">
        <f aca="false">IFERROR(IF(OR(NOT(ISNUMBER('Price History'!S132)),NOT(ISNUMBER('Price History'!S131)),'Price History'!S131=0),"",'Price History'!S132/'Price History'!S131-1),"")</f>
        <v>0.0165366350067844</v>
      </c>
      <c r="T131" s="105" t="n">
        <f aca="false">IFERROR(IF(OR(NOT(ISNUMBER('Price History'!T132)),NOT(ISNUMBER('Price History'!T131)),'Price History'!T131=0),"",'Price History'!T132/'Price History'!T131-1),"")</f>
        <v>-0.00978424485699947</v>
      </c>
      <c r="U131" s="105" t="str">
        <f aca="false">IFERROR(IF(OR(NOT(ISNUMBER('Price History'!U132)),NOT(ISNUMBER('Price History'!U131)),'Price History'!U131=0),"",'Price History'!U132/'Price History'!U131-1),"")</f>
        <v/>
      </c>
      <c r="V131" s="106" t="n">
        <f aca="false">IFERROR(IF(OR(NOT(ISNUMBER('Price History'!V132)),NOT(ISNUMBER('Price History'!V131)),'Price History'!V131=0),"",'Price History'!V132/'Price History'!V131-1),"")</f>
        <v>-0.013323875026987</v>
      </c>
      <c r="W131" s="107" t="n">
        <f aca="false">'Price History'!B3+('Price History'!B158-'Price History'!B3)*0.831168831168831</f>
        <v>293.975194805195</v>
      </c>
      <c r="X131" s="107" t="n">
        <f aca="false">'Price History'!C3+('Price History'!C158-'Price History'!C3)*0.831168831168831</f>
        <v>157.285974025974</v>
      </c>
      <c r="Y131" s="107" t="n">
        <f aca="false">'Price History'!D3+('Price History'!D158-'Price History'!D3)*0.831168831168831</f>
        <v>1465.70311688312</v>
      </c>
      <c r="Z131" s="107" t="n">
        <f aca="false">'Price History'!E3+('Price History'!E158-'Price History'!E3)*0.831168831168831</f>
        <v>337.567012987013</v>
      </c>
      <c r="AA131" s="107" t="n">
        <f aca="false">'Price History'!F3+('Price History'!F158-'Price History'!F3)*0.831168831168831</f>
        <v>164.893766233766</v>
      </c>
      <c r="AB131" s="107" t="n">
        <f aca="false">'Price History'!G3+('Price History'!G158-'Price History'!G3)*0.831168831168831</f>
        <v>160.041298701299</v>
      </c>
      <c r="AC131" s="107" t="n">
        <f aca="false">'Price History'!H3+('Price History'!H158-'Price History'!H3)*0.831168831168831</f>
        <v>694.944545454545</v>
      </c>
      <c r="AD131" s="107" t="n">
        <f aca="false">'Price History'!I3+('Price History'!I158-'Price History'!I3)*0.831168831168831</f>
        <v>173.753896103896</v>
      </c>
      <c r="AE131" s="107" t="n">
        <f aca="false">'Price History'!J3+('Price History'!J158-'Price History'!J3)*0.831168831168831</f>
        <v>141.047662337662</v>
      </c>
      <c r="AF131" s="107" t="n">
        <f aca="false">'Price History'!K3+('Price History'!K158-'Price History'!K3)*0.831168831168831</f>
        <v>104.885324675325</v>
      </c>
      <c r="AG131" s="107" t="n">
        <f aca="false">'Price History'!L3+('Price History'!L158-'Price History'!L3)*0.831168831168831</f>
        <v>351.530779220779</v>
      </c>
      <c r="AH131" s="107" t="n">
        <f aca="false">'Price History'!M3+('Price History'!M158-'Price History'!M3)*0.831168831168831</f>
        <v>206.442987012987</v>
      </c>
      <c r="AI131" s="107" t="n">
        <f aca="false">'Price History'!N3+('Price History'!N158-'Price History'!N3)*0.831168831168831</f>
        <v>455.617922077922</v>
      </c>
      <c r="AJ131" s="107" t="n">
        <f aca="false">'Price History'!O3+('Price History'!O158-'Price History'!O3)*0.831168831168831</f>
        <v>118.116493506494</v>
      </c>
      <c r="AK131" s="107" t="n">
        <f aca="false">'Price History'!Q3+('Price History'!Q151-'Price History'!Q3)*0.831168831168831</f>
        <v>65.3080519480519</v>
      </c>
      <c r="AL131" s="107" t="n">
        <f aca="false">'Price History'!R3+('Price History'!R158-'Price History'!R3)*0.831168831168831</f>
        <v>56.4890909090909</v>
      </c>
      <c r="AM131" s="107" t="n">
        <f aca="false">'Price History'!S3+('Price History'!S158-'Price History'!S3)*0.831168831168831</f>
        <v>129.43038961039</v>
      </c>
      <c r="AN131" s="107" t="n">
        <f aca="false">'Price History'!T3+('Price History'!T158-'Price History'!T3)*0.831168831168831</f>
        <v>45.8855844155844</v>
      </c>
    </row>
    <row r="132" customFormat="false" ht="15" hidden="false" customHeight="true" outlineLevel="0" collapsed="false">
      <c r="A132" s="104" t="n">
        <f aca="false">IF('Price History'!A133="","",'Price History'!A133)</f>
        <v>46059</v>
      </c>
      <c r="B132" s="105" t="n">
        <f aca="false">IFERROR(IF(OR(NOT(ISNUMBER('Price History'!B133)),NOT(ISNUMBER('Price History'!B132)),'Price History'!B132=0),"",'Price History'!B133/'Price History'!B132-1),"")</f>
        <v>-0.0848081841432226</v>
      </c>
      <c r="C132" s="105" t="n">
        <f aca="false">IFERROR(IF(OR(NOT(ISNUMBER('Price History'!C133)),NOT(ISNUMBER('Price History'!C132)),'Price History'!C132=0),"",'Price History'!C133/'Price History'!C132-1),"")</f>
        <v>-0.0299844786228305</v>
      </c>
      <c r="D132" s="105" t="n">
        <f aca="false">IFERROR(IF(OR(NOT(ISNUMBER('Price History'!D133)),NOT(ISNUMBER('Price History'!D132)),'Price History'!D132=0),"",'Price History'!D133/'Price History'!D132-1),"")</f>
        <v>-0.00702037947997192</v>
      </c>
      <c r="E132" s="105" t="n">
        <f aca="false">IFERROR(IF(OR(NOT(ISNUMBER('Price History'!E133)),NOT(ISNUMBER('Price History'!E132)),'Price History'!E132=0),"",'Price History'!E133/'Price History'!E132-1),"")</f>
        <v>0.00488982795049808</v>
      </c>
      <c r="F132" s="105" t="n">
        <f aca="false">IFERROR(IF(OR(NOT(ISNUMBER('Price History'!F133)),NOT(ISNUMBER('Price History'!F132)),'Price History'!F132=0),"",'Price History'!F133/'Price History'!F132-1),"")</f>
        <v>-0.103942002718623</v>
      </c>
      <c r="G132" s="105" t="n">
        <f aca="false">IFERROR(IF(OR(NOT(ISNUMBER('Price History'!G133)),NOT(ISNUMBER('Price History'!G132)),'Price History'!G132=0),"",'Price History'!G133/'Price History'!G132-1),"")</f>
        <v>0.0105049373205406</v>
      </c>
      <c r="H132" s="105" t="n">
        <f aca="false">IFERROR(IF(OR(NOT(ISNUMBER('Price History'!H133)),NOT(ISNUMBER('Price History'!H132)),'Price History'!H132=0),"",'Price History'!H133/'Price History'!H132-1),"")</f>
        <v>-0.0486646741226379</v>
      </c>
      <c r="I132" s="105" t="n">
        <f aca="false">IFERROR(IF(OR(NOT(ISNUMBER('Price History'!I133)),NOT(ISNUMBER('Price History'!I132)),'Price History'!I132=0),"",'Price History'!I133/'Price History'!I132-1),"")</f>
        <v>-0.0299272746298331</v>
      </c>
      <c r="J132" s="105" t="n">
        <f aca="false">IFERROR(IF(OR(NOT(ISNUMBER('Price History'!J133)),NOT(ISNUMBER('Price History'!J132)),'Price History'!J132=0),"",'Price History'!J133/'Price History'!J132-1),"")</f>
        <v>0.0489430147058823</v>
      </c>
      <c r="K132" s="105" t="n">
        <f aca="false">IFERROR(IF(OR(NOT(ISNUMBER('Price History'!K133)),NOT(ISNUMBER('Price History'!K132)),'Price History'!K132=0),"",'Price History'!K133/'Price History'!K132-1),"")</f>
        <v>-0.0729244832526093</v>
      </c>
      <c r="L132" s="105" t="n">
        <f aca="false">IFERROR(IF(OR(NOT(ISNUMBER('Price History'!L133)),NOT(ISNUMBER('Price History'!L132)),'Price History'!L132=0),"",'Price History'!L133/'Price History'!L132-1),"")</f>
        <v>0.055330348499516</v>
      </c>
      <c r="M132" s="105" t="n">
        <f aca="false">IFERROR(IF(OR(NOT(ISNUMBER('Price History'!M133)),NOT(ISNUMBER('Price History'!M132)),'Price History'!M132=0),"",'Price History'!M133/'Price History'!M132-1),"")</f>
        <v>0.0504887743044367</v>
      </c>
      <c r="N132" s="105" t="n">
        <f aca="false">IFERROR(IF(OR(NOT(ISNUMBER('Price History'!N133)),NOT(ISNUMBER('Price History'!N132)),'Price History'!N132=0),"",'Price History'!N133/'Price History'!N132-1),"")</f>
        <v>0.0170674611619495</v>
      </c>
      <c r="O132" s="105" t="n">
        <f aca="false">IFERROR(IF(OR(NOT(ISNUMBER('Price History'!O133)),NOT(ISNUMBER('Price History'!O132)),'Price History'!O132=0),"",'Price History'!O133/'Price History'!O132-1),"")</f>
        <v>0.0541777249016198</v>
      </c>
      <c r="P132" s="105" t="str">
        <f aca="false">IFERROR(IF(OR(NOT(ISNUMBER('Price History'!P133)),NOT(ISNUMBER('Price History'!P132)),'Price History'!P132=0),"",'Price History'!P133/'Price History'!P132-1),"")</f>
        <v/>
      </c>
      <c r="Q132" s="105" t="n">
        <f aca="false">IFERROR(IF(OR(NOT(ISNUMBER('Price History'!Q133)),NOT(ISNUMBER('Price History'!Q132)),'Price History'!Q132=0),"",'Price History'!Q133/'Price History'!Q132-1),"")</f>
        <v>-0.0138456751711263</v>
      </c>
      <c r="R132" s="105" t="n">
        <f aca="false">IFERROR(IF(OR(NOT(ISNUMBER('Price History'!R133)),NOT(ISNUMBER('Price History'!R132)),'Price History'!R132=0),"",'Price History'!R133/'Price History'!R132-1),"")</f>
        <v>-0.0232205956587582</v>
      </c>
      <c r="S132" s="105" t="n">
        <f aca="false">IFERROR(IF(OR(NOT(ISNUMBER('Price History'!S133)),NOT(ISNUMBER('Price History'!S132)),'Price History'!S132=0),"",'Price History'!S133/'Price History'!S132-1),"")</f>
        <v>-0.000250271127054336</v>
      </c>
      <c r="T132" s="105" t="n">
        <f aca="false">IFERROR(IF(OR(NOT(ISNUMBER('Price History'!T133)),NOT(ISNUMBER('Price History'!T132)),'Price History'!T132=0),"",'Price History'!T133/'Price History'!T132-1),"")</f>
        <v>0.0243222700785406</v>
      </c>
      <c r="U132" s="105" t="str">
        <f aca="false">IFERROR(IF(OR(NOT(ISNUMBER('Price History'!U133)),NOT(ISNUMBER('Price History'!U132)),'Price History'!U132=0),"",'Price History'!U133/'Price History'!U132-1),"")</f>
        <v/>
      </c>
      <c r="V132" s="106" t="n">
        <f aca="false">IFERROR(IF(OR(NOT(ISNUMBER('Price History'!V133)),NOT(ISNUMBER('Price History'!V132)),'Price History'!V132=0),"",'Price History'!V133/'Price History'!V132-1),"")</f>
        <v>0.0302897689975306</v>
      </c>
      <c r="W132" s="107" t="n">
        <f aca="false">'Price History'!B3+('Price History'!B158-'Price History'!B3)*0.837662337662338</f>
        <v>292.29961038961</v>
      </c>
      <c r="X132" s="107" t="n">
        <f aca="false">'Price History'!C3+('Price History'!C158-'Price History'!C3)*0.837662337662338</f>
        <v>158.173051948052</v>
      </c>
      <c r="Y132" s="107" t="n">
        <f aca="false">'Price History'!D3+('Price History'!D158-'Price History'!D3)*0.837662337662338</f>
        <v>1471.98376623377</v>
      </c>
      <c r="Z132" s="107" t="n">
        <f aca="false">'Price History'!E3+('Price History'!E158-'Price History'!E3)*0.837662337662338</f>
        <v>339.555974025974</v>
      </c>
      <c r="AA132" s="107" t="n">
        <f aca="false">'Price History'!F3+('Price History'!F158-'Price History'!F3)*0.837662337662338</f>
        <v>165.892467532468</v>
      </c>
      <c r="AB132" s="107" t="n">
        <f aca="false">'Price History'!G3+('Price History'!G158-'Price History'!G3)*0.837662337662338</f>
        <v>160.917402597403</v>
      </c>
      <c r="AC132" s="107" t="n">
        <f aca="false">'Price History'!H3+('Price History'!H158-'Price History'!H3)*0.837662337662338</f>
        <v>699.870909090909</v>
      </c>
      <c r="AD132" s="107" t="n">
        <f aca="false">'Price History'!I3+('Price History'!I158-'Price History'!I3)*0.837662337662338</f>
        <v>174.792207792208</v>
      </c>
      <c r="AE132" s="107" t="n">
        <f aca="false">'Price History'!J3+('Price History'!J158-'Price History'!J3)*0.837662337662338</f>
        <v>141.184675324675</v>
      </c>
      <c r="AF132" s="107" t="n">
        <f aca="false">'Price History'!K3+('Price History'!K158-'Price History'!K3)*0.837662337662338</f>
        <v>105.584350649351</v>
      </c>
      <c r="AG132" s="107" t="n">
        <f aca="false">'Price History'!L3+('Price History'!L158-'Price History'!L3)*0.837662337662338</f>
        <v>353.558441558442</v>
      </c>
      <c r="AH132" s="107" t="n">
        <f aca="false">'Price History'!M3+('Price History'!M158-'Price History'!M3)*0.837662337662338</f>
        <v>207.794025974026</v>
      </c>
      <c r="AI132" s="107" t="n">
        <f aca="false">'Price History'!N3+('Price History'!N158-'Price History'!N3)*0.837662337662338</f>
        <v>456.444155844156</v>
      </c>
      <c r="AJ132" s="107" t="n">
        <f aca="false">'Price History'!O3+('Price History'!O158-'Price History'!O3)*0.837662337662338</f>
        <v>118.392012987013</v>
      </c>
      <c r="AK132" s="107" t="n">
        <f aca="false">'Price History'!Q3+('Price History'!Q151-'Price History'!Q3)*0.837662337662338</f>
        <v>65.4288961038961</v>
      </c>
      <c r="AL132" s="107" t="n">
        <f aca="false">'Price History'!R3+('Price History'!R158-'Price History'!R3)*0.837662337662338</f>
        <v>56.5568181818182</v>
      </c>
      <c r="AM132" s="107" t="n">
        <f aca="false">'Price History'!S3+('Price History'!S158-'Price History'!S3)*0.837662337662338</f>
        <v>129.984220779221</v>
      </c>
      <c r="AN132" s="107" t="n">
        <f aca="false">'Price History'!T3+('Price History'!T158-'Price History'!T3)*0.837662337662338</f>
        <v>46.0338311688312</v>
      </c>
    </row>
    <row r="133" customFormat="false" ht="15" hidden="false" customHeight="true" outlineLevel="0" collapsed="false">
      <c r="A133" s="104" t="n">
        <f aca="false">IF('Price History'!A134="","",'Price History'!A134)</f>
        <v>46066</v>
      </c>
      <c r="B133" s="105" t="n">
        <f aca="false">IFERROR(IF(OR(NOT(ISNUMBER('Price History'!B134)),NOT(ISNUMBER('Price History'!B133)),'Price History'!B133=0),"",'Price History'!B134/'Price History'!B133-1),"")</f>
        <v>-0.016431924882629</v>
      </c>
      <c r="C133" s="105" t="n">
        <f aca="false">IFERROR(IF(OR(NOT(ISNUMBER('Price History'!C134)),NOT(ISNUMBER('Price History'!C133)),'Price History'!C133=0),"",'Price History'!C134/'Price History'!C133-1),"")</f>
        <v>0.0298203505709507</v>
      </c>
      <c r="D133" s="105" t="n">
        <f aca="false">IFERROR(IF(OR(NOT(ISNUMBER('Price History'!D134)),NOT(ISNUMBER('Price History'!D133)),'Price History'!D133=0),"",'Price History'!D134/'Price History'!D133-1),"")</f>
        <v>-0.00452933807970224</v>
      </c>
      <c r="E133" s="105" t="n">
        <f aca="false">IFERROR(IF(OR(NOT(ISNUMBER('Price History'!E134)),NOT(ISNUMBER('Price History'!E133)),'Price History'!E133=0),"",'Price History'!E134/'Price History'!E133-1),"")</f>
        <v>-0.0232788657935841</v>
      </c>
      <c r="F133" s="105" t="n">
        <f aca="false">IFERROR(IF(OR(NOT(ISNUMBER('Price History'!F134)),NOT(ISNUMBER('Price History'!F133)),'Price History'!F133=0),"",'Price History'!F134/'Price History'!F133-1),"")</f>
        <v>0.0862661812297736</v>
      </c>
      <c r="G133" s="105" t="n">
        <f aca="false">IFERROR(IF(OR(NOT(ISNUMBER('Price History'!G134)),NOT(ISNUMBER('Price History'!G133)),'Price History'!G133=0),"",'Price History'!G134/'Price History'!G133-1),"")</f>
        <v>0.0146926328920924</v>
      </c>
      <c r="H133" s="105" t="n">
        <f aca="false">IFERROR(IF(OR(NOT(ISNUMBER('Price History'!H134)),NOT(ISNUMBER('Price History'!H133)),'Price History'!H133=0),"",'Price History'!H134/'Price History'!H133-1),"")</f>
        <v>0.0429957688312348</v>
      </c>
      <c r="I133" s="105" t="n">
        <f aca="false">IFERROR(IF(OR(NOT(ISNUMBER('Price History'!I134)),NOT(ISNUMBER('Price History'!I133)),'Price History'!I133=0),"",'Price History'!I134/'Price History'!I133-1),"")</f>
        <v>-0.0140229761070061</v>
      </c>
      <c r="J133" s="105" t="n">
        <f aca="false">IFERROR(IF(OR(NOT(ISNUMBER('Price History'!J134)),NOT(ISNUMBER('Price History'!J133)),'Price History'!J133=0),"",'Price History'!J134/'Price History'!J133-1),"")</f>
        <v>0.0147499087258125</v>
      </c>
      <c r="K133" s="105" t="n">
        <f aca="false">IFERROR(IF(OR(NOT(ISNUMBER('Price History'!K134)),NOT(ISNUMBER('Price History'!K133)),'Price History'!K133=0),"",'Price History'!K134/'Price History'!K133-1),"")</f>
        <v>-0.0330389992641649</v>
      </c>
      <c r="L133" s="105" t="n">
        <f aca="false">IFERROR(IF(OR(NOT(ISNUMBER('Price History'!L134)),NOT(ISNUMBER('Price History'!L133)),'Price History'!L133=0),"",'Price History'!L134/'Price History'!L133-1),"")</f>
        <v>0.0501934929052601</v>
      </c>
      <c r="M133" s="105" t="n">
        <f aca="false">IFERROR(IF(OR(NOT(ISNUMBER('Price History'!M134)),NOT(ISNUMBER('Price History'!M133)),'Price History'!M133=0),"",'Price History'!M134/'Price History'!M133-1),"")</f>
        <v>0.199151242458329</v>
      </c>
      <c r="N133" s="105" t="n">
        <f aca="false">IFERROR(IF(OR(NOT(ISNUMBER('Price History'!N134)),NOT(ISNUMBER('Price History'!N133)),'Price History'!N133=0),"",'Price History'!N134/'Price History'!N133-1),"")</f>
        <v>0.0283520254435889</v>
      </c>
      <c r="O133" s="105" t="n">
        <f aca="false">IFERROR(IF(OR(NOT(ISNUMBER('Price History'!O134)),NOT(ISNUMBER('Price History'!O133)),'Price History'!O133=0),"",'Price History'!O134/'Price History'!O133-1),"")</f>
        <v>-0.00251757965101129</v>
      </c>
      <c r="P133" s="105" t="str">
        <f aca="false">IFERROR(IF(OR(NOT(ISNUMBER('Price History'!P134)),NOT(ISNUMBER('Price History'!P133)),'Price History'!P133=0),"",'Price History'!P134/'Price History'!P133-1),"")</f>
        <v/>
      </c>
      <c r="Q133" s="105" t="n">
        <f aca="false">IFERROR(IF(OR(NOT(ISNUMBER('Price History'!Q134)),NOT(ISNUMBER('Price History'!Q133)),'Price History'!Q133=0),"",'Price History'!Q134/'Price History'!Q133-1),"")</f>
        <v>0.0116737655781669</v>
      </c>
      <c r="R133" s="105" t="n">
        <f aca="false">IFERROR(IF(OR(NOT(ISNUMBER('Price History'!R134)),NOT(ISNUMBER('Price History'!R133)),'Price History'!R133=0),"",'Price History'!R134/'Price History'!R133-1),"")</f>
        <v>-0.00930232558139532</v>
      </c>
      <c r="S133" s="105" t="n">
        <f aca="false">IFERROR(IF(OR(NOT(ISNUMBER('Price History'!S134)),NOT(ISNUMBER('Price History'!S133)),'Price History'!S133=0),"",'Price History'!S134/'Price History'!S133-1),"")</f>
        <v>-0.0132676902536716</v>
      </c>
      <c r="T133" s="105" t="n">
        <f aca="false">IFERROR(IF(OR(NOT(ISNUMBER('Price History'!T134)),NOT(ISNUMBER('Price History'!T133)),'Price History'!T133=0),"",'Price History'!T134/'Price History'!T133-1),"")</f>
        <v>-0.00420479841701715</v>
      </c>
      <c r="U133" s="105" t="str">
        <f aca="false">IFERROR(IF(OR(NOT(ISNUMBER('Price History'!U134)),NOT(ISNUMBER('Price History'!U133)),'Price History'!U133=0),"",'Price History'!U134/'Price History'!U133-1),"")</f>
        <v/>
      </c>
      <c r="V133" s="106" t="n">
        <f aca="false">IFERROR(IF(OR(NOT(ISNUMBER('Price History'!V134)),NOT(ISNUMBER('Price History'!V133)),'Price History'!V133=0),"",'Price History'!V134/'Price History'!V133-1),"")</f>
        <v>-0.0508191747572816</v>
      </c>
      <c r="W133" s="107" t="n">
        <f aca="false">'Price History'!B3+('Price History'!B158-'Price History'!B3)*0.844155844155844</f>
        <v>290.624025974026</v>
      </c>
      <c r="X133" s="107" t="n">
        <f aca="false">'Price History'!C3+('Price History'!C158-'Price History'!C3)*0.844155844155844</f>
        <v>159.06012987013</v>
      </c>
      <c r="Y133" s="107" t="n">
        <f aca="false">'Price History'!D3+('Price History'!D158-'Price History'!D3)*0.844155844155844</f>
        <v>1478.26441558442</v>
      </c>
      <c r="Z133" s="107" t="n">
        <f aca="false">'Price History'!E3+('Price History'!E158-'Price History'!E3)*0.844155844155844</f>
        <v>341.544935064935</v>
      </c>
      <c r="AA133" s="107" t="n">
        <f aca="false">'Price History'!F3+('Price History'!F158-'Price History'!F3)*0.844155844155844</f>
        <v>166.891168831169</v>
      </c>
      <c r="AB133" s="107" t="n">
        <f aca="false">'Price History'!G3+('Price History'!G158-'Price History'!G3)*0.844155844155844</f>
        <v>161.793506493506</v>
      </c>
      <c r="AC133" s="107" t="n">
        <f aca="false">'Price History'!H3+('Price History'!H158-'Price History'!H3)*0.844155844155844</f>
        <v>704.797272727273</v>
      </c>
      <c r="AD133" s="107" t="n">
        <f aca="false">'Price History'!I3+('Price History'!I158-'Price History'!I3)*0.844155844155844</f>
        <v>175.830519480519</v>
      </c>
      <c r="AE133" s="107" t="n">
        <f aca="false">'Price History'!J3+('Price History'!J158-'Price History'!J3)*0.844155844155844</f>
        <v>141.321688311688</v>
      </c>
      <c r="AF133" s="107" t="n">
        <f aca="false">'Price History'!K3+('Price History'!K158-'Price History'!K3)*0.844155844155844</f>
        <v>106.283376623377</v>
      </c>
      <c r="AG133" s="107" t="n">
        <f aca="false">'Price History'!L3+('Price History'!L158-'Price History'!L3)*0.844155844155844</f>
        <v>355.586103896104</v>
      </c>
      <c r="AH133" s="107" t="n">
        <f aca="false">'Price History'!M3+('Price History'!M158-'Price History'!M3)*0.844155844155844</f>
        <v>209.145064935065</v>
      </c>
      <c r="AI133" s="107" t="n">
        <f aca="false">'Price History'!N3+('Price History'!N158-'Price History'!N3)*0.844155844155844</f>
        <v>457.27038961039</v>
      </c>
      <c r="AJ133" s="107" t="n">
        <f aca="false">'Price History'!O3+('Price History'!O158-'Price History'!O3)*0.844155844155844</f>
        <v>118.667532467532</v>
      </c>
      <c r="AK133" s="107" t="n">
        <f aca="false">'Price History'!Q3+('Price History'!Q151-'Price History'!Q3)*0.844155844155844</f>
        <v>65.5497402597403</v>
      </c>
      <c r="AL133" s="107" t="n">
        <f aca="false">'Price History'!R3+('Price History'!R158-'Price History'!R3)*0.844155844155844</f>
        <v>56.6245454545455</v>
      </c>
      <c r="AM133" s="107" t="n">
        <f aca="false">'Price History'!S3+('Price History'!S158-'Price History'!S3)*0.844155844155844</f>
        <v>130.538051948052</v>
      </c>
      <c r="AN133" s="107" t="n">
        <f aca="false">'Price History'!T3+('Price History'!T158-'Price History'!T3)*0.844155844155844</f>
        <v>46.1820779220779</v>
      </c>
    </row>
    <row r="134" customFormat="false" ht="15" hidden="false" customHeight="true" outlineLevel="0" collapsed="false">
      <c r="A134" s="104" t="n">
        <f aca="false">IF('Price History'!A135="","",'Price History'!A135)</f>
        <v>46073</v>
      </c>
      <c r="B134" s="105" t="n">
        <f aca="false">IFERROR(IF(OR(NOT(ISNUMBER('Price History'!B135)),NOT(ISNUMBER('Price History'!B134)),'Price History'!B134=0),"",'Price History'!B135/'Price History'!B134-1),"")</f>
        <v>-0.0203053377277721</v>
      </c>
      <c r="C134" s="105" t="n">
        <f aca="false">IFERROR(IF(OR(NOT(ISNUMBER('Price History'!C135)),NOT(ISNUMBER('Price History'!C134)),'Price History'!C134=0),"",'Price History'!C135/'Price History'!C134-1),"")</f>
        <v>-0.0621512818701887</v>
      </c>
      <c r="D134" s="105" t="n">
        <f aca="false">IFERROR(IF(OR(NOT(ISNUMBER('Price History'!D135)),NOT(ISNUMBER('Price History'!D134)),'Price History'!D134=0),"",'Price History'!D135/'Price History'!D134-1),"")</f>
        <v>0.0447743155529963</v>
      </c>
      <c r="E134" s="105" t="n">
        <f aca="false">IFERROR(IF(OR(NOT(ISNUMBER('Price History'!E135)),NOT(ISNUMBER('Price History'!E134)),'Price History'!E134=0),"",'Price History'!E135/'Price History'!E134-1),"")</f>
        <v>0.0230033520927513</v>
      </c>
      <c r="F134" s="105" t="n">
        <f aca="false">IFERROR(IF(OR(NOT(ISNUMBER('Price History'!F135)),NOT(ISNUMBER('Price History'!F134)),'Price History'!F134=0),"",'Price History'!F135/'Price History'!F134-1),"")</f>
        <v>-0.0955218322316357</v>
      </c>
      <c r="G134" s="105" t="n">
        <f aca="false">IFERROR(IF(OR(NOT(ISNUMBER('Price History'!G135)),NOT(ISNUMBER('Price History'!G134)),'Price History'!G134=0),"",'Price History'!G135/'Price History'!G134-1),"")</f>
        <v>0.0217881292261457</v>
      </c>
      <c r="H134" s="105" t="n">
        <f aca="false">IFERROR(IF(OR(NOT(ISNUMBER('Price History'!H135)),NOT(ISNUMBER('Price History'!H134)),'Price History'!H134=0),"",'Price History'!H135/'Price History'!H134-1),"")</f>
        <v>0.0401059126463585</v>
      </c>
      <c r="I134" s="105" t="n">
        <f aca="false">IFERROR(IF(OR(NOT(ISNUMBER('Price History'!I135)),NOT(ISNUMBER('Price History'!I134)),'Price History'!I134=0),"",'Price History'!I135/'Price History'!I134-1),"")</f>
        <v>0.0383458235326295</v>
      </c>
      <c r="J134" s="105" t="n">
        <f aca="false">IFERROR(IF(OR(NOT(ISNUMBER('Price History'!J135)),NOT(ISNUMBER('Price History'!J134)),'Price History'!J134=0),"",'Price History'!J135/'Price History'!J134-1),"")</f>
        <v>0.0182773260415916</v>
      </c>
      <c r="K134" s="105" t="n">
        <f aca="false">IFERROR(IF(OR(NOT(ISNUMBER('Price History'!K135)),NOT(ISNUMBER('Price History'!K134)),'Price History'!K134=0),"",'Price History'!K135/'Price History'!K134-1),"")</f>
        <v>0.0291454227227761</v>
      </c>
      <c r="L134" s="105" t="n">
        <f aca="false">IFERROR(IF(OR(NOT(ISNUMBER('Price History'!L135)),NOT(ISNUMBER('Price History'!L134)),'Price History'!L134=0),"",'Price History'!L135/'Price History'!L134-1),"")</f>
        <v>0.0114095425264766</v>
      </c>
      <c r="M134" s="105" t="n">
        <f aca="false">IFERROR(IF(OR(NOT(ISNUMBER('Price History'!M135)),NOT(ISNUMBER('Price History'!M134)),'Price History'!M134=0),"",'Price History'!M135/'Price History'!M134-1),"")</f>
        <v>0.0393126678889695</v>
      </c>
      <c r="N134" s="105" t="n">
        <f aca="false">IFERROR(IF(OR(NOT(ISNUMBER('Price History'!N135)),NOT(ISNUMBER('Price History'!N134)),'Price History'!N134=0),"",'Price History'!N135/'Price History'!N134-1),"")</f>
        <v>-0.0296457566077279</v>
      </c>
      <c r="O134" s="105" t="n">
        <f aca="false">IFERROR(IF(OR(NOT(ISNUMBER('Price History'!O135)),NOT(ISNUMBER('Price History'!O134)),'Price History'!O134=0),"",'Price History'!O135/'Price History'!O134-1),"")</f>
        <v>0.00557006092254131</v>
      </c>
      <c r="P134" s="105" t="str">
        <f aca="false">IFERROR(IF(OR(NOT(ISNUMBER('Price History'!P135)),NOT(ISNUMBER('Price History'!P134)),'Price History'!P134=0),"",'Price History'!P135/'Price History'!P134-1),"")</f>
        <v/>
      </c>
      <c r="Q134" s="105" t="n">
        <f aca="false">IFERROR(IF(OR(NOT(ISNUMBER('Price History'!Q135)),NOT(ISNUMBER('Price History'!Q134)),'Price History'!Q134=0),"",'Price History'!Q135/'Price History'!Q134-1),"")</f>
        <v>0.0204272571339468</v>
      </c>
      <c r="R134" s="105" t="n">
        <f aca="false">IFERROR(IF(OR(NOT(ISNUMBER('Price History'!R135)),NOT(ISNUMBER('Price History'!R134)),'Price History'!R134=0),"",'Price History'!R135/'Price History'!R134-1),"")</f>
        <v>0.0111284993914103</v>
      </c>
      <c r="S134" s="105" t="n">
        <f aca="false">IFERROR(IF(OR(NOT(ISNUMBER('Price History'!S135)),NOT(ISNUMBER('Price History'!S134)),'Price History'!S134=0),"",'Price History'!S135/'Price History'!S134-1),"")</f>
        <v>0.01446088794926</v>
      </c>
      <c r="T134" s="105" t="n">
        <f aca="false">IFERROR(IF(OR(NOT(ISNUMBER('Price History'!T135)),NOT(ISNUMBER('Price History'!T134)),'Price History'!T134=0),"",'Price History'!T135/'Price History'!T134-1),"")</f>
        <v>0.00198708395429725</v>
      </c>
      <c r="U134" s="105" t="str">
        <f aca="false">IFERROR(IF(OR(NOT(ISNUMBER('Price History'!U135)),NOT(ISNUMBER('Price History'!U134)),'Price History'!U134=0),"",'Price History'!U135/'Price History'!U134-1),"")</f>
        <v/>
      </c>
      <c r="V134" s="106" t="n">
        <f aca="false">IFERROR(IF(OR(NOT(ISNUMBER('Price History'!V135)),NOT(ISNUMBER('Price History'!V134)),'Price History'!V134=0),"",'Price History'!V135/'Price History'!V134-1),"")</f>
        <v>0.0218635128655904</v>
      </c>
      <c r="W134" s="107" t="n">
        <f aca="false">'Price History'!B3+('Price History'!B158-'Price History'!B3)*0.850649350649351</f>
        <v>288.948441558441</v>
      </c>
      <c r="X134" s="107" t="n">
        <f aca="false">'Price History'!C3+('Price History'!C158-'Price History'!C3)*0.850649350649351</f>
        <v>159.947207792208</v>
      </c>
      <c r="Y134" s="107" t="n">
        <f aca="false">'Price History'!D3+('Price History'!D158-'Price History'!D3)*0.850649350649351</f>
        <v>1484.54506493507</v>
      </c>
      <c r="Z134" s="107" t="n">
        <f aca="false">'Price History'!E3+('Price History'!E158-'Price History'!E3)*0.850649350649351</f>
        <v>343.533896103896</v>
      </c>
      <c r="AA134" s="107" t="n">
        <f aca="false">'Price History'!F3+('Price History'!F158-'Price History'!F3)*0.850649350649351</f>
        <v>167.88987012987</v>
      </c>
      <c r="AB134" s="107" t="n">
        <f aca="false">'Price History'!G3+('Price History'!G158-'Price History'!G3)*0.850649350649351</f>
        <v>162.66961038961</v>
      </c>
      <c r="AC134" s="107" t="n">
        <f aca="false">'Price History'!H3+('Price History'!H158-'Price History'!H3)*0.850649350649351</f>
        <v>709.723636363637</v>
      </c>
      <c r="AD134" s="107" t="n">
        <f aca="false">'Price History'!I3+('Price History'!I158-'Price History'!I3)*0.850649350649351</f>
        <v>176.868831168831</v>
      </c>
      <c r="AE134" s="107" t="n">
        <f aca="false">'Price History'!J3+('Price History'!J158-'Price History'!J3)*0.850649350649351</f>
        <v>141.458701298701</v>
      </c>
      <c r="AF134" s="107" t="n">
        <f aca="false">'Price History'!K3+('Price History'!K158-'Price History'!K3)*0.850649350649351</f>
        <v>106.982402597403</v>
      </c>
      <c r="AG134" s="107" t="n">
        <f aca="false">'Price History'!L3+('Price History'!L158-'Price History'!L3)*0.850649350649351</f>
        <v>357.613766233766</v>
      </c>
      <c r="AH134" s="107" t="n">
        <f aca="false">'Price History'!M3+('Price History'!M158-'Price History'!M3)*0.850649350649351</f>
        <v>210.496103896104</v>
      </c>
      <c r="AI134" s="107" t="n">
        <f aca="false">'Price History'!N3+('Price History'!N158-'Price History'!N3)*0.850649350649351</f>
        <v>458.096623376623</v>
      </c>
      <c r="AJ134" s="107" t="n">
        <f aca="false">'Price History'!O3+('Price History'!O158-'Price History'!O3)*0.850649350649351</f>
        <v>118.943051948052</v>
      </c>
      <c r="AK134" s="107" t="n">
        <f aca="false">'Price History'!Q3+('Price History'!Q151-'Price History'!Q3)*0.850649350649351</f>
        <v>65.6705844155844</v>
      </c>
      <c r="AL134" s="107" t="n">
        <f aca="false">'Price History'!R3+('Price History'!R158-'Price History'!R3)*0.850649350649351</f>
        <v>56.6922727272727</v>
      </c>
      <c r="AM134" s="107" t="n">
        <f aca="false">'Price History'!S3+('Price History'!S158-'Price History'!S3)*0.850649350649351</f>
        <v>131.091883116883</v>
      </c>
      <c r="AN134" s="107" t="n">
        <f aca="false">'Price History'!T3+('Price History'!T158-'Price History'!T3)*0.850649350649351</f>
        <v>46.3303246753247</v>
      </c>
    </row>
    <row r="135" customFormat="false" ht="15" hidden="false" customHeight="true" outlineLevel="0" collapsed="false">
      <c r="A135" s="104" t="n">
        <f aca="false">IF('Price History'!A136="","",'Price History'!A136)</f>
        <v>46080</v>
      </c>
      <c r="B135" s="105" t="n">
        <f aca="false">IFERROR(IF(OR(NOT(ISNUMBER('Price History'!B136)),NOT(ISNUMBER('Price History'!B135)),'Price History'!B135=0),"",'Price History'!B136/'Price History'!B135-1),"")</f>
        <v>0.0146939406828817</v>
      </c>
      <c r="C135" s="105" t="n">
        <f aca="false">IFERROR(IF(OR(NOT(ISNUMBER('Price History'!C136)),NOT(ISNUMBER('Price History'!C135)),'Price History'!C135=0),"",'Price History'!C136/'Price History'!C135-1),"")</f>
        <v>0.00534678816175926</v>
      </c>
      <c r="D135" s="105" t="n">
        <f aca="false">IFERROR(IF(OR(NOT(ISNUMBER('Price History'!D136)),NOT(ISNUMBER('Price History'!D135)),'Price History'!D135=0),"",'Price History'!D136/'Price History'!D135-1),"")</f>
        <v>-0.012949189910111</v>
      </c>
      <c r="E135" s="105" t="n">
        <f aca="false">IFERROR(IF(OR(NOT(ISNUMBER('Price History'!E136)),NOT(ISNUMBER('Price History'!E135)),'Price History'!E135=0),"",'Price History'!E136/'Price History'!E135-1),"")</f>
        <v>-0.0393807304975198</v>
      </c>
      <c r="F135" s="105" t="n">
        <f aca="false">IFERROR(IF(OR(NOT(ISNUMBER('Price History'!F136)),NOT(ISNUMBER('Price History'!F135)),'Price History'!F135=0),"",'Price History'!F136/'Price History'!F135-1),"")</f>
        <v>-0.042717447246526</v>
      </c>
      <c r="G135" s="105" t="n">
        <f aca="false">IFERROR(IF(OR(NOT(ISNUMBER('Price History'!G136)),NOT(ISNUMBER('Price History'!G135)),'Price History'!G135=0),"",'Price History'!G136/'Price History'!G135-1),"")</f>
        <v>0.0191176470588237</v>
      </c>
      <c r="H135" s="105" t="n">
        <f aca="false">IFERROR(IF(OR(NOT(ISNUMBER('Price History'!H136)),NOT(ISNUMBER('Price History'!H135)),'Price History'!H135=0),"",'Price History'!H136/'Price History'!H135-1),"")</f>
        <v>-0.0369012308195343</v>
      </c>
      <c r="I135" s="105" t="n">
        <f aca="false">IFERROR(IF(OR(NOT(ISNUMBER('Price History'!I136)),NOT(ISNUMBER('Price History'!I135)),'Price History'!I135=0),"",'Price History'!I136/'Price History'!I135-1),"")</f>
        <v>-0.0665367189969445</v>
      </c>
      <c r="J135" s="105" t="n">
        <f aca="false">IFERROR(IF(OR(NOT(ISNUMBER('Price History'!J136)),NOT(ISNUMBER('Price History'!J135)),'Price History'!J135=0),"",'Price History'!J136/'Price History'!J135-1),"")</f>
        <v>0.00749063670411987</v>
      </c>
      <c r="K135" s="105" t="n">
        <f aca="false">IFERROR(IF(OR(NOT(ISNUMBER('Price History'!K136)),NOT(ISNUMBER('Price History'!K135)),'Price History'!K135=0),"",'Price History'!K136/'Price History'!K135-1),"")</f>
        <v>0.014418811002662</v>
      </c>
      <c r="L135" s="105" t="n">
        <f aca="false">IFERROR(IF(OR(NOT(ISNUMBER('Price History'!L136)),NOT(ISNUMBER('Price History'!L135)),'Price History'!L135=0),"",'Price History'!L136/'Price History'!L135-1),"")</f>
        <v>0.0109030064230582</v>
      </c>
      <c r="M135" s="105" t="n">
        <f aca="false">IFERROR(IF(OR(NOT(ISNUMBER('Price History'!M136)),NOT(ISNUMBER('Price History'!M135)),'Price History'!M135=0),"",'Price History'!M136/'Price History'!M135-1),"")</f>
        <v>0.0457025641025641</v>
      </c>
      <c r="N135" s="105" t="n">
        <f aca="false">IFERROR(IF(OR(NOT(ISNUMBER('Price History'!N136)),NOT(ISNUMBER('Price History'!N135)),'Price History'!N135=0),"",'Price History'!N136/'Price History'!N135-1),"")</f>
        <v>0.0417907318096038</v>
      </c>
      <c r="O135" s="105" t="n">
        <f aca="false">IFERROR(IF(OR(NOT(ISNUMBER('Price History'!O136)),NOT(ISNUMBER('Price History'!O135)),'Price History'!O135=0),"",'Price History'!O136/'Price History'!O135-1),"")</f>
        <v>-0.0221568288038775</v>
      </c>
      <c r="P135" s="105" t="str">
        <f aca="false">IFERROR(IF(OR(NOT(ISNUMBER('Price History'!P136)),NOT(ISNUMBER('Price History'!P135)),'Price History'!P135=0),"",'Price History'!P136/'Price History'!P135-1),"")</f>
        <v/>
      </c>
      <c r="Q135" s="105" t="n">
        <f aca="false">IFERROR(IF(OR(NOT(ISNUMBER('Price History'!Q136)),NOT(ISNUMBER('Price History'!Q135)),'Price History'!Q135=0),"",'Price History'!Q136/'Price History'!Q135-1),"")</f>
        <v>0.025672371638142</v>
      </c>
      <c r="R135" s="105" t="n">
        <f aca="false">IFERROR(IF(OR(NOT(ISNUMBER('Price History'!R136)),NOT(ISNUMBER('Price History'!R135)),'Price History'!R135=0),"",'Price History'!R136/'Price History'!R135-1),"")</f>
        <v>-0.00189165950128978</v>
      </c>
      <c r="S135" s="105" t="n">
        <f aca="false">IFERROR(IF(OR(NOT(ISNUMBER('Price History'!S136)),NOT(ISNUMBER('Price History'!S135)),'Price History'!S135=0),"",'Price History'!S136/'Price History'!S135-1),"")</f>
        <v>-0.00408469489829944</v>
      </c>
      <c r="T135" s="105" t="n">
        <f aca="false">IFERROR(IF(OR(NOT(ISNUMBER('Price History'!T136)),NOT(ISNUMBER('Price History'!T135)),'Price History'!T135=0),"",'Price History'!T136/'Price History'!T135-1),"")</f>
        <v>0.00347050074367861</v>
      </c>
      <c r="U135" s="105" t="str">
        <f aca="false">IFERROR(IF(OR(NOT(ISNUMBER('Price History'!U136)),NOT(ISNUMBER('Price History'!U135)),'Price History'!U135=0),"",'Price History'!U136/'Price History'!U135-1),"")</f>
        <v/>
      </c>
      <c r="V135" s="106" t="n">
        <f aca="false">IFERROR(IF(OR(NOT(ISNUMBER('Price History'!V136)),NOT(ISNUMBER('Price History'!V135)),'Price History'!V135=0),"",'Price History'!V136/'Price History'!V135-1),"")</f>
        <v>-0.00250242422346647</v>
      </c>
      <c r="W135" s="107" t="n">
        <f aca="false">'Price History'!B3+('Price History'!B158-'Price History'!B3)*0.857142857142857</f>
        <v>287.272857142857</v>
      </c>
      <c r="X135" s="107" t="n">
        <f aca="false">'Price History'!C3+('Price History'!C158-'Price History'!C3)*0.857142857142857</f>
        <v>160.834285714286</v>
      </c>
      <c r="Y135" s="107" t="n">
        <f aca="false">'Price History'!D3+('Price History'!D158-'Price History'!D3)*0.857142857142857</f>
        <v>1490.82571428571</v>
      </c>
      <c r="Z135" s="107" t="n">
        <f aca="false">'Price History'!E3+('Price History'!E158-'Price History'!E3)*0.857142857142857</f>
        <v>345.522857142857</v>
      </c>
      <c r="AA135" s="107" t="n">
        <f aca="false">'Price History'!F3+('Price History'!F158-'Price History'!F3)*0.857142857142857</f>
        <v>168.888571428571</v>
      </c>
      <c r="AB135" s="107" t="n">
        <f aca="false">'Price History'!G3+('Price History'!G158-'Price History'!G3)*0.857142857142857</f>
        <v>163.545714285714</v>
      </c>
      <c r="AC135" s="107" t="n">
        <f aca="false">'Price History'!H3+('Price History'!H158-'Price History'!H3)*0.857142857142857</f>
        <v>714.65</v>
      </c>
      <c r="AD135" s="107" t="n">
        <f aca="false">'Price History'!I3+('Price History'!I158-'Price History'!I3)*0.857142857142857</f>
        <v>177.907142857143</v>
      </c>
      <c r="AE135" s="107" t="n">
        <f aca="false">'Price History'!J3+('Price History'!J158-'Price History'!J3)*0.857142857142857</f>
        <v>141.595714285714</v>
      </c>
      <c r="AF135" s="107" t="n">
        <f aca="false">'Price History'!K3+('Price History'!K158-'Price History'!K3)*0.857142857142857</f>
        <v>107.681428571429</v>
      </c>
      <c r="AG135" s="107" t="n">
        <f aca="false">'Price History'!L3+('Price History'!L158-'Price History'!L3)*0.857142857142857</f>
        <v>359.641428571429</v>
      </c>
      <c r="AH135" s="107" t="n">
        <f aca="false">'Price History'!M3+('Price History'!M158-'Price History'!M3)*0.857142857142857</f>
        <v>211.847142857143</v>
      </c>
      <c r="AI135" s="107" t="n">
        <f aca="false">'Price History'!N3+('Price History'!N158-'Price History'!N3)*0.857142857142857</f>
        <v>458.922857142857</v>
      </c>
      <c r="AJ135" s="107" t="n">
        <f aca="false">'Price History'!O3+('Price History'!O158-'Price History'!O3)*0.857142857142857</f>
        <v>119.218571428571</v>
      </c>
      <c r="AK135" s="107" t="n">
        <f aca="false">'Price History'!Q3+('Price History'!Q151-'Price History'!Q3)*0.857142857142857</f>
        <v>65.7914285714286</v>
      </c>
      <c r="AL135" s="107" t="n">
        <f aca="false">'Price History'!R3+('Price History'!R158-'Price History'!R3)*0.857142857142857</f>
        <v>56.76</v>
      </c>
      <c r="AM135" s="107" t="n">
        <f aca="false">'Price History'!S3+('Price History'!S158-'Price History'!S3)*0.857142857142857</f>
        <v>131.645714285714</v>
      </c>
      <c r="AN135" s="107" t="n">
        <f aca="false">'Price History'!T3+('Price History'!T158-'Price History'!T3)*0.857142857142857</f>
        <v>46.4785714285714</v>
      </c>
    </row>
    <row r="136" customFormat="false" ht="15" hidden="false" customHeight="true" outlineLevel="0" collapsed="false">
      <c r="A136" s="104" t="n">
        <f aca="false">IF('Price History'!A137="","",'Price History'!A137)</f>
        <v>46087</v>
      </c>
      <c r="B136" s="105" t="n">
        <f aca="false">IFERROR(IF(OR(NOT(ISNUMBER('Price History'!B137)),NOT(ISNUMBER('Price History'!B136)),'Price History'!B136=0),"",'Price History'!B137/'Price History'!B136-1),"")</f>
        <v>0.0808277123585228</v>
      </c>
      <c r="C136" s="105" t="n">
        <f aca="false">IFERROR(IF(OR(NOT(ISNUMBER('Price History'!C137)),NOT(ISNUMBER('Price History'!C136)),'Price History'!C136=0),"",'Price History'!C137/'Price History'!C136-1),"")</f>
        <v>-0.0045692883895132</v>
      </c>
      <c r="D136" s="105" t="n">
        <f aca="false">IFERROR(IF(OR(NOT(ISNUMBER('Price History'!D137)),NOT(ISNUMBER('Price History'!D136)),'Price History'!D136=0),"",'Price History'!D137/'Price History'!D136-1),"")</f>
        <v>-0.108757996911538</v>
      </c>
      <c r="E136" s="105" t="n">
        <f aca="false">IFERROR(IF(OR(NOT(ISNUMBER('Price History'!E137)),NOT(ISNUMBER('Price History'!E136)),'Price History'!E136=0),"",'Price History'!E137/'Price History'!E136-1),"")</f>
        <v>0.0342043498670004</v>
      </c>
      <c r="F136" s="105" t="n">
        <f aca="false">IFERROR(IF(OR(NOT(ISNUMBER('Price History'!F137)),NOT(ISNUMBER('Price History'!F136)),'Price History'!F136=0),"",'Price History'!F137/'Price History'!F136-1),"")</f>
        <v>0.153225806451613</v>
      </c>
      <c r="G136" s="105" t="n">
        <f aca="false">IFERROR(IF(OR(NOT(ISNUMBER('Price History'!G137)),NOT(ISNUMBER('Price History'!G136)),'Price History'!G136=0),"",'Price History'!G137/'Price History'!G136-1),"")</f>
        <v>-0.118063754427391</v>
      </c>
      <c r="H136" s="105" t="n">
        <f aca="false">IFERROR(IF(OR(NOT(ISNUMBER('Price History'!H137)),NOT(ISNUMBER('Price History'!H136)),'Price History'!H136=0),"",'Price History'!H137/'Price History'!H136-1),"")</f>
        <v>-0.102020030555084</v>
      </c>
      <c r="I136" s="105" t="n">
        <f aca="false">IFERROR(IF(OR(NOT(ISNUMBER('Price History'!I137)),NOT(ISNUMBER('Price History'!I136)),'Price History'!I136=0),"",'Price History'!I137/'Price History'!I136-1),"")</f>
        <v>0.00355550538969474</v>
      </c>
      <c r="J136" s="105" t="n">
        <f aca="false">IFERROR(IF(OR(NOT(ISNUMBER('Price History'!J137)),NOT(ISNUMBER('Price History'!J136)),'Price History'!J136=0),"",'Price History'!J137/'Price History'!J136-1),"")</f>
        <v>-0.0563232096513994</v>
      </c>
      <c r="K136" s="105" t="n">
        <f aca="false">IFERROR(IF(OR(NOT(ISNUMBER('Price History'!K137)),NOT(ISNUMBER('Price History'!K136)),'Price History'!K136=0),"",'Price History'!K137/'Price History'!K136-1),"")</f>
        <v>0.145564545520811</v>
      </c>
      <c r="L136" s="105" t="n">
        <f aca="false">IFERROR(IF(OR(NOT(ISNUMBER('Price History'!L137)),NOT(ISNUMBER('Price History'!L136)),'Price History'!L136=0),"",'Price History'!L137/'Price History'!L136-1),"")</f>
        <v>-0.0952800469859576</v>
      </c>
      <c r="M136" s="105" t="n">
        <f aca="false">IFERROR(IF(OR(NOT(ISNUMBER('Price History'!M137)),NOT(ISNUMBER('Price History'!M136)),'Price History'!M136=0),"",'Price History'!M137/'Price History'!M136-1),"")</f>
        <v>-0.0514339519008199</v>
      </c>
      <c r="N136" s="105" t="n">
        <f aca="false">IFERROR(IF(OR(NOT(ISNUMBER('Price History'!N137)),NOT(ISNUMBER('Price History'!N136)),'Price History'!N136=0),"",'Price History'!N137/'Price History'!N136-1),"")</f>
        <v>-0.0807922226918664</v>
      </c>
      <c r="O136" s="105" t="n">
        <f aca="false">IFERROR(IF(OR(NOT(ISNUMBER('Price History'!O137)),NOT(ISNUMBER('Price History'!O136)),'Price History'!O136=0),"",'Price History'!O137/'Price History'!O136-1),"")</f>
        <v>-0.0383253673216498</v>
      </c>
      <c r="P136" s="105" t="str">
        <f aca="false">IFERROR(IF(OR(NOT(ISNUMBER('Price History'!P137)),NOT(ISNUMBER('Price History'!P136)),'Price History'!P136=0),"",'Price History'!P137/'Price History'!P136-1),"")</f>
        <v/>
      </c>
      <c r="Q136" s="105" t="n">
        <f aca="false">IFERROR(IF(OR(NOT(ISNUMBER('Price History'!Q137)),NOT(ISNUMBER('Price History'!Q136)),'Price History'!Q136=0),"",'Price History'!Q137/'Price History'!Q136-1),"")</f>
        <v>0.00223480333730608</v>
      </c>
      <c r="R136" s="105" t="n">
        <f aca="false">IFERROR(IF(OR(NOT(ISNUMBER('Price History'!R137)),NOT(ISNUMBER('Price History'!R136)),'Price History'!R136=0),"",'Price History'!R137/'Price History'!R136-1),"")</f>
        <v>-0.0205031013094418</v>
      </c>
      <c r="S136" s="105" t="n">
        <f aca="false">IFERROR(IF(OR(NOT(ISNUMBER('Price History'!S137)),NOT(ISNUMBER('Price History'!S136)),'Price History'!S136=0),"",'Price History'!S137/'Price History'!S136-1),"")</f>
        <v>-0.0102954716665272</v>
      </c>
      <c r="T136" s="105" t="n">
        <f aca="false">IFERROR(IF(OR(NOT(ISNUMBER('Price History'!T137)),NOT(ISNUMBER('Price History'!T136)),'Price History'!T136=0),"",'Price History'!T137/'Price History'!T136-1),"")</f>
        <v>-0.00914031620553357</v>
      </c>
      <c r="U136" s="105" t="str">
        <f aca="false">IFERROR(IF(OR(NOT(ISNUMBER('Price History'!U137)),NOT(ISNUMBER('Price History'!U136)),'Price History'!U136=0),"",'Price History'!U137/'Price History'!U136-1),"")</f>
        <v/>
      </c>
      <c r="V136" s="106" t="n">
        <f aca="false">IFERROR(IF(OR(NOT(ISNUMBER('Price History'!V137)),NOT(ISNUMBER('Price History'!V136)),'Price History'!V136=0),"",'Price History'!V137/'Price History'!V136-1),"")</f>
        <v>-0.00868638088369023</v>
      </c>
      <c r="W136" s="107" t="n">
        <f aca="false">'Price History'!B3+('Price History'!B158-'Price History'!B3)*0.863636363636364</f>
        <v>285.597272727273</v>
      </c>
      <c r="X136" s="107" t="n">
        <f aca="false">'Price History'!C3+('Price History'!C158-'Price History'!C3)*0.863636363636364</f>
        <v>161.721363636364</v>
      </c>
      <c r="Y136" s="107" t="n">
        <f aca="false">'Price History'!D3+('Price History'!D158-'Price History'!D3)*0.863636363636364</f>
        <v>1497.10636363636</v>
      </c>
      <c r="Z136" s="107" t="n">
        <f aca="false">'Price History'!E3+('Price History'!E158-'Price History'!E3)*0.863636363636364</f>
        <v>347.511818181818</v>
      </c>
      <c r="AA136" s="107" t="n">
        <f aca="false">'Price History'!F3+('Price History'!F158-'Price History'!F3)*0.863636363636364</f>
        <v>169.887272727273</v>
      </c>
      <c r="AB136" s="107" t="n">
        <f aca="false">'Price History'!G3+('Price History'!G158-'Price History'!G3)*0.863636363636364</f>
        <v>164.421818181818</v>
      </c>
      <c r="AC136" s="107" t="n">
        <f aca="false">'Price History'!H3+('Price History'!H158-'Price History'!H3)*0.863636363636364</f>
        <v>719.576363636364</v>
      </c>
      <c r="AD136" s="107" t="n">
        <f aca="false">'Price History'!I3+('Price History'!I158-'Price History'!I3)*0.863636363636364</f>
        <v>178.945454545455</v>
      </c>
      <c r="AE136" s="107" t="n">
        <f aca="false">'Price History'!J3+('Price History'!J158-'Price History'!J3)*0.863636363636364</f>
        <v>141.732727272727</v>
      </c>
      <c r="AF136" s="107" t="n">
        <f aca="false">'Price History'!K3+('Price History'!K158-'Price History'!K3)*0.863636363636364</f>
        <v>108.380454545455</v>
      </c>
      <c r="AG136" s="107" t="n">
        <f aca="false">'Price History'!L3+('Price History'!L158-'Price History'!L3)*0.863636363636364</f>
        <v>361.669090909091</v>
      </c>
      <c r="AH136" s="107" t="n">
        <f aca="false">'Price History'!M3+('Price History'!M158-'Price History'!M3)*0.863636363636364</f>
        <v>213.198181818182</v>
      </c>
      <c r="AI136" s="107" t="n">
        <f aca="false">'Price History'!N3+('Price History'!N158-'Price History'!N3)*0.863636363636364</f>
        <v>459.749090909091</v>
      </c>
      <c r="AJ136" s="107" t="n">
        <f aca="false">'Price History'!O3+('Price History'!O158-'Price History'!O3)*0.863636363636364</f>
        <v>119.494090909091</v>
      </c>
      <c r="AK136" s="107" t="n">
        <f aca="false">'Price History'!Q3+('Price History'!Q151-'Price History'!Q3)*0.863636363636364</f>
        <v>65.9122727272727</v>
      </c>
      <c r="AL136" s="107" t="n">
        <f aca="false">'Price History'!R3+('Price History'!R158-'Price History'!R3)*0.863636363636364</f>
        <v>56.8277272727273</v>
      </c>
      <c r="AM136" s="107" t="n">
        <f aca="false">'Price History'!S3+('Price History'!S158-'Price History'!S3)*0.863636363636364</f>
        <v>132.199545454546</v>
      </c>
      <c r="AN136" s="107" t="n">
        <f aca="false">'Price History'!T3+('Price History'!T158-'Price History'!T3)*0.863636363636364</f>
        <v>46.6268181818182</v>
      </c>
    </row>
    <row r="137" customFormat="false" ht="15" hidden="false" customHeight="true" outlineLevel="0" collapsed="false">
      <c r="A137" s="104" t="n">
        <f aca="false">IF('Price History'!A138="","",'Price History'!A138)</f>
        <v>46094</v>
      </c>
      <c r="B137" s="105" t="n">
        <f aca="false">IFERROR(IF(OR(NOT(ISNUMBER('Price History'!B138)),NOT(ISNUMBER('Price History'!B137)),'Price History'!B137=0),"",'Price History'!B138/'Price History'!B137-1),"")</f>
        <v>-0.120936464283196</v>
      </c>
      <c r="C137" s="105" t="n">
        <f aca="false">IFERROR(IF(OR(NOT(ISNUMBER('Price History'!C138)),NOT(ISNUMBER('Price History'!C137)),'Price History'!C137=0),"",'Price History'!C138/'Price History'!C137-1),"")</f>
        <v>0.00511701407178866</v>
      </c>
      <c r="D137" s="105" t="n">
        <f aca="false">IFERROR(IF(OR(NOT(ISNUMBER('Price History'!D138)),NOT(ISNUMBER('Price History'!D137)),'Price History'!D137=0),"",'Price History'!D138/'Price History'!D137-1),"")</f>
        <v>0.0409112004950496</v>
      </c>
      <c r="E137" s="105" t="n">
        <f aca="false">IFERROR(IF(OR(NOT(ISNUMBER('Price History'!E138)),NOT(ISNUMBER('Price History'!E137)),'Price History'!E137=0),"",'Price History'!E138/'Price History'!E137-1),"")</f>
        <v>-0.0251755022996852</v>
      </c>
      <c r="F137" s="105" t="n">
        <f aca="false">IFERROR(IF(OR(NOT(ISNUMBER('Price History'!F138)),NOT(ISNUMBER('Price History'!F137)),'Price History'!F137=0),"",'Price History'!F138/'Price History'!F137-1),"")</f>
        <v>0.0298368298368299</v>
      </c>
      <c r="G137" s="105" t="n">
        <f aca="false">IFERROR(IF(OR(NOT(ISNUMBER('Price History'!G138)),NOT(ISNUMBER('Price History'!G137)),'Price History'!G137=0),"",'Price History'!G138/'Price History'!G137-1),"")</f>
        <v>0.0550349546333482</v>
      </c>
      <c r="H137" s="105" t="n">
        <f aca="false">IFERROR(IF(OR(NOT(ISNUMBER('Price History'!H138)),NOT(ISNUMBER('Price History'!H137)),'Price History'!H137=0),"",'Price History'!H138/'Price History'!H137-1),"")</f>
        <v>0.150769646232784</v>
      </c>
      <c r="I137" s="105" t="n">
        <f aca="false">IFERROR(IF(OR(NOT(ISNUMBER('Price History'!I138)),NOT(ISNUMBER('Price History'!I137)),'Price History'!I137=0),"",'Price History'!I138/'Price History'!I137-1),"")</f>
        <v>0.013665504442695</v>
      </c>
      <c r="J137" s="105" t="n">
        <f aca="false">IFERROR(IF(OR(NOT(ISNUMBER('Price History'!J138)),NOT(ISNUMBER('Price History'!J137)),'Price History'!J137=0),"",'Price History'!J138/'Price History'!J137-1),"")</f>
        <v>-0.0207373271889401</v>
      </c>
      <c r="K137" s="105" t="n">
        <f aca="false">IFERROR(IF(OR(NOT(ISNUMBER('Price History'!K138)),NOT(ISNUMBER('Price History'!K137)),'Price History'!K137=0),"",'Price History'!K138/'Price History'!K137-1),"")</f>
        <v>-0.0395138712140495</v>
      </c>
      <c r="L137" s="105" t="n">
        <f aca="false">IFERROR(IF(OR(NOT(ISNUMBER('Price History'!L138)),NOT(ISNUMBER('Price History'!L137)),'Price History'!L137=0),"",'Price History'!L138/'Price History'!L137-1),"")</f>
        <v>-0.0017114697984596</v>
      </c>
      <c r="M137" s="105" t="n">
        <f aca="false">IFERROR(IF(OR(NOT(ISNUMBER('Price History'!M138)),NOT(ISNUMBER('Price History'!M137)),'Price History'!M137=0),"",'Price History'!M138/'Price History'!M137-1),"")</f>
        <v>0.0707254528910579</v>
      </c>
      <c r="N137" s="105" t="n">
        <f aca="false">IFERROR(IF(OR(NOT(ISNUMBER('Price History'!N138)),NOT(ISNUMBER('Price History'!N137)),'Price History'!N137=0),"",'Price History'!N138/'Price History'!N137-1),"")</f>
        <v>0.0276993146335589</v>
      </c>
      <c r="O137" s="105" t="n">
        <f aca="false">IFERROR(IF(OR(NOT(ISNUMBER('Price History'!O138)),NOT(ISNUMBER('Price History'!O137)),'Price History'!O137=0),"",'Price History'!O138/'Price History'!O137-1),"")</f>
        <v>-0.0217211228716061</v>
      </c>
      <c r="P137" s="105" t="str">
        <f aca="false">IFERROR(IF(OR(NOT(ISNUMBER('Price History'!P138)),NOT(ISNUMBER('Price History'!P137)),'Price History'!P137=0),"",'Price History'!P138/'Price History'!P137-1),"")</f>
        <v/>
      </c>
      <c r="Q137" s="105" t="n">
        <f aca="false">IFERROR(IF(OR(NOT(ISNUMBER('Price History'!Q138)),NOT(ISNUMBER('Price History'!Q137)),'Price History'!Q137=0),"",'Price History'!Q138/'Price History'!Q137-1),"")</f>
        <v>0.0040136762301175</v>
      </c>
      <c r="R137" s="105" t="n">
        <f aca="false">IFERROR(IF(OR(NOT(ISNUMBER('Price History'!R138)),NOT(ISNUMBER('Price History'!R137)),'Price History'!R137=0),"",'Price History'!R138/'Price History'!R137-1),"")</f>
        <v>-0.00510114335971856</v>
      </c>
      <c r="S137" s="105" t="n">
        <f aca="false">IFERROR(IF(OR(NOT(ISNUMBER('Price History'!S138)),NOT(ISNUMBER('Price History'!S137)),'Price History'!S137=0),"",'Price History'!S138/'Price History'!S137-1),"")</f>
        <v>-0.0174221921515561</v>
      </c>
      <c r="T137" s="105" t="n">
        <f aca="false">IFERROR(IF(OR(NOT(ISNUMBER('Price History'!T138)),NOT(ISNUMBER('Price History'!T137)),'Price History'!T137=0),"",'Price History'!T138/'Price History'!T137-1),"")</f>
        <v>-0.0226876090750435</v>
      </c>
      <c r="U137" s="105" t="str">
        <f aca="false">IFERROR(IF(OR(NOT(ISNUMBER('Price History'!U138)),NOT(ISNUMBER('Price History'!U137)),'Price History'!U137=0),"",'Price History'!U138/'Price History'!U137-1),"")</f>
        <v/>
      </c>
      <c r="V137" s="106" t="n">
        <f aca="false">IFERROR(IF(OR(NOT(ISNUMBER('Price History'!V138)),NOT(ISNUMBER('Price History'!V137)),'Price History'!V137=0),"",'Price History'!V138/'Price History'!V137-1),"")</f>
        <v>-0.0322029609009237</v>
      </c>
      <c r="W137" s="107" t="n">
        <f aca="false">'Price History'!B3+('Price History'!B158-'Price History'!B3)*0.87012987012987</f>
        <v>283.921688311688</v>
      </c>
      <c r="X137" s="107" t="n">
        <f aca="false">'Price History'!C3+('Price History'!C158-'Price History'!C3)*0.87012987012987</f>
        <v>162.608441558442</v>
      </c>
      <c r="Y137" s="107" t="n">
        <f aca="false">'Price History'!D3+('Price History'!D158-'Price History'!D3)*0.87012987012987</f>
        <v>1503.38701298701</v>
      </c>
      <c r="Z137" s="107" t="n">
        <f aca="false">'Price History'!E3+('Price History'!E158-'Price History'!E3)*0.87012987012987</f>
        <v>349.500779220779</v>
      </c>
      <c r="AA137" s="107" t="n">
        <f aca="false">'Price History'!F3+('Price History'!F158-'Price History'!F3)*0.87012987012987</f>
        <v>170.885974025974</v>
      </c>
      <c r="AB137" s="107" t="n">
        <f aca="false">'Price History'!G3+('Price History'!G158-'Price History'!G3)*0.87012987012987</f>
        <v>165.297922077922</v>
      </c>
      <c r="AC137" s="107" t="n">
        <f aca="false">'Price History'!H3+('Price History'!H158-'Price History'!H3)*0.87012987012987</f>
        <v>724.502727272727</v>
      </c>
      <c r="AD137" s="107" t="n">
        <f aca="false">'Price History'!I3+('Price History'!I158-'Price History'!I3)*0.87012987012987</f>
        <v>179.983766233766</v>
      </c>
      <c r="AE137" s="107" t="n">
        <f aca="false">'Price History'!J3+('Price History'!J158-'Price History'!J3)*0.87012987012987</f>
        <v>141.86974025974</v>
      </c>
      <c r="AF137" s="107" t="n">
        <f aca="false">'Price History'!K3+('Price History'!K158-'Price History'!K3)*0.87012987012987</f>
        <v>109.079480519481</v>
      </c>
      <c r="AG137" s="107" t="n">
        <f aca="false">'Price History'!L3+('Price History'!L158-'Price History'!L3)*0.87012987012987</f>
        <v>363.696753246753</v>
      </c>
      <c r="AH137" s="107" t="n">
        <f aca="false">'Price History'!M3+('Price History'!M158-'Price History'!M3)*0.87012987012987</f>
        <v>214.549220779221</v>
      </c>
      <c r="AI137" s="107" t="n">
        <f aca="false">'Price History'!N3+('Price History'!N158-'Price History'!N3)*0.87012987012987</f>
        <v>460.575324675325</v>
      </c>
      <c r="AJ137" s="107" t="n">
        <f aca="false">'Price History'!O3+('Price History'!O158-'Price History'!O3)*0.87012987012987</f>
        <v>119.76961038961</v>
      </c>
      <c r="AK137" s="107" t="n">
        <f aca="false">'Price History'!Q3+('Price History'!Q151-'Price History'!Q3)*0.87012987012987</f>
        <v>66.0331168831169</v>
      </c>
      <c r="AL137" s="107" t="n">
        <f aca="false">'Price History'!R3+('Price History'!R158-'Price History'!R3)*0.87012987012987</f>
        <v>56.8954545454545</v>
      </c>
      <c r="AM137" s="107" t="n">
        <f aca="false">'Price History'!S3+('Price History'!S158-'Price History'!S3)*0.87012987012987</f>
        <v>132.753376623377</v>
      </c>
      <c r="AN137" s="107" t="n">
        <f aca="false">'Price History'!T3+('Price History'!T158-'Price History'!T3)*0.87012987012987</f>
        <v>46.7750649350649</v>
      </c>
    </row>
    <row r="138" customFormat="false" ht="15" hidden="false" customHeight="true" outlineLevel="0" collapsed="false">
      <c r="A138" s="104" t="n">
        <f aca="false">IF('Price History'!A139="","",'Price History'!A139)</f>
        <v>46101</v>
      </c>
      <c r="B138" s="105" t="n">
        <f aca="false">IFERROR(IF(OR(NOT(ISNUMBER('Price History'!B139)),NOT(ISNUMBER('Price History'!B138)),'Price History'!B138=0),"",'Price History'!B139/'Price History'!B138-1),"")</f>
        <v>-0.0046927643189475</v>
      </c>
      <c r="C138" s="105" t="n">
        <f aca="false">IFERROR(IF(OR(NOT(ISNUMBER('Price History'!C139)),NOT(ISNUMBER('Price History'!C138)),'Price History'!C138=0),"",'Price History'!C139/'Price History'!C138-1),"")</f>
        <v>-0.0175937710563749</v>
      </c>
      <c r="D138" s="105" t="n">
        <f aca="false">IFERROR(IF(OR(NOT(ISNUMBER('Price History'!D139)),NOT(ISNUMBER('Price History'!D138)),'Price History'!D138=0),"",'Price History'!D139/'Price History'!D138-1),"")</f>
        <v>-0.0211341393634493</v>
      </c>
      <c r="E138" s="105" t="n">
        <f aca="false">IFERROR(IF(OR(NOT(ISNUMBER('Price History'!E139)),NOT(ISNUMBER('Price History'!E138)),'Price History'!E138=0),"",'Price History'!E139/'Price History'!E138-1),"")</f>
        <v>-0.0361621554507078</v>
      </c>
      <c r="F138" s="105" t="n">
        <f aca="false">IFERROR(IF(OR(NOT(ISNUMBER('Price History'!F139)),NOT(ISNUMBER('Price History'!F138)),'Price History'!F138=0),"",'Price History'!F139/'Price History'!F138-1),"")</f>
        <v>-0.0742417383431417</v>
      </c>
      <c r="G138" s="105" t="n">
        <f aca="false">IFERROR(IF(OR(NOT(ISNUMBER('Price History'!G139)),NOT(ISNUMBER('Price History'!G138)),'Price History'!G138=0),"",'Price History'!G139/'Price History'!G138-1),"")</f>
        <v>0.0564641195544904</v>
      </c>
      <c r="H138" s="105" t="n">
        <f aca="false">IFERROR(IF(OR(NOT(ISNUMBER('Price History'!H139)),NOT(ISNUMBER('Price History'!H138)),'Price History'!H138=0),"",'Price History'!H139/'Price History'!H138-1),"")</f>
        <v>-0.0075798465257082</v>
      </c>
      <c r="I138" s="105" t="n">
        <f aca="false">IFERROR(IF(OR(NOT(ISNUMBER('Price History'!I139)),NOT(ISNUMBER('Price History'!I138)),'Price History'!I138=0),"",'Price History'!I139/'Price History'!I138-1),"")</f>
        <v>-0.0418862690707351</v>
      </c>
      <c r="J138" s="105" t="n">
        <f aca="false">IFERROR(IF(OR(NOT(ISNUMBER('Price History'!J139)),NOT(ISNUMBER('Price History'!J138)),'Price History'!J138=0),"",'Price History'!J139/'Price History'!J138-1),"")</f>
        <v>-0.0283870967741936</v>
      </c>
      <c r="K138" s="105" t="n">
        <f aca="false">IFERROR(IF(OR(NOT(ISNUMBER('Price History'!K139)),NOT(ISNUMBER('Price History'!K138)),'Price History'!K138=0),"",'Price History'!K139/'Price History'!K138-1),"")</f>
        <v>-0.00178867174561104</v>
      </c>
      <c r="L138" s="105" t="n">
        <f aca="false">IFERROR(IF(OR(NOT(ISNUMBER('Price History'!L139)),NOT(ISNUMBER('Price History'!L138)),'Price History'!L138=0),"",'Price History'!L139/'Price History'!L138-1),"")</f>
        <v>-0.0268097307203452</v>
      </c>
      <c r="M138" s="105" t="n">
        <f aca="false">IFERROR(IF(OR(NOT(ISNUMBER('Price History'!M139)),NOT(ISNUMBER('Price History'!M138)),'Price History'!M138=0),"",'Price History'!M139/'Price History'!M138-1),"")</f>
        <v>-0.0115883807169345</v>
      </c>
      <c r="N138" s="105" t="n">
        <f aca="false">IFERROR(IF(OR(NOT(ISNUMBER('Price History'!N139)),NOT(ISNUMBER('Price History'!N138)),'Price History'!N138=0),"",'Price History'!N139/'Price History'!N138-1),"")</f>
        <v>-0.032684194826778</v>
      </c>
      <c r="O138" s="105" t="n">
        <f aca="false">IFERROR(IF(OR(NOT(ISNUMBER('Price History'!O139)),NOT(ISNUMBER('Price History'!O138)),'Price History'!O138=0),"",'Price History'!O139/'Price History'!O138-1),"")</f>
        <v>-0.0019757267852103</v>
      </c>
      <c r="P138" s="105" t="str">
        <f aca="false">IFERROR(IF(OR(NOT(ISNUMBER('Price History'!P139)),NOT(ISNUMBER('Price History'!P138)),'Price History'!P138=0),"",'Price History'!P139/'Price History'!P138-1),"")</f>
        <v/>
      </c>
      <c r="Q138" s="105" t="n">
        <f aca="false">IFERROR(IF(OR(NOT(ISNUMBER('Price History'!Q139)),NOT(ISNUMBER('Price History'!Q138)),'Price History'!Q138=0),"",'Price History'!Q139/'Price History'!Q138-1),"")</f>
        <v>0.00207284572105415</v>
      </c>
      <c r="R138" s="105" t="n">
        <f aca="false">IFERROR(IF(OR(NOT(ISNUMBER('Price History'!R139)),NOT(ISNUMBER('Price History'!R138)),'Price History'!R138=0),"",'Price History'!R139/'Price History'!R138-1),"")</f>
        <v>-0.0141442715700142</v>
      </c>
      <c r="S138" s="105" t="n">
        <f aca="false">IFERROR(IF(OR(NOT(ISNUMBER('Price History'!S139)),NOT(ISNUMBER('Price History'!S138)),'Price History'!S138=0),"",'Price History'!S139/'Price History'!S138-1),"")</f>
        <v>-0.0206576002754347</v>
      </c>
      <c r="T138" s="105" t="n">
        <f aca="false">IFERROR(IF(OR(NOT(ISNUMBER('Price History'!T139)),NOT(ISNUMBER('Price History'!T138)),'Price History'!T138=0),"",'Price History'!T139/'Price History'!T138-1),"")</f>
        <v>0.00102040816326521</v>
      </c>
      <c r="U138" s="105" t="str">
        <f aca="false">IFERROR(IF(OR(NOT(ISNUMBER('Price History'!U139)),NOT(ISNUMBER('Price History'!U138)),'Price History'!U138=0),"",'Price History'!U139/'Price History'!U138-1),"")</f>
        <v/>
      </c>
      <c r="V138" s="106" t="n">
        <f aca="false">IFERROR(IF(OR(NOT(ISNUMBER('Price History'!V139)),NOT(ISNUMBER('Price History'!V138)),'Price History'!V138=0),"",'Price History'!V139/'Price History'!V138-1),"")</f>
        <v>-0.0179773811858535</v>
      </c>
      <c r="W138" s="107" t="n">
        <f aca="false">'Price History'!B3+('Price History'!B158-'Price History'!B3)*0.876623376623377</f>
        <v>282.246103896104</v>
      </c>
      <c r="X138" s="107" t="n">
        <f aca="false">'Price History'!C3+('Price History'!C158-'Price History'!C3)*0.876623376623377</f>
        <v>163.49551948052</v>
      </c>
      <c r="Y138" s="107" t="n">
        <f aca="false">'Price History'!D3+('Price History'!D158-'Price History'!D3)*0.876623376623377</f>
        <v>1509.66766233766</v>
      </c>
      <c r="Z138" s="107" t="n">
        <f aca="false">'Price History'!E3+('Price History'!E158-'Price History'!E3)*0.876623376623377</f>
        <v>351.48974025974</v>
      </c>
      <c r="AA138" s="107" t="n">
        <f aca="false">'Price History'!F3+('Price History'!F158-'Price History'!F3)*0.876623376623377</f>
        <v>171.884675324675</v>
      </c>
      <c r="AB138" s="107" t="n">
        <f aca="false">'Price History'!G3+('Price History'!G158-'Price History'!G3)*0.876623376623377</f>
        <v>166.174025974026</v>
      </c>
      <c r="AC138" s="107" t="n">
        <f aca="false">'Price History'!H3+('Price History'!H158-'Price History'!H3)*0.876623376623377</f>
        <v>729.429090909091</v>
      </c>
      <c r="AD138" s="107" t="n">
        <f aca="false">'Price History'!I3+('Price History'!I158-'Price History'!I3)*0.876623376623377</f>
        <v>181.022077922078</v>
      </c>
      <c r="AE138" s="107" t="n">
        <f aca="false">'Price History'!J3+('Price History'!J158-'Price History'!J3)*0.876623376623377</f>
        <v>142.006753246753</v>
      </c>
      <c r="AF138" s="107" t="n">
        <f aca="false">'Price History'!K3+('Price History'!K158-'Price History'!K3)*0.876623376623377</f>
        <v>109.778506493507</v>
      </c>
      <c r="AG138" s="107" t="n">
        <f aca="false">'Price History'!L3+('Price History'!L158-'Price History'!L3)*0.876623376623377</f>
        <v>365.724415584416</v>
      </c>
      <c r="AH138" s="107" t="n">
        <f aca="false">'Price History'!M3+('Price History'!M158-'Price History'!M3)*0.876623376623377</f>
        <v>215.90025974026</v>
      </c>
      <c r="AI138" s="107" t="n">
        <f aca="false">'Price History'!N3+('Price History'!N158-'Price History'!N3)*0.876623376623377</f>
        <v>461.401558441559</v>
      </c>
      <c r="AJ138" s="107" t="n">
        <f aca="false">'Price History'!O3+('Price History'!O158-'Price History'!O3)*0.876623376623377</f>
        <v>120.04512987013</v>
      </c>
      <c r="AK138" s="107" t="n">
        <f aca="false">'Price History'!Q3+('Price History'!Q151-'Price History'!Q3)*0.876623376623377</f>
        <v>66.153961038961</v>
      </c>
      <c r="AL138" s="107" t="n">
        <f aca="false">'Price History'!R3+('Price History'!R158-'Price History'!R3)*0.876623376623377</f>
        <v>56.9631818181818</v>
      </c>
      <c r="AM138" s="107" t="n">
        <f aca="false">'Price History'!S3+('Price History'!S158-'Price History'!S3)*0.876623376623377</f>
        <v>133.307207792208</v>
      </c>
      <c r="AN138" s="107" t="n">
        <f aca="false">'Price History'!T3+('Price History'!T158-'Price History'!T3)*0.876623376623377</f>
        <v>46.9233116883117</v>
      </c>
    </row>
    <row r="139" customFormat="false" ht="15" hidden="false" customHeight="true" outlineLevel="0" collapsed="false">
      <c r="A139" s="104" t="n">
        <f aca="false">IF('Price History'!A140="","",'Price History'!A140)</f>
        <v>46108</v>
      </c>
      <c r="B139" s="105" t="n">
        <f aca="false">IFERROR(IF(OR(NOT(ISNUMBER('Price History'!B140)),NOT(ISNUMBER('Price History'!B139)),'Price History'!B139=0),"",'Price History'!B140/'Price History'!B139-1),"")</f>
        <v>-0.0536369131573645</v>
      </c>
      <c r="C139" s="105" t="n">
        <f aca="false">IFERROR(IF(OR(NOT(ISNUMBER('Price History'!C140)),NOT(ISNUMBER('Price History'!C139)),'Price History'!C139=0),"",'Price History'!C140/'Price History'!C139-1),"")</f>
        <v>-0.0796372504191435</v>
      </c>
      <c r="D139" s="105" t="n">
        <f aca="false">IFERROR(IF(OR(NOT(ISNUMBER('Price History'!D140)),NOT(ISNUMBER('Price History'!D139)),'Price History'!D139=0),"",'Price History'!D140/'Price History'!D139-1),"")</f>
        <v>-0.0112203454165876</v>
      </c>
      <c r="E139" s="105" t="n">
        <f aca="false">IFERROR(IF(OR(NOT(ISNUMBER('Price History'!E140)),NOT(ISNUMBER('Price History'!E139)),'Price History'!E139=0),"",'Price History'!E140/'Price History'!E139-1),"")</f>
        <v>-0.0316575955685807</v>
      </c>
      <c r="F139" s="105" t="n">
        <f aca="false">IFERROR(IF(OR(NOT(ISNUMBER('Price History'!F140)),NOT(ISNUMBER('Price History'!F139)),'Price History'!F139=0),"",'Price History'!F140/'Price History'!F139-1),"")</f>
        <v>-0.0963325183374083</v>
      </c>
      <c r="G139" s="105" t="n">
        <f aca="false">IFERROR(IF(OR(NOT(ISNUMBER('Price History'!G140)),NOT(ISNUMBER('Price History'!G139)),'Price History'!G139=0),"",'Price History'!G140/'Price History'!G139-1),"")</f>
        <v>-0.0370320944818844</v>
      </c>
      <c r="H139" s="105" t="n">
        <f aca="false">IFERROR(IF(OR(NOT(ISNUMBER('Price History'!H140)),NOT(ISNUMBER('Price History'!H139)),'Price History'!H139=0),"",'Price History'!H140/'Price History'!H139-1),"")</f>
        <v>-0.155308583589501</v>
      </c>
      <c r="I139" s="105" t="n">
        <f aca="false">IFERROR(IF(OR(NOT(ISNUMBER('Price History'!I140)),NOT(ISNUMBER('Price History'!I139)),'Price History'!I139=0),"",'Price History'!I140/'Price History'!I139-1),"")</f>
        <v>-0.0299942096120439</v>
      </c>
      <c r="J139" s="105" t="n">
        <f aca="false">IFERROR(IF(OR(NOT(ISNUMBER('Price History'!J140)),NOT(ISNUMBER('Price History'!J139)),'Price History'!J139=0),"",'Price History'!J140/'Price History'!J139-1),"")</f>
        <v>0.00695258182954461</v>
      </c>
      <c r="K139" s="105" t="n">
        <f aca="false">IFERROR(IF(OR(NOT(ISNUMBER('Price History'!K140)),NOT(ISNUMBER('Price History'!K139)),'Price History'!K139=0),"",'Price History'!K140/'Price History'!K139-1),"")</f>
        <v>-0.0505707459516858</v>
      </c>
      <c r="L139" s="105" t="n">
        <f aca="false">IFERROR(IF(OR(NOT(ISNUMBER('Price History'!L140)),NOT(ISNUMBER('Price History'!L139)),'Price History'!L139=0),"",'Price History'!L140/'Price History'!L139-1),"")</f>
        <v>-0.00759324504920422</v>
      </c>
      <c r="M139" s="105" t="n">
        <f aca="false">IFERROR(IF(OR(NOT(ISNUMBER('Price History'!M140)),NOT(ISNUMBER('Price History'!M139)),'Price History'!M139=0),"",'Price History'!M140/'Price History'!M139-1),"")</f>
        <v>-0.0187978740034391</v>
      </c>
      <c r="N139" s="105" t="n">
        <f aca="false">IFERROR(IF(OR(NOT(ISNUMBER('Price History'!N140)),NOT(ISNUMBER('Price History'!N139)),'Price History'!N139=0),"",'Price History'!N140/'Price History'!N139-1),"")</f>
        <v>-0.0461013215859031</v>
      </c>
      <c r="O139" s="105" t="n">
        <f aca="false">IFERROR(IF(OR(NOT(ISNUMBER('Price History'!O140)),NOT(ISNUMBER('Price History'!O139)),'Price History'!O139=0),"",'Price History'!O140/'Price History'!O139-1),"")</f>
        <v>0.0296945701357467</v>
      </c>
      <c r="P139" s="105" t="str">
        <f aca="false">IFERROR(IF(OR(NOT(ISNUMBER('Price History'!P140)),NOT(ISNUMBER('Price History'!P139)),'Price History'!P139=0),"",'Price History'!P140/'Price History'!P139-1),"")</f>
        <v/>
      </c>
      <c r="Q139" s="105" t="n">
        <f aca="false">IFERROR(IF(OR(NOT(ISNUMBER('Price History'!Q140)),NOT(ISNUMBER('Price History'!Q139)),'Price History'!Q139=0),"",'Price History'!Q140/'Price History'!Q139-1),"")</f>
        <v>0.000295508274231526</v>
      </c>
      <c r="R139" s="105" t="n">
        <f aca="false">IFERROR(IF(OR(NOT(ISNUMBER('Price History'!R140)),NOT(ISNUMBER('Price History'!R139)),'Price History'!R139=0),"",'Price History'!R140/'Price History'!R139-1),"")</f>
        <v>-0.0292324246771879</v>
      </c>
      <c r="S139" s="105" t="n">
        <f aca="false">IFERROR(IF(OR(NOT(ISNUMBER('Price History'!S140)),NOT(ISNUMBER('Price History'!S139)),'Price History'!S139=0),"",'Price History'!S140/'Price History'!S139-1),"")</f>
        <v>-0.0304974512216558</v>
      </c>
      <c r="T139" s="105" t="n">
        <f aca="false">IFERROR(IF(OR(NOT(ISNUMBER('Price History'!T140)),NOT(ISNUMBER('Price History'!T139)),'Price History'!T139=0),"",'Price History'!T140/'Price History'!T139-1),"")</f>
        <v>-0.012487257900102</v>
      </c>
      <c r="U139" s="105" t="str">
        <f aca="false">IFERROR(IF(OR(NOT(ISNUMBER('Price History'!U140)),NOT(ISNUMBER('Price History'!U139)),'Price History'!U139=0),"",'Price History'!U140/'Price History'!U139-1),"")</f>
        <v/>
      </c>
      <c r="V139" s="106" t="n">
        <f aca="false">IFERROR(IF(OR(NOT(ISNUMBER('Price History'!V140)),NOT(ISNUMBER('Price History'!V139)),'Price History'!V139=0),"",'Price History'!V140/'Price History'!V139-1),"")</f>
        <v>-0.0202369857542271</v>
      </c>
      <c r="W139" s="107" t="n">
        <f aca="false">'Price History'!B3+('Price History'!B158-'Price History'!B3)*0.883116883116883</f>
        <v>280.57051948052</v>
      </c>
      <c r="X139" s="107" t="n">
        <f aca="false">'Price History'!C3+('Price History'!C158-'Price History'!C3)*0.883116883116883</f>
        <v>164.382597402597</v>
      </c>
      <c r="Y139" s="107" t="n">
        <f aca="false">'Price History'!D3+('Price History'!D158-'Price History'!D3)*0.883116883116883</f>
        <v>1515.94831168831</v>
      </c>
      <c r="Z139" s="107" t="n">
        <f aca="false">'Price History'!E3+('Price History'!E158-'Price History'!E3)*0.883116883116883</f>
        <v>353.478701298701</v>
      </c>
      <c r="AA139" s="107" t="n">
        <f aca="false">'Price History'!F3+('Price History'!F158-'Price History'!F3)*0.883116883116883</f>
        <v>172.883376623377</v>
      </c>
      <c r="AB139" s="107" t="n">
        <f aca="false">'Price History'!G3+('Price History'!G158-'Price History'!G3)*0.883116883116883</f>
        <v>167.05012987013</v>
      </c>
      <c r="AC139" s="107" t="n">
        <f aca="false">'Price History'!H3+('Price History'!H158-'Price History'!H3)*0.883116883116883</f>
        <v>734.355454545454</v>
      </c>
      <c r="AD139" s="107" t="n">
        <f aca="false">'Price History'!I3+('Price History'!I158-'Price History'!I3)*0.883116883116883</f>
        <v>182.06038961039</v>
      </c>
      <c r="AE139" s="107" t="n">
        <f aca="false">'Price History'!J3+('Price History'!J158-'Price History'!J3)*0.883116883116883</f>
        <v>142.143766233766</v>
      </c>
      <c r="AF139" s="107" t="n">
        <f aca="false">'Price History'!K3+('Price History'!K158-'Price History'!K3)*0.883116883116883</f>
        <v>110.477532467532</v>
      </c>
      <c r="AG139" s="107" t="n">
        <f aca="false">'Price History'!L3+('Price History'!L158-'Price History'!L3)*0.883116883116883</f>
        <v>367.752077922078</v>
      </c>
      <c r="AH139" s="107" t="n">
        <f aca="false">'Price History'!M3+('Price History'!M158-'Price History'!M3)*0.883116883116883</f>
        <v>217.251298701299</v>
      </c>
      <c r="AI139" s="107" t="n">
        <f aca="false">'Price History'!N3+('Price History'!N158-'Price History'!N3)*0.883116883116883</f>
        <v>462.227792207792</v>
      </c>
      <c r="AJ139" s="107" t="n">
        <f aca="false">'Price History'!O3+('Price History'!O158-'Price History'!O3)*0.883116883116883</f>
        <v>120.320649350649</v>
      </c>
      <c r="AK139" s="107" t="n">
        <f aca="false">'Price History'!Q3+('Price History'!Q151-'Price History'!Q3)*0.883116883116883</f>
        <v>66.2748051948052</v>
      </c>
      <c r="AL139" s="107" t="n">
        <f aca="false">'Price History'!R3+('Price History'!R158-'Price History'!R3)*0.883116883116883</f>
        <v>57.0309090909091</v>
      </c>
      <c r="AM139" s="107" t="n">
        <f aca="false">'Price History'!S3+('Price History'!S158-'Price History'!S3)*0.883116883116883</f>
        <v>133.861038961039</v>
      </c>
      <c r="AN139" s="107" t="n">
        <f aca="false">'Price History'!T3+('Price History'!T158-'Price History'!T3)*0.883116883116883</f>
        <v>47.0715584415584</v>
      </c>
    </row>
    <row r="140" customFormat="false" ht="15" hidden="false" customHeight="true" outlineLevel="0" collapsed="false">
      <c r="A140" s="104" t="n">
        <f aca="false">IF('Price History'!A141="","",'Price History'!A141)</f>
        <v>46114</v>
      </c>
      <c r="B140" s="105" t="n">
        <f aca="false">IFERROR(IF(OR(NOT(ISNUMBER('Price History'!B141)),NOT(ISNUMBER('Price History'!B140)),'Price History'!B140=0),"",'Price History'!B141/'Price History'!B140-1),"")</f>
        <v>0.0344064043604155</v>
      </c>
      <c r="C140" s="105" t="n">
        <f aca="false">IFERROR(IF(OR(NOT(ISNUMBER('Price History'!C141)),NOT(ISNUMBER('Price History'!C140)),'Price History'!C140=0),"",'Price History'!C141/'Price History'!C140-1),"")</f>
        <v>0.0489359940382546</v>
      </c>
      <c r="D140" s="105" t="n">
        <f aca="false">IFERROR(IF(OR(NOT(ISNUMBER('Price History'!D141)),NOT(ISNUMBER('Price History'!D140)),'Price History'!D140=0),"",'Price History'!D141/'Price History'!D140-1),"")</f>
        <v>0.0113323147558102</v>
      </c>
      <c r="E140" s="105" t="n">
        <f aca="false">IFERROR(IF(OR(NOT(ISNUMBER('Price History'!E141)),NOT(ISNUMBER('Price History'!E140)),'Price History'!E140=0),"",'Price History'!E141/'Price History'!E140-1),"")</f>
        <v>0.0461287747771717</v>
      </c>
      <c r="F140" s="105" t="n">
        <f aca="false">IFERROR(IF(OR(NOT(ISNUMBER('Price History'!F141)),NOT(ISNUMBER('Price History'!F140)),'Price History'!F140=0),"",'Price History'!F141/'Price History'!F140-1),"")</f>
        <v>0.0798701298701299</v>
      </c>
      <c r="G140" s="105" t="n">
        <f aca="false">IFERROR(IF(OR(NOT(ISNUMBER('Price History'!G141)),NOT(ISNUMBER('Price History'!G140)),'Price History'!G140=0),"",'Price History'!G141/'Price History'!G140-1),"")</f>
        <v>0.0509977827050998</v>
      </c>
      <c r="H140" s="105" t="n">
        <f aca="false">IFERROR(IF(OR(NOT(ISNUMBER('Price History'!H141)),NOT(ISNUMBER('Price History'!H140)),'Price History'!H140=0),"",'Price History'!H141/'Price History'!H140-1),"")</f>
        <v>0.0252505458820895</v>
      </c>
      <c r="I140" s="105" t="n">
        <f aca="false">IFERROR(IF(OR(NOT(ISNUMBER('Price History'!I141)),NOT(ISNUMBER('Price History'!I140)),'Price History'!I140=0),"",'Price History'!I141/'Price History'!I140-1),"")</f>
        <v>0.0589183381088825</v>
      </c>
      <c r="J140" s="105" t="n">
        <f aca="false">IFERROR(IF(OR(NOT(ISNUMBER('Price History'!J141)),NOT(ISNUMBER('Price History'!J140)),'Price History'!J140=0),"",'Price History'!J141/'Price History'!J140-1),"")</f>
        <v>0.0377812257564003</v>
      </c>
      <c r="K140" s="105" t="n">
        <f aca="false">IFERROR(IF(OR(NOT(ISNUMBER('Price History'!K141)),NOT(ISNUMBER('Price History'!K140)),'Price History'!K140=0),"",'Price History'!K141/'Price History'!K140-1),"")</f>
        <v>0.0377464001118413</v>
      </c>
      <c r="L140" s="105" t="n">
        <f aca="false">IFERROR(IF(OR(NOT(ISNUMBER('Price History'!L141)),NOT(ISNUMBER('Price History'!L140)),'Price History'!L140=0),"",'Price History'!L141/'Price History'!L140-1),"")</f>
        <v>0.0376446103935852</v>
      </c>
      <c r="M140" s="105" t="n">
        <f aca="false">IFERROR(IF(OR(NOT(ISNUMBER('Price History'!M141)),NOT(ISNUMBER('Price History'!M140)),'Price History'!M140=0),"",'Price History'!M141/'Price History'!M140-1),"")</f>
        <v>0.0407057792647469</v>
      </c>
      <c r="N140" s="105" t="n">
        <f aca="false">IFERROR(IF(OR(NOT(ISNUMBER('Price History'!N141)),NOT(ISNUMBER('Price History'!N140)),'Price History'!N140=0),"",'Price History'!N141/'Price History'!N140-1),"")</f>
        <v>0.0130232987738703</v>
      </c>
      <c r="O140" s="105" t="n">
        <f aca="false">IFERROR(IF(OR(NOT(ISNUMBER('Price History'!O141)),NOT(ISNUMBER('Price History'!O140)),'Price History'!O140=0),"",'Price History'!O141/'Price History'!O140-1),"")</f>
        <v>0.0200494369678659</v>
      </c>
      <c r="P140" s="105" t="str">
        <f aca="false">IFERROR(IF(OR(NOT(ISNUMBER('Price History'!P141)),NOT(ISNUMBER('Price History'!P140)),'Price History'!P140=0),"",'Price History'!P141/'Price History'!P140-1),"")</f>
        <v/>
      </c>
      <c r="Q140" s="105" t="n">
        <f aca="false">IFERROR(IF(OR(NOT(ISNUMBER('Price History'!Q141)),NOT(ISNUMBER('Price History'!Q140)),'Price History'!Q140=0),"",'Price History'!Q141/'Price History'!Q140-1),"")</f>
        <v>0.000738552437222984</v>
      </c>
      <c r="R140" s="105" t="n">
        <f aca="false">IFERROR(IF(OR(NOT(ISNUMBER('Price History'!R141)),NOT(ISNUMBER('Price History'!R140)),'Price History'!R140=0),"",'Price History'!R141/'Price History'!R140-1),"")</f>
        <v>0.026972104193608</v>
      </c>
      <c r="S140" s="105" t="n">
        <f aca="false">IFERROR(IF(OR(NOT(ISNUMBER('Price History'!S141)),NOT(ISNUMBER('Price History'!S140)),'Price History'!S140=0),"",'Price History'!S141/'Price History'!S140-1),"")</f>
        <v>0.0401595503580816</v>
      </c>
      <c r="T140" s="105" t="n">
        <f aca="false">IFERROR(IF(OR(NOT(ISNUMBER('Price History'!T141)),NOT(ISNUMBER('Price History'!T140)),'Price History'!T140=0),"",'Price History'!T141/'Price History'!T140-1),"")</f>
        <v>0.0281290322580645</v>
      </c>
      <c r="U140" s="105" t="str">
        <f aca="false">IFERROR(IF(OR(NOT(ISNUMBER('Price History'!U141)),NOT(ISNUMBER('Price History'!U140)),'Price History'!U140=0),"",'Price History'!U141/'Price History'!U140-1),"")</f>
        <v/>
      </c>
      <c r="V140" s="106" t="str">
        <f aca="false">IFERROR(IF(OR(NOT(ISNUMBER('Price History'!V141)),NOT(ISNUMBER('Price History'!V140)),'Price History'!V140=0),"",'Price History'!V141/'Price History'!V140-1),"")</f>
        <v/>
      </c>
      <c r="W140" s="107" t="n">
        <f aca="false">'Price History'!B3+('Price History'!B158-'Price History'!B3)*0.88961038961039</f>
        <v>278.894935064935</v>
      </c>
      <c r="X140" s="107" t="n">
        <f aca="false">'Price History'!C3+('Price History'!C158-'Price History'!C3)*0.88961038961039</f>
        <v>165.269675324675</v>
      </c>
      <c r="Y140" s="107" t="n">
        <f aca="false">'Price History'!D3+('Price History'!D158-'Price History'!D3)*0.88961038961039</f>
        <v>1522.22896103896</v>
      </c>
      <c r="Z140" s="107" t="n">
        <f aca="false">'Price History'!E3+('Price History'!E158-'Price History'!E3)*0.88961038961039</f>
        <v>355.467662337662</v>
      </c>
      <c r="AA140" s="107" t="n">
        <f aca="false">'Price History'!F3+('Price History'!F158-'Price History'!F3)*0.88961038961039</f>
        <v>173.882077922078</v>
      </c>
      <c r="AB140" s="107" t="n">
        <f aca="false">'Price History'!G3+('Price History'!G158-'Price History'!G3)*0.88961038961039</f>
        <v>167.926233766234</v>
      </c>
      <c r="AC140" s="107" t="n">
        <f aca="false">'Price History'!H3+('Price History'!H158-'Price History'!H3)*0.88961038961039</f>
        <v>739.281818181818</v>
      </c>
      <c r="AD140" s="107" t="n">
        <f aca="false">'Price History'!I3+('Price History'!I158-'Price History'!I3)*0.88961038961039</f>
        <v>183.098701298701</v>
      </c>
      <c r="AE140" s="107" t="n">
        <f aca="false">'Price History'!J3+('Price History'!J158-'Price History'!J3)*0.88961038961039</f>
        <v>142.280779220779</v>
      </c>
      <c r="AF140" s="107" t="n">
        <f aca="false">'Price History'!K3+('Price History'!K158-'Price History'!K3)*0.88961038961039</f>
        <v>111.176558441558</v>
      </c>
      <c r="AG140" s="107" t="n">
        <f aca="false">'Price History'!L3+('Price History'!L158-'Price History'!L3)*0.88961038961039</f>
        <v>369.77974025974</v>
      </c>
      <c r="AH140" s="107" t="n">
        <f aca="false">'Price History'!M3+('Price History'!M158-'Price History'!M3)*0.88961038961039</f>
        <v>218.602337662338</v>
      </c>
      <c r="AI140" s="107" t="n">
        <f aca="false">'Price History'!N3+('Price History'!N158-'Price History'!N3)*0.88961038961039</f>
        <v>463.054025974026</v>
      </c>
      <c r="AJ140" s="107" t="n">
        <f aca="false">'Price History'!O3+('Price History'!O158-'Price History'!O3)*0.88961038961039</f>
        <v>120.596168831169</v>
      </c>
      <c r="AK140" s="107" t="n">
        <f aca="false">'Price History'!Q3+('Price History'!Q151-'Price History'!Q3)*0.88961038961039</f>
        <v>66.3956493506494</v>
      </c>
      <c r="AL140" s="107" t="n">
        <f aca="false">'Price History'!R3+('Price History'!R158-'Price History'!R3)*0.88961038961039</f>
        <v>57.0986363636364</v>
      </c>
      <c r="AM140" s="107" t="n">
        <f aca="false">'Price History'!S3+('Price History'!S158-'Price History'!S3)*0.88961038961039</f>
        <v>134.41487012987</v>
      </c>
      <c r="AN140" s="107" t="n">
        <f aca="false">'Price History'!T3+('Price History'!T158-'Price History'!T3)*0.88961038961039</f>
        <v>47.2198051948052</v>
      </c>
    </row>
    <row r="141" customFormat="false" ht="15" hidden="false" customHeight="true" outlineLevel="0" collapsed="false">
      <c r="A141" s="104" t="n">
        <f aca="false">IF('Price History'!A142="","",'Price History'!A142)</f>
        <v>46122</v>
      </c>
      <c r="B141" s="105" t="n">
        <f aca="false">IFERROR(IF(OR(NOT(ISNUMBER('Price History'!B142)),NOT(ISNUMBER('Price History'!B141)),'Price History'!B141=0),"",'Price History'!B142/'Price History'!B141-1),"")</f>
        <v>-0.07232833854767</v>
      </c>
      <c r="C141" s="105" t="n">
        <f aca="false">IFERROR(IF(OR(NOT(ISNUMBER('Price History'!C142)),NOT(ISNUMBER('Price History'!C141)),'Price History'!C141=0),"",'Price History'!C142/'Price History'!C141-1),"")</f>
        <v>0.163167035048942</v>
      </c>
      <c r="D141" s="105" t="n">
        <f aca="false">IFERROR(IF(OR(NOT(ISNUMBER('Price History'!D142)),NOT(ISNUMBER('Price History'!D141)),'Price History'!D141=0),"",'Price History'!D142/'Price History'!D141-1),"")</f>
        <v>0.12226414521382</v>
      </c>
      <c r="E141" s="105" t="n">
        <f aca="false">IFERROR(IF(OR(NOT(ISNUMBER('Price History'!E142)),NOT(ISNUMBER('Price History'!E141)),'Price History'!E141=0),"",'Price History'!E142/'Price History'!E141-1),"")</f>
        <v>0.181211254172628</v>
      </c>
      <c r="F141" s="105" t="n">
        <f aca="false">IFERROR(IF(OR(NOT(ISNUMBER('Price History'!F142)),NOT(ISNUMBER('Price History'!F141)),'Price History'!F141=0),"",'Price History'!F142/'Price History'!F141-1),"")</f>
        <v>-0.0503106835037082</v>
      </c>
      <c r="G141" s="105" t="n">
        <f aca="false">IFERROR(IF(OR(NOT(ISNUMBER('Price History'!G142)),NOT(ISNUMBER('Price History'!G141)),'Price History'!G141=0),"",'Price History'!G142/'Price History'!G141-1),"")</f>
        <v>0.145371835443038</v>
      </c>
      <c r="H141" s="105" t="n">
        <f aca="false">IFERROR(IF(OR(NOT(ISNUMBER('Price History'!H142)),NOT(ISNUMBER('Price History'!H141)),'Price History'!H141=0),"",'Price History'!H142/'Price History'!H141-1),"")</f>
        <v>0.1483999563128</v>
      </c>
      <c r="I141" s="105" t="n">
        <f aca="false">IFERROR(IF(OR(NOT(ISNUMBER('Price History'!I142)),NOT(ISNUMBER('Price History'!I141)),'Price History'!I141=0),"",'Price History'!I142/'Price History'!I141-1),"")</f>
        <v>0.0633632110040026</v>
      </c>
      <c r="J141" s="105" t="n">
        <f aca="false">IFERROR(IF(OR(NOT(ISNUMBER('Price History'!J142)),NOT(ISNUMBER('Price History'!J141)),'Price History'!J141=0),"",'Price History'!J142/'Price History'!J141-1),"")</f>
        <v>0.0255662704642297</v>
      </c>
      <c r="K141" s="105" t="n">
        <f aca="false">IFERROR(IF(OR(NOT(ISNUMBER('Price History'!K142)),NOT(ISNUMBER('Price History'!K141)),'Price History'!K141=0),"",'Price History'!K142/'Price History'!K141-1),"")</f>
        <v>-0.13741075037047</v>
      </c>
      <c r="L141" s="105" t="n">
        <f aca="false">IFERROR(IF(OR(NOT(ISNUMBER('Price History'!L142)),NOT(ISNUMBER('Price History'!L141)),'Price History'!L141=0),"",'Price History'!L142/'Price History'!L141-1),"")</f>
        <v>0.0930863614912694</v>
      </c>
      <c r="M141" s="105" t="n">
        <f aca="false">IFERROR(IF(OR(NOT(ISNUMBER('Price History'!M142)),NOT(ISNUMBER('Price History'!M141)),'Price History'!M141=0),"",'Price History'!M142/'Price History'!M141-1),"")</f>
        <v>0.129434727697195</v>
      </c>
      <c r="N141" s="105" t="n">
        <f aca="false">IFERROR(IF(OR(NOT(ISNUMBER('Price History'!N142)),NOT(ISNUMBER('Price History'!N141)),'Price History'!N141=0),"",'Price History'!N142/'Price History'!N141-1),"")</f>
        <v>-0.0055617606163525</v>
      </c>
      <c r="O141" s="105" t="n">
        <f aca="false">IFERROR(IF(OR(NOT(ISNUMBER('Price History'!O142)),NOT(ISNUMBER('Price History'!O141)),'Price History'!O141=0),"",'Price History'!O142/'Price History'!O141-1),"")</f>
        <v>0.0297074133907738</v>
      </c>
      <c r="P141" s="105" t="str">
        <f aca="false">IFERROR(IF(OR(NOT(ISNUMBER('Price History'!P142)),NOT(ISNUMBER('Price History'!P141)),'Price History'!P141=0),"",'Price History'!P142/'Price History'!P141-1),"")</f>
        <v/>
      </c>
      <c r="Q141" s="105" t="n">
        <f aca="false">IFERROR(IF(OR(NOT(ISNUMBER('Price History'!Q142)),NOT(ISNUMBER('Price History'!Q141)),'Price History'!Q141=0),"",'Price History'!Q142/'Price History'!Q141-1),"")</f>
        <v>0.00428044280442808</v>
      </c>
      <c r="R141" s="105" t="n">
        <f aca="false">IFERROR(IF(OR(NOT(ISNUMBER('Price History'!R142)),NOT(ISNUMBER('Price History'!R141)),'Price History'!R141=0),"",'Price History'!R142/'Price History'!R141-1),"")</f>
        <v>0.0365173592372727</v>
      </c>
      <c r="S141" s="105" t="n">
        <f aca="false">IFERROR(IF(OR(NOT(ISNUMBER('Price History'!S142)),NOT(ISNUMBER('Price History'!S141)),'Price History'!S141=0),"",'Price History'!S142/'Price History'!S141-1),"")</f>
        <v>0.0749520655394806</v>
      </c>
      <c r="T141" s="105" t="n">
        <f aca="false">IFERROR(IF(OR(NOT(ISNUMBER('Price History'!T142)),NOT(ISNUMBER('Price History'!T141)),'Price History'!T141=0),"",'Price History'!T142/'Price History'!T141-1),"")</f>
        <v>-0.0050200803212852</v>
      </c>
      <c r="U141" s="105" t="str">
        <f aca="false">IFERROR(IF(OR(NOT(ISNUMBER('Price History'!U142)),NOT(ISNUMBER('Price History'!U141)),'Price History'!U141=0),"",'Price History'!U142/'Price History'!U141-1),"")</f>
        <v/>
      </c>
      <c r="V141" s="106" t="str">
        <f aca="false">IFERROR(IF(OR(NOT(ISNUMBER('Price History'!V142)),NOT(ISNUMBER('Price History'!V141)),'Price History'!V141=0),"",'Price History'!V142/'Price History'!V141-1),"")</f>
        <v/>
      </c>
      <c r="W141" s="107" t="n">
        <f aca="false">'Price History'!B3+('Price History'!B158-'Price History'!B3)*0.896103896103896</f>
        <v>277.219350649351</v>
      </c>
      <c r="X141" s="107" t="n">
        <f aca="false">'Price History'!C3+('Price History'!C158-'Price History'!C3)*0.896103896103896</f>
        <v>166.156753246753</v>
      </c>
      <c r="Y141" s="107" t="n">
        <f aca="false">'Price History'!D3+('Price History'!D158-'Price History'!D3)*0.896103896103896</f>
        <v>1528.50961038961</v>
      </c>
      <c r="Z141" s="107" t="n">
        <f aca="false">'Price History'!E3+('Price History'!E158-'Price History'!E3)*0.896103896103896</f>
        <v>357.456623376623</v>
      </c>
      <c r="AA141" s="107" t="n">
        <f aca="false">'Price History'!F3+('Price History'!F158-'Price History'!F3)*0.896103896103896</f>
        <v>174.880779220779</v>
      </c>
      <c r="AB141" s="107" t="n">
        <f aca="false">'Price History'!G3+('Price History'!G158-'Price History'!G3)*0.896103896103896</f>
        <v>168.802337662338</v>
      </c>
      <c r="AC141" s="107" t="n">
        <f aca="false">'Price History'!H3+('Price History'!H158-'Price History'!H3)*0.896103896103896</f>
        <v>744.208181818182</v>
      </c>
      <c r="AD141" s="107" t="n">
        <f aca="false">'Price History'!I3+('Price History'!I158-'Price History'!I3)*0.896103896103896</f>
        <v>184.137012987013</v>
      </c>
      <c r="AE141" s="107" t="n">
        <f aca="false">'Price History'!J3+('Price History'!J158-'Price History'!J3)*0.896103896103896</f>
        <v>142.417792207792</v>
      </c>
      <c r="AF141" s="107" t="n">
        <f aca="false">'Price History'!K3+('Price History'!K158-'Price History'!K3)*0.896103896103896</f>
        <v>111.875584415584</v>
      </c>
      <c r="AG141" s="107" t="n">
        <f aca="false">'Price History'!L3+('Price History'!L158-'Price History'!L3)*0.896103896103896</f>
        <v>371.807402597403</v>
      </c>
      <c r="AH141" s="107" t="n">
        <f aca="false">'Price History'!M3+('Price History'!M158-'Price History'!M3)*0.896103896103896</f>
        <v>219.953376623377</v>
      </c>
      <c r="AI141" s="107" t="n">
        <f aca="false">'Price History'!N3+('Price History'!N158-'Price History'!N3)*0.896103896103896</f>
        <v>463.88025974026</v>
      </c>
      <c r="AJ141" s="107" t="n">
        <f aca="false">'Price History'!O3+('Price History'!O158-'Price History'!O3)*0.896103896103896</f>
        <v>120.871688311688</v>
      </c>
      <c r="AK141" s="107" t="n">
        <f aca="false">'Price History'!Q3+('Price History'!Q151-'Price History'!Q3)*0.896103896103896</f>
        <v>66.5164935064935</v>
      </c>
      <c r="AL141" s="107" t="n">
        <f aca="false">'Price History'!R3+('Price History'!R158-'Price History'!R3)*0.896103896103896</f>
        <v>57.1663636363636</v>
      </c>
      <c r="AM141" s="107" t="n">
        <f aca="false">'Price History'!S3+('Price History'!S158-'Price History'!S3)*0.896103896103896</f>
        <v>134.968701298701</v>
      </c>
      <c r="AN141" s="107" t="n">
        <f aca="false">'Price History'!T3+('Price History'!T158-'Price History'!T3)*0.896103896103896</f>
        <v>47.3680519480519</v>
      </c>
    </row>
    <row r="142" customFormat="false" ht="15" hidden="false" customHeight="true" outlineLevel="0" collapsed="false">
      <c r="A142" s="104" t="n">
        <f aca="false">IF('Price History'!A143="","",'Price History'!A143)</f>
        <v>46129</v>
      </c>
      <c r="B142" s="105" t="n">
        <f aca="false">IFERROR(IF(OR(NOT(ISNUMBER('Price History'!B143)),NOT(ISNUMBER('Price History'!B142)),'Price History'!B142=0),"",'Price History'!B143/'Price History'!B142-1),"")</f>
        <v>0.0847570445972932</v>
      </c>
      <c r="C142" s="105" t="n">
        <f aca="false">IFERROR(IF(OR(NOT(ISNUMBER('Price History'!C143)),NOT(ISNUMBER('Price History'!C142)),'Price History'!C142=0),"",'Price History'!C143/'Price History'!C142-1),"")</f>
        <v>0.114557176789956</v>
      </c>
      <c r="D142" s="105" t="n">
        <f aca="false">IFERROR(IF(OR(NOT(ISNUMBER('Price History'!D143)),NOT(ISNUMBER('Price History'!D142)),'Price History'!D142=0),"",'Price History'!D143/'Price History'!D142-1),"")</f>
        <v>-0.012501014692751</v>
      </c>
      <c r="E142" s="105" t="n">
        <f aca="false">IFERROR(IF(OR(NOT(ISNUMBER('Price History'!E143)),NOT(ISNUMBER('Price History'!E142)),'Price History'!E142=0),"",'Price History'!E143/'Price History'!E142-1),"")</f>
        <v>0.0941730588076974</v>
      </c>
      <c r="F142" s="105" t="n">
        <f aca="false">IFERROR(IF(OR(NOT(ISNUMBER('Price History'!F143)),NOT(ISNUMBER('Price History'!F142)),'Price History'!F142=0),"",'Price History'!F143/'Price History'!F142-1),"")</f>
        <v>0.118509919797383</v>
      </c>
      <c r="G142" s="105" t="n">
        <f aca="false">IFERROR(IF(OR(NOT(ISNUMBER('Price History'!G143)),NOT(ISNUMBER('Price History'!G142)),'Price History'!G142=0),"",'Price History'!G143/'Price History'!G142-1),"")</f>
        <v>0.0311402751395844</v>
      </c>
      <c r="H142" s="105" t="n">
        <f aca="false">IFERROR(IF(OR(NOT(ISNUMBER('Price History'!H143)),NOT(ISNUMBER('Price History'!H142)),'Price History'!H142=0),"",'Price History'!H143/'Price History'!H142-1),"")</f>
        <v>0.0819800756080744</v>
      </c>
      <c r="I142" s="105" t="n">
        <f aca="false">IFERROR(IF(OR(NOT(ISNUMBER('Price History'!I143)),NOT(ISNUMBER('Price History'!I142)),'Price History'!I142=0),"",'Price History'!I143/'Price History'!I142-1),"")</f>
        <v>0.0691830567778191</v>
      </c>
      <c r="J142" s="105" t="n">
        <f aca="false">IFERROR(IF(OR(NOT(ISNUMBER('Price History'!J143)),NOT(ISNUMBER('Price History'!J142)),'Price History'!J142=0),"",'Price History'!J143/'Price History'!J142-1),"")</f>
        <v>0.0576572636489541</v>
      </c>
      <c r="K142" s="105" t="n">
        <f aca="false">IFERROR(IF(OR(NOT(ISNUMBER('Price History'!K143)),NOT(ISNUMBER('Price History'!K142)),'Price History'!K142=0),"",'Price History'!K143/'Price History'!K142-1),"")</f>
        <v>0.143136029985944</v>
      </c>
      <c r="L142" s="105" t="n">
        <f aca="false">IFERROR(IF(OR(NOT(ISNUMBER('Price History'!L143)),NOT(ISNUMBER('Price History'!L142)),'Price History'!L142=0),"",'Price History'!L143/'Price History'!L142-1),"")</f>
        <v>-0.000269832703723716</v>
      </c>
      <c r="M142" s="105" t="n">
        <f aca="false">IFERROR(IF(OR(NOT(ISNUMBER('Price History'!M143)),NOT(ISNUMBER('Price History'!M142)),'Price History'!M142=0),"",'Price History'!M143/'Price History'!M142-1),"")</f>
        <v>0.041442174104571</v>
      </c>
      <c r="N142" s="105" t="n">
        <f aca="false">IFERROR(IF(OR(NOT(ISNUMBER('Price History'!N143)),NOT(ISNUMBER('Price History'!N142)),'Price History'!N142=0),"",'Price History'!N143/'Price History'!N142-1),"")</f>
        <v>0.0113003415316204</v>
      </c>
      <c r="O142" s="105" t="n">
        <f aca="false">IFERROR(IF(OR(NOT(ISNUMBER('Price History'!O143)),NOT(ISNUMBER('Price History'!O142)),'Price History'!O142=0),"",'Price History'!O143/'Price History'!O142-1),"")</f>
        <v>0.0243179639152793</v>
      </c>
      <c r="P142" s="105" t="str">
        <f aca="false">IFERROR(IF(OR(NOT(ISNUMBER('Price History'!P143)),NOT(ISNUMBER('Price History'!P142)),'Price History'!P142=0),"",'Price History'!P143/'Price History'!P142-1),"")</f>
        <v/>
      </c>
      <c r="Q142" s="105" t="n">
        <f aca="false">IFERROR(IF(OR(NOT(ISNUMBER('Price History'!Q143)),NOT(ISNUMBER('Price History'!Q142)),'Price History'!Q142=0),"",'Price History'!Q143/'Price History'!Q142-1),"")</f>
        <v>-0.0105820105820108</v>
      </c>
      <c r="R142" s="105" t="n">
        <f aca="false">IFERROR(IF(OR(NOT(ISNUMBER('Price History'!R143)),NOT(ISNUMBER('Price History'!R142)),'Price History'!R142=0),"",'Price History'!R143/'Price History'!R142-1),"")</f>
        <v>0.0180492884415133</v>
      </c>
      <c r="S142" s="105" t="n">
        <f aca="false">IFERROR(IF(OR(NOT(ISNUMBER('Price History'!S143)),NOT(ISNUMBER('Price History'!S142)),'Price History'!S142=0),"",'Price History'!S143/'Price History'!S142-1),"")</f>
        <v>0.0402140424841901</v>
      </c>
      <c r="T142" s="105" t="n">
        <f aca="false">IFERROR(IF(OR(NOT(ISNUMBER('Price History'!T143)),NOT(ISNUMBER('Price History'!T142)),'Price History'!T142=0),"",'Price History'!T143/'Price History'!T142-1),"")</f>
        <v>0.0534813319878908</v>
      </c>
      <c r="U142" s="105" t="str">
        <f aca="false">IFERROR(IF(OR(NOT(ISNUMBER('Price History'!U143)),NOT(ISNUMBER('Price History'!U142)),'Price History'!U142=0),"",'Price History'!U143/'Price History'!U142-1),"")</f>
        <v/>
      </c>
      <c r="V142" s="106" t="n">
        <f aca="false">IFERROR(IF(OR(NOT(ISNUMBER('Price History'!V143)),NOT(ISNUMBER('Price History'!V142)),'Price History'!V142=0),"",'Price History'!V143/'Price History'!V142-1),"")</f>
        <v>0.0415938252465613</v>
      </c>
      <c r="W142" s="107" t="n">
        <f aca="false">'Price History'!B3+('Price History'!B158-'Price History'!B3)*0.902597402597403</f>
        <v>275.543766233766</v>
      </c>
      <c r="X142" s="107" t="n">
        <f aca="false">'Price History'!C3+('Price History'!C158-'Price History'!C3)*0.902597402597403</f>
        <v>167.043831168831</v>
      </c>
      <c r="Y142" s="107" t="n">
        <f aca="false">'Price History'!D3+('Price History'!D158-'Price History'!D3)*0.902597402597403</f>
        <v>1534.79025974026</v>
      </c>
      <c r="Z142" s="107" t="n">
        <f aca="false">'Price History'!E3+('Price History'!E158-'Price History'!E3)*0.902597402597403</f>
        <v>359.445584415585</v>
      </c>
      <c r="AA142" s="107" t="n">
        <f aca="false">'Price History'!F3+('Price History'!F158-'Price History'!F3)*0.902597402597403</f>
        <v>175.879480519481</v>
      </c>
      <c r="AB142" s="107" t="n">
        <f aca="false">'Price History'!G3+('Price History'!G158-'Price History'!G3)*0.902597402597403</f>
        <v>169.678441558442</v>
      </c>
      <c r="AC142" s="107" t="n">
        <f aca="false">'Price History'!H3+('Price History'!H158-'Price History'!H3)*0.902597402597403</f>
        <v>749.134545454546</v>
      </c>
      <c r="AD142" s="107" t="n">
        <f aca="false">'Price History'!I3+('Price History'!I158-'Price History'!I3)*0.902597402597403</f>
        <v>185.175324675325</v>
      </c>
      <c r="AE142" s="107" t="n">
        <f aca="false">'Price History'!J3+('Price History'!J158-'Price History'!J3)*0.902597402597403</f>
        <v>142.554805194805</v>
      </c>
      <c r="AF142" s="107" t="n">
        <f aca="false">'Price History'!K3+('Price History'!K158-'Price History'!K3)*0.902597402597403</f>
        <v>112.57461038961</v>
      </c>
      <c r="AG142" s="107" t="n">
        <f aca="false">'Price History'!L3+('Price History'!L158-'Price History'!L3)*0.902597402597403</f>
        <v>373.835064935065</v>
      </c>
      <c r="AH142" s="107" t="n">
        <f aca="false">'Price History'!M3+('Price History'!M158-'Price History'!M3)*0.902597402597403</f>
        <v>221.304415584416</v>
      </c>
      <c r="AI142" s="107" t="n">
        <f aca="false">'Price History'!N3+('Price History'!N158-'Price History'!N3)*0.902597402597403</f>
        <v>464.706493506494</v>
      </c>
      <c r="AJ142" s="107" t="n">
        <f aca="false">'Price History'!O3+('Price History'!O158-'Price History'!O3)*0.902597402597403</f>
        <v>121.147207792208</v>
      </c>
      <c r="AK142" s="107" t="n">
        <f aca="false">'Price History'!Q3+('Price History'!Q151-'Price History'!Q3)*0.902597402597403</f>
        <v>66.6373376623377</v>
      </c>
      <c r="AL142" s="107" t="n">
        <f aca="false">'Price History'!R3+('Price History'!R158-'Price History'!R3)*0.902597402597403</f>
        <v>57.2340909090909</v>
      </c>
      <c r="AM142" s="107" t="n">
        <f aca="false">'Price History'!S3+('Price History'!S158-'Price History'!S3)*0.902597402597403</f>
        <v>135.522532467533</v>
      </c>
      <c r="AN142" s="107" t="n">
        <f aca="false">'Price History'!T3+('Price History'!T158-'Price History'!T3)*0.902597402597403</f>
        <v>47.5162987012987</v>
      </c>
    </row>
    <row r="143" customFormat="false" ht="15" hidden="false" customHeight="true" outlineLevel="0" collapsed="false">
      <c r="A143" s="104" t="n">
        <f aca="false">IF('Price History'!A144="","",'Price History'!A144)</f>
        <v>46136</v>
      </c>
      <c r="B143" s="105" t="n">
        <f aca="false">IFERROR(IF(OR(NOT(ISNUMBER('Price History'!B144)),NOT(ISNUMBER('Price History'!B143)),'Price History'!B143=0),"",'Price History'!B144/'Price History'!B143-1),"")</f>
        <v>0.0040499079566374</v>
      </c>
      <c r="C143" s="105" t="n">
        <f aca="false">IFERROR(IF(OR(NOT(ISNUMBER('Price History'!C144)),NOT(ISNUMBER('Price History'!C143)),'Price History'!C143=0),"",'Price History'!C144/'Price History'!C143-1),"")</f>
        <v>0.0772087925470377</v>
      </c>
      <c r="D143" s="105" t="n">
        <f aca="false">IFERROR(IF(OR(NOT(ISNUMBER('Price History'!D144)),NOT(ISNUMBER('Price History'!D143)),'Price History'!D143=0),"",'Price History'!D144/'Price History'!D143-1),"")</f>
        <v>-0.00143855322646935</v>
      </c>
      <c r="E143" s="105" t="n">
        <f aca="false">IFERROR(IF(OR(NOT(ISNUMBER('Price History'!E144)),NOT(ISNUMBER('Price History'!E143)),'Price History'!E143=0),"",'Price History'!E144/'Price History'!E143-1),"")</f>
        <v>0.0398976730457026</v>
      </c>
      <c r="F143" s="105" t="n">
        <f aca="false">IFERROR(IF(OR(NOT(ISNUMBER('Price History'!F144)),NOT(ISNUMBER('Price History'!F143)),'Price History'!F143=0),"",'Price History'!F144/'Price History'!F143-1),"")</f>
        <v>0.0569865081611474</v>
      </c>
      <c r="G143" s="105" t="n">
        <f aca="false">IFERROR(IF(OR(NOT(ISNUMBER('Price History'!G144)),NOT(ISNUMBER('Price History'!G143)),'Price History'!G143=0),"",'Price History'!G144/'Price History'!G143-1),"")</f>
        <v>0.0801607681143242</v>
      </c>
      <c r="H143" s="105" t="n">
        <f aca="false">IFERROR(IF(OR(NOT(ISNUMBER('Price History'!H144)),NOT(ISNUMBER('Price History'!H143)),'Price History'!H143=0),"",'Price History'!H144/'Price History'!H143-1),"")</f>
        <v>0.0915243808644826</v>
      </c>
      <c r="I143" s="105" t="n">
        <f aca="false">IFERROR(IF(OR(NOT(ISNUMBER('Price History'!I144)),NOT(ISNUMBER('Price History'!I143)),'Price History'!I143=0),"",'Price History'!I144/'Price History'!I143-1),"")</f>
        <v>0.0326755255850852</v>
      </c>
      <c r="J143" s="105" t="n">
        <f aca="false">IFERROR(IF(OR(NOT(ISNUMBER('Price History'!J144)),NOT(ISNUMBER('Price History'!J143)),'Price History'!J143=0),"",'Price History'!J144/'Price History'!J143-1),"")</f>
        <v>-0.0206753962784286</v>
      </c>
      <c r="K143" s="105" t="n">
        <f aca="false">IFERROR(IF(OR(NOT(ISNUMBER('Price History'!K144)),NOT(ISNUMBER('Price History'!K143)),'Price History'!K143=0),"",'Price History'!K144/'Price History'!K143-1),"")</f>
        <v>-0.0225425233964067</v>
      </c>
      <c r="L143" s="105" t="n">
        <f aca="false">IFERROR(IF(OR(NOT(ISNUMBER('Price History'!L144)),NOT(ISNUMBER('Price History'!L143)),'Price History'!L143=0),"",'Price History'!L144/'Price History'!L143-1),"")</f>
        <v>0.0862618083670714</v>
      </c>
      <c r="M143" s="105" t="n">
        <f aca="false">IFERROR(IF(OR(NOT(ISNUMBER('Price History'!M144)),NOT(ISNUMBER('Price History'!M143)),'Price History'!M143=0),"",'Price History'!M144/'Price History'!M143-1),"")</f>
        <v>0.0524500553133338</v>
      </c>
      <c r="N143" s="105" t="n">
        <f aca="false">IFERROR(IF(OR(NOT(ISNUMBER('Price History'!N144)),NOT(ISNUMBER('Price History'!N143)),'Price History'!N143=0),"",'Price History'!N144/'Price History'!N143-1),"")</f>
        <v>-0.0247280145058929</v>
      </c>
      <c r="O143" s="105" t="n">
        <f aca="false">IFERROR(IF(OR(NOT(ISNUMBER('Price History'!O144)),NOT(ISNUMBER('Price History'!O143)),'Price History'!O143=0),"",'Price History'!O144/'Price History'!O143-1),"")</f>
        <v>0.0122532334921714</v>
      </c>
      <c r="P143" s="105" t="str">
        <f aca="false">IFERROR(IF(OR(NOT(ISNUMBER('Price History'!P144)),NOT(ISNUMBER('Price History'!P143)),'Price History'!P143=0),"",'Price History'!P144/'Price History'!P143-1),"")</f>
        <v/>
      </c>
      <c r="Q143" s="105" t="n">
        <f aca="false">IFERROR(IF(OR(NOT(ISNUMBER('Price History'!Q144)),NOT(ISNUMBER('Price History'!Q143)),'Price History'!Q143=0),"",'Price History'!Q144/'Price History'!Q143-1),"")</f>
        <v>0.000445632798574014</v>
      </c>
      <c r="R143" s="105" t="n">
        <f aca="false">IFERROR(IF(OR(NOT(ISNUMBER('Price History'!R144)),NOT(ISNUMBER('Price History'!R143)),'Price History'!R143=0),"",'Price History'!R144/'Price History'!R143-1),"")</f>
        <v>0.00562563927719073</v>
      </c>
      <c r="S143" s="105" t="n">
        <f aca="false">IFERROR(IF(OR(NOT(ISNUMBER('Price History'!S144)),NOT(ISNUMBER('Price History'!S143)),'Price History'!S143=0),"",'Price History'!S144/'Price History'!S143-1),"")</f>
        <v>0.0250974279033516</v>
      </c>
      <c r="T143" s="105" t="n">
        <f aca="false">IFERROR(IF(OR(NOT(ISNUMBER('Price History'!T144)),NOT(ISNUMBER('Price History'!T143)),'Price History'!T143=0),"",'Price History'!T144/'Price History'!T143-1),"")</f>
        <v>-0.00574712643678144</v>
      </c>
      <c r="U143" s="105" t="str">
        <f aca="false">IFERROR(IF(OR(NOT(ISNUMBER('Price History'!U144)),NOT(ISNUMBER('Price History'!U143)),'Price History'!U143=0),"",'Price History'!U144/'Price History'!U143-1),"")</f>
        <v/>
      </c>
      <c r="V143" s="106" t="n">
        <f aca="false">IFERROR(IF(OR(NOT(ISNUMBER('Price History'!V144)),NOT(ISNUMBER('Price History'!V143)),'Price History'!V143=0),"",'Price History'!V144/'Price History'!V143-1),"")</f>
        <v>-0.0239723858382418</v>
      </c>
      <c r="W143" s="107" t="n">
        <f aca="false">'Price History'!B3+('Price History'!B158-'Price History'!B3)*0.909090909090909</f>
        <v>273.868181818182</v>
      </c>
      <c r="X143" s="107" t="n">
        <f aca="false">'Price History'!C3+('Price History'!C158-'Price History'!C3)*0.909090909090909</f>
        <v>167.930909090909</v>
      </c>
      <c r="Y143" s="107" t="n">
        <f aca="false">'Price History'!D3+('Price History'!D158-'Price History'!D3)*0.909090909090909</f>
        <v>1541.07090909091</v>
      </c>
      <c r="Z143" s="107" t="n">
        <f aca="false">'Price History'!E3+('Price History'!E158-'Price History'!E3)*0.909090909090909</f>
        <v>361.434545454545</v>
      </c>
      <c r="AA143" s="107" t="n">
        <f aca="false">'Price History'!F3+('Price History'!F158-'Price History'!F3)*0.909090909090909</f>
        <v>176.878181818182</v>
      </c>
      <c r="AB143" s="107" t="n">
        <f aca="false">'Price History'!G3+('Price History'!G158-'Price History'!G3)*0.909090909090909</f>
        <v>170.554545454545</v>
      </c>
      <c r="AC143" s="107" t="n">
        <f aca="false">'Price History'!H3+('Price History'!H158-'Price History'!H3)*0.909090909090909</f>
        <v>754.060909090909</v>
      </c>
      <c r="AD143" s="107" t="n">
        <f aca="false">'Price History'!I3+('Price History'!I158-'Price History'!I3)*0.909090909090909</f>
        <v>186.213636363636</v>
      </c>
      <c r="AE143" s="107" t="n">
        <f aca="false">'Price History'!J3+('Price History'!J158-'Price History'!J3)*0.909090909090909</f>
        <v>142.691818181818</v>
      </c>
      <c r="AF143" s="107" t="n">
        <f aca="false">'Price History'!K3+('Price History'!K158-'Price History'!K3)*0.909090909090909</f>
        <v>113.273636363636</v>
      </c>
      <c r="AG143" s="107" t="n">
        <f aca="false">'Price History'!L3+('Price History'!L158-'Price History'!L3)*0.909090909090909</f>
        <v>375.862727272727</v>
      </c>
      <c r="AH143" s="107" t="n">
        <f aca="false">'Price History'!M3+('Price History'!M158-'Price History'!M3)*0.909090909090909</f>
        <v>222.655454545455</v>
      </c>
      <c r="AI143" s="107" t="n">
        <f aca="false">'Price History'!N3+('Price History'!N158-'Price History'!N3)*0.909090909090909</f>
        <v>465.532727272727</v>
      </c>
      <c r="AJ143" s="107" t="n">
        <f aca="false">'Price History'!O3+('Price History'!O158-'Price History'!O3)*0.909090909090909</f>
        <v>121.422727272727</v>
      </c>
      <c r="AK143" s="107" t="n">
        <f aca="false">'Price History'!Q3+('Price History'!Q151-'Price History'!Q3)*0.909090909090909</f>
        <v>66.7581818181818</v>
      </c>
      <c r="AL143" s="107" t="n">
        <f aca="false">'Price History'!R3+('Price History'!R158-'Price History'!R3)*0.909090909090909</f>
        <v>57.3018181818182</v>
      </c>
      <c r="AM143" s="107" t="n">
        <f aca="false">'Price History'!S3+('Price History'!S158-'Price History'!S3)*0.909090909090909</f>
        <v>136.076363636364</v>
      </c>
      <c r="AN143" s="107" t="n">
        <f aca="false">'Price History'!T3+('Price History'!T158-'Price History'!T3)*0.909090909090909</f>
        <v>47.6645454545455</v>
      </c>
    </row>
    <row r="144" customFormat="false" ht="15" hidden="false" customHeight="true" outlineLevel="0" collapsed="false">
      <c r="A144" s="104" t="n">
        <f aca="false">IF('Price History'!A145="","",'Price History'!A145)</f>
        <v>46143</v>
      </c>
      <c r="B144" s="105" t="n">
        <f aca="false">IFERROR(IF(OR(NOT(ISNUMBER('Price History'!B145)),NOT(ISNUMBER('Price History'!B144)),'Price History'!B144=0),"",'Price History'!B145/'Price History'!B144-1),"")</f>
        <v>0.0214716427640156</v>
      </c>
      <c r="C144" s="105" t="n">
        <f aca="false">IFERROR(IF(OR(NOT(ISNUMBER('Price History'!C145)),NOT(ISNUMBER('Price History'!C144)),'Price History'!C144=0),"",'Price History'!C145/'Price History'!C144-1),"")</f>
        <v>-0.0237974111129954</v>
      </c>
      <c r="D144" s="105" t="n">
        <f aca="false">IFERROR(IF(OR(NOT(ISNUMBER('Price History'!D145)),NOT(ISNUMBER('Price History'!D144)),'Price History'!D144=0),"",'Price History'!D145/'Price History'!D144-1),"")</f>
        <v>-0.0210468546340126</v>
      </c>
      <c r="E144" s="105" t="n">
        <f aca="false">IFERROR(IF(OR(NOT(ISNUMBER('Price History'!E145)),NOT(ISNUMBER('Price History'!E144)),'Price History'!E144=0),"",'Price History'!E145/'Price History'!E144-1),"")</f>
        <v>-0.00350080423881172</v>
      </c>
      <c r="F144" s="105" t="n">
        <f aca="false">IFERROR(IF(OR(NOT(ISNUMBER('Price History'!F145)),NOT(ISNUMBER('Price History'!F144)),'Price History'!F144=0),"",'Price History'!F145/'Price History'!F144-1),"")</f>
        <v>0.0167812193162544</v>
      </c>
      <c r="G144" s="105" t="n">
        <f aca="false">IFERROR(IF(OR(NOT(ISNUMBER('Price History'!G145)),NOT(ISNUMBER('Price History'!G144)),'Price History'!G144=0),"",'Price History'!G145/'Price History'!G144-1),"")</f>
        <v>-0.107855297157623</v>
      </c>
      <c r="H144" s="105" t="n">
        <f aca="false">IFERROR(IF(OR(NOT(ISNUMBER('Price History'!H145)),NOT(ISNUMBER('Price History'!H144)),'Price History'!H144=0),"",'Price History'!H145/'Price History'!H144-1),"")</f>
        <v>0.0915807698502174</v>
      </c>
      <c r="I144" s="105" t="n">
        <f aca="false">IFERROR(IF(OR(NOT(ISNUMBER('Price History'!I145)),NOT(ISNUMBER('Price History'!I144)),'Price History'!I144=0),"",'Price History'!I145/'Price History'!I144-1),"")</f>
        <v>-0.0471503337014454</v>
      </c>
      <c r="J144" s="105" t="n">
        <f aca="false">IFERROR(IF(OR(NOT(ISNUMBER('Price History'!J145)),NOT(ISNUMBER('Price History'!J144)),'Price History'!J144=0),"",'Price History'!J145/'Price History'!J144-1),"")</f>
        <v>-0.00485573539760731</v>
      </c>
      <c r="K144" s="105" t="n">
        <f aca="false">IFERROR(IF(OR(NOT(ISNUMBER('Price History'!K145)),NOT(ISNUMBER('Price History'!K144)),'Price History'!K144=0),"",'Price History'!K145/'Price History'!K144-1),"")</f>
        <v>0.00684883639667344</v>
      </c>
      <c r="L144" s="105" t="n">
        <f aca="false">IFERROR(IF(OR(NOT(ISNUMBER('Price History'!L145)),NOT(ISNUMBER('Price History'!L144)),'Price History'!L144=0),"",'Price History'!L145/'Price History'!L144-1),"")</f>
        <v>-0.0119018039059782</v>
      </c>
      <c r="M144" s="105" t="n">
        <f aca="false">IFERROR(IF(OR(NOT(ISNUMBER('Price History'!M145)),NOT(ISNUMBER('Price History'!M144)),'Price History'!M144=0),"",'Price History'!M145/'Price History'!M144-1),"")</f>
        <v>0.01499412601249</v>
      </c>
      <c r="N144" s="105" t="n">
        <f aca="false">IFERROR(IF(OR(NOT(ISNUMBER('Price History'!N145)),NOT(ISNUMBER('Price History'!N144)),'Price History'!N144=0),"",'Price History'!N145/'Price History'!N144-1),"")</f>
        <v>-0.0148039694159753</v>
      </c>
      <c r="O144" s="105" t="n">
        <f aca="false">IFERROR(IF(OR(NOT(ISNUMBER('Price History'!O145)),NOT(ISNUMBER('Price History'!O144)),'Price History'!O144=0),"",'Price History'!O145/'Price History'!O144-1),"")</f>
        <v>0.00840618695359785</v>
      </c>
      <c r="P144" s="105" t="str">
        <f aca="false">IFERROR(IF(OR(NOT(ISNUMBER('Price History'!P145)),NOT(ISNUMBER('Price History'!P144)),'Price History'!P144=0),"",'Price History'!P145/'Price History'!P144-1),"")</f>
        <v/>
      </c>
      <c r="Q144" s="105" t="n">
        <f aca="false">IFERROR(IF(OR(NOT(ISNUMBER('Price History'!Q145)),NOT(ISNUMBER('Price History'!Q144)),'Price History'!Q144=0),"",'Price History'!Q145/'Price History'!Q144-1),"")</f>
        <v>0.00846325167037865</v>
      </c>
      <c r="R144" s="105" t="n">
        <f aca="false">IFERROR(IF(OR(NOT(ISNUMBER('Price History'!R145)),NOT(ISNUMBER('Price History'!R144)),'Price History'!R144=0),"",'Price History'!R145/'Price History'!R144-1),"")</f>
        <v>-0.00220376334972039</v>
      </c>
      <c r="S144" s="105" t="n">
        <f aca="false">IFERROR(IF(OR(NOT(ISNUMBER('Price History'!S145)),NOT(ISNUMBER('Price History'!S144)),'Price History'!S144=0),"",'Price History'!S145/'Price History'!S144-1),"")</f>
        <v>0.0220498783454985</v>
      </c>
      <c r="T144" s="105" t="n">
        <f aca="false">IFERROR(IF(OR(NOT(ISNUMBER('Price History'!T145)),NOT(ISNUMBER('Price History'!T144)),'Price History'!T144=0),"",'Price History'!T145/'Price History'!T144-1),"")</f>
        <v>0.0257707129094413</v>
      </c>
      <c r="U144" s="105" t="str">
        <f aca="false">IFERROR(IF(OR(NOT(ISNUMBER('Price History'!U145)),NOT(ISNUMBER('Price History'!U144)),'Price History'!U144=0),"",'Price History'!U145/'Price History'!U144-1),"")</f>
        <v/>
      </c>
      <c r="V144" s="106" t="n">
        <f aca="false">IFERROR(IF(OR(NOT(ISNUMBER('Price History'!V145)),NOT(ISNUMBER('Price History'!V144)),'Price History'!V144=0),"",'Price History'!V145/'Price History'!V144-1),"")</f>
        <v>0.0601213458356316</v>
      </c>
      <c r="W144" s="107" t="n">
        <f aca="false">'Price History'!B3+('Price History'!B158-'Price History'!B3)*0.915584415584416</f>
        <v>272.192597402597</v>
      </c>
      <c r="X144" s="107" t="n">
        <f aca="false">'Price History'!C3+('Price History'!C158-'Price History'!C3)*0.915584415584416</f>
        <v>168.817987012987</v>
      </c>
      <c r="Y144" s="107" t="n">
        <f aca="false">'Price History'!D3+('Price History'!D158-'Price History'!D3)*0.915584415584416</f>
        <v>1547.35155844156</v>
      </c>
      <c r="Z144" s="107" t="n">
        <f aca="false">'Price History'!E3+('Price History'!E158-'Price History'!E3)*0.915584415584416</f>
        <v>363.423506493507</v>
      </c>
      <c r="AA144" s="107" t="n">
        <f aca="false">'Price History'!F3+('Price History'!F158-'Price History'!F3)*0.915584415584416</f>
        <v>177.876883116883</v>
      </c>
      <c r="AB144" s="107" t="n">
        <f aca="false">'Price History'!G3+('Price History'!G158-'Price History'!G3)*0.915584415584416</f>
        <v>171.430649350649</v>
      </c>
      <c r="AC144" s="107" t="n">
        <f aca="false">'Price History'!H3+('Price History'!H158-'Price History'!H3)*0.915584415584416</f>
        <v>758.987272727273</v>
      </c>
      <c r="AD144" s="107" t="n">
        <f aca="false">'Price History'!I3+('Price History'!I158-'Price History'!I3)*0.915584415584416</f>
        <v>187.251948051948</v>
      </c>
      <c r="AE144" s="107" t="n">
        <f aca="false">'Price History'!J3+('Price History'!J158-'Price History'!J3)*0.915584415584416</f>
        <v>142.828831168831</v>
      </c>
      <c r="AF144" s="107" t="n">
        <f aca="false">'Price History'!K3+('Price History'!K158-'Price History'!K3)*0.915584415584416</f>
        <v>113.972662337662</v>
      </c>
      <c r="AG144" s="107" t="n">
        <f aca="false">'Price History'!L3+('Price History'!L158-'Price History'!L3)*0.915584415584416</f>
        <v>377.89038961039</v>
      </c>
      <c r="AH144" s="107" t="n">
        <f aca="false">'Price History'!M3+('Price History'!M158-'Price History'!M3)*0.915584415584416</f>
        <v>224.006493506494</v>
      </c>
      <c r="AI144" s="107" t="n">
        <f aca="false">'Price History'!N3+('Price History'!N158-'Price History'!N3)*0.915584415584416</f>
        <v>466.358961038961</v>
      </c>
      <c r="AJ144" s="107" t="n">
        <f aca="false">'Price History'!O3+('Price History'!O158-'Price History'!O3)*0.915584415584416</f>
        <v>121.698246753247</v>
      </c>
      <c r="AK144" s="107" t="n">
        <f aca="false">'Price History'!Q3+('Price History'!Q151-'Price History'!Q3)*0.915584415584416</f>
        <v>66.879025974026</v>
      </c>
      <c r="AL144" s="107" t="n">
        <f aca="false">'Price History'!R3+('Price History'!R158-'Price History'!R3)*0.915584415584416</f>
        <v>57.3695454545455</v>
      </c>
      <c r="AM144" s="107" t="n">
        <f aca="false">'Price History'!S3+('Price History'!S158-'Price History'!S3)*0.915584415584416</f>
        <v>136.630194805195</v>
      </c>
      <c r="AN144" s="107" t="n">
        <f aca="false">'Price History'!T3+('Price History'!T158-'Price History'!T3)*0.915584415584416</f>
        <v>47.8127922077922</v>
      </c>
    </row>
    <row r="145" customFormat="false" ht="15" hidden="false" customHeight="true" outlineLevel="0" collapsed="false">
      <c r="A145" s="104" t="n">
        <f aca="false">IF('Price History'!A146="","",'Price History'!A146)</f>
        <v>46150</v>
      </c>
      <c r="B145" s="105" t="n">
        <f aca="false">IFERROR(IF(OR(NOT(ISNUMBER('Price History'!B146)),NOT(ISNUMBER('Price History'!B145)),'Price History'!B145=0),"",'Price History'!B146/'Price History'!B145-1),"")</f>
        <v>0.00929360615850983</v>
      </c>
      <c r="C145" s="105" t="n">
        <f aca="false">IFERROR(IF(OR(NOT(ISNUMBER('Price History'!C146)),NOT(ISNUMBER('Price History'!C145)),'Price History'!C145=0),"",'Price History'!C146/'Price History'!C145-1),"")</f>
        <v>-0.179096699478865</v>
      </c>
      <c r="D145" s="105" t="n">
        <f aca="false">IFERROR(IF(OR(NOT(ISNUMBER('Price History'!D146)),NOT(ISNUMBER('Price History'!D145)),'Price History'!D145=0),"",'Price History'!D146/'Price History'!D145-1),"")</f>
        <v>0.115625569368334</v>
      </c>
      <c r="E145" s="105" t="n">
        <f aca="false">IFERROR(IF(OR(NOT(ISNUMBER('Price History'!E146)),NOT(ISNUMBER('Price History'!E145)),'Price History'!E145=0),"",'Price History'!E146/'Price History'!E145-1),"")</f>
        <v>0.0206988226357767</v>
      </c>
      <c r="F145" s="105" t="n">
        <f aca="false">IFERROR(IF(OR(NOT(ISNUMBER('Price History'!F146)),NOT(ISNUMBER('Price History'!F145)),'Price History'!F145=0),"",'Price History'!F146/'Price History'!F145-1),"")</f>
        <v>0.158282854885436</v>
      </c>
      <c r="G145" s="105" t="n">
        <f aca="false">IFERROR(IF(OR(NOT(ISNUMBER('Price History'!G146)),NOT(ISNUMBER('Price History'!G145)),'Price History'!G145=0),"",'Price History'!G146/'Price History'!G145-1),"")</f>
        <v>0.0827781961420377</v>
      </c>
      <c r="H145" s="105" t="n">
        <f aca="false">IFERROR(IF(OR(NOT(ISNUMBER('Price History'!H146)),NOT(ISNUMBER('Price History'!H145)),'Price History'!H145=0),"",'Price History'!H146/'Price History'!H145-1),"")</f>
        <v>0.377344571291566</v>
      </c>
      <c r="I145" s="105" t="n">
        <f aca="false">IFERROR(IF(OR(NOT(ISNUMBER('Price History'!I146)),NOT(ISNUMBER('Price History'!I145)),'Price History'!I145=0),"",'Price History'!I146/'Price History'!I145-1),"")</f>
        <v>0.0844041320231797</v>
      </c>
      <c r="J145" s="105" t="n">
        <f aca="false">IFERROR(IF(OR(NOT(ISNUMBER('Price History'!J146)),NOT(ISNUMBER('Price History'!J145)),'Price History'!J145=0),"",'Price History'!J146/'Price History'!J145-1),"")</f>
        <v>0.0189519835938052</v>
      </c>
      <c r="K145" s="105" t="n">
        <f aca="false">IFERROR(IF(OR(NOT(ISNUMBER('Price History'!K146)),NOT(ISNUMBER('Price History'!K145)),'Price History'!K145=0),"",'Price History'!K146/'Price History'!K145-1),"")</f>
        <v>-0.0435205108627749</v>
      </c>
      <c r="L145" s="105" t="n">
        <f aca="false">IFERROR(IF(OR(NOT(ISNUMBER('Price History'!L146)),NOT(ISNUMBER('Price History'!L145)),'Price History'!L145=0),"",'Price History'!L146/'Price History'!L145-1),"")</f>
        <v>0.0352302160082481</v>
      </c>
      <c r="M145" s="105" t="n">
        <f aca="false">IFERROR(IF(OR(NOT(ISNUMBER('Price History'!M146)),NOT(ISNUMBER('Price History'!M145)),'Price History'!M145=0),"",'Price History'!M146/'Price History'!M145-1),"")</f>
        <v>0.0355152142791875</v>
      </c>
      <c r="N145" s="105" t="n">
        <f aca="false">IFERROR(IF(OR(NOT(ISNUMBER('Price History'!N146)),NOT(ISNUMBER('Price History'!N145)),'Price History'!N145=0),"",'Price History'!N146/'Price History'!N145-1),"")</f>
        <v>0.0139177203245895</v>
      </c>
      <c r="O145" s="105" t="n">
        <f aca="false">IFERROR(IF(OR(NOT(ISNUMBER('Price History'!O146)),NOT(ISNUMBER('Price History'!O145)),'Price History'!O145=0),"",'Price History'!O146/'Price History'!O145-1),"")</f>
        <v>-0.00100033344448136</v>
      </c>
      <c r="P145" s="105" t="str">
        <f aca="false">IFERROR(IF(OR(NOT(ISNUMBER('Price History'!P146)),NOT(ISNUMBER('Price History'!P145)),'Price History'!P145=0),"",'Price History'!P146/'Price History'!P145-1),"")</f>
        <v/>
      </c>
      <c r="Q145" s="105" t="n">
        <f aca="false">IFERROR(IF(OR(NOT(ISNUMBER('Price History'!Q146)),NOT(ISNUMBER('Price History'!Q145)),'Price History'!Q145=0),"",'Price History'!Q146/'Price History'!Q145-1),"")</f>
        <v>-0.0123674911660778</v>
      </c>
      <c r="R145" s="105" t="n">
        <f aca="false">IFERROR(IF(OR(NOT(ISNUMBER('Price History'!R146)),NOT(ISNUMBER('Price History'!R145)),'Price History'!R145=0),"",'Price History'!R146/'Price History'!R145-1),"")</f>
        <v>0.0127420998980632</v>
      </c>
      <c r="S145" s="105" t="n">
        <f aca="false">IFERROR(IF(OR(NOT(ISNUMBER('Price History'!S146)),NOT(ISNUMBER('Price History'!S145)),'Price History'!S145=0),"",'Price History'!S146/'Price History'!S145-1),"")</f>
        <v>0.0698556762386551</v>
      </c>
      <c r="T145" s="105" t="n">
        <f aca="false">IFERROR(IF(OR(NOT(ISNUMBER('Price History'!T146)),NOT(ISNUMBER('Price History'!T145)),'Price History'!T145=0),"",'Price History'!T146/'Price History'!T145-1),"")</f>
        <v>0.0241840807701337</v>
      </c>
      <c r="U145" s="105" t="str">
        <f aca="false">IFERROR(IF(OR(NOT(ISNUMBER('Price History'!U146)),NOT(ISNUMBER('Price History'!U145)),'Price History'!U145=0),"",'Price History'!U146/'Price History'!U145-1),"")</f>
        <v/>
      </c>
      <c r="V145" s="106" t="n">
        <f aca="false">IFERROR(IF(OR(NOT(ISNUMBER('Price History'!V146)),NOT(ISNUMBER('Price History'!V145)),'Price History'!V145=0),"",'Price History'!V146/'Price History'!V145-1),"")</f>
        <v>-0.0281569443594295</v>
      </c>
      <c r="W145" s="107" t="n">
        <f aca="false">'Price History'!B3+('Price History'!B158-'Price History'!B3)*0.922077922077922</f>
        <v>270.517012987013</v>
      </c>
      <c r="X145" s="107" t="n">
        <f aca="false">'Price History'!C3+('Price History'!C158-'Price History'!C3)*0.922077922077922</f>
        <v>169.705064935065</v>
      </c>
      <c r="Y145" s="107" t="n">
        <f aca="false">'Price History'!D3+('Price History'!D158-'Price History'!D3)*0.922077922077922</f>
        <v>1553.63220779221</v>
      </c>
      <c r="Z145" s="107" t="n">
        <f aca="false">'Price History'!E3+('Price History'!E158-'Price History'!E3)*0.922077922077922</f>
        <v>365.412467532468</v>
      </c>
      <c r="AA145" s="107" t="n">
        <f aca="false">'Price History'!F3+('Price History'!F158-'Price History'!F3)*0.922077922077922</f>
        <v>178.875584415584</v>
      </c>
      <c r="AB145" s="107" t="n">
        <f aca="false">'Price History'!G3+('Price History'!G158-'Price History'!G3)*0.922077922077922</f>
        <v>172.306753246753</v>
      </c>
      <c r="AC145" s="107" t="n">
        <f aca="false">'Price History'!H3+('Price History'!H158-'Price History'!H3)*0.922077922077922</f>
        <v>763.913636363636</v>
      </c>
      <c r="AD145" s="107" t="n">
        <f aca="false">'Price History'!I3+('Price History'!I158-'Price History'!I3)*0.922077922077922</f>
        <v>188.29025974026</v>
      </c>
      <c r="AE145" s="107" t="n">
        <f aca="false">'Price History'!J3+('Price History'!J158-'Price History'!J3)*0.922077922077922</f>
        <v>142.965844155844</v>
      </c>
      <c r="AF145" s="107" t="n">
        <f aca="false">'Price History'!K3+('Price History'!K158-'Price History'!K3)*0.922077922077922</f>
        <v>114.671688311688</v>
      </c>
      <c r="AG145" s="107" t="n">
        <f aca="false">'Price History'!L3+('Price History'!L158-'Price History'!L3)*0.922077922077922</f>
        <v>379.918051948052</v>
      </c>
      <c r="AH145" s="107" t="n">
        <f aca="false">'Price History'!M3+('Price History'!M158-'Price History'!M3)*0.922077922077922</f>
        <v>225.357532467532</v>
      </c>
      <c r="AI145" s="107" t="n">
        <f aca="false">'Price History'!N3+('Price History'!N158-'Price History'!N3)*0.922077922077922</f>
        <v>467.185194805195</v>
      </c>
      <c r="AJ145" s="107" t="n">
        <f aca="false">'Price History'!O3+('Price History'!O158-'Price History'!O3)*0.922077922077922</f>
        <v>121.973766233766</v>
      </c>
      <c r="AK145" s="107" t="n">
        <f aca="false">'Price History'!Q3+('Price History'!Q151-'Price History'!Q3)*0.922077922077922</f>
        <v>66.9998701298701</v>
      </c>
      <c r="AL145" s="107" t="n">
        <f aca="false">'Price History'!R3+('Price History'!R158-'Price History'!R3)*0.922077922077922</f>
        <v>57.4372727272727</v>
      </c>
      <c r="AM145" s="107" t="n">
        <f aca="false">'Price History'!S3+('Price History'!S158-'Price History'!S3)*0.922077922077922</f>
        <v>137.184025974026</v>
      </c>
      <c r="AN145" s="107" t="n">
        <f aca="false">'Price History'!T3+('Price History'!T158-'Price History'!T3)*0.922077922077922</f>
        <v>47.961038961039</v>
      </c>
    </row>
    <row r="146" customFormat="false" ht="15" hidden="false" customHeight="true" outlineLevel="0" collapsed="false">
      <c r="A146" s="104" t="n">
        <f aca="false">IF('Price History'!A147="","",'Price History'!A147)</f>
        <v>46157</v>
      </c>
      <c r="B146" s="105" t="n">
        <f aca="false">IFERROR(IF(OR(NOT(ISNUMBER('Price History'!B147)),NOT(ISNUMBER('Price History'!B146)),'Price History'!B146=0),"",'Price History'!B147/'Price History'!B146-1),"")</f>
        <v>-0.0214985773000316</v>
      </c>
      <c r="C146" s="105" t="n">
        <f aca="false">IFERROR(IF(OR(NOT(ISNUMBER('Price History'!C147)),NOT(ISNUMBER('Price History'!C146)),'Price History'!C146=0),"",'Price History'!C147/'Price History'!C146-1),"")</f>
        <v>0.00141073569866679</v>
      </c>
      <c r="D146" s="105" t="n">
        <f aca="false">IFERROR(IF(OR(NOT(ISNUMBER('Price History'!D147)),NOT(ISNUMBER('Price History'!D146)),'Price History'!D146=0),"",'Price History'!D147/'Price History'!D146-1),"")</f>
        <v>-0.0566638610067713</v>
      </c>
      <c r="E146" s="105" t="n">
        <f aca="false">IFERROR(IF(OR(NOT(ISNUMBER('Price History'!E147)),NOT(ISNUMBER('Price History'!E146)),'Price History'!E146=0),"",'Price History'!E147/'Price History'!E146-1),"")</f>
        <v>-0.0111860465116279</v>
      </c>
      <c r="F146" s="105" t="n">
        <f aca="false">IFERROR(IF(OR(NOT(ISNUMBER('Price History'!F147)),NOT(ISNUMBER('Price History'!F146)),'Price History'!F146=0),"",'Price History'!F147/'Price History'!F146-1),"")</f>
        <v>0.12566318023344</v>
      </c>
      <c r="G146" s="105" t="n">
        <f aca="false">IFERROR(IF(OR(NOT(ISNUMBER('Price History'!G147)),NOT(ISNUMBER('Price History'!G146)),'Price History'!G146=0),"",'Price History'!G147/'Price History'!G146-1),"")</f>
        <v>-0.0347207361438048</v>
      </c>
      <c r="H146" s="105" t="n">
        <f aca="false">IFERROR(IF(OR(NOT(ISNUMBER('Price History'!H147)),NOT(ISNUMBER('Price History'!H146)),'Price History'!H146=0),"",'Price History'!H147/'Price History'!H146-1),"")</f>
        <v>-0.0296594850095741</v>
      </c>
      <c r="I146" s="105" t="n">
        <f aca="false">IFERROR(IF(OR(NOT(ISNUMBER('Price History'!I147)),NOT(ISNUMBER('Price History'!I146)),'Price History'!I146=0),"",'Price History'!I147/'Price History'!I146-1),"")</f>
        <v>0.0470260223048327</v>
      </c>
      <c r="J146" s="105" t="n">
        <f aca="false">IFERROR(IF(OR(NOT(ISNUMBER('Price History'!J147)),NOT(ISNUMBER('Price History'!J146)),'Price History'!J146=0),"",'Price History'!J147/'Price History'!J146-1),"")</f>
        <v>-0.0247067804844194</v>
      </c>
      <c r="K146" s="105" t="n">
        <f aca="false">IFERROR(IF(OR(NOT(ISNUMBER('Price History'!K147)),NOT(ISNUMBER('Price History'!K146)),'Price History'!K146=0),"",'Price History'!K147/'Price History'!K146-1),"")</f>
        <v>-0.0276487663280116</v>
      </c>
      <c r="L146" s="105" t="n">
        <f aca="false">IFERROR(IF(OR(NOT(ISNUMBER('Price History'!L147)),NOT(ISNUMBER('Price History'!L146)),'Price History'!L146=0),"",'Price History'!L147/'Price History'!L146-1),"")</f>
        <v>-0.0178050913330742</v>
      </c>
      <c r="M146" s="105" t="n">
        <f aca="false">IFERROR(IF(OR(NOT(ISNUMBER('Price History'!M147)),NOT(ISNUMBER('Price History'!M146)),'Price History'!M146=0),"",'Price History'!M147/'Price History'!M146-1),"")</f>
        <v>0.0910962732005765</v>
      </c>
      <c r="N146" s="105" t="n">
        <f aca="false">IFERROR(IF(OR(NOT(ISNUMBER('Price History'!N147)),NOT(ISNUMBER('Price History'!N146)),'Price History'!N146=0),"",'Price History'!N147/'Price History'!N146-1),"")</f>
        <v>0.0165883393048252</v>
      </c>
      <c r="O146" s="105" t="n">
        <f aca="false">IFERROR(IF(OR(NOT(ISNUMBER('Price History'!O147)),NOT(ISNUMBER('Price History'!O146)),'Price History'!O146=0),"",'Price History'!O147/'Price History'!O146-1),"")</f>
        <v>-0.0216121495327103</v>
      </c>
      <c r="P146" s="105" t="str">
        <f aca="false">IFERROR(IF(OR(NOT(ISNUMBER('Price History'!P147)),NOT(ISNUMBER('Price History'!P146)),'Price History'!P146=0),"",'Price History'!P147/'Price History'!P146-1),"")</f>
        <v/>
      </c>
      <c r="Q146" s="105" t="n">
        <f aca="false">IFERROR(IF(OR(NOT(ISNUMBER('Price History'!Q147)),NOT(ISNUMBER('Price History'!Q146)),'Price History'!Q146=0),"",'Price History'!Q147/'Price History'!Q146-1),"")</f>
        <v>0.00760286225402518</v>
      </c>
      <c r="R146" s="105" t="n">
        <f aca="false">IFERROR(IF(OR(NOT(ISNUMBER('Price History'!R147)),NOT(ISNUMBER('Price History'!R146)),'Price History'!R146=0),"",'Price History'!R147/'Price History'!R146-1),"")</f>
        <v>0.00268411340379138</v>
      </c>
      <c r="S146" s="105" t="n">
        <f aca="false">IFERROR(IF(OR(NOT(ISNUMBER('Price History'!S147)),NOT(ISNUMBER('Price History'!S146)),'Price History'!S146=0),"",'Price History'!S147/'Price History'!S146-1),"")</f>
        <v>-0.00229469438842922</v>
      </c>
      <c r="T146" s="105" t="n">
        <f aca="false">IFERROR(IF(OR(NOT(ISNUMBER('Price History'!T147)),NOT(ISNUMBER('Price History'!T146)),'Price History'!T146=0),"",'Price History'!T147/'Price History'!T146-1),"")</f>
        <v>-0.0256762952773957</v>
      </c>
      <c r="U146" s="105" t="str">
        <f aca="false">IFERROR(IF(OR(NOT(ISNUMBER('Price History'!U147)),NOT(ISNUMBER('Price History'!U146)),'Price History'!U146=0),"",'Price History'!U147/'Price History'!U146-1),"")</f>
        <v/>
      </c>
      <c r="V146" s="106" t="n">
        <f aca="false">IFERROR(IF(OR(NOT(ISNUMBER('Price History'!V147)),NOT(ISNUMBER('Price History'!V146)),'Price History'!V146=0),"",'Price History'!V147/'Price History'!V146-1),"")</f>
        <v>0.0239654846633495</v>
      </c>
      <c r="W146" s="107" t="n">
        <f aca="false">'Price History'!B3+('Price History'!B158-'Price History'!B3)*0.928571428571429</f>
        <v>268.841428571429</v>
      </c>
      <c r="X146" s="107" t="n">
        <f aca="false">'Price History'!C3+('Price History'!C158-'Price History'!C3)*0.928571428571429</f>
        <v>170.592142857143</v>
      </c>
      <c r="Y146" s="107" t="n">
        <f aca="false">'Price History'!D3+('Price History'!D158-'Price History'!D3)*0.928571428571429</f>
        <v>1559.91285714286</v>
      </c>
      <c r="Z146" s="107" t="n">
        <f aca="false">'Price History'!E3+('Price History'!E158-'Price History'!E3)*0.928571428571429</f>
        <v>367.401428571429</v>
      </c>
      <c r="AA146" s="107" t="n">
        <f aca="false">'Price History'!F3+('Price History'!F158-'Price History'!F3)*0.928571428571429</f>
        <v>179.874285714286</v>
      </c>
      <c r="AB146" s="107" t="n">
        <f aca="false">'Price History'!G3+('Price History'!G158-'Price History'!G3)*0.928571428571429</f>
        <v>173.182857142857</v>
      </c>
      <c r="AC146" s="107" t="n">
        <f aca="false">'Price History'!H3+('Price History'!H158-'Price History'!H3)*0.928571428571429</f>
        <v>768.84</v>
      </c>
      <c r="AD146" s="107" t="n">
        <f aca="false">'Price History'!I3+('Price History'!I158-'Price History'!I3)*0.928571428571429</f>
        <v>189.328571428572</v>
      </c>
      <c r="AE146" s="107" t="n">
        <f aca="false">'Price History'!J3+('Price History'!J158-'Price History'!J3)*0.928571428571429</f>
        <v>143.102857142857</v>
      </c>
      <c r="AF146" s="107" t="n">
        <f aca="false">'Price History'!K3+('Price History'!K158-'Price History'!K3)*0.928571428571429</f>
        <v>115.370714285714</v>
      </c>
      <c r="AG146" s="107" t="n">
        <f aca="false">'Price History'!L3+('Price History'!L158-'Price History'!L3)*0.928571428571429</f>
        <v>381.945714285714</v>
      </c>
      <c r="AH146" s="107" t="n">
        <f aca="false">'Price History'!M3+('Price History'!M158-'Price History'!M3)*0.928571428571429</f>
        <v>226.708571428572</v>
      </c>
      <c r="AI146" s="107" t="n">
        <f aca="false">'Price History'!N3+('Price History'!N158-'Price History'!N3)*0.928571428571429</f>
        <v>468.011428571429</v>
      </c>
      <c r="AJ146" s="107" t="n">
        <f aca="false">'Price History'!O3+('Price History'!O158-'Price History'!O3)*0.928571428571429</f>
        <v>122.249285714286</v>
      </c>
      <c r="AK146" s="107" t="n">
        <f aca="false">'Price History'!Q3+('Price History'!Q151-'Price History'!Q3)*0.928571428571429</f>
        <v>67.1207142857143</v>
      </c>
      <c r="AL146" s="107" t="n">
        <f aca="false">'Price History'!R3+('Price History'!R158-'Price History'!R3)*0.928571428571429</f>
        <v>57.505</v>
      </c>
      <c r="AM146" s="107" t="n">
        <f aca="false">'Price History'!S3+('Price History'!S158-'Price History'!S3)*0.928571428571429</f>
        <v>137.737857142857</v>
      </c>
      <c r="AN146" s="107" t="n">
        <f aca="false">'Price History'!T3+('Price History'!T158-'Price History'!T3)*0.928571428571429</f>
        <v>48.1092857142857</v>
      </c>
    </row>
    <row r="147" customFormat="false" ht="15" hidden="false" customHeight="true" outlineLevel="0" collapsed="false">
      <c r="A147" s="104" t="n">
        <f aca="false">IF('Price History'!A148="","",'Price History'!A148)</f>
        <v>46164</v>
      </c>
      <c r="B147" s="105" t="n">
        <f aca="false">IFERROR(IF(OR(NOT(ISNUMBER('Price History'!B148)),NOT(ISNUMBER('Price History'!B147)),'Price History'!B147=0),"",'Price History'!B148/'Price History'!B147-1),"")</f>
        <v>-0.011470113085622</v>
      </c>
      <c r="C147" s="105" t="n">
        <f aca="false">IFERROR(IF(OR(NOT(ISNUMBER('Price History'!C148)),NOT(ISNUMBER('Price History'!C147)),'Price History'!C147=0),"",'Price History'!C148/'Price History'!C147-1),"")</f>
        <v>0.0849475241248152</v>
      </c>
      <c r="D147" s="105" t="n">
        <f aca="false">IFERROR(IF(OR(NOT(ISNUMBER('Price History'!D148)),NOT(ISNUMBER('Price History'!D147)),'Price History'!D147=0),"",'Price History'!D148/'Price History'!D147-1),"")</f>
        <v>0.0872880058063272</v>
      </c>
      <c r="E147" s="105" t="n">
        <f aca="false">IFERROR(IF(OR(NOT(ISNUMBER('Price History'!E148)),NOT(ISNUMBER('Price History'!E147)),'Price History'!E147=0),"",'Price History'!E148/'Price History'!E147-1),"")</f>
        <v>-0.0259883816646675</v>
      </c>
      <c r="F147" s="105" t="n">
        <f aca="false">IFERROR(IF(OR(NOT(ISNUMBER('Price History'!F148)),NOT(ISNUMBER('Price History'!F147)),'Price History'!F147=0),"",'Price History'!F148/'Price History'!F147-1),"")</f>
        <v>0.116819283598169</v>
      </c>
      <c r="G147" s="105" t="n">
        <f aca="false">IFERROR(IF(OR(NOT(ISNUMBER('Price History'!G148)),NOT(ISNUMBER('Price History'!G147)),'Price History'!G147=0),"",'Price History'!G148/'Price History'!G147-1),"")</f>
        <v>0.0466108740231668</v>
      </c>
      <c r="H147" s="105" t="n">
        <f aca="false">IFERROR(IF(OR(NOT(ISNUMBER('Price History'!H148)),NOT(ISNUMBER('Price History'!H147)),'Price History'!H147=0),"",'Price History'!H148/'Price History'!H147-1),"")</f>
        <v>0.0363480804791212</v>
      </c>
      <c r="I147" s="105" t="n">
        <f aca="false">IFERROR(IF(OR(NOT(ISNUMBER('Price History'!I148)),NOT(ISNUMBER('Price History'!I147)),'Price History'!I147=0),"",'Price History'!I148/'Price History'!I147-1),"")</f>
        <v>-0.0443369430143795</v>
      </c>
      <c r="J147" s="105" t="n">
        <f aca="false">IFERROR(IF(OR(NOT(ISNUMBER('Price History'!J148)),NOT(ISNUMBER('Price History'!J147)),'Price History'!J147=0),"",'Price History'!J148/'Price History'!J147-1),"")</f>
        <v>0.0382124813207145</v>
      </c>
      <c r="K147" s="105" t="n">
        <f aca="false">IFERROR(IF(OR(NOT(ISNUMBER('Price History'!K148)),NOT(ISNUMBER('Price History'!K147)),'Price History'!K147=0),"",'Price History'!K148/'Price History'!K147-1),"")</f>
        <v>0.0215687737890886</v>
      </c>
      <c r="L147" s="105" t="n">
        <f aca="false">IFERROR(IF(OR(NOT(ISNUMBER('Price History'!L148)),NOT(ISNUMBER('Price History'!L147)),'Price History'!L147=0),"",'Price History'!L148/'Price History'!L147-1),"")</f>
        <v>0.000420427847162008</v>
      </c>
      <c r="M147" s="105" t="n">
        <f aca="false">IFERROR(IF(OR(NOT(ISNUMBER('Price History'!M148)),NOT(ISNUMBER('Price History'!M147)),'Price History'!M147=0),"",'Price History'!M148/'Price History'!M147-1),"")</f>
        <v>-0.117215722219227</v>
      </c>
      <c r="N147" s="105" t="n">
        <f aca="false">IFERROR(IF(OR(NOT(ISNUMBER('Price History'!N148)),NOT(ISNUMBER('Price History'!N147)),'Price History'!N147=0),"",'Price History'!N148/'Price History'!N147-1),"")</f>
        <v>-0.00556127703398557</v>
      </c>
      <c r="O147" s="105" t="n">
        <f aca="false">IFERROR(IF(OR(NOT(ISNUMBER('Price History'!O148)),NOT(ISNUMBER('Price History'!O147)),'Price History'!O147=0),"",'Price History'!O148/'Price History'!O147-1),"")</f>
        <v>0.0237100213219617</v>
      </c>
      <c r="P147" s="105" t="str">
        <f aca="false">IFERROR(IF(OR(NOT(ISNUMBER('Price History'!P148)),NOT(ISNUMBER('Price History'!P147)),'Price History'!P147=0),"",'Price History'!P148/'Price History'!P147-1),"")</f>
        <v/>
      </c>
      <c r="Q147" s="105" t="n">
        <f aca="false">IFERROR(IF(OR(NOT(ISNUMBER('Price History'!Q148)),NOT(ISNUMBER('Price History'!Q147)),'Price History'!Q147=0),"",'Price History'!Q148/'Price History'!Q147-1),"")</f>
        <v>0.0109483651427724</v>
      </c>
      <c r="R147" s="105" t="n">
        <f aca="false">IFERROR(IF(OR(NOT(ISNUMBER('Price History'!R148)),NOT(ISNUMBER('Price History'!R147)),'Price History'!R147=0),"",'Price History'!R148/'Price History'!R147-1),"")</f>
        <v>0.00736155261837035</v>
      </c>
      <c r="S147" s="105" t="n">
        <f aca="false">IFERROR(IF(OR(NOT(ISNUMBER('Price History'!S148)),NOT(ISNUMBER('Price History'!S147)),'Price History'!S147=0),"",'Price History'!S148/'Price History'!S147-1),"")</f>
        <v>0.0101756342347366</v>
      </c>
      <c r="T147" s="105" t="n">
        <f aca="false">IFERROR(IF(OR(NOT(ISNUMBER('Price History'!T148)),NOT(ISNUMBER('Price History'!T147)),'Price History'!T147=0),"",'Price History'!T148/'Price History'!T147-1),"")</f>
        <v>0.0395294117647058</v>
      </c>
      <c r="U147" s="105" t="str">
        <f aca="false">IFERROR(IF(OR(NOT(ISNUMBER('Price History'!U148)),NOT(ISNUMBER('Price History'!U147)),'Price History'!U147=0),"",'Price History'!U148/'Price History'!U147-1),"")</f>
        <v/>
      </c>
      <c r="V147" s="106" t="n">
        <f aca="false">IFERROR(IF(OR(NOT(ISNUMBER('Price History'!V148)),NOT(ISNUMBER('Price History'!V147)),'Price History'!V147=0),"",'Price History'!V148/'Price History'!V147-1),"")</f>
        <v>0.00959557127479616</v>
      </c>
      <c r="W147" s="107" t="n">
        <f aca="false">'Price History'!B3+('Price History'!B158-'Price History'!B3)*0.935064935064935</f>
        <v>267.165844155844</v>
      </c>
      <c r="X147" s="107" t="n">
        <f aca="false">'Price History'!C3+('Price History'!C158-'Price History'!C3)*0.935064935064935</f>
        <v>171.479220779221</v>
      </c>
      <c r="Y147" s="107" t="n">
        <f aca="false">'Price History'!D3+('Price History'!D158-'Price History'!D3)*0.935064935064935</f>
        <v>1566.19350649351</v>
      </c>
      <c r="Z147" s="107" t="n">
        <f aca="false">'Price History'!E3+('Price History'!E158-'Price History'!E3)*0.935064935064935</f>
        <v>369.39038961039</v>
      </c>
      <c r="AA147" s="107" t="n">
        <f aca="false">'Price History'!F3+('Price History'!F158-'Price History'!F3)*0.935064935064935</f>
        <v>180.872987012987</v>
      </c>
      <c r="AB147" s="107" t="n">
        <f aca="false">'Price History'!G3+('Price History'!G158-'Price History'!G3)*0.935064935064935</f>
        <v>174.058961038961</v>
      </c>
      <c r="AC147" s="107" t="n">
        <f aca="false">'Price History'!H3+('Price History'!H158-'Price History'!H3)*0.935064935064935</f>
        <v>773.766363636364</v>
      </c>
      <c r="AD147" s="107" t="n">
        <f aca="false">'Price History'!I3+('Price History'!I158-'Price History'!I3)*0.935064935064935</f>
        <v>190.366883116883</v>
      </c>
      <c r="AE147" s="107" t="n">
        <f aca="false">'Price History'!J3+('Price History'!J158-'Price History'!J3)*0.935064935064935</f>
        <v>143.23987012987</v>
      </c>
      <c r="AF147" s="107" t="n">
        <f aca="false">'Price History'!K3+('Price History'!K158-'Price History'!K3)*0.935064935064935</f>
        <v>116.06974025974</v>
      </c>
      <c r="AG147" s="107" t="n">
        <f aca="false">'Price History'!L3+('Price History'!L158-'Price History'!L3)*0.935064935064935</f>
        <v>383.973376623377</v>
      </c>
      <c r="AH147" s="107" t="n">
        <f aca="false">'Price History'!M3+('Price History'!M158-'Price History'!M3)*0.935064935064935</f>
        <v>228.05961038961</v>
      </c>
      <c r="AI147" s="107" t="n">
        <f aca="false">'Price History'!N3+('Price History'!N158-'Price History'!N3)*0.935064935064935</f>
        <v>468.837662337662</v>
      </c>
      <c r="AJ147" s="107" t="n">
        <f aca="false">'Price History'!O3+('Price History'!O158-'Price History'!O3)*0.935064935064935</f>
        <v>122.524805194805</v>
      </c>
      <c r="AK147" s="107" t="n">
        <f aca="false">'Price History'!Q3+('Price History'!Q151-'Price History'!Q3)*0.935064935064935</f>
        <v>67.2415584415584</v>
      </c>
      <c r="AL147" s="107" t="n">
        <f aca="false">'Price History'!R3+('Price History'!R158-'Price History'!R3)*0.935064935064935</f>
        <v>57.5727272727273</v>
      </c>
      <c r="AM147" s="107" t="n">
        <f aca="false">'Price History'!S3+('Price History'!S158-'Price History'!S3)*0.935064935064935</f>
        <v>138.291688311688</v>
      </c>
      <c r="AN147" s="107" t="n">
        <f aca="false">'Price History'!T3+('Price History'!T158-'Price History'!T3)*0.935064935064935</f>
        <v>48.2575324675325</v>
      </c>
    </row>
    <row r="148" customFormat="false" ht="15" hidden="false" customHeight="true" outlineLevel="0" collapsed="false">
      <c r="A148" s="104" t="n">
        <f aca="false">IF('Price History'!A149="","",'Price History'!A149)</f>
        <v>46171</v>
      </c>
      <c r="B148" s="105" t="n">
        <f aca="false">IFERROR(IF(OR(NOT(ISNUMBER('Price History'!B149)),NOT(ISNUMBER('Price History'!B148)),'Price History'!B148=0),"",'Price History'!B149/'Price History'!B148-1),"")</f>
        <v>0.0590374244157541</v>
      </c>
      <c r="C148" s="105" t="n">
        <f aca="false">IFERROR(IF(OR(NOT(ISNUMBER('Price History'!C149)),NOT(ISNUMBER('Price History'!C148)),'Price History'!C148=0),"",'Price History'!C149/'Price History'!C148-1),"")</f>
        <v>0.0353177952346946</v>
      </c>
      <c r="D148" s="105" t="n">
        <f aca="false">IFERROR(IF(OR(NOT(ISNUMBER('Price History'!D149)),NOT(ISNUMBER('Price History'!D148)),'Price History'!D148=0),"",'Price History'!D149/'Price History'!D148-1),"")</f>
        <v>-0.0123338844999694</v>
      </c>
      <c r="E148" s="105" t="n">
        <f aca="false">IFERROR(IF(OR(NOT(ISNUMBER('Price History'!E149)),NOT(ISNUMBER('Price History'!E148)),'Price History'!E148=0),"",'Price History'!E149/'Price History'!E148-1),"")</f>
        <v>0.0787897812333993</v>
      </c>
      <c r="F148" s="105" t="n">
        <f aca="false">IFERROR(IF(OR(NOT(ISNUMBER('Price History'!F149)),NOT(ISNUMBER('Price History'!F148)),'Price History'!F148=0),"",'Price History'!F149/'Price History'!F148-1),"")</f>
        <v>0.10176644360041</v>
      </c>
      <c r="G148" s="105" t="n">
        <f aca="false">IFERROR(IF(OR(NOT(ISNUMBER('Price History'!G149)),NOT(ISNUMBER('Price History'!G148)),'Price History'!G148=0),"",'Price History'!G149/'Price History'!G148-1),"")</f>
        <v>0.0176339758525734</v>
      </c>
      <c r="H148" s="105" t="n">
        <f aca="false">IFERROR(IF(OR(NOT(ISNUMBER('Price History'!H149)),NOT(ISNUMBER('Price History'!H148)),'Price History'!H148=0),"",'Price History'!H149/'Price History'!H148-1),"")</f>
        <v>0.292942743009321</v>
      </c>
      <c r="I148" s="105" t="n">
        <f aca="false">IFERROR(IF(OR(NOT(ISNUMBER('Price History'!I149)),NOT(ISNUMBER('Price History'!I148)),'Price History'!I148=0),"",'Price History'!I149/'Price History'!I148-1),"")</f>
        <v>-0.0194585055496216</v>
      </c>
      <c r="J148" s="105" t="n">
        <f aca="false">IFERROR(IF(OR(NOT(ISNUMBER('Price History'!J149)),NOT(ISNUMBER('Price History'!J148)),'Price History'!J148=0),"",'Price History'!J149/'Price History'!J148-1),"")</f>
        <v>-0.0166552433173407</v>
      </c>
      <c r="K148" s="105" t="n">
        <f aca="false">IFERROR(IF(OR(NOT(ISNUMBER('Price History'!K149)),NOT(ISNUMBER('Price History'!K148)),'Price History'!K148=0),"",'Price History'!K149/'Price History'!K148-1),"")</f>
        <v>0.143629456458211</v>
      </c>
      <c r="L148" s="105" t="n">
        <f aca="false">IFERROR(IF(OR(NOT(ISNUMBER('Price History'!L149)),NOT(ISNUMBER('Price History'!L148)),'Price History'!L148=0),"",'Price History'!L149/'Price History'!L148-1),"")</f>
        <v>0.0344358746168298</v>
      </c>
      <c r="M148" s="105" t="n">
        <f aca="false">IFERROR(IF(OR(NOT(ISNUMBER('Price History'!M149)),NOT(ISNUMBER('Price History'!M148)),'Price History'!M148=0),"",'Price History'!M149/'Price History'!M148-1),"")</f>
        <v>-0.0358822451597142</v>
      </c>
      <c r="N148" s="105" t="n">
        <f aca="false">IFERROR(IF(OR(NOT(ISNUMBER('Price History'!N149)),NOT(ISNUMBER('Price History'!N148)),'Price History'!N148=0),"",'Price History'!N149/'Price History'!N148-1),"")</f>
        <v>0.0299640983153826</v>
      </c>
      <c r="O148" s="105" t="n">
        <f aca="false">IFERROR(IF(OR(NOT(ISNUMBER('Price History'!O149)),NOT(ISNUMBER('Price History'!O148)),'Price History'!O148=0),"",'Price History'!O149/'Price History'!O148-1),"")</f>
        <v>0.000166625010413979</v>
      </c>
      <c r="P148" s="105" t="str">
        <f aca="false">IFERROR(IF(OR(NOT(ISNUMBER('Price History'!P149)),NOT(ISNUMBER('Price History'!P148)),'Price History'!P148=0),"",'Price History'!P149/'Price History'!P148-1),"")</f>
        <v/>
      </c>
      <c r="Q148" s="105" t="n">
        <f aca="false">IFERROR(IF(OR(NOT(ISNUMBER('Price History'!Q149)),NOT(ISNUMBER('Price History'!Q148)),'Price History'!Q148=0),"",'Price History'!Q149/'Price History'!Q148-1),"")</f>
        <v>-0.00921996194936336</v>
      </c>
      <c r="R148" s="105" t="n">
        <f aca="false">IFERROR(IF(OR(NOT(ISNUMBER('Price History'!R149)),NOT(ISNUMBER('Price History'!R148)),'Price History'!R148=0),"",'Price History'!R149/'Price History'!R148-1),"")</f>
        <v>0.0156120245806344</v>
      </c>
      <c r="S148" s="105" t="n">
        <f aca="false">IFERROR(IF(OR(NOT(ISNUMBER('Price History'!S149)),NOT(ISNUMBER('Price History'!S148)),'Price History'!S148=0),"",'Price History'!S149/'Price History'!S148-1),"")</f>
        <v>0.0389816475783082</v>
      </c>
      <c r="T148" s="105" t="n">
        <f aca="false">IFERROR(IF(OR(NOT(ISNUMBER('Price History'!T149)),NOT(ISNUMBER('Price History'!T148)),'Price History'!T148=0),"",'Price History'!T149/'Price History'!T148-1),"")</f>
        <v>0.0540968764146672</v>
      </c>
      <c r="U148" s="105" t="str">
        <f aca="false">IFERROR(IF(OR(NOT(ISNUMBER('Price History'!U149)),NOT(ISNUMBER('Price History'!U148)),'Price History'!U148=0),"",'Price History'!U149/'Price History'!U148-1),"")</f>
        <v/>
      </c>
      <c r="V148" s="106" t="n">
        <f aca="false">IFERROR(IF(OR(NOT(ISNUMBER('Price History'!V149)),NOT(ISNUMBER('Price History'!V148)),'Price History'!V148=0),"",'Price History'!V149/'Price History'!V148-1),"")</f>
        <v>-0.00767660767051503</v>
      </c>
      <c r="W148" s="107" t="n">
        <f aca="false">'Price History'!B3+('Price History'!B158-'Price History'!B3)*0.941558441558442</f>
        <v>265.49025974026</v>
      </c>
      <c r="X148" s="107" t="n">
        <f aca="false">'Price History'!C3+('Price History'!C158-'Price History'!C3)*0.941558441558442</f>
        <v>172.366298701299</v>
      </c>
      <c r="Y148" s="107" t="n">
        <f aca="false">'Price History'!D3+('Price History'!D158-'Price History'!D3)*0.941558441558442</f>
        <v>1572.47415584416</v>
      </c>
      <c r="Z148" s="107" t="n">
        <f aca="false">'Price History'!E3+('Price History'!E158-'Price History'!E3)*0.941558441558442</f>
        <v>371.379350649351</v>
      </c>
      <c r="AA148" s="107" t="n">
        <f aca="false">'Price History'!F3+('Price History'!F158-'Price History'!F3)*0.941558441558442</f>
        <v>181.871688311688</v>
      </c>
      <c r="AB148" s="107" t="n">
        <f aca="false">'Price History'!G3+('Price History'!G158-'Price History'!G3)*0.941558441558442</f>
        <v>174.935064935065</v>
      </c>
      <c r="AC148" s="107" t="n">
        <f aca="false">'Price History'!H3+('Price History'!H158-'Price History'!H3)*0.941558441558442</f>
        <v>778.692727272728</v>
      </c>
      <c r="AD148" s="107" t="n">
        <f aca="false">'Price History'!I3+('Price History'!I158-'Price History'!I3)*0.941558441558442</f>
        <v>191.405194805195</v>
      </c>
      <c r="AE148" s="107" t="n">
        <f aca="false">'Price History'!J3+('Price History'!J158-'Price History'!J3)*0.941558441558442</f>
        <v>143.376883116883</v>
      </c>
      <c r="AF148" s="107" t="n">
        <f aca="false">'Price History'!K3+('Price History'!K158-'Price History'!K3)*0.941558441558442</f>
        <v>116.768766233766</v>
      </c>
      <c r="AG148" s="107" t="n">
        <f aca="false">'Price History'!L3+('Price History'!L158-'Price History'!L3)*0.941558441558442</f>
        <v>386.001038961039</v>
      </c>
      <c r="AH148" s="107" t="n">
        <f aca="false">'Price History'!M3+('Price History'!M158-'Price History'!M3)*0.941558441558442</f>
        <v>229.410649350649</v>
      </c>
      <c r="AI148" s="107" t="n">
        <f aca="false">'Price History'!N3+('Price History'!N158-'Price History'!N3)*0.941558441558442</f>
        <v>469.663896103896</v>
      </c>
      <c r="AJ148" s="107" t="n">
        <f aca="false">'Price History'!O3+('Price History'!O158-'Price History'!O3)*0.941558441558442</f>
        <v>122.800324675325</v>
      </c>
      <c r="AK148" s="107" t="n">
        <f aca="false">'Price History'!Q3+('Price History'!Q151-'Price History'!Q3)*0.941558441558442</f>
        <v>67.3624025974026</v>
      </c>
      <c r="AL148" s="107" t="n">
        <f aca="false">'Price History'!R3+('Price History'!R158-'Price History'!R3)*0.941558441558442</f>
        <v>57.6404545454546</v>
      </c>
      <c r="AM148" s="107" t="n">
        <f aca="false">'Price History'!S3+('Price History'!S158-'Price History'!S3)*0.941558441558442</f>
        <v>138.84551948052</v>
      </c>
      <c r="AN148" s="107" t="n">
        <f aca="false">'Price History'!T3+('Price History'!T158-'Price History'!T3)*0.941558441558442</f>
        <v>48.4057792207792</v>
      </c>
    </row>
    <row r="149" customFormat="false" ht="15" hidden="false" customHeight="true" outlineLevel="0" collapsed="false">
      <c r="A149" s="104" t="n">
        <f aca="false">IF('Price History'!A150="","",'Price History'!A150)</f>
        <v>46178</v>
      </c>
      <c r="B149" s="105" t="n">
        <f aca="false">IFERROR(IF(OR(NOT(ISNUMBER('Price History'!B150)),NOT(ISNUMBER('Price History'!B149)),'Price History'!B149=0),"",'Price History'!B150/'Price History'!B149-1),"")</f>
        <v>-0.0299756953821225</v>
      </c>
      <c r="C149" s="105" t="n">
        <f aca="false">IFERROR(IF(OR(NOT(ISNUMBER('Price History'!C150)),NOT(ISNUMBER('Price History'!C149)),'Price History'!C149=0),"",'Price History'!C150/'Price History'!C149-1),"")</f>
        <v>-0.032608014046529</v>
      </c>
      <c r="D149" s="105" t="n">
        <f aca="false">IFERROR(IF(OR(NOT(ISNUMBER('Price History'!D150)),NOT(ISNUMBER('Price History'!D149)),'Price History'!D149=0),"",'Price History'!D150/'Price History'!D149-1),"")</f>
        <v>0.0179691956645751</v>
      </c>
      <c r="E149" s="105" t="n">
        <f aca="false">IFERROR(IF(OR(NOT(ISNUMBER('Price History'!E150)),NOT(ISNUMBER('Price History'!E149)),'Price History'!E149=0),"",'Price History'!E150/'Price History'!E149-1),"")</f>
        <v>-0.136625109116548</v>
      </c>
      <c r="F149" s="105" t="n">
        <f aca="false">IFERROR(IF(OR(NOT(ISNUMBER('Price History'!F150)),NOT(ISNUMBER('Price History'!F149)),'Price History'!F149=0),"",'Price History'!F150/'Price History'!F149-1),"")</f>
        <v>-0.0820246238030097</v>
      </c>
      <c r="G149" s="105" t="n">
        <f aca="false">IFERROR(IF(OR(NOT(ISNUMBER('Price History'!G150)),NOT(ISNUMBER('Price History'!G149)),'Price History'!G149=0),"",'Price History'!G150/'Price History'!G149-1),"")</f>
        <v>0.003902794400791</v>
      </c>
      <c r="H149" s="105" t="n">
        <f aca="false">IFERROR(IF(OR(NOT(ISNUMBER('Price History'!H150)),NOT(ISNUMBER('Price History'!H149)),'Price History'!H149=0),"",'Price History'!H150/'Price History'!H149-1),"")</f>
        <v>-0.110185375901133</v>
      </c>
      <c r="I149" s="105" t="n">
        <f aca="false">IFERROR(IF(OR(NOT(ISNUMBER('Price History'!I150)),NOT(ISNUMBER('Price History'!I149)),'Price History'!I149=0),"",'Price History'!I150/'Price History'!I149-1),"")</f>
        <v>-0.0286066117268163</v>
      </c>
      <c r="J149" s="105" t="n">
        <f aca="false">IFERROR(IF(OR(NOT(ISNUMBER('Price History'!J150)),NOT(ISNUMBER('Price History'!J149)),'Price History'!J149=0),"",'Price History'!J150/'Price History'!J149-1),"")</f>
        <v>0.00745800515787276</v>
      </c>
      <c r="K149" s="105" t="n">
        <f aca="false">IFERROR(IF(OR(NOT(ISNUMBER('Price History'!K150)),NOT(ISNUMBER('Price History'!K149)),'Price History'!K149=0),"",'Price History'!K150/'Price History'!K149-1),"")</f>
        <v>-0.134214897150888</v>
      </c>
      <c r="L149" s="105" t="n">
        <f aca="false">IFERROR(IF(OR(NOT(ISNUMBER('Price History'!L150)),NOT(ISNUMBER('Price History'!L149)),'Price History'!L149=0),"",'Price History'!L150/'Price History'!L149-1),"")</f>
        <v>-0.00783845142788853</v>
      </c>
      <c r="M149" s="105" t="n">
        <f aca="false">IFERROR(IF(OR(NOT(ISNUMBER('Price History'!M150)),NOT(ISNUMBER('Price History'!M149)),'Price History'!M149=0),"",'Price History'!M150/'Price History'!M149-1),"")</f>
        <v>-0.0481454499382344</v>
      </c>
      <c r="N149" s="105" t="n">
        <f aca="false">IFERROR(IF(OR(NOT(ISNUMBER('Price History'!N150)),NOT(ISNUMBER('Price History'!N149)),'Price History'!N149=0),"",'Price History'!N150/'Price History'!N149-1),"")</f>
        <v>-0.00158645037315108</v>
      </c>
      <c r="O149" s="105" t="n">
        <f aca="false">IFERROR(IF(OR(NOT(ISNUMBER('Price History'!O150)),NOT(ISNUMBER('Price History'!O149)),'Price History'!O149=0),"",'Price History'!O150/'Price History'!O149-1),"")</f>
        <v>-0.00291545189504372</v>
      </c>
      <c r="P149" s="105" t="str">
        <f aca="false">IFERROR(IF(OR(NOT(ISNUMBER('Price History'!P150)),NOT(ISNUMBER('Price History'!P149)),'Price History'!P149=0),"",'Price History'!P150/'Price History'!P149-1),"")</f>
        <v/>
      </c>
      <c r="Q149" s="105" t="n">
        <f aca="false">IFERROR(IF(OR(NOT(ISNUMBER('Price History'!Q150)),NOT(ISNUMBER('Price History'!Q149)),'Price History'!Q149=0),"",'Price History'!Q150/'Price History'!Q149-1),"")</f>
        <v>-0.0017725258493354</v>
      </c>
      <c r="R149" s="105" t="n">
        <f aca="false">IFERROR(IF(OR(NOT(ISNUMBER('Price History'!R150)),NOT(ISNUMBER('Price History'!R149)),'Price History'!R149=0),"",'Price History'!R150/'Price History'!R149-1),"")</f>
        <v>-0.0367947669664759</v>
      </c>
      <c r="S149" s="105" t="n">
        <f aca="false">IFERROR(IF(OR(NOT(ISNUMBER('Price History'!S150)),NOT(ISNUMBER('Price History'!S149)),'Price History'!S149=0),"",'Price History'!S150/'Price History'!S149-1),"")</f>
        <v>-0.0419018527126636</v>
      </c>
      <c r="T149" s="105" t="n">
        <f aca="false">IFERROR(IF(OR(NOT(ISNUMBER('Price History'!T150)),NOT(ISNUMBER('Price History'!T149)),'Price History'!T149=0),"",'Price History'!T150/'Price History'!T149-1),"")</f>
        <v>-0.0111659866867082</v>
      </c>
      <c r="U149" s="105" t="str">
        <f aca="false">IFERROR(IF(OR(NOT(ISNUMBER('Price History'!U150)),NOT(ISNUMBER('Price History'!U149)),'Price History'!U149=0),"",'Price History'!U150/'Price History'!U149-1),"")</f>
        <v/>
      </c>
      <c r="V149" s="106" t="n">
        <f aca="false">IFERROR(IF(OR(NOT(ISNUMBER('Price History'!V150)),NOT(ISNUMBER('Price History'!V149)),'Price History'!V149=0),"",'Price History'!V150/'Price History'!V149-1),"")</f>
        <v>-0.00853415195702212</v>
      </c>
      <c r="W149" s="107" t="n">
        <f aca="false">'Price History'!B3+('Price History'!B158-'Price History'!B3)*0.948051948051948</f>
        <v>263.814675324675</v>
      </c>
      <c r="X149" s="107" t="n">
        <f aca="false">'Price History'!C3+('Price History'!C158-'Price History'!C3)*0.948051948051948</f>
        <v>173.253376623377</v>
      </c>
      <c r="Y149" s="107" t="n">
        <f aca="false">'Price History'!D3+('Price History'!D158-'Price History'!D3)*0.948051948051948</f>
        <v>1578.75480519481</v>
      </c>
      <c r="Z149" s="107" t="n">
        <f aca="false">'Price History'!E3+('Price History'!E158-'Price History'!E3)*0.948051948051948</f>
        <v>373.368311688312</v>
      </c>
      <c r="AA149" s="107" t="n">
        <f aca="false">'Price History'!F3+('Price History'!F158-'Price History'!F3)*0.948051948051948</f>
        <v>182.87038961039</v>
      </c>
      <c r="AB149" s="107" t="n">
        <f aca="false">'Price History'!G3+('Price History'!G158-'Price History'!G3)*0.948051948051948</f>
        <v>175.811168831169</v>
      </c>
      <c r="AC149" s="107" t="n">
        <f aca="false">'Price History'!H3+('Price History'!H158-'Price History'!H3)*0.948051948051948</f>
        <v>783.619090909091</v>
      </c>
      <c r="AD149" s="107" t="n">
        <f aca="false">'Price History'!I3+('Price History'!I158-'Price History'!I3)*0.948051948051948</f>
        <v>192.443506493507</v>
      </c>
      <c r="AE149" s="107" t="n">
        <f aca="false">'Price History'!J3+('Price History'!J158-'Price History'!J3)*0.948051948051948</f>
        <v>143.513896103896</v>
      </c>
      <c r="AF149" s="107" t="n">
        <f aca="false">'Price History'!K3+('Price History'!K158-'Price History'!K3)*0.948051948051948</f>
        <v>117.467792207792</v>
      </c>
      <c r="AG149" s="107" t="n">
        <f aca="false">'Price History'!L3+('Price History'!L158-'Price History'!L3)*0.948051948051948</f>
        <v>388.028701298701</v>
      </c>
      <c r="AH149" s="107" t="n">
        <f aca="false">'Price History'!M3+('Price History'!M158-'Price History'!M3)*0.948051948051948</f>
        <v>230.761688311688</v>
      </c>
      <c r="AI149" s="107" t="n">
        <f aca="false">'Price History'!N3+('Price History'!N158-'Price History'!N3)*0.948051948051948</f>
        <v>470.49012987013</v>
      </c>
      <c r="AJ149" s="107" t="n">
        <f aca="false">'Price History'!O3+('Price History'!O158-'Price History'!O3)*0.948051948051948</f>
        <v>123.075844155844</v>
      </c>
      <c r="AK149" s="107" t="n">
        <f aca="false">'Price History'!Q3+('Price History'!Q151-'Price History'!Q3)*0.948051948051948</f>
        <v>67.4832467532468</v>
      </c>
      <c r="AL149" s="107" t="n">
        <f aca="false">'Price History'!R3+('Price History'!R158-'Price History'!R3)*0.948051948051948</f>
        <v>57.7081818181818</v>
      </c>
      <c r="AM149" s="107" t="n">
        <f aca="false">'Price History'!S3+('Price History'!S158-'Price History'!S3)*0.948051948051948</f>
        <v>139.399350649351</v>
      </c>
      <c r="AN149" s="107" t="n">
        <f aca="false">'Price History'!T3+('Price History'!T158-'Price History'!T3)*0.948051948051948</f>
        <v>48.554025974026</v>
      </c>
    </row>
    <row r="150" customFormat="false" ht="15" hidden="false" customHeight="true" outlineLevel="0" collapsed="false">
      <c r="A150" s="104" t="n">
        <f aca="false">IF('Price History'!A151="","",'Price History'!A151)</f>
        <v>46185</v>
      </c>
      <c r="B150" s="105" t="n">
        <f aca="false">IFERROR(IF(OR(NOT(ISNUMBER('Price History'!B151)),NOT(ISNUMBER('Price History'!B150)),'Price History'!B150=0),"",'Price History'!B151/'Price History'!B150-1),"")</f>
        <v>-0.188593700286351</v>
      </c>
      <c r="C150" s="105" t="n">
        <f aca="false">IFERROR(IF(OR(NOT(ISNUMBER('Price History'!C151)),NOT(ISNUMBER('Price History'!C150)),'Price History'!C150=0),"",'Price History'!C151/'Price History'!C150-1),"")</f>
        <v>0.0581448110455693</v>
      </c>
      <c r="D150" s="105" t="n">
        <f aca="false">IFERROR(IF(OR(NOT(ISNUMBER('Price History'!D151)),NOT(ISNUMBER('Price History'!D150)),'Price History'!D150=0),"",'Price History'!D151/'Price History'!D150-1),"")</f>
        <v>0.135106655134187</v>
      </c>
      <c r="E150" s="105" t="n">
        <f aca="false">IFERROR(IF(OR(NOT(ISNUMBER('Price History'!E151)),NOT(ISNUMBER('Price History'!E150)),'Price History'!E150=0),"",'Price History'!E151/'Price History'!E150-1),"")</f>
        <v>-0.00948850232027587</v>
      </c>
      <c r="F150" s="105" t="n">
        <f aca="false">IFERROR(IF(OR(NOT(ISNUMBER('Price History'!F151)),NOT(ISNUMBER('Price History'!F150)),'Price History'!F150=0),"",'Price History'!F151/'Price History'!F150-1),"")</f>
        <v>0.0175250357653791</v>
      </c>
      <c r="G150" s="105" t="n">
        <f aca="false">IFERROR(IF(OR(NOT(ISNUMBER('Price History'!G151)),NOT(ISNUMBER('Price History'!G150)),'Price History'!G150=0),"",'Price History'!G151/'Price History'!G150-1),"")</f>
        <v>0.319407008086253</v>
      </c>
      <c r="H150" s="105" t="n">
        <f aca="false">IFERROR(IF(OR(NOT(ISNUMBER('Price History'!H151)),NOT(ISNUMBER('Price History'!H150)),'Price History'!H150=0),"",'Price History'!H151/'Price History'!H150-1),"")</f>
        <v>0.136109535769262</v>
      </c>
      <c r="I150" s="105" t="n">
        <f aca="false">IFERROR(IF(OR(NOT(ISNUMBER('Price History'!I151)),NOT(ISNUMBER('Price History'!I150)),'Price History'!I150=0),"",'Price History'!I151/'Price History'!I150-1),"")</f>
        <v>0.000438810336421236</v>
      </c>
      <c r="J150" s="105" t="n">
        <f aca="false">IFERROR(IF(OR(NOT(ISNUMBER('Price History'!J151)),NOT(ISNUMBER('Price History'!J150)),'Price History'!J150=0),"",'Price History'!J151/'Price History'!J150-1),"")</f>
        <v>0.0290577002905772</v>
      </c>
      <c r="K150" s="105" t="n">
        <f aca="false">IFERROR(IF(OR(NOT(ISNUMBER('Price History'!K151)),NOT(ISNUMBER('Price History'!K150)),'Price History'!K150=0),"",'Price History'!K151/'Price History'!K150-1),"")</f>
        <v>-0.0556334390909762</v>
      </c>
      <c r="L150" s="105" t="n">
        <f aca="false">IFERROR(IF(OR(NOT(ISNUMBER('Price History'!L151)),NOT(ISNUMBER('Price History'!L150)),'Price History'!L150=0),"",'Price History'!L151/'Price History'!L150-1),"")</f>
        <v>0.0210997904472867</v>
      </c>
      <c r="M150" s="105" t="n">
        <f aca="false">IFERROR(IF(OR(NOT(ISNUMBER('Price History'!M151)),NOT(ISNUMBER('Price History'!M150)),'Price History'!M150=0),"",'Price History'!M151/'Price History'!M150-1),"")</f>
        <v>0.00785331602941675</v>
      </c>
      <c r="N150" s="105" t="n">
        <f aca="false">IFERROR(IF(OR(NOT(ISNUMBER('Price History'!N151)),NOT(ISNUMBER('Price History'!N150)),'Price History'!N150=0),"",'Price History'!N151/'Price History'!N150-1),"")</f>
        <v>-0.0042521764429424</v>
      </c>
      <c r="O150" s="105" t="n">
        <f aca="false">IFERROR(IF(OR(NOT(ISNUMBER('Price History'!O151)),NOT(ISNUMBER('Price History'!O150)),'Price History'!O150=0),"",'Price History'!O151/'Price History'!O150-1),"")</f>
        <v>0.0390977443609022</v>
      </c>
      <c r="P150" s="105" t="str">
        <f aca="false">IFERROR(IF(OR(NOT(ISNUMBER('Price History'!P151)),NOT(ISNUMBER('Price History'!P150)),'Price History'!P150=0),"",'Price History'!P151/'Price History'!P150-1),"")</f>
        <v/>
      </c>
      <c r="Q150" s="105" t="n">
        <f aca="false">IFERROR(IF(OR(NOT(ISNUMBER('Price History'!Q151)),NOT(ISNUMBER('Price History'!Q150)),'Price History'!Q150=0),"",'Price History'!Q151/'Price History'!Q150-1),"")</f>
        <v>0.0128736312518498</v>
      </c>
      <c r="R150" s="105" t="n">
        <f aca="false">IFERROR(IF(OR(NOT(ISNUMBER('Price History'!R151)),NOT(ISNUMBER('Price History'!R150)),'Price History'!R150=0),"",'Price History'!R151/'Price History'!R150-1),"")</f>
        <v>0.0162988115449916</v>
      </c>
      <c r="S150" s="105" t="n">
        <f aca="false">IFERROR(IF(OR(NOT(ISNUMBER('Price History'!S151)),NOT(ISNUMBER('Price History'!S150)),'Price History'!S150=0),"",'Price History'!S151/'Price History'!S150-1),"")</f>
        <v>0.0568339340171886</v>
      </c>
      <c r="T150" s="105" t="n">
        <f aca="false">IFERROR(IF(OR(NOT(ISNUMBER('Price History'!T151)),NOT(ISNUMBER('Price History'!T150)),'Price History'!T150=0),"",'Price History'!T151/'Price History'!T150-1),"")</f>
        <v>0.00521172638436496</v>
      </c>
      <c r="U150" s="105" t="str">
        <f aca="false">IFERROR(IF(OR(NOT(ISNUMBER('Price History'!U151)),NOT(ISNUMBER('Price History'!U150)),'Price History'!U150=0),"",'Price History'!U151/'Price History'!U150-1),"")</f>
        <v/>
      </c>
      <c r="V150" s="106" t="n">
        <f aca="false">IFERROR(IF(OR(NOT(ISNUMBER('Price History'!V151)),NOT(ISNUMBER('Price History'!V150)),'Price History'!V150=0),"",'Price History'!V151/'Price History'!V150-1),"")</f>
        <v>-0.00365359011672917</v>
      </c>
      <c r="W150" s="107" t="n">
        <f aca="false">'Price History'!B3+('Price History'!B158-'Price History'!B3)*0.954545454545455</f>
        <v>262.139090909091</v>
      </c>
      <c r="X150" s="107" t="n">
        <f aca="false">'Price History'!C3+('Price History'!C158-'Price History'!C3)*0.954545454545455</f>
        <v>174.140454545455</v>
      </c>
      <c r="Y150" s="107" t="n">
        <f aca="false">'Price History'!D3+('Price History'!D158-'Price History'!D3)*0.954545454545455</f>
        <v>1585.03545454546</v>
      </c>
      <c r="Z150" s="107" t="n">
        <f aca="false">'Price History'!E3+('Price History'!E158-'Price History'!E3)*0.954545454545455</f>
        <v>375.357272727273</v>
      </c>
      <c r="AA150" s="107" t="n">
        <f aca="false">'Price History'!F3+('Price History'!F158-'Price History'!F3)*0.954545454545455</f>
        <v>183.869090909091</v>
      </c>
      <c r="AB150" s="107" t="n">
        <f aca="false">'Price History'!G3+('Price History'!G158-'Price History'!G3)*0.954545454545455</f>
        <v>176.687272727273</v>
      </c>
      <c r="AC150" s="107" t="n">
        <f aca="false">'Price History'!H3+('Price History'!H158-'Price History'!H3)*0.954545454545455</f>
        <v>788.545454545455</v>
      </c>
      <c r="AD150" s="107" t="n">
        <f aca="false">'Price History'!I3+('Price History'!I158-'Price History'!I3)*0.954545454545455</f>
        <v>193.481818181818</v>
      </c>
      <c r="AE150" s="107" t="n">
        <f aca="false">'Price History'!J3+('Price History'!J158-'Price History'!J3)*0.954545454545455</f>
        <v>143.650909090909</v>
      </c>
      <c r="AF150" s="107" t="n">
        <f aca="false">'Price History'!K3+('Price History'!K158-'Price History'!K3)*0.954545454545455</f>
        <v>118.166818181818</v>
      </c>
      <c r="AG150" s="107" t="n">
        <f aca="false">'Price History'!L3+('Price History'!L158-'Price History'!L3)*0.954545454545455</f>
        <v>390.056363636364</v>
      </c>
      <c r="AH150" s="107" t="n">
        <f aca="false">'Price History'!M3+('Price History'!M158-'Price History'!M3)*0.954545454545455</f>
        <v>232.112727272727</v>
      </c>
      <c r="AI150" s="107" t="n">
        <f aca="false">'Price History'!N3+('Price History'!N158-'Price History'!N3)*0.954545454545455</f>
        <v>471.316363636364</v>
      </c>
      <c r="AJ150" s="107" t="n">
        <f aca="false">'Price History'!O3+('Price History'!O158-'Price History'!O3)*0.954545454545455</f>
        <v>123.351363636364</v>
      </c>
      <c r="AK150" s="107" t="n">
        <f aca="false">'Price History'!Q3+('Price History'!Q151-'Price History'!Q3)*0.954545454545455</f>
        <v>67.6040909090909</v>
      </c>
      <c r="AL150" s="107" t="n">
        <f aca="false">'Price History'!R3+('Price History'!R158-'Price History'!R3)*0.954545454545455</f>
        <v>57.7759090909091</v>
      </c>
      <c r="AM150" s="107" t="n">
        <f aca="false">'Price History'!S3+('Price History'!S158-'Price History'!S3)*0.954545454545455</f>
        <v>139.953181818182</v>
      </c>
      <c r="AN150" s="107" t="n">
        <f aca="false">'Price History'!T3+('Price History'!T158-'Price History'!T3)*0.954545454545455</f>
        <v>48.7022727272727</v>
      </c>
    </row>
    <row r="151" customFormat="false" ht="15" hidden="false" customHeight="true" outlineLevel="0" collapsed="false">
      <c r="A151" s="104" t="n">
        <f aca="false">IF('Price History'!A152="","",'Price History'!A152)</f>
        <v>46191</v>
      </c>
      <c r="B151" s="105" t="n">
        <f aca="false">IFERROR(IF(OR(NOT(ISNUMBER('Price History'!B152)),NOT(ISNUMBER('Price History'!B151)),'Price History'!B151=0),"",'Price History'!B152/'Price History'!B151-1),"")</f>
        <v>-0.0434271149887266</v>
      </c>
      <c r="C151" s="105" t="n">
        <f aca="false">IFERROR(IF(OR(NOT(ISNUMBER('Price History'!C152)),NOT(ISNUMBER('Price History'!C151)),'Price History'!C151=0),"",'Price History'!C152/'Price History'!C151-1),"")</f>
        <v>0.0393898554275911</v>
      </c>
      <c r="D151" s="105" t="n">
        <f aca="false">IFERROR(IF(OR(NOT(ISNUMBER('Price History'!D152)),NOT(ISNUMBER('Price History'!D151)),'Price History'!D151=0),"",'Price History'!D152/'Price History'!D151-1),"")</f>
        <v>0.0354860347186821</v>
      </c>
      <c r="E151" s="105" t="n">
        <f aca="false">IFERROR(IF(OR(NOT(ISNUMBER('Price History'!E152)),NOT(ISNUMBER('Price History'!E151)),'Price History'!E151=0),"",'Price History'!E152/'Price History'!E151-1),"")</f>
        <v>0.0766351715654201</v>
      </c>
      <c r="F151" s="105" t="n">
        <f aca="false">IFERROR(IF(OR(NOT(ISNUMBER('Price History'!F152)),NOT(ISNUMBER('Price History'!F151)),'Price History'!F151=0),"",'Price History'!F152/'Price History'!F151-1),"")</f>
        <v>0.00304628002343299</v>
      </c>
      <c r="G151" s="105" t="n">
        <f aca="false">IFERROR(IF(OR(NOT(ISNUMBER('Price History'!G152)),NOT(ISNUMBER('Price History'!G151)),'Price History'!G151=0),"",'Price History'!G152/'Price History'!G151-1),"")</f>
        <v>0.0197218511825255</v>
      </c>
      <c r="H151" s="105" t="n">
        <f aca="false">IFERROR(IF(OR(NOT(ISNUMBER('Price History'!H152)),NOT(ISNUMBER('Price History'!H151)),'Price History'!H151=0),"",'Price History'!H152/'Price History'!H151-1),"")</f>
        <v>0.155234767371971</v>
      </c>
      <c r="I151" s="105" t="n">
        <f aca="false">IFERROR(IF(OR(NOT(ISNUMBER('Price History'!I152)),NOT(ISNUMBER('Price History'!I151)),'Price History'!I151=0),"",'Price History'!I152/'Price History'!I151-1),"")</f>
        <v>0.0268044251669184</v>
      </c>
      <c r="J151" s="105" t="n">
        <f aca="false">IFERROR(IF(OR(NOT(ISNUMBER('Price History'!J152)),NOT(ISNUMBER('Price History'!J151)),'Price History'!J151=0),"",'Price History'!J152/'Price History'!J151-1),"")</f>
        <v>-0.055129756622294</v>
      </c>
      <c r="K151" s="105" t="n">
        <f aca="false">IFERROR(IF(OR(NOT(ISNUMBER('Price History'!K152)),NOT(ISNUMBER('Price History'!K151)),'Price History'!K151=0),"",'Price History'!K152/'Price History'!K151-1),"")</f>
        <v>0.00375029299163998</v>
      </c>
      <c r="L151" s="105" t="n">
        <f aca="false">IFERROR(IF(OR(NOT(ISNUMBER('Price History'!L152)),NOT(ISNUMBER('Price History'!L151)),'Price History'!L151=0),"",'Price History'!L152/'Price History'!L151-1),"")</f>
        <v>0.0900856273441371</v>
      </c>
      <c r="M151" s="105" t="n">
        <f aca="false">IFERROR(IF(OR(NOT(ISNUMBER('Price History'!M152)),NOT(ISNUMBER('Price History'!M151)),'Price History'!M151=0),"",'Price History'!M152/'Price History'!M151-1),"")</f>
        <v>0.099646713111236</v>
      </c>
      <c r="N151" s="105" t="n">
        <f aca="false">IFERROR(IF(OR(NOT(ISNUMBER('Price History'!N152)),NOT(ISNUMBER('Price History'!N151)),'Price History'!N151=0),"",'Price History'!N152/'Price History'!N151-1),"")</f>
        <v>0.0150585485357246</v>
      </c>
      <c r="O151" s="105" t="n">
        <f aca="false">IFERROR(IF(OR(NOT(ISNUMBER('Price History'!O152)),NOT(ISNUMBER('Price History'!O151)),'Price History'!O151=0),"",'Price History'!O152/'Price History'!O151-1),"")</f>
        <v>-0.0191349091493809</v>
      </c>
      <c r="P151" s="105" t="str">
        <f aca="false">IFERROR(IF(OR(NOT(ISNUMBER('Price History'!P152)),NOT(ISNUMBER('Price History'!P151)),'Price History'!P151=0),"",'Price History'!P152/'Price History'!P151-1),"")</f>
        <v/>
      </c>
      <c r="Q151" s="105" t="str">
        <f aca="false">IFERROR(IF(OR(NOT(ISNUMBER('Price History'!Q152)),NOT(ISNUMBER('Price History'!Q151)),'Price History'!Q151=0),"",'Price History'!Q152/'Price History'!Q151-1),"")</f>
        <v/>
      </c>
      <c r="R151" s="105" t="n">
        <f aca="false">IFERROR(IF(OR(NOT(ISNUMBER('Price History'!R152)),NOT(ISNUMBER('Price History'!R151)),'Price History'!R151=0),"",'Price History'!R152/'Price History'!R151-1),"")</f>
        <v>0.0247243568326094</v>
      </c>
      <c r="S151" s="105" t="n">
        <f aca="false">IFERROR(IF(OR(NOT(ISNUMBER('Price History'!S152)),NOT(ISNUMBER('Price History'!S151)),'Price History'!S151=0),"",'Price History'!S152/'Price History'!S151-1),"")</f>
        <v>0.0486621196222457</v>
      </c>
      <c r="T151" s="105" t="n">
        <f aca="false">IFERROR(IF(OR(NOT(ISNUMBER('Price History'!T152)),NOT(ISNUMBER('Price History'!T151)),'Price History'!T151=0),"",'Price History'!T152/'Price History'!T151-1),"")</f>
        <v>-0.0224670555195506</v>
      </c>
      <c r="U151" s="105" t="str">
        <f aca="false">IFERROR(IF(OR(NOT(ISNUMBER('Price History'!U152)),NOT(ISNUMBER('Price History'!U151)),'Price History'!U151=0),"",'Price History'!U152/'Price History'!U151-1),"")</f>
        <v/>
      </c>
      <c r="V151" s="106" t="str">
        <f aca="false">IFERROR(IF(OR(NOT(ISNUMBER('Price History'!V152)),NOT(ISNUMBER('Price History'!V151)),'Price History'!V151=0),"",'Price History'!V152/'Price History'!V151-1),"")</f>
        <v/>
      </c>
      <c r="W151" s="107" t="n">
        <f aca="false">'Price History'!B3+('Price History'!B158-'Price History'!B3)*0.961038961038961</f>
        <v>260.463506493507</v>
      </c>
      <c r="X151" s="107" t="n">
        <f aca="false">'Price History'!C3+('Price History'!C158-'Price History'!C3)*0.961038961038961</f>
        <v>175.027532467532</v>
      </c>
      <c r="Y151" s="107" t="n">
        <f aca="false">'Price History'!D3+('Price History'!D158-'Price History'!D3)*0.961038961038961</f>
        <v>1591.3161038961</v>
      </c>
      <c r="Z151" s="107" t="n">
        <f aca="false">'Price History'!E3+('Price History'!E158-'Price History'!E3)*0.961038961038961</f>
        <v>377.346233766234</v>
      </c>
      <c r="AA151" s="107" t="n">
        <f aca="false">'Price History'!F3+('Price History'!F158-'Price History'!F3)*0.961038961038961</f>
        <v>184.867792207792</v>
      </c>
      <c r="AB151" s="107" t="n">
        <f aca="false">'Price History'!G3+('Price History'!G158-'Price History'!G3)*0.961038961038961</f>
        <v>177.563376623377</v>
      </c>
      <c r="AC151" s="107" t="n">
        <f aca="false">'Price History'!H3+('Price History'!H158-'Price History'!H3)*0.961038961038961</f>
        <v>793.471818181818</v>
      </c>
      <c r="AD151" s="107" t="n">
        <f aca="false">'Price History'!I3+('Price History'!I158-'Price History'!I3)*0.961038961038961</f>
        <v>194.52012987013</v>
      </c>
      <c r="AE151" s="107" t="n">
        <f aca="false">'Price History'!J3+('Price History'!J158-'Price History'!J3)*0.961038961038961</f>
        <v>143.787922077922</v>
      </c>
      <c r="AF151" s="107" t="n">
        <f aca="false">'Price History'!K3+('Price History'!K158-'Price History'!K3)*0.961038961038961</f>
        <v>118.865844155844</v>
      </c>
      <c r="AG151" s="107" t="n">
        <f aca="false">'Price History'!L3+('Price History'!L158-'Price History'!L3)*0.961038961038961</f>
        <v>392.084025974026</v>
      </c>
      <c r="AH151" s="107" t="n">
        <f aca="false">'Price History'!M3+('Price History'!M158-'Price History'!M3)*0.961038961038961</f>
        <v>233.463766233766</v>
      </c>
      <c r="AI151" s="107" t="n">
        <f aca="false">'Price History'!N3+('Price History'!N158-'Price History'!N3)*0.961038961038961</f>
        <v>472.142597402597</v>
      </c>
      <c r="AJ151" s="107" t="n">
        <f aca="false">'Price History'!O3+('Price History'!O158-'Price History'!O3)*0.961038961038961</f>
        <v>123.626883116883</v>
      </c>
      <c r="AK151" s="107" t="n">
        <f aca="false">'Price History'!Q3+('Price History'!Q151-'Price History'!Q3)*0.961038961038961</f>
        <v>67.7249350649351</v>
      </c>
      <c r="AL151" s="107" t="n">
        <f aca="false">'Price History'!R3+('Price History'!R158-'Price History'!R3)*0.961038961038961</f>
        <v>57.8436363636364</v>
      </c>
      <c r="AM151" s="107" t="n">
        <f aca="false">'Price History'!S3+('Price History'!S158-'Price History'!S3)*0.961038961038961</f>
        <v>140.507012987013</v>
      </c>
      <c r="AN151" s="107" t="n">
        <f aca="false">'Price History'!T3+('Price History'!T158-'Price History'!T3)*0.961038961038961</f>
        <v>48.8505194805195</v>
      </c>
    </row>
    <row r="152" customFormat="false" ht="15" hidden="false" customHeight="true" outlineLevel="0" collapsed="false">
      <c r="A152" s="104" t="n">
        <f aca="false">IF('Price History'!A153="","",'Price History'!A153)</f>
        <v>46199</v>
      </c>
      <c r="B152" s="105" t="n">
        <f aca="false">IFERROR(IF(OR(NOT(ISNUMBER('Price History'!B153)),NOT(ISNUMBER('Price History'!B152)),'Price History'!B152=0),"",'Price History'!B153/'Price History'!B152-1),"")</f>
        <v>0.0387886862061897</v>
      </c>
      <c r="C152" s="105" t="n">
        <f aca="false">IFERROR(IF(OR(NOT(ISNUMBER('Price History'!C153)),NOT(ISNUMBER('Price History'!C152)),'Price History'!C152=0),"",'Price History'!C153/'Price History'!C152-1),"")</f>
        <v>-0.0711380915895562</v>
      </c>
      <c r="D152" s="105" t="n">
        <f aca="false">IFERROR(IF(OR(NOT(ISNUMBER('Price History'!D153)),NOT(ISNUMBER('Price History'!D152)),'Price History'!D152=0),"",'Price History'!D153/'Price History'!D152-1),"")</f>
        <v>-0.0699908793167781</v>
      </c>
      <c r="E152" s="105" t="n">
        <f aca="false">IFERROR(IF(OR(NOT(ISNUMBER('Price History'!E153)),NOT(ISNUMBER('Price History'!E152)),'Price History'!E152=0),"",'Price History'!E153/'Price History'!E152-1),"")</f>
        <v>-0.112629147927556</v>
      </c>
      <c r="F152" s="105" t="n">
        <f aca="false">IFERROR(IF(OR(NOT(ISNUMBER('Price History'!F153)),NOT(ISNUMBER('Price History'!F152)),'Price History'!F152=0),"",'Price History'!F153/'Price History'!F152-1),"")</f>
        <v>0.0236537787641631</v>
      </c>
      <c r="G152" s="105" t="n">
        <f aca="false">IFERROR(IF(OR(NOT(ISNUMBER('Price History'!G153)),NOT(ISNUMBER('Price History'!G152)),'Price History'!G152=0),"",'Price History'!G153/'Price History'!G152-1),"")</f>
        <v>-0.0420711974110033</v>
      </c>
      <c r="H152" s="105" t="n">
        <f aca="false">IFERROR(IF(OR(NOT(ISNUMBER('Price History'!H153)),NOT(ISNUMBER('Price History'!H152)),'Price History'!H152=0),"",'Price History'!H153/'Price History'!H152-1),"")</f>
        <v>-0.00146385770597635</v>
      </c>
      <c r="I152" s="105" t="n">
        <f aca="false">IFERROR(IF(OR(NOT(ISNUMBER('Price History'!I153)),NOT(ISNUMBER('Price History'!I152)),'Price History'!I152=0),"",'Price History'!I153/'Price History'!I152-1),"")</f>
        <v>-0.0861929849541981</v>
      </c>
      <c r="J152" s="105" t="n">
        <f aca="false">IFERROR(IF(OR(NOT(ISNUMBER('Price History'!J153)),NOT(ISNUMBER('Price History'!J152)),'Price History'!J152=0),"",'Price History'!J153/'Price History'!J152-1),"")</f>
        <v>-0.00405578482994162</v>
      </c>
      <c r="K152" s="105" t="n">
        <f aca="false">IFERROR(IF(OR(NOT(ISNUMBER('Price History'!K153)),NOT(ISNUMBER('Price History'!K152)),'Price History'!K152=0),"",'Price History'!K153/'Price History'!K152-1),"")</f>
        <v>-0.120962092317273</v>
      </c>
      <c r="L152" s="105" t="n">
        <f aca="false">IFERROR(IF(OR(NOT(ISNUMBER('Price History'!L153)),NOT(ISNUMBER('Price History'!L152)),'Price History'!L152=0),"",'Price History'!L153/'Price History'!L152-1),"")</f>
        <v>-0.0644204968406474</v>
      </c>
      <c r="M152" s="105" t="n">
        <f aca="false">IFERROR(IF(OR(NOT(ISNUMBER('Price History'!M153)),NOT(ISNUMBER('Price History'!M152)),'Price History'!M152=0),"",'Price History'!M153/'Price History'!M152-1),"")</f>
        <v>-0.0873742681279088</v>
      </c>
      <c r="N152" s="105" t="n">
        <f aca="false">IFERROR(IF(OR(NOT(ISNUMBER('Price History'!N153)),NOT(ISNUMBER('Price History'!N152)),'Price History'!N152=0),"",'Price History'!N153/'Price History'!N152-1),"")</f>
        <v>0.0879259570887674</v>
      </c>
      <c r="O152" s="105" t="n">
        <f aca="false">IFERROR(IF(OR(NOT(ISNUMBER('Price History'!O153)),NOT(ISNUMBER('Price History'!O152)),'Price History'!O152=0),"",'Price History'!O153/'Price History'!O152-1),"")</f>
        <v>0.0240983606557377</v>
      </c>
      <c r="P152" s="105" t="str">
        <f aca="false">IFERROR(IF(OR(NOT(ISNUMBER('Price History'!P153)),NOT(ISNUMBER('Price History'!P152)),'Price History'!P152=0),"",'Price History'!P153/'Price History'!P152-1),"")</f>
        <v/>
      </c>
      <c r="Q152" s="105" t="str">
        <f aca="false">IFERROR(IF(OR(NOT(ISNUMBER('Price History'!Q153)),NOT(ISNUMBER('Price History'!Q152)),'Price History'!Q152=0),"",'Price History'!Q153/'Price History'!Q152-1),"")</f>
        <v/>
      </c>
      <c r="R152" s="105" t="n">
        <f aca="false">IFERROR(IF(OR(NOT(ISNUMBER('Price History'!R153)),NOT(ISNUMBER('Price History'!R152)),'Price History'!R152=0),"",'Price History'!R153/'Price History'!R152-1),"")</f>
        <v>-0.0313009455493969</v>
      </c>
      <c r="S152" s="105" t="n">
        <f aca="false">IFERROR(IF(OR(NOT(ISNUMBER('Price History'!S153)),NOT(ISNUMBER('Price History'!S152)),'Price History'!S152=0),"",'Price History'!S153/'Price History'!S152-1),"")</f>
        <v>-0.0356472795497187</v>
      </c>
      <c r="T152" s="105" t="n">
        <f aca="false">IFERROR(IF(OR(NOT(ISNUMBER('Price History'!T153)),NOT(ISNUMBER('Price History'!T152)),'Price History'!T152=0),"",'Price History'!T153/'Price History'!T152-1),"")</f>
        <v>0.0207734806629833</v>
      </c>
      <c r="U152" s="105" t="str">
        <f aca="false">IFERROR(IF(OR(NOT(ISNUMBER('Price History'!U153)),NOT(ISNUMBER('Price History'!U152)),'Price History'!U152=0),"",'Price History'!U153/'Price History'!U152-1),"")</f>
        <v/>
      </c>
      <c r="V152" s="106" t="str">
        <f aca="false">IFERROR(IF(OR(NOT(ISNUMBER('Price History'!V153)),NOT(ISNUMBER('Price History'!V152)),'Price History'!V152=0),"",'Price History'!V153/'Price History'!V152-1),"")</f>
        <v/>
      </c>
      <c r="W152" s="107" t="n">
        <f aca="false">'Price History'!B3+('Price History'!B158-'Price History'!B3)*0.967532467532468</f>
        <v>258.787922077922</v>
      </c>
      <c r="X152" s="107" t="n">
        <f aca="false">'Price History'!C3+('Price History'!C158-'Price History'!C3)*0.967532467532468</f>
        <v>175.91461038961</v>
      </c>
      <c r="Y152" s="107" t="n">
        <f aca="false">'Price History'!D3+('Price History'!D158-'Price History'!D3)*0.967532467532468</f>
        <v>1597.59675324675</v>
      </c>
      <c r="Z152" s="107" t="n">
        <f aca="false">'Price History'!E3+('Price History'!E158-'Price History'!E3)*0.967532467532468</f>
        <v>379.335194805195</v>
      </c>
      <c r="AA152" s="107" t="n">
        <f aca="false">'Price History'!F3+('Price History'!F158-'Price History'!F3)*0.967532467532468</f>
        <v>185.866493506494</v>
      </c>
      <c r="AB152" s="107" t="n">
        <f aca="false">'Price History'!G3+('Price History'!G158-'Price History'!G3)*0.967532467532468</f>
        <v>178.439480519481</v>
      </c>
      <c r="AC152" s="107" t="n">
        <f aca="false">'Price History'!H3+('Price History'!H158-'Price History'!H3)*0.967532467532468</f>
        <v>798.398181818182</v>
      </c>
      <c r="AD152" s="107" t="n">
        <f aca="false">'Price History'!I3+('Price History'!I158-'Price History'!I3)*0.967532467532468</f>
        <v>195.558441558442</v>
      </c>
      <c r="AE152" s="107" t="n">
        <f aca="false">'Price History'!J3+('Price History'!J158-'Price History'!J3)*0.967532467532468</f>
        <v>143.924935064935</v>
      </c>
      <c r="AF152" s="107" t="n">
        <f aca="false">'Price History'!K3+('Price History'!K158-'Price History'!K3)*0.967532467532468</f>
        <v>119.56487012987</v>
      </c>
      <c r="AG152" s="107" t="n">
        <f aca="false">'Price History'!L3+('Price History'!L158-'Price History'!L3)*0.967532467532468</f>
        <v>394.111688311688</v>
      </c>
      <c r="AH152" s="107" t="n">
        <f aca="false">'Price History'!M3+('Price History'!M158-'Price History'!M3)*0.967532467532468</f>
        <v>234.814805194805</v>
      </c>
      <c r="AI152" s="107" t="n">
        <f aca="false">'Price History'!N3+('Price History'!N158-'Price History'!N3)*0.967532467532468</f>
        <v>472.968831168831</v>
      </c>
      <c r="AJ152" s="107" t="n">
        <f aca="false">'Price History'!O3+('Price History'!O158-'Price History'!O3)*0.967532467532468</f>
        <v>123.902402597403</v>
      </c>
      <c r="AK152" s="107" t="n">
        <f aca="false">'Price History'!Q3+('Price History'!Q151-'Price History'!Q3)*0.967532467532468</f>
        <v>67.8457792207792</v>
      </c>
      <c r="AL152" s="107" t="n">
        <f aca="false">'Price History'!R3+('Price History'!R158-'Price History'!R3)*0.967532467532468</f>
        <v>57.9113636363636</v>
      </c>
      <c r="AM152" s="107" t="n">
        <f aca="false">'Price History'!S3+('Price History'!S158-'Price History'!S3)*0.967532467532468</f>
        <v>141.060844155844</v>
      </c>
      <c r="AN152" s="107" t="n">
        <f aca="false">'Price History'!T3+('Price History'!T158-'Price History'!T3)*0.967532467532468</f>
        <v>48.9987662337663</v>
      </c>
    </row>
    <row r="153" customFormat="false" ht="15" hidden="false" customHeight="true" outlineLevel="0" collapsed="false">
      <c r="A153" s="104" t="n">
        <f aca="false">IF('Price History'!A154="","",'Price History'!A154)</f>
        <v>46205</v>
      </c>
      <c r="B153" s="105" t="n">
        <f aca="false">IFERROR(IF(OR(NOT(ISNUMBER('Price History'!B154)),NOT(ISNUMBER('Price History'!B153)),'Price History'!B153=0),"",'Price History'!B154/'Price History'!B153-1),"")</f>
        <v>0.0838060474522764</v>
      </c>
      <c r="C153" s="105" t="n">
        <f aca="false">IFERROR(IF(OR(NOT(ISNUMBER('Price History'!C154)),NOT(ISNUMBER('Price History'!C153)),'Price History'!C153=0),"",'Price History'!C154/'Price History'!C153-1),"")</f>
        <v>0.0151649746192895</v>
      </c>
      <c r="D153" s="105" t="n">
        <f aca="false">IFERROR(IF(OR(NOT(ISNUMBER('Price History'!D154)),NOT(ISNUMBER('Price History'!D153)),'Price History'!D153=0),"",'Price History'!D154/'Price History'!D153-1),"")</f>
        <v>-0.0140976919905049</v>
      </c>
      <c r="E153" s="105" t="n">
        <f aca="false">IFERROR(IF(OR(NOT(ISNUMBER('Price History'!E154)),NOT(ISNUMBER('Price History'!E153)),'Price History'!E153=0),"",'Price History'!E154/'Price History'!E153-1),"")</f>
        <v>-0.0125198619253739</v>
      </c>
      <c r="F153" s="105" t="n">
        <f aca="false">IFERROR(IF(OR(NOT(ISNUMBER('Price History'!F154)),NOT(ISNUMBER('Price History'!F153)),'Price History'!F153=0),"",'Price History'!F154/'Price History'!F153-1),"")</f>
        <v>0.106749586352485</v>
      </c>
      <c r="G153" s="105" t="n">
        <f aca="false">IFERROR(IF(OR(NOT(ISNUMBER('Price History'!G154)),NOT(ISNUMBER('Price History'!G153)),'Price History'!G153=0),"",'Price History'!G154/'Price History'!G153-1),"")</f>
        <v>-0.0526463963963963</v>
      </c>
      <c r="H153" s="105" t="n">
        <f aca="false">IFERROR(IF(OR(NOT(ISNUMBER('Price History'!H154)),NOT(ISNUMBER('Price History'!H153)),'Price History'!H153=0),"",'Price History'!H154/'Price History'!H153-1),"")</f>
        <v>-0.138449038707797</v>
      </c>
      <c r="I153" s="105" t="n">
        <f aca="false">IFERROR(IF(OR(NOT(ISNUMBER('Price History'!I154)),NOT(ISNUMBER('Price History'!I153)),'Price History'!I153=0),"",'Price History'!I154/'Price History'!I153-1),"")</f>
        <v>0.011946190204124</v>
      </c>
      <c r="J153" s="105" t="n">
        <f aca="false">IFERROR(IF(OR(NOT(ISNUMBER('Price History'!J154)),NOT(ISNUMBER('Price History'!J153)),'Price History'!J153=0),"",'Price History'!J154/'Price History'!J153-1),"")</f>
        <v>-0.00385796956490669</v>
      </c>
      <c r="K153" s="105" t="n">
        <f aca="false">IFERROR(IF(OR(NOT(ISNUMBER('Price History'!K154)),NOT(ISNUMBER('Price History'!K153)),'Price History'!K153=0),"",'Price History'!K154/'Price History'!K153-1),"")</f>
        <v>0.144957053041707</v>
      </c>
      <c r="L153" s="105" t="n">
        <f aca="false">IFERROR(IF(OR(NOT(ISNUMBER('Price History'!L154)),NOT(ISNUMBER('Price History'!L153)),'Price History'!L153=0),"",'Price History'!L154/'Price History'!L153-1),"")</f>
        <v>0.00418642303689132</v>
      </c>
      <c r="M153" s="105" t="n">
        <f aca="false">IFERROR(IF(OR(NOT(ISNUMBER('Price History'!M154)),NOT(ISNUMBER('Price History'!M153)),'Price History'!M153=0),"",'Price History'!M154/'Price History'!M153-1),"")</f>
        <v>-0.0112518506333279</v>
      </c>
      <c r="N153" s="105" t="n">
        <f aca="false">IFERROR(IF(OR(NOT(ISNUMBER('Price History'!N154)),NOT(ISNUMBER('Price History'!N153)),'Price History'!N153=0),"",'Price History'!N154/'Price History'!N153-1),"")</f>
        <v>0.074693694793829</v>
      </c>
      <c r="O153" s="105" t="n">
        <f aca="false">IFERROR(IF(OR(NOT(ISNUMBER('Price History'!O154)),NOT(ISNUMBER('Price History'!O153)),'Price History'!O153=0),"",'Price History'!O154/'Price History'!O153-1),"")</f>
        <v>-0.0114454938370417</v>
      </c>
      <c r="P153" s="105" t="str">
        <f aca="false">IFERROR(IF(OR(NOT(ISNUMBER('Price History'!P154)),NOT(ISNUMBER('Price History'!P153)),'Price History'!P153=0),"",'Price History'!P154/'Price History'!P153-1),"")</f>
        <v/>
      </c>
      <c r="Q153" s="105" t="str">
        <f aca="false">IFERROR(IF(OR(NOT(ISNUMBER('Price History'!Q154)),NOT(ISNUMBER('Price History'!Q153)),'Price History'!Q153=0),"",'Price History'!Q154/'Price History'!Q153-1),"")</f>
        <v/>
      </c>
      <c r="R153" s="105" t="n">
        <f aca="false">IFERROR(IF(OR(NOT(ISNUMBER('Price History'!R154)),NOT(ISNUMBER('Price History'!R153)),'Price History'!R153=0),"",'Price History'!R154/'Price History'!R153-1),"")</f>
        <v>-0.000504880511612238</v>
      </c>
      <c r="S153" s="105" t="n">
        <f aca="false">IFERROR(IF(OR(NOT(ISNUMBER('Price History'!S154)),NOT(ISNUMBER('Price History'!S153)),'Price History'!S153=0),"",'Price History'!S154/'Price History'!S153-1),"")</f>
        <v>-0.0218547341115433</v>
      </c>
      <c r="T153" s="105" t="n">
        <f aca="false">IFERROR(IF(OR(NOT(ISNUMBER('Price History'!T154)),NOT(ISNUMBER('Price History'!T153)),'Price History'!T153=0),"",'Price History'!T154/'Price History'!T153-1),"")</f>
        <v>0.0175362632604461</v>
      </c>
      <c r="U153" s="105" t="str">
        <f aca="false">IFERROR(IF(OR(NOT(ISNUMBER('Price History'!U154)),NOT(ISNUMBER('Price History'!U153)),'Price History'!U153=0),"",'Price History'!U154/'Price History'!U153-1),"")</f>
        <v/>
      </c>
      <c r="V153" s="106" t="str">
        <f aca="false">IFERROR(IF(OR(NOT(ISNUMBER('Price History'!V154)),NOT(ISNUMBER('Price History'!V153)),'Price History'!V153=0),"",'Price History'!V154/'Price History'!V153-1),"")</f>
        <v/>
      </c>
      <c r="W153" s="107" t="n">
        <f aca="false">'Price History'!B3+('Price History'!B158-'Price History'!B3)*0.974025974025974</f>
        <v>257.112337662338</v>
      </c>
      <c r="X153" s="107" t="n">
        <f aca="false">'Price History'!C3+('Price History'!C158-'Price History'!C3)*0.974025974025974</f>
        <v>176.801688311688</v>
      </c>
      <c r="Y153" s="107" t="n">
        <f aca="false">'Price History'!D3+('Price History'!D158-'Price History'!D3)*0.974025974025974</f>
        <v>1603.8774025974</v>
      </c>
      <c r="Z153" s="107" t="n">
        <f aca="false">'Price History'!E3+('Price History'!E158-'Price History'!E3)*0.974025974025974</f>
        <v>381.324155844156</v>
      </c>
      <c r="AA153" s="107" t="n">
        <f aca="false">'Price History'!F3+('Price History'!F158-'Price History'!F3)*0.974025974025974</f>
        <v>186.865194805195</v>
      </c>
      <c r="AB153" s="107" t="n">
        <f aca="false">'Price History'!G3+('Price History'!G158-'Price History'!G3)*0.974025974025974</f>
        <v>179.315584415584</v>
      </c>
      <c r="AC153" s="107" t="n">
        <f aca="false">'Price History'!H3+('Price History'!H158-'Price History'!H3)*0.974025974025974</f>
        <v>803.324545454545</v>
      </c>
      <c r="AD153" s="107" t="n">
        <f aca="false">'Price History'!I3+('Price History'!I158-'Price History'!I3)*0.974025974025974</f>
        <v>196.596753246753</v>
      </c>
      <c r="AE153" s="107" t="n">
        <f aca="false">'Price History'!J3+('Price History'!J158-'Price History'!J3)*0.974025974025974</f>
        <v>144.061948051948</v>
      </c>
      <c r="AF153" s="107" t="n">
        <f aca="false">'Price History'!K3+('Price History'!K158-'Price History'!K3)*0.974025974025974</f>
        <v>120.263896103896</v>
      </c>
      <c r="AG153" s="107" t="n">
        <f aca="false">'Price History'!L3+('Price History'!L158-'Price History'!L3)*0.974025974025974</f>
        <v>396.139350649351</v>
      </c>
      <c r="AH153" s="107" t="n">
        <f aca="false">'Price History'!M3+('Price History'!M158-'Price History'!M3)*0.974025974025974</f>
        <v>236.165844155844</v>
      </c>
      <c r="AI153" s="107" t="n">
        <f aca="false">'Price History'!N3+('Price History'!N158-'Price History'!N3)*0.974025974025974</f>
        <v>473.795064935065</v>
      </c>
      <c r="AJ153" s="107" t="n">
        <f aca="false">'Price History'!O3+('Price History'!O158-'Price History'!O3)*0.974025974025974</f>
        <v>124.177922077922</v>
      </c>
      <c r="AK153" s="107" t="n">
        <f aca="false">'Price History'!Q3+('Price History'!Q151-'Price History'!Q3)*0.974025974025974</f>
        <v>67.9666233766234</v>
      </c>
      <c r="AL153" s="107" t="n">
        <f aca="false">'Price History'!R3+('Price History'!R158-'Price History'!R3)*0.974025974025974</f>
        <v>57.9790909090909</v>
      </c>
      <c r="AM153" s="107" t="n">
        <f aca="false">'Price History'!S3+('Price History'!S158-'Price History'!S3)*0.974025974025974</f>
        <v>141.614675324675</v>
      </c>
      <c r="AN153" s="107" t="n">
        <f aca="false">'Price History'!T3+('Price History'!T158-'Price History'!T3)*0.974025974025974</f>
        <v>49.147012987013</v>
      </c>
    </row>
    <row r="154" customFormat="false" ht="15" hidden="false" customHeight="true" outlineLevel="0" collapsed="false">
      <c r="A154" s="104" t="n">
        <f aca="false">IF('Price History'!A155="","",'Price History'!A155)</f>
        <v>46213</v>
      </c>
      <c r="B154" s="105" t="n">
        <f aca="false">IFERROR(IF(OR(NOT(ISNUMBER('Price History'!B155)),NOT(ISNUMBER('Price History'!B154)),'Price History'!B154=0),"",'Price History'!B155/'Price History'!B154-1),"")</f>
        <v>0.0178408884034225</v>
      </c>
      <c r="C154" s="105" t="n">
        <f aca="false">IFERROR(IF(OR(NOT(ISNUMBER('Price History'!C155)),NOT(ISNUMBER('Price History'!C154)),'Price History'!C154=0),"",'Price History'!C155/'Price History'!C154-1),"")</f>
        <v>0.168573035814738</v>
      </c>
      <c r="D154" s="105" t="n">
        <f aca="false">IFERROR(IF(OR(NOT(ISNUMBER('Price History'!D155)),NOT(ISNUMBER('Price History'!D154)),'Price History'!D154=0),"",'Price History'!D155/'Price History'!D154-1),"")</f>
        <v>0.0158252888115209</v>
      </c>
      <c r="E154" s="105" t="n">
        <f aca="false">IFERROR(IF(OR(NOT(ISNUMBER('Price History'!E155)),NOT(ISNUMBER('Price History'!E154)),'Price History'!E154=0),"",'Price History'!E155/'Price History'!E154-1),"")</f>
        <v>0.109640726869191</v>
      </c>
      <c r="F154" s="105" t="n">
        <f aca="false">IFERROR(IF(OR(NOT(ISNUMBER('Price History'!F155)),NOT(ISNUMBER('Price History'!F154)),'Price History'!F154=0),"",'Price History'!F155/'Price History'!F154-1),"")</f>
        <v>-0.0350551603258067</v>
      </c>
      <c r="G154" s="105" t="n">
        <f aca="false">IFERROR(IF(OR(NOT(ISNUMBER('Price History'!G155)),NOT(ISNUMBER('Price History'!G154)),'Price History'!G154=0),"",'Price History'!G155/'Price History'!G154-1),"")</f>
        <v>-0.0171088940776906</v>
      </c>
      <c r="H154" s="105" t="n">
        <f aca="false">IFERROR(IF(OR(NOT(ISNUMBER('Price History'!H155)),NOT(ISNUMBER('Price History'!H154)),'Price History'!H154=0),"",'Price History'!H155/'Price History'!H154-1),"")</f>
        <v>0.00383369551847146</v>
      </c>
      <c r="I154" s="105" t="n">
        <f aca="false">IFERROR(IF(OR(NOT(ISNUMBER('Price History'!I155)),NOT(ISNUMBER('Price History'!I154)),'Price History'!I154=0),"",'Price History'!I155/'Price History'!I154-1),"")</f>
        <v>0.0827901247241185</v>
      </c>
      <c r="J154" s="105" t="n">
        <f aca="false">IFERROR(IF(OR(NOT(ISNUMBER('Price History'!J155)),NOT(ISNUMBER('Price History'!J154)),'Price History'!J154=0),"",'Price History'!J155/'Price History'!J154-1),"")</f>
        <v>0.0103277630352148</v>
      </c>
      <c r="K154" s="105" t="n">
        <f aca="false">IFERROR(IF(OR(NOT(ISNUMBER('Price History'!K155)),NOT(ISNUMBER('Price History'!K154)),'Price History'!K154=0),"",'Price History'!K155/'Price History'!K154-1),"")</f>
        <v>-0.0194122196442382</v>
      </c>
      <c r="L154" s="105" t="n">
        <f aca="false">IFERROR(IF(OR(NOT(ISNUMBER('Price History'!L155)),NOT(ISNUMBER('Price History'!L154)),'Price History'!L154=0),"",'Price History'!L155/'Price History'!L154-1),"")</f>
        <v>-0.000115164916159927</v>
      </c>
      <c r="M154" s="105" t="n">
        <f aca="false">IFERROR(IF(OR(NOT(ISNUMBER('Price History'!M155)),NOT(ISNUMBER('Price History'!M154)),'Price History'!M154=0),"",'Price History'!M155/'Price History'!M154-1),"")</f>
        <v>0.0609922470302466</v>
      </c>
      <c r="N154" s="105" t="n">
        <f aca="false">IFERROR(IF(OR(NOT(ISNUMBER('Price History'!N155)),NOT(ISNUMBER('Price History'!N154)),'Price History'!N154=0),"",'Price History'!N155/'Price History'!N154-1),"")</f>
        <v>-0.0807703961821074</v>
      </c>
      <c r="O154" s="105" t="n">
        <f aca="false">IFERROR(IF(OR(NOT(ISNUMBER('Price History'!O155)),NOT(ISNUMBER('Price History'!O154)),'Price History'!O154=0),"",'Price History'!O155/'Price History'!O154-1),"")</f>
        <v>0.00356246457776699</v>
      </c>
      <c r="P154" s="105" t="str">
        <f aca="false">IFERROR(IF(OR(NOT(ISNUMBER('Price History'!P155)),NOT(ISNUMBER('Price History'!P154)),'Price History'!P154=0),"",'Price History'!P155/'Price History'!P154-1),"")</f>
        <v/>
      </c>
      <c r="Q154" s="105" t="str">
        <f aca="false">IFERROR(IF(OR(NOT(ISNUMBER('Price History'!Q155)),NOT(ISNUMBER('Price History'!Q154)),'Price History'!Q154=0),"",'Price History'!Q155/'Price History'!Q154-1),"")</f>
        <v/>
      </c>
      <c r="R154" s="105" t="n">
        <f aca="false">IFERROR(IF(OR(NOT(ISNUMBER('Price History'!R155)),NOT(ISNUMBER('Price History'!R154)),'Price History'!R154=0),"",'Price History'!R155/'Price History'!R154-1),"")</f>
        <v>0.0188583936689677</v>
      </c>
      <c r="S154" s="105" t="n">
        <f aca="false">IFERROR(IF(OR(NOT(ISNUMBER('Price History'!S155)),NOT(ISNUMBER('Price History'!S154)),'Price History'!S154=0),"",'Price History'!S155/'Price History'!S154-1),"")</f>
        <v>0.0193595438573226</v>
      </c>
      <c r="T154" s="105" t="n">
        <f aca="false">IFERROR(IF(OR(NOT(ISNUMBER('Price History'!T155)),NOT(ISNUMBER('Price History'!T154)),'Price History'!T154=0),"",'Price History'!T155/'Price History'!T154-1),"")</f>
        <v>0.00829787234042545</v>
      </c>
      <c r="U154" s="105" t="str">
        <f aca="false">IFERROR(IF(OR(NOT(ISNUMBER('Price History'!U155)),NOT(ISNUMBER('Price History'!U154)),'Price History'!U154=0),"",'Price History'!U155/'Price History'!U154-1),"")</f>
        <v/>
      </c>
      <c r="V154" s="106" t="str">
        <f aca="false">IFERROR(IF(OR(NOT(ISNUMBER('Price History'!V155)),NOT(ISNUMBER('Price History'!V154)),'Price History'!V154=0),"",'Price History'!V155/'Price History'!V154-1),"")</f>
        <v/>
      </c>
      <c r="W154" s="107" t="n">
        <f aca="false">'Price History'!B3+('Price History'!B158-'Price History'!B3)*0.980519480519481</f>
        <v>255.436753246753</v>
      </c>
      <c r="X154" s="107" t="n">
        <f aca="false">'Price History'!C3+('Price History'!C158-'Price History'!C3)*0.980519480519481</f>
        <v>177.688766233766</v>
      </c>
      <c r="Y154" s="107" t="n">
        <f aca="false">'Price History'!D3+('Price History'!D158-'Price History'!D3)*0.980519480519481</f>
        <v>1610.15805194805</v>
      </c>
      <c r="Z154" s="107" t="n">
        <f aca="false">'Price History'!E3+('Price History'!E158-'Price History'!E3)*0.980519480519481</f>
        <v>383.313116883117</v>
      </c>
      <c r="AA154" s="107" t="n">
        <f aca="false">'Price History'!F3+('Price History'!F158-'Price History'!F3)*0.980519480519481</f>
        <v>187.863896103896</v>
      </c>
      <c r="AB154" s="107" t="n">
        <f aca="false">'Price History'!G3+('Price History'!G158-'Price History'!G3)*0.980519480519481</f>
        <v>180.191688311688</v>
      </c>
      <c r="AC154" s="107" t="n">
        <f aca="false">'Price History'!H3+('Price History'!H158-'Price History'!H3)*0.980519480519481</f>
        <v>808.250909090909</v>
      </c>
      <c r="AD154" s="107" t="n">
        <f aca="false">'Price History'!I3+('Price History'!I158-'Price History'!I3)*0.980519480519481</f>
        <v>197.635064935065</v>
      </c>
      <c r="AE154" s="107" t="n">
        <f aca="false">'Price History'!J3+('Price History'!J158-'Price History'!J3)*0.980519480519481</f>
        <v>144.198961038961</v>
      </c>
      <c r="AF154" s="107" t="n">
        <f aca="false">'Price History'!K3+('Price History'!K158-'Price History'!K3)*0.980519480519481</f>
        <v>120.962922077922</v>
      </c>
      <c r="AG154" s="107" t="n">
        <f aca="false">'Price History'!L3+('Price History'!L158-'Price History'!L3)*0.980519480519481</f>
        <v>398.167012987013</v>
      </c>
      <c r="AH154" s="107" t="n">
        <f aca="false">'Price History'!M3+('Price History'!M158-'Price History'!M3)*0.980519480519481</f>
        <v>237.516883116883</v>
      </c>
      <c r="AI154" s="107" t="n">
        <f aca="false">'Price History'!N3+('Price History'!N158-'Price History'!N3)*0.980519480519481</f>
        <v>474.621298701299</v>
      </c>
      <c r="AJ154" s="107" t="n">
        <f aca="false">'Price History'!O3+('Price History'!O158-'Price History'!O3)*0.980519480519481</f>
        <v>124.453441558442</v>
      </c>
      <c r="AK154" s="107" t="n">
        <f aca="false">'Price History'!Q3+('Price History'!Q151-'Price History'!Q3)*0.980519480519481</f>
        <v>68.0874675324675</v>
      </c>
      <c r="AL154" s="107" t="n">
        <f aca="false">'Price History'!R3+('Price History'!R158-'Price History'!R3)*0.980519480519481</f>
        <v>58.0468181818182</v>
      </c>
      <c r="AM154" s="107" t="n">
        <f aca="false">'Price History'!S3+('Price History'!S158-'Price History'!S3)*0.980519480519481</f>
        <v>142.168506493507</v>
      </c>
      <c r="AN154" s="107" t="n">
        <f aca="false">'Price History'!T3+('Price History'!T158-'Price History'!T3)*0.980519480519481</f>
        <v>49.2952597402598</v>
      </c>
    </row>
    <row r="155" customFormat="false" ht="15" hidden="false" customHeight="true" outlineLevel="0" collapsed="false">
      <c r="A155" s="104" t="n">
        <f aca="false">IF('Price History'!A156="","",'Price History'!A156)</f>
        <v>46220</v>
      </c>
      <c r="B155" s="105" t="n">
        <f aca="false">IFERROR(IF(OR(NOT(ISNUMBER('Price History'!B156)),NOT(ISNUMBER('Price History'!B155)),'Price History'!B155=0),"",'Price History'!B156/'Price History'!B155-1),"")</f>
        <v>0.0608567340368449</v>
      </c>
      <c r="C155" s="105" t="n">
        <f aca="false">IFERROR(IF(OR(NOT(ISNUMBER('Price History'!C156)),NOT(ISNUMBER('Price History'!C155)),'Price History'!C155=0),"",'Price History'!C156/'Price History'!C155-1),"")</f>
        <v>-0.0981493367565254</v>
      </c>
      <c r="D155" s="105" t="n">
        <f aca="false">IFERROR(IF(OR(NOT(ISNUMBER('Price History'!D156)),NOT(ISNUMBER('Price History'!D155)),'Price History'!D155=0),"",'Price History'!D156/'Price History'!D155-1),"")</f>
        <v>-0.027674537644938</v>
      </c>
      <c r="E155" s="105" t="n">
        <f aca="false">IFERROR(IF(OR(NOT(ISNUMBER('Price History'!E156)),NOT(ISNUMBER('Price History'!E155)),'Price History'!E155=0),"",'Price History'!E156/'Price History'!E155-1),"")</f>
        <v>-0.0728554641598121</v>
      </c>
      <c r="F155" s="105" t="n">
        <f aca="false">IFERROR(IF(OR(NOT(ISNUMBER('Price History'!F156)),NOT(ISNUMBER('Price History'!F155)),'Price History'!F155=0),"",'Price History'!F156/'Price History'!F155-1),"")</f>
        <v>0.0849449727534994</v>
      </c>
      <c r="G155" s="105" t="n">
        <f aca="false">IFERROR(IF(OR(NOT(ISNUMBER('Price History'!G156)),NOT(ISNUMBER('Price History'!G155)),'Price History'!G155=0),"",'Price History'!G156/'Price History'!G155-1),"")</f>
        <v>-0.0810729094678646</v>
      </c>
      <c r="H155" s="105" t="n">
        <f aca="false">IFERROR(IF(OR(NOT(ISNUMBER('Price History'!H156)),NOT(ISNUMBER('Price History'!H155)),'Price History'!H155=0),"",'Price History'!H156/'Price History'!H155-1),"")</f>
        <v>-0.133105279281119</v>
      </c>
      <c r="I155" s="105" t="n">
        <f aca="false">IFERROR(IF(OR(NOT(ISNUMBER('Price History'!I156)),NOT(ISNUMBER('Price History'!I155)),'Price History'!I155=0),"",'Price History'!I156/'Price History'!I155-1),"")</f>
        <v>-0.0386329161926432</v>
      </c>
      <c r="J155" s="105" t="n">
        <f aca="false">IFERROR(IF(OR(NOT(ISNUMBER('Price History'!J156)),NOT(ISNUMBER('Price History'!J155)),'Price History'!J155=0),"",'Price History'!J156/'Price History'!J155-1),"")</f>
        <v>0.0633207922197769</v>
      </c>
      <c r="K155" s="105" t="n">
        <f aca="false">IFERROR(IF(OR(NOT(ISNUMBER('Price History'!K156)),NOT(ISNUMBER('Price History'!K155)),'Price History'!K155=0),"",'Price History'!K156/'Price History'!K155-1),"")</f>
        <v>0.0440886505244893</v>
      </c>
      <c r="L155" s="105" t="n">
        <f aca="false">IFERROR(IF(OR(NOT(ISNUMBER('Price History'!L156)),NOT(ISNUMBER('Price History'!L155)),'Price History'!L155=0),"",'Price History'!L156/'Price History'!L155-1),"")</f>
        <v>-0.0823293635253738</v>
      </c>
      <c r="M155" s="105" t="n">
        <f aca="false">IFERROR(IF(OR(NOT(ISNUMBER('Price History'!M156)),NOT(ISNUMBER('Price History'!M155)),'Price History'!M155=0),"",'Price History'!M156/'Price History'!M155-1),"")</f>
        <v>-0.0918898576177634</v>
      </c>
      <c r="N155" s="105" t="n">
        <f aca="false">IFERROR(IF(OR(NOT(ISNUMBER('Price History'!N156)),NOT(ISNUMBER('Price History'!N155)),'Price History'!N155=0),"",'Price History'!N156/'Price History'!N155-1),"")</f>
        <v>0.000535651743958532</v>
      </c>
      <c r="O155" s="105" t="n">
        <f aca="false">IFERROR(IF(OR(NOT(ISNUMBER('Price History'!O156)),NOT(ISNUMBER('Price History'!O155)),'Price History'!O155=0),"",'Price History'!O156/'Price History'!O155-1),"")</f>
        <v>0.0112948769665187</v>
      </c>
      <c r="P155" s="105" t="str">
        <f aca="false">IFERROR(IF(OR(NOT(ISNUMBER('Price History'!P156)),NOT(ISNUMBER('Price History'!P155)),'Price History'!P155=0),"",'Price History'!P156/'Price History'!P155-1),"")</f>
        <v/>
      </c>
      <c r="Q155" s="105" t="str">
        <f aca="false">IFERROR(IF(OR(NOT(ISNUMBER('Price History'!Q156)),NOT(ISNUMBER('Price History'!Q155)),'Price History'!Q155=0),"",'Price History'!Q156/'Price History'!Q155-1),"")</f>
        <v/>
      </c>
      <c r="R155" s="105" t="n">
        <f aca="false">IFERROR(IF(OR(NOT(ISNUMBER('Price History'!R156)),NOT(ISNUMBER('Price History'!R155)),'Price History'!R155=0),"",'Price History'!R156/'Price History'!R155-1),"")</f>
        <v>-0.0330523880350355</v>
      </c>
      <c r="S155" s="105" t="n">
        <f aca="false">IFERROR(IF(OR(NOT(ISNUMBER('Price History'!S156)),NOT(ISNUMBER('Price History'!S155)),'Price History'!S155=0),"",'Price History'!S156/'Price History'!S155-1),"")</f>
        <v>-0.0641300813008131</v>
      </c>
      <c r="T155" s="105" t="n">
        <f aca="false">IFERROR(IF(OR(NOT(ISNUMBER('Price History'!T156)),NOT(ISNUMBER('Price History'!T155)),'Price History'!T155=0),"",'Price History'!T156/'Price History'!T155-1),"")</f>
        <v>0.0086516142646127</v>
      </c>
      <c r="U155" s="105" t="str">
        <f aca="false">IFERROR(IF(OR(NOT(ISNUMBER('Price History'!U156)),NOT(ISNUMBER('Price History'!U155)),'Price History'!U155=0),"",'Price History'!U156/'Price History'!U155-1),"")</f>
        <v/>
      </c>
      <c r="V155" s="106" t="n">
        <f aca="false">IFERROR(IF(OR(NOT(ISNUMBER('Price History'!V156)),NOT(ISNUMBER('Price History'!V155)),'Price History'!V155=0),"",'Price History'!V156/'Price History'!V155-1),"")</f>
        <v>0.0275034451079468</v>
      </c>
      <c r="W155" s="107" t="n">
        <f aca="false">'Price History'!B3+('Price History'!B158-'Price History'!B3)*0.987012987012987</f>
        <v>253.761168831169</v>
      </c>
      <c r="X155" s="107" t="n">
        <f aca="false">'Price History'!C3+('Price History'!C158-'Price History'!C3)*0.987012987012987</f>
        <v>178.575844155844</v>
      </c>
      <c r="Y155" s="107" t="n">
        <f aca="false">'Price History'!D3+('Price History'!D158-'Price History'!D3)*0.987012987012987</f>
        <v>1616.4387012987</v>
      </c>
      <c r="Z155" s="107" t="n">
        <f aca="false">'Price History'!E3+('Price History'!E158-'Price History'!E3)*0.987012987012987</f>
        <v>385.302077922078</v>
      </c>
      <c r="AA155" s="107" t="n">
        <f aca="false">'Price History'!F3+('Price History'!F158-'Price History'!F3)*0.987012987012987</f>
        <v>188.862597402597</v>
      </c>
      <c r="AB155" s="107" t="n">
        <f aca="false">'Price History'!G3+('Price History'!G158-'Price History'!G3)*0.987012987012987</f>
        <v>181.067792207792</v>
      </c>
      <c r="AC155" s="107" t="n">
        <f aca="false">'Price History'!H3+('Price History'!H158-'Price History'!H3)*0.987012987012987</f>
        <v>813.177272727273</v>
      </c>
      <c r="AD155" s="107" t="n">
        <f aca="false">'Price History'!I3+('Price History'!I158-'Price History'!I3)*0.987012987012987</f>
        <v>198.673376623377</v>
      </c>
      <c r="AE155" s="107" t="n">
        <f aca="false">'Price History'!J3+('Price History'!J158-'Price History'!J3)*0.987012987012987</f>
        <v>144.335974025974</v>
      </c>
      <c r="AF155" s="107" t="n">
        <f aca="false">'Price History'!K3+('Price History'!K158-'Price History'!K3)*0.987012987012987</f>
        <v>121.661948051948</v>
      </c>
      <c r="AG155" s="107" t="n">
        <f aca="false">'Price History'!L3+('Price History'!L158-'Price History'!L3)*0.987012987012987</f>
        <v>400.194675324675</v>
      </c>
      <c r="AH155" s="107" t="n">
        <f aca="false">'Price History'!M3+('Price History'!M158-'Price History'!M3)*0.987012987012987</f>
        <v>238.867922077922</v>
      </c>
      <c r="AI155" s="107" t="n">
        <f aca="false">'Price History'!N3+('Price History'!N158-'Price History'!N3)*0.987012987012987</f>
        <v>475.447532467533</v>
      </c>
      <c r="AJ155" s="107" t="n">
        <f aca="false">'Price History'!O3+('Price History'!O158-'Price History'!O3)*0.987012987012987</f>
        <v>124.728961038961</v>
      </c>
      <c r="AK155" s="107" t="n">
        <f aca="false">'Price History'!Q3+('Price History'!Q151-'Price History'!Q3)*0.987012987012987</f>
        <v>68.2083116883117</v>
      </c>
      <c r="AL155" s="107" t="n">
        <f aca="false">'Price History'!R3+('Price History'!R158-'Price History'!R3)*0.987012987012987</f>
        <v>58.1145454545455</v>
      </c>
      <c r="AM155" s="107" t="n">
        <f aca="false">'Price History'!S3+('Price History'!S158-'Price History'!S3)*0.987012987012987</f>
        <v>142.722337662338</v>
      </c>
      <c r="AN155" s="107" t="n">
        <f aca="false">'Price History'!T3+('Price History'!T158-'Price History'!T3)*0.987012987012987</f>
        <v>49.4435064935065</v>
      </c>
    </row>
    <row r="156" customFormat="false" ht="15" hidden="false" customHeight="true" outlineLevel="0" collapsed="false">
      <c r="A156" s="104" t="n">
        <f aca="false">IF('Price History'!A157="","",'Price History'!A157)</f>
        <v>46227</v>
      </c>
      <c r="B156" s="105" t="n">
        <f aca="false">IFERROR(IF(OR(NOT(ISNUMBER('Price History'!B157)),NOT(ISNUMBER('Price History'!B156)),'Price History'!B156=0),"",'Price History'!B157/'Price History'!B156-1),"")</f>
        <v>-0.0511696522655426</v>
      </c>
      <c r="C156" s="105" t="n">
        <f aca="false">IFERROR(IF(OR(NOT(ISNUMBER('Price History'!C157)),NOT(ISNUMBER('Price History'!C156)),'Price History'!C156=0),"",'Price History'!C157/'Price History'!C156-1),"")</f>
        <v>0.0319079532649309</v>
      </c>
      <c r="D156" s="105" t="n">
        <f aca="false">IFERROR(IF(OR(NOT(ISNUMBER('Price History'!D157)),NOT(ISNUMBER('Price History'!D156)),'Price History'!D156=0),"",'Price History'!D157/'Price History'!D156-1),"")</f>
        <v>0.00544181096144381</v>
      </c>
      <c r="E156" s="105" t="n">
        <f aca="false">IFERROR(IF(OR(NOT(ISNUMBER('Price History'!E157)),NOT(ISNUMBER('Price History'!E156)),'Price History'!E156=0),"",'Price History'!E157/'Price History'!E156-1),"")</f>
        <v>0.0299058867944881</v>
      </c>
      <c r="F156" s="105" t="n">
        <f aca="false">IFERROR(IF(OR(NOT(ISNUMBER('Price History'!F157)),NOT(ISNUMBER('Price History'!F156)),'Price History'!F156=0),"",'Price History'!F157/'Price History'!F156-1),"")</f>
        <v>-0.0974985227496553</v>
      </c>
      <c r="G156" s="105" t="n">
        <f aca="false">IFERROR(IF(OR(NOT(ISNUMBER('Price History'!G157)),NOT(ISNUMBER('Price History'!G156)),'Price History'!G156=0),"",'Price History'!G157/'Price History'!G156-1),"")</f>
        <v>-0.01048178613396</v>
      </c>
      <c r="H156" s="105" t="n">
        <f aca="false">IFERROR(IF(OR(NOT(ISNUMBER('Price History'!H157)),NOT(ISNUMBER('Price History'!H156)),'Price History'!H156=0),"",'Price History'!H157/'Price History'!H156-1),"")</f>
        <v>0.0848106484480828</v>
      </c>
      <c r="I156" s="105" t="n">
        <f aca="false">IFERROR(IF(OR(NOT(ISNUMBER('Price History'!I157)),NOT(ISNUMBER('Price History'!I156)),'Price History'!I156=0),"",'Price History'!I157/'Price History'!I156-1),"")</f>
        <v>0.0198708150485676</v>
      </c>
      <c r="J156" s="105" t="n">
        <f aca="false">IFERROR(IF(OR(NOT(ISNUMBER('Price History'!J157)),NOT(ISNUMBER('Price History'!J156)),'Price History'!J156=0),"",'Price History'!J157/'Price History'!J156-1),"")</f>
        <v>-0.0144201882635689</v>
      </c>
      <c r="K156" s="105" t="n">
        <f aca="false">IFERROR(IF(OR(NOT(ISNUMBER('Price History'!K157)),NOT(ISNUMBER('Price History'!K156)),'Price History'!K156=0),"",'Price History'!K157/'Price History'!K156-1),"")</f>
        <v>-0.0714609457621996</v>
      </c>
      <c r="L156" s="105" t="n">
        <f aca="false">IFERROR(IF(OR(NOT(ISNUMBER('Price History'!L157)),NOT(ISNUMBER('Price History'!L156)),'Price History'!L156=0),"",'Price History'!L157/'Price History'!L156-1),"")</f>
        <v>0.0126515550869795</v>
      </c>
      <c r="M156" s="105" t="n">
        <f aca="false">IFERROR(IF(OR(NOT(ISNUMBER('Price History'!M157)),NOT(ISNUMBER('Price History'!M156)),'Price History'!M156=0),"",'Price History'!M157/'Price History'!M156-1),"")</f>
        <v>0.0027628125431689</v>
      </c>
      <c r="N156" s="105" t="n">
        <f aca="false">IFERROR(IF(OR(NOT(ISNUMBER('Price History'!N157)),NOT(ISNUMBER('Price History'!N156)),'Price History'!N156=0),"",'Price History'!N157/'Price History'!N156-1),"")</f>
        <v>-0.0170699063111294</v>
      </c>
      <c r="O156" s="105" t="n">
        <f aca="false">IFERROR(IF(OR(NOT(ISNUMBER('Price History'!O157)),NOT(ISNUMBER('Price History'!O156)),'Price History'!O156=0),"",'Price History'!O157/'Price History'!O156-1),"")</f>
        <v>-0.000558436378141125</v>
      </c>
      <c r="P156" s="105" t="str">
        <f aca="false">IFERROR(IF(OR(NOT(ISNUMBER('Price History'!P157)),NOT(ISNUMBER('Price History'!P156)),'Price History'!P156=0),"",'Price History'!P157/'Price History'!P156-1),"")</f>
        <v/>
      </c>
      <c r="Q156" s="105" t="str">
        <f aca="false">IFERROR(IF(OR(NOT(ISNUMBER('Price History'!Q157)),NOT(ISNUMBER('Price History'!Q156)),'Price History'!Q156=0),"",'Price History'!Q157/'Price History'!Q156-1),"")</f>
        <v/>
      </c>
      <c r="R156" s="105" t="n">
        <f aca="false">IFERROR(IF(OR(NOT(ISNUMBER('Price History'!R157)),NOT(ISNUMBER('Price History'!R156)),'Price History'!R156=0),"",'Price History'!R157/'Price History'!R156-1),"")</f>
        <v>-0.0094001025465732</v>
      </c>
      <c r="S156" s="105" t="n">
        <f aca="false">IFERROR(IF(OR(NOT(ISNUMBER('Price History'!S157)),NOT(ISNUMBER('Price History'!S156)),'Price History'!S156=0),"",'Price History'!S157/'Price History'!S156-1),"")</f>
        <v>0.0182083536034472</v>
      </c>
      <c r="T156" s="105" t="n">
        <f aca="false">IFERROR(IF(OR(NOT(ISNUMBER('Price History'!T157)),NOT(ISNUMBER('Price History'!T156)),'Price History'!T156=0),"",'Price History'!T157/'Price History'!T156-1),"")</f>
        <v>0.00711297071129713</v>
      </c>
      <c r="U156" s="105" t="str">
        <f aca="false">IFERROR(IF(OR(NOT(ISNUMBER('Price History'!U157)),NOT(ISNUMBER('Price History'!U156)),'Price History'!U156=0),"",'Price History'!U157/'Price History'!U156-1),"")</f>
        <v/>
      </c>
      <c r="V156" s="106" t="n">
        <f aca="false">IFERROR(IF(OR(NOT(ISNUMBER('Price History'!V157)),NOT(ISNUMBER('Price History'!V156)),'Price History'!V156=0),"",'Price History'!V157/'Price History'!V156-1),"")</f>
        <v>-0.00787929589270742</v>
      </c>
      <c r="W156" s="107" t="n">
        <f aca="false">'Price History'!B3+('Price History'!B158-'Price History'!B3)*0.993506493506494</f>
        <v>252.085584415584</v>
      </c>
      <c r="X156" s="107" t="n">
        <f aca="false">'Price History'!C3+('Price History'!C158-'Price History'!C3)*0.993506493506494</f>
        <v>179.462922077922</v>
      </c>
      <c r="Y156" s="107" t="n">
        <f aca="false">'Price History'!D3+('Price History'!D158-'Price History'!D3)*0.993506493506494</f>
        <v>1622.71935064935</v>
      </c>
      <c r="Z156" s="107" t="n">
        <f aca="false">'Price History'!E3+('Price History'!E158-'Price History'!E3)*0.993506493506494</f>
        <v>387.291038961039</v>
      </c>
      <c r="AA156" s="107" t="n">
        <f aca="false">'Price History'!F3+('Price History'!F158-'Price History'!F3)*0.993506493506494</f>
        <v>189.861298701299</v>
      </c>
      <c r="AB156" s="107" t="n">
        <f aca="false">'Price History'!G3+('Price History'!G158-'Price History'!G3)*0.993506493506494</f>
        <v>181.943896103896</v>
      </c>
      <c r="AC156" s="107" t="n">
        <f aca="false">'Price History'!H3+('Price History'!H158-'Price History'!H3)*0.993506493506494</f>
        <v>818.103636363637</v>
      </c>
      <c r="AD156" s="107" t="n">
        <f aca="false">'Price History'!I3+('Price History'!I158-'Price History'!I3)*0.993506493506494</f>
        <v>199.711688311688</v>
      </c>
      <c r="AE156" s="107" t="n">
        <f aca="false">'Price History'!J3+('Price History'!J158-'Price History'!J3)*0.993506493506494</f>
        <v>144.472987012987</v>
      </c>
      <c r="AF156" s="107" t="n">
        <f aca="false">'Price History'!K3+('Price History'!K158-'Price History'!K3)*0.993506493506494</f>
        <v>122.360974025974</v>
      </c>
      <c r="AG156" s="107" t="n">
        <f aca="false">'Price History'!L3+('Price History'!L158-'Price History'!L3)*0.993506493506494</f>
        <v>402.222337662338</v>
      </c>
      <c r="AH156" s="107" t="n">
        <f aca="false">'Price History'!M3+('Price History'!M158-'Price History'!M3)*0.993506493506494</f>
        <v>240.218961038961</v>
      </c>
      <c r="AI156" s="107" t="n">
        <f aca="false">'Price History'!N3+('Price History'!N158-'Price History'!N3)*0.993506493506494</f>
        <v>476.273766233766</v>
      </c>
      <c r="AJ156" s="107" t="n">
        <f aca="false">'Price History'!O3+('Price History'!O158-'Price History'!O3)*0.993506493506494</f>
        <v>125.004480519481</v>
      </c>
      <c r="AK156" s="107" t="n">
        <f aca="false">'Price History'!Q3+('Price History'!Q151-'Price History'!Q3)*0.993506493506494</f>
        <v>68.3291558441559</v>
      </c>
      <c r="AL156" s="107" t="n">
        <f aca="false">'Price History'!R3+('Price History'!R158-'Price History'!R3)*0.993506493506494</f>
        <v>58.1822727272727</v>
      </c>
      <c r="AM156" s="107" t="n">
        <f aca="false">'Price History'!S3+('Price History'!S158-'Price History'!S3)*0.993506493506494</f>
        <v>143.276168831169</v>
      </c>
      <c r="AN156" s="107" t="n">
        <f aca="false">'Price History'!T3+('Price History'!T158-'Price History'!T3)*0.993506493506494</f>
        <v>49.5917532467533</v>
      </c>
    </row>
    <row r="157" customFormat="false" ht="15" hidden="false" customHeight="true" outlineLevel="0" collapsed="false">
      <c r="A157" s="104" t="n">
        <f aca="false">IF('Price History'!A158="","",'Price History'!A158)</f>
        <v>46234</v>
      </c>
      <c r="B157" s="105" t="n">
        <f aca="false">IFERROR(IF(OR(NOT(ISNUMBER('Price History'!B158)),NOT(ISNUMBER('Price History'!B157)),'Price History'!B157=0),"",'Price History'!B158/'Price History'!B157-1),"")</f>
        <v>0.112389498467416</v>
      </c>
      <c r="C157" s="105" t="n">
        <f aca="false">IFERROR(IF(OR(NOT(ISNUMBER('Price History'!C158)),NOT(ISNUMBER('Price History'!C157)),'Price History'!C157=0),"",'Price History'!C158/'Price History'!C157-1),"")</f>
        <v>0.0365538249324673</v>
      </c>
      <c r="D157" s="105" t="n">
        <f aca="false">IFERROR(IF(OR(NOT(ISNUMBER('Price History'!D158)),NOT(ISNUMBER('Price History'!D157)),'Price History'!D157=0),"",'Price History'!D158/'Price History'!D157-1),"")</f>
        <v>-0.0728989408624486</v>
      </c>
      <c r="E157" s="105" t="n">
        <f aca="false">IFERROR(IF(OR(NOT(ISNUMBER('Price History'!E158)),NOT(ISNUMBER('Price History'!E157)),'Price History'!E157=0),"",'Price History'!E158/'Price History'!E157-1),"")</f>
        <v>0.0192710515291159</v>
      </c>
      <c r="F157" s="105" t="n">
        <f aca="false">IFERROR(IF(OR(NOT(ISNUMBER('Price History'!F158)),NOT(ISNUMBER('Price History'!F157)),'Price History'!F157=0),"",'Price History'!F158/'Price History'!F157-1),"")</f>
        <v>0.0413574858140551</v>
      </c>
      <c r="G157" s="105" t="n">
        <f aca="false">IFERROR(IF(OR(NOT(ISNUMBER('Price History'!G158)),NOT(ISNUMBER('Price History'!G157)),'Price History'!G157=0),"",'Price History'!G158/'Price History'!G157-1),"")</f>
        <v>-0.131578947368421</v>
      </c>
      <c r="H157" s="105" t="n">
        <f aca="false">IFERROR(IF(OR(NOT(ISNUMBER('Price History'!H158)),NOT(ISNUMBER('Price History'!H157)),'Price History'!H157=0),"",'Price History'!H158/'Price History'!H157-1),"")</f>
        <v>-0.106324990498941</v>
      </c>
      <c r="I157" s="105" t="n">
        <f aca="false">IFERROR(IF(OR(NOT(ISNUMBER('Price History'!I158)),NOT(ISNUMBER('Price History'!I157)),'Price History'!I157=0),"",'Price History'!I158/'Price History'!I157-1),"")</f>
        <v>-0.0294430477663895</v>
      </c>
      <c r="J157" s="105" t="n">
        <f aca="false">IFERROR(IF(OR(NOT(ISNUMBER('Price History'!J158)),NOT(ISNUMBER('Price History'!J157)),'Price History'!J157=0),"",'Price History'!J158/'Price History'!J157-1),"")</f>
        <v>-0.0204565467723361</v>
      </c>
      <c r="K157" s="105" t="n">
        <f aca="false">IFERROR(IF(OR(NOT(ISNUMBER('Price History'!K158)),NOT(ISNUMBER('Price History'!K157)),'Price History'!K157=0),"",'Price History'!K158/'Price History'!K157-1),"")</f>
        <v>0.00113895216400906</v>
      </c>
      <c r="L157" s="105" t="n">
        <f aca="false">IFERROR(IF(OR(NOT(ISNUMBER('Price History'!L158)),NOT(ISNUMBER('Price History'!L157)),'Price History'!L157=0),"",'Price History'!L158/'Price History'!L157-1),"")</f>
        <v>0.00208224882873487</v>
      </c>
      <c r="M157" s="105" t="n">
        <f aca="false">IFERROR(IF(OR(NOT(ISNUMBER('Price History'!M158)),NOT(ISNUMBER('Price History'!M157)),'Price History'!M157=0),"",'Price History'!M158/'Price History'!M157-1),"")</f>
        <v>-0.168032786885246</v>
      </c>
      <c r="N157" s="105" t="n">
        <f aca="false">IFERROR(IF(OR(NOT(ISNUMBER('Price History'!N158)),NOT(ISNUMBER('Price History'!N157)),'Price History'!N157=0),"",'Price History'!N158/'Price History'!N157-1),"")</f>
        <v>-0.000544662309368227</v>
      </c>
      <c r="O157" s="105" t="n">
        <f aca="false">IFERROR(IF(OR(NOT(ISNUMBER('Price History'!O158)),NOT(ISNUMBER('Price History'!O157)),'Price History'!O157=0),"",'Price History'!O158/'Price History'!O157-1),"")</f>
        <v>0</v>
      </c>
      <c r="P157" s="105" t="str">
        <f aca="false">IFERROR(IF(OR(NOT(ISNUMBER('Price History'!P158)),NOT(ISNUMBER('Price History'!P157)),'Price History'!P157=0),"",'Price History'!P158/'Price History'!P157-1),"")</f>
        <v/>
      </c>
      <c r="Q157" s="105" t="str">
        <f aca="false">IFERROR(IF(OR(NOT(ISNUMBER('Price History'!Q158)),NOT(ISNUMBER('Price History'!Q157)),'Price History'!Q157=0),"",'Price History'!Q158/'Price History'!Q157-1),"")</f>
        <v/>
      </c>
      <c r="R157" s="105" t="n">
        <f aca="false">IFERROR(IF(OR(NOT(ISNUMBER('Price History'!R158)),NOT(ISNUMBER('Price History'!R157)),'Price History'!R157=0),"",'Price History'!R158/'Price History'!R157-1),"")</f>
        <v>0.00500345065562446</v>
      </c>
      <c r="S157" s="105" t="n">
        <f aca="false">IFERROR(IF(OR(NOT(ISNUMBER('Price History'!S158)),NOT(ISNUMBER('Price History'!S157)),'Price History'!S157=0),"",'Price History'!S158/'Price History'!S157-1),"")</f>
        <v>-0.0182922667394716</v>
      </c>
      <c r="T157" s="105" t="n">
        <f aca="false">IFERROR(IF(OR(NOT(ISNUMBER('Price History'!T158)),NOT(ISNUMBER('Price History'!T157)),'Price History'!T157=0),"",'Price History'!T158/'Price History'!T157-1),"")</f>
        <v>0.0332363938512672</v>
      </c>
      <c r="U157" s="105" t="str">
        <f aca="false">IFERROR(IF(OR(NOT(ISNUMBER('Price History'!U158)),NOT(ISNUMBER('Price History'!U157)),'Price History'!U157=0),"",'Price History'!U158/'Price History'!U157-1),"")</f>
        <v/>
      </c>
      <c r="V157" s="106" t="n">
        <f aca="false">IFERROR(IF(OR(NOT(ISNUMBER('Price History'!V158)),NOT(ISNUMBER('Price History'!V157)),'Price History'!V157=0),"",'Price History'!V158/'Price History'!V157-1),"")</f>
        <v>0.0292046862678834</v>
      </c>
      <c r="W157" s="107" t="n">
        <f aca="false">'Price History'!B3+('Price History'!B158-'Price History'!B3)*1</f>
        <v>250.41</v>
      </c>
      <c r="X157" s="107" t="n">
        <f aca="false">'Price History'!C3+('Price History'!C158-'Price History'!C3)*1</f>
        <v>180.35</v>
      </c>
      <c r="Y157" s="107" t="n">
        <f aca="false">'Price History'!D3+('Price History'!D158-'Price History'!D3)*1</f>
        <v>1629</v>
      </c>
      <c r="Z157" s="107" t="n">
        <f aca="false">'Price History'!E3+('Price History'!E158-'Price History'!E3)*1</f>
        <v>389.28</v>
      </c>
      <c r="AA157" s="107" t="n">
        <f aca="false">'Price History'!F3+('Price History'!F158-'Price History'!F3)*1</f>
        <v>190.86</v>
      </c>
      <c r="AB157" s="107" t="n">
        <f aca="false">'Price History'!G3+('Price History'!G158-'Price History'!G3)*1</f>
        <v>182.82</v>
      </c>
      <c r="AC157" s="107" t="n">
        <f aca="false">'Price History'!H3+('Price History'!H158-'Price History'!H3)*1</f>
        <v>823.03</v>
      </c>
      <c r="AD157" s="107" t="n">
        <f aca="false">'Price History'!I3+('Price History'!I158-'Price History'!I3)*1</f>
        <v>200.75</v>
      </c>
      <c r="AE157" s="107" t="n">
        <f aca="false">'Price History'!J3+('Price History'!J158-'Price History'!J3)*1</f>
        <v>144.61</v>
      </c>
      <c r="AF157" s="107" t="n">
        <f aca="false">'Price History'!K3+('Price History'!K158-'Price History'!K3)*1</f>
        <v>123.06</v>
      </c>
      <c r="AG157" s="107" t="n">
        <f aca="false">'Price History'!L3+('Price History'!L158-'Price History'!L3)*1</f>
        <v>404.25</v>
      </c>
      <c r="AH157" s="107" t="n">
        <f aca="false">'Price History'!M3+('Price History'!M158-'Price History'!M3)*1</f>
        <v>241.57</v>
      </c>
      <c r="AI157" s="107" t="n">
        <f aca="false">'Price History'!N3+('Price History'!N158-'Price History'!N3)*1</f>
        <v>477.1</v>
      </c>
      <c r="AJ157" s="107" t="n">
        <f aca="false">'Price History'!O3+('Price History'!O158-'Price History'!O3)*1</f>
        <v>125.28</v>
      </c>
      <c r="AK157" s="107" t="n">
        <f aca="false">'Price History'!Q3+('Price History'!Q151-'Price History'!Q3)*1</f>
        <v>68.45</v>
      </c>
      <c r="AL157" s="107" t="n">
        <f aca="false">'Price History'!R3+('Price History'!R158-'Price History'!R3)*1</f>
        <v>58.25</v>
      </c>
      <c r="AM157" s="107" t="n">
        <f aca="false">'Price History'!S3+('Price History'!S158-'Price History'!S3)*1</f>
        <v>143.83</v>
      </c>
      <c r="AN157" s="107" t="n">
        <f aca="false">'Price History'!T3+('Price History'!T158-'Price History'!T3)*1</f>
        <v>49.74</v>
      </c>
    </row>
    <row r="158" customFormat="false" ht="15" hidden="false" customHeight="true" outlineLevel="0" collapsed="false">
      <c r="A158" s="104" t="n">
        <f aca="false">IF('Price History'!A159="","",'Price History'!A159)</f>
        <v>46241</v>
      </c>
      <c r="B158" s="105" t="n">
        <f aca="false">IFERROR(IF(OR(NOT(ISNUMBER('Price History'!B159)),NOT(ISNUMBER('Price History'!B158)),'Price History'!B158=0),"",'Price History'!B159/'Price History'!B158-1),"")</f>
        <v>0.0591030709636196</v>
      </c>
      <c r="C158" s="105" t="n">
        <f aca="false">IFERROR(IF(OR(NOT(ISNUMBER('Price History'!C159)),NOT(ISNUMBER('Price History'!C158)),'Price History'!C158=0),"",'Price History'!C159/'Price History'!C158-1),"")</f>
        <v>0.046132520099806</v>
      </c>
      <c r="D158" s="105" t="n">
        <f aca="false">IFERROR(IF(OR(NOT(ISNUMBER('Price History'!D159)),NOT(ISNUMBER('Price History'!D158)),'Price History'!D158=0),"",'Price History'!D159/'Price History'!D158-1),"")</f>
        <v>0.0687476979742174</v>
      </c>
      <c r="E158" s="105" t="n">
        <f aca="false">IFERROR(IF(OR(NOT(ISNUMBER('Price History'!E159)),NOT(ISNUMBER('Price History'!E158)),'Price History'!E158=0),"",'Price History'!E159/'Price History'!E158-1),"")</f>
        <v>0.0988491574188246</v>
      </c>
      <c r="F158" s="105" t="n">
        <f aca="false">IFERROR(IF(OR(NOT(ISNUMBER('Price History'!F159)),NOT(ISNUMBER('Price History'!F158)),'Price History'!F158=0),"",'Price History'!F159/'Price History'!F158-1),"")</f>
        <v>0.123441265849314</v>
      </c>
      <c r="G158" s="105" t="n">
        <f aca="false">IFERROR(IF(OR(NOT(ISNUMBER('Price History'!G159)),NOT(ISNUMBER('Price History'!G158)),'Price History'!G158=0),"",'Price History'!G159/'Price History'!G158-1),"")</f>
        <v>0.082430806257521</v>
      </c>
      <c r="H158" s="105" t="n">
        <f aca="false">IFERROR(IF(OR(NOT(ISNUMBER('Price History'!H159)),NOT(ISNUMBER('Price History'!H158)),'Price History'!H158=0),"",'Price History'!H159/'Price History'!H158-1),"")</f>
        <v>0.066267329258958</v>
      </c>
      <c r="I158" s="105" t="n">
        <f aca="false">IFERROR(IF(OR(NOT(ISNUMBER('Price History'!I159)),NOT(ISNUMBER('Price History'!I158)),'Price History'!I158=0),"",'Price History'!I159/'Price History'!I158-1),"")</f>
        <v>0.115616438356164</v>
      </c>
      <c r="J158" s="105" t="n">
        <f aca="false">IFERROR(IF(OR(NOT(ISNUMBER('Price History'!J159)),NOT(ISNUMBER('Price History'!J158)),'Price History'!J158=0),"",'Price History'!J159/'Price History'!J158-1),"")</f>
        <v>-0.0307724223774291</v>
      </c>
      <c r="K158" s="105" t="n">
        <f aca="false">IFERROR(IF(OR(NOT(ISNUMBER('Price History'!K159)),NOT(ISNUMBER('Price History'!K158)),'Price History'!K158=0),"",'Price History'!K159/'Price History'!K158-1),"")</f>
        <v>0.397773443848529</v>
      </c>
      <c r="L158" s="105" t="n">
        <f aca="false">IFERROR(IF(OR(NOT(ISNUMBER('Price History'!L159)),NOT(ISNUMBER('Price History'!L158)),'Price History'!L158=0),"",'Price History'!L159/'Price History'!L158-1),"")</f>
        <v>0.0390599876314162</v>
      </c>
      <c r="M158" s="105" t="n">
        <f aca="false">IFERROR(IF(OR(NOT(ISNUMBER('Price History'!M159)),NOT(ISNUMBER('Price History'!M158)),'Price History'!M158=0),"",'Price History'!M159/'Price History'!M158-1),"")</f>
        <v>0.127623463178375</v>
      </c>
      <c r="N158" s="105" t="n">
        <f aca="false">IFERROR(IF(OR(NOT(ISNUMBER('Price History'!N159)),NOT(ISNUMBER('Price History'!N158)),'Price History'!N158=0),"",'Price History'!N159/'Price History'!N158-1),"")</f>
        <v>0.0397610563823096</v>
      </c>
      <c r="O158" s="105" t="n">
        <f aca="false">IFERROR(IF(OR(NOT(ISNUMBER('Price History'!O159)),NOT(ISNUMBER('Price History'!O158)),'Price History'!O158=0),"",'Price History'!O159/'Price History'!O158-1),"")</f>
        <v>0.0127713920817369</v>
      </c>
      <c r="P158" s="105" t="str">
        <f aca="false">IFERROR(IF(OR(NOT(ISNUMBER('Price History'!P159)),NOT(ISNUMBER('Price History'!P158)),'Price History'!P158=0),"",'Price History'!P159/'Price History'!P158-1),"")</f>
        <v/>
      </c>
      <c r="Q158" s="105" t="str">
        <f aca="false">IFERROR(IF(OR(NOT(ISNUMBER('Price History'!Q159)),NOT(ISNUMBER('Price History'!Q158)),'Price History'!Q158=0),"",'Price History'!Q159/'Price History'!Q158-1),"")</f>
        <v/>
      </c>
      <c r="R158" s="105" t="n">
        <f aca="false">IFERROR(IF(OR(NOT(ISNUMBER('Price History'!R159)),NOT(ISNUMBER('Price History'!R158)),'Price History'!R158=0),"",'Price History'!R159/'Price History'!R158-1),"")</f>
        <v>0.0255793991416309</v>
      </c>
      <c r="S158" s="105" t="n">
        <f aca="false">IFERROR(IF(OR(NOT(ISNUMBER('Price History'!S159)),NOT(ISNUMBER('Price History'!S158)),'Price History'!S158=0),"",'Price History'!S159/'Price History'!S158-1),"")</f>
        <v>0.0407425432802613</v>
      </c>
      <c r="T158" s="105" t="n">
        <f aca="false">IFERROR(IF(OR(NOT(ISNUMBER('Price History'!T159)),NOT(ISNUMBER('Price History'!T158)),'Price History'!T158=0),"",'Price History'!T159/'Price History'!T158-1),"")</f>
        <v>0.0345798150381986</v>
      </c>
      <c r="U158" s="105" t="str">
        <f aca="false">IFERROR(IF(OR(NOT(ISNUMBER('Price History'!U159)),NOT(ISNUMBER('Price History'!U158)),'Price History'!U158=0),"",'Price History'!U159/'Price History'!U158-1),"")</f>
        <v/>
      </c>
      <c r="V158" s="106" t="n">
        <f aca="false">IFERROR(IF(OR(NOT(ISNUMBER('Price History'!V159)),NOT(ISNUMBER('Price History'!V158)),'Price History'!V158=0),"",'Price History'!V159/'Price History'!V158-1),"")</f>
        <v>-0.00990559584074435</v>
      </c>
    </row>
    <row r="159" customFormat="false" ht="15" hidden="false" customHeight="true" outlineLevel="0" collapsed="false">
      <c r="A159" s="104" t="n">
        <f aca="false">IF('Price History'!A160="","",'Price History'!A160)</f>
        <v>46248</v>
      </c>
      <c r="B159" s="105" t="n">
        <f aca="false">IFERROR(IF(OR(NOT(ISNUMBER('Price History'!B160)),NOT(ISNUMBER('Price History'!B159)),'Price History'!B159=0),"",'Price History'!B160/'Price History'!B159-1),"")</f>
        <v>-0.00448701029372944</v>
      </c>
      <c r="C159" s="105" t="n">
        <f aca="false">IFERROR(IF(OR(NOT(ISNUMBER('Price History'!C160)),NOT(ISNUMBER('Price History'!C159)),'Price History'!C159=0),"",'Price History'!C160/'Price History'!C159-1),"")</f>
        <v>0.0537976360841681</v>
      </c>
      <c r="D159" s="105" t="n">
        <f aca="false">IFERROR(IF(OR(NOT(ISNUMBER('Price History'!D160)),NOT(ISNUMBER('Price History'!D159)),'Price History'!D159=0),"",'Price History'!D160/'Price History'!D159-1),"")</f>
        <v>0.059213436033521</v>
      </c>
      <c r="E159" s="105" t="n">
        <f aca="false">IFERROR(IF(OR(NOT(ISNUMBER('Price History'!E160)),NOT(ISNUMBER('Price History'!E159)),'Price History'!E159=0),"",'Price History'!E160/'Price History'!E159-1),"")</f>
        <v>-0.0812838975126239</v>
      </c>
      <c r="F159" s="105" t="n">
        <f aca="false">IFERROR(IF(OR(NOT(ISNUMBER('Price History'!F160)),NOT(ISNUMBER('Price History'!F159)),'Price History'!F159=0),"",'Price History'!F160/'Price History'!F159-1),"")</f>
        <v>0.0117992724559277</v>
      </c>
      <c r="G159" s="105" t="n">
        <f aca="false">IFERROR(IF(OR(NOT(ISNUMBER('Price History'!G160)),NOT(ISNUMBER('Price History'!G159)),'Price History'!G159=0),"",'Price History'!G160/'Price History'!G159-1),"")</f>
        <v>0.028298549699328</v>
      </c>
      <c r="H159" s="105" t="n">
        <f aca="false">IFERROR(IF(OR(NOT(ISNUMBER('Price History'!H160)),NOT(ISNUMBER('Price History'!H159)),'Price History'!H159=0),"",'Price History'!H160/'Price History'!H159-1),"")</f>
        <v>0.107216518340417</v>
      </c>
      <c r="I159" s="105" t="n">
        <f aca="false">IFERROR(IF(OR(NOT(ISNUMBER('Price History'!I160)),NOT(ISNUMBER('Price History'!I159)),'Price History'!I159=0),"",'Price History'!I160/'Price History'!I159-1),"")</f>
        <v>0.0053580996606537</v>
      </c>
      <c r="J159" s="105" t="n">
        <f aca="false">IFERROR(IF(OR(NOT(ISNUMBER('Price History'!J160)),NOT(ISNUMBER('Price History'!J159)),'Price History'!J159=0),"",'Price History'!J160/'Price History'!J159-1),"")</f>
        <v>0.00620719178082196</v>
      </c>
      <c r="K159" s="105" t="n">
        <f aca="false">IFERROR(IF(OR(NOT(ISNUMBER('Price History'!K160)),NOT(ISNUMBER('Price History'!K159)),'Price History'!K159=0),"",'Price History'!K160/'Price History'!K159-1),"")</f>
        <v>0.0118016394395675</v>
      </c>
      <c r="L159" s="105" t="n">
        <f aca="false">IFERROR(IF(OR(NOT(ISNUMBER('Price History'!L160)),NOT(ISNUMBER('Price History'!L159)),'Price History'!L159=0),"",'Price History'!L160/'Price History'!L159-1),"")</f>
        <v>0.0150223788210646</v>
      </c>
      <c r="M159" s="105" t="n">
        <f aca="false">IFERROR(IF(OR(NOT(ISNUMBER('Price History'!M160)),NOT(ISNUMBER('Price History'!M159)),'Price History'!M159=0),"",'Price History'!M160/'Price History'!M159-1),"")</f>
        <v>0.0787077826725404</v>
      </c>
      <c r="N159" s="105" t="n">
        <f aca="false">IFERROR(IF(OR(NOT(ISNUMBER('Price History'!N160)),NOT(ISNUMBER('Price History'!N159)),'Price History'!N159=0),"",'Price History'!N160/'Price History'!N159-1),"")</f>
        <v>0.0195133751285101</v>
      </c>
      <c r="O159" s="105" t="n">
        <f aca="false">IFERROR(IF(OR(NOT(ISNUMBER('Price History'!O160)),NOT(ISNUMBER('Price History'!O159)),'Price History'!O159=0),"",'Price History'!O160/'Price History'!O159-1),"")</f>
        <v>0.0145807061790668</v>
      </c>
      <c r="P159" s="105" t="str">
        <f aca="false">IFERROR(IF(OR(NOT(ISNUMBER('Price History'!P160)),NOT(ISNUMBER('Price History'!P159)),'Price History'!P159=0),"",'Price History'!P160/'Price History'!P159-1),"")</f>
        <v/>
      </c>
      <c r="Q159" s="105" t="n">
        <f aca="false">IFERROR(IF(OR(NOT(ISNUMBER('Price History'!Q160)),NOT(ISNUMBER('Price History'!Q159)),'Price History'!Q159=0),"",'Price History'!Q160/'Price History'!Q159-1),"")</f>
        <v>0.00415115946178069</v>
      </c>
      <c r="R159" s="105" t="n">
        <f aca="false">IFERROR(IF(OR(NOT(ISNUMBER('Price History'!R160)),NOT(ISNUMBER('Price History'!R159)),'Price History'!R159=0),"",'Price History'!R160/'Price History'!R159-1),"")</f>
        <v>0.0132239705390023</v>
      </c>
      <c r="S159" s="105" t="n">
        <f aca="false">IFERROR(IF(OR(NOT(ISNUMBER('Price History'!S160)),NOT(ISNUMBER('Price History'!S159)),'Price History'!S159=0),"",'Price History'!S160/'Price History'!S159-1),"")</f>
        <v>0.0241833121785022</v>
      </c>
      <c r="T159" s="105" t="n">
        <f aca="false">IFERROR(IF(OR(NOT(ISNUMBER('Price History'!T160)),NOT(ISNUMBER('Price History'!T159)),'Price History'!T159=0),"",'Price History'!T160/'Price History'!T159-1),"")</f>
        <v>0.0437232802176448</v>
      </c>
      <c r="U159" s="105" t="str">
        <f aca="false">IFERROR(IF(OR(NOT(ISNUMBER('Price History'!U160)),NOT(ISNUMBER('Price History'!U159)),'Price History'!U159=0),"",'Price History'!U160/'Price History'!U159-1),"")</f>
        <v/>
      </c>
      <c r="V159" s="106" t="n">
        <f aca="false">IFERROR(IF(OR(NOT(ISNUMBER('Price History'!V160)),NOT(ISNUMBER('Price History'!V159)),'Price History'!V159=0),"",'Price History'!V160/'Price History'!V159-1),"")</f>
        <v>0.0064118508691926</v>
      </c>
    </row>
    <row r="160" customFormat="false" ht="15" hidden="false" customHeight="true" outlineLevel="0" collapsed="false">
      <c r="A160" s="104" t="n">
        <f aca="false">IF('Price History'!A161="","",'Price History'!A161)</f>
        <v>46255</v>
      </c>
      <c r="B160" s="105" t="n">
        <f aca="false">IFERROR(IF(OR(NOT(ISNUMBER('Price History'!B161)),NOT(ISNUMBER('Price History'!B160)),'Price History'!B160=0),"",'Price History'!B161/'Price History'!B160-1),"")</f>
        <v>0.0427240360578745</v>
      </c>
      <c r="C160" s="105" t="n">
        <f aca="false">IFERROR(IF(OR(NOT(ISNUMBER('Price History'!C161)),NOT(ISNUMBER('Price History'!C160)),'Price History'!C160=0),"",'Price History'!C161/'Price History'!C160-1),"")</f>
        <v>-0.0511517955940045</v>
      </c>
      <c r="D160" s="105" t="n">
        <f aca="false">IFERROR(IF(OR(NOT(ISNUMBER('Price History'!D161)),NOT(ISNUMBER('Price History'!D160)),'Price History'!D160=0),"",'Price History'!D161/'Price History'!D160-1),"")</f>
        <v>-0.0435555941173919</v>
      </c>
      <c r="E160" s="105" t="n">
        <f aca="false">IFERROR(IF(OR(NOT(ISNUMBER('Price History'!E161)),NOT(ISNUMBER('Price History'!E160)),'Price History'!E160=0),"",'Price History'!E161/'Price History'!E160-1),"")</f>
        <v>-0.0624443370060307</v>
      </c>
      <c r="F160" s="105" t="n">
        <f aca="false">IFERROR(IF(OR(NOT(ISNUMBER('Price History'!F161)),NOT(ISNUMBER('Price History'!F160)),'Price History'!F160=0),"",'Price History'!F161/'Price History'!F160-1),"")</f>
        <v>-0.115233924867481</v>
      </c>
      <c r="G160" s="105" t="n">
        <f aca="false">IFERROR(IF(OR(NOT(ISNUMBER('Price History'!G161)),NOT(ISNUMBER('Price History'!G160)),'Price History'!G160=0),"",'Price History'!G161/'Price History'!G160-1),"")</f>
        <v>-0.095827804806133</v>
      </c>
      <c r="H160" s="105" t="n">
        <f aca="false">IFERROR(IF(OR(NOT(ISNUMBER('Price History'!H161)),NOT(ISNUMBER('Price History'!H160)),'Price History'!H160=0),"",'Price History'!H161/'Price History'!H160-1),"")</f>
        <v>-0.00502233291480558</v>
      </c>
      <c r="I160" s="105" t="n">
        <f aca="false">IFERROR(IF(OR(NOT(ISNUMBER('Price History'!I161)),NOT(ISNUMBER('Price History'!I160)),'Price History'!I160=0),"",'Price History'!I161/'Price History'!I160-1),"")</f>
        <v>-0.0463670278912773</v>
      </c>
      <c r="J160" s="105" t="n">
        <f aca="false">IFERROR(IF(OR(NOT(ISNUMBER('Price History'!J161)),NOT(ISNUMBER('Price History'!J160)),'Price History'!J160=0),"",'Price History'!J161/'Price History'!J160-1),"")</f>
        <v>0.00545983124157989</v>
      </c>
      <c r="K160" s="105" t="n">
        <f aca="false">IFERROR(IF(OR(NOT(ISNUMBER('Price History'!K161)),NOT(ISNUMBER('Price History'!K160)),'Price History'!K160=0),"",'Price History'!K161/'Price History'!K160-1),"")</f>
        <v>0.0339002528154448</v>
      </c>
      <c r="L160" s="105" t="n">
        <f aca="false">IFERROR(IF(OR(NOT(ISNUMBER('Price History'!L161)),NOT(ISNUMBER('Price History'!L160)),'Price History'!L160=0),"",'Price History'!L161/'Price History'!L160-1),"")</f>
        <v>-0.01735663187522</v>
      </c>
      <c r="M160" s="105" t="n">
        <f aca="false">IFERROR(IF(OR(NOT(ISNUMBER('Price History'!M161)),NOT(ISNUMBER('Price History'!M160)),'Price History'!M160=0),"",'Price History'!M161/'Price History'!M160-1),"")</f>
        <v>-0.10852845085761</v>
      </c>
      <c r="N160" s="105" t="n">
        <f aca="false">IFERROR(IF(OR(NOT(ISNUMBER('Price History'!N161)),NOT(ISNUMBER('Price History'!N160)),'Price History'!N160=0),"",'Price History'!N161/'Price History'!N160-1),"")</f>
        <v>0.0836381611468116</v>
      </c>
      <c r="O160" s="105" t="n">
        <f aca="false">IFERROR(IF(OR(NOT(ISNUMBER('Price History'!O161)),NOT(ISNUMBER('Price History'!O160)),'Price History'!O160=0),"",'Price History'!O161/'Price History'!O160-1),"")</f>
        <v>-0.0177114891633651</v>
      </c>
      <c r="P160" s="105" t="str">
        <f aca="false">IFERROR(IF(OR(NOT(ISNUMBER('Price History'!P161)),NOT(ISNUMBER('Price History'!P160)),'Price History'!P160=0),"",'Price History'!P161/'Price History'!P160-1),"")</f>
        <v/>
      </c>
      <c r="Q160" s="105" t="n">
        <f aca="false">IFERROR(IF(OR(NOT(ISNUMBER('Price History'!Q161)),NOT(ISNUMBER('Price History'!Q160)),'Price History'!Q160=0),"",'Price History'!Q161/'Price History'!Q160-1),"")</f>
        <v>-0.0105488239486815</v>
      </c>
      <c r="R160" s="105" t="n">
        <f aca="false">IFERROR(IF(OR(NOT(ISNUMBER('Price History'!R161)),NOT(ISNUMBER('Price History'!R160)),'Price History'!R160=0),"",'Price History'!R161/'Price History'!R160-1),"")</f>
        <v>-0.011399306129192</v>
      </c>
      <c r="S160" s="105" t="n">
        <f aca="false">IFERROR(IF(OR(NOT(ISNUMBER('Price History'!S161)),NOT(ISNUMBER('Price History'!S160)),'Price History'!S160=0),"",'Price History'!S161/'Price History'!S160-1),"")</f>
        <v>-0.0298741112778033</v>
      </c>
      <c r="T160" s="105" t="n">
        <f aca="false">IFERROR(IF(OR(NOT(ISNUMBER('Price History'!T161)),NOT(ISNUMBER('Price History'!T160)),'Price History'!T160=0),"",'Price History'!T161/'Price History'!T160-1),"")</f>
        <v>0.0323962018246138</v>
      </c>
      <c r="U160" s="105" t="str">
        <f aca="false">IFERROR(IF(OR(NOT(ISNUMBER('Price History'!U161)),NOT(ISNUMBER('Price History'!U160)),'Price History'!U160=0),"",'Price History'!U161/'Price History'!U160-1),"")</f>
        <v/>
      </c>
      <c r="V160" s="106" t="n">
        <f aca="false">IFERROR(IF(OR(NOT(ISNUMBER('Price History'!V161)),NOT(ISNUMBER('Price History'!V160)),'Price History'!V160=0),"",'Price History'!V161/'Price History'!V160-1),"")</f>
        <v>0.0189207744061515</v>
      </c>
    </row>
    <row r="161" customFormat="false" ht="15" hidden="false" customHeight="true" outlineLevel="0" collapsed="false">
      <c r="A161" s="104" t="n">
        <f aca="false">IF('Price History'!A162="","",'Price History'!A162)</f>
        <v>46262</v>
      </c>
      <c r="B161" s="105" t="n">
        <f aca="false">IFERROR(IF(OR(NOT(ISNUMBER('Price History'!B162)),NOT(ISNUMBER('Price History'!B161)),'Price History'!B161=0),"",'Price History'!B162/'Price History'!B161-1),"")</f>
        <v>0.0589175444969123</v>
      </c>
      <c r="C161" s="105" t="n">
        <f aca="false">IFERROR(IF(OR(NOT(ISNUMBER('Price History'!C162)),NOT(ISNUMBER('Price History'!C161)),'Price History'!C161=0),"",'Price History'!C162/'Price History'!C161-1),"")</f>
        <v>0.0356745295520806</v>
      </c>
      <c r="D161" s="105" t="n">
        <f aca="false">IFERROR(IF(OR(NOT(ISNUMBER('Price History'!D162)),NOT(ISNUMBER('Price History'!D161)),'Price History'!D161=0),"",'Price History'!D162/'Price History'!D161-1),"")</f>
        <v>-0.0383272100512541</v>
      </c>
      <c r="E161" s="105" t="n">
        <f aca="false">IFERROR(IF(OR(NOT(ISNUMBER('Price History'!E162)),NOT(ISNUMBER('Price History'!E161)),'Price History'!E161=0),"",'Price History'!E162/'Price History'!E161-1),"")</f>
        <v>0.000922784638349938</v>
      </c>
      <c r="F161" s="105" t="n">
        <f aca="false">IFERROR(IF(OR(NOT(ISNUMBER('Price History'!F162)),NOT(ISNUMBER('Price History'!F161)),'Price History'!F161=0),"",'Price History'!F162/'Price History'!F161-1),"")</f>
        <v>0.137796301120083</v>
      </c>
      <c r="G161" s="105" t="n">
        <f aca="false">IFERROR(IF(OR(NOT(ISNUMBER('Price History'!G162)),NOT(ISNUMBER('Price History'!G161)),'Price History'!G161=0),"",'Price History'!G162/'Price History'!G161-1),"")</f>
        <v>-0.0459264090439698</v>
      </c>
      <c r="H161" s="105" t="n">
        <f aca="false">IFERROR(IF(OR(NOT(ISNUMBER('Price History'!H162)),NOT(ISNUMBER('Price History'!H161)),'Price History'!H161=0),"",'Price History'!H162/'Price History'!H161-1),"")</f>
        <v>-0.0350855416951116</v>
      </c>
      <c r="I161" s="105" t="n">
        <f aca="false">IFERROR(IF(OR(NOT(ISNUMBER('Price History'!I162)),NOT(ISNUMBER('Price History'!I161)),'Price History'!I161=0),"",'Price History'!I162/'Price History'!I161-1),"")</f>
        <v>0.0131799552906111</v>
      </c>
      <c r="J161" s="105" t="n">
        <f aca="false">IFERROR(IF(OR(NOT(ISNUMBER('Price History'!J162)),NOT(ISNUMBER('Price History'!J161)),'Price History'!J161=0),"",'Price History'!J162/'Price History'!J161-1),"")</f>
        <v>-0.00775740479548681</v>
      </c>
      <c r="K161" s="105" t="n">
        <f aca="false">IFERROR(IF(OR(NOT(ISNUMBER('Price History'!K162)),NOT(ISNUMBER('Price History'!K161)),'Price History'!K161=0),"",'Price History'!K162/'Price History'!K161-1),"")</f>
        <v>0.0352895409580971</v>
      </c>
      <c r="L161" s="105" t="n">
        <f aca="false">IFERROR(IF(OR(NOT(ISNUMBER('Price History'!L162)),NOT(ISNUMBER('Price History'!L161)),'Price History'!L161=0),"",'Price History'!L162/'Price History'!L161-1),"")</f>
        <v>-0.00341329514261846</v>
      </c>
      <c r="M161" s="105" t="n">
        <f aca="false">IFERROR(IF(OR(NOT(ISNUMBER('Price History'!M162)),NOT(ISNUMBER('Price History'!M161)),'Price History'!M161=0),"",'Price History'!M162/'Price History'!M161-1),"")</f>
        <v>-0.0185913342240885</v>
      </c>
      <c r="N161" s="105" t="n">
        <f aca="false">IFERROR(IF(OR(NOT(ISNUMBER('Price History'!N162)),NOT(ISNUMBER('Price History'!N161)),'Price History'!N161=0),"",'Price History'!N162/'Price History'!N161-1),"")</f>
        <v>-0.0116047805857128</v>
      </c>
      <c r="O161" s="105" t="n">
        <f aca="false">IFERROR(IF(OR(NOT(ISNUMBER('Price History'!O162)),NOT(ISNUMBER('Price History'!O161)),'Price History'!O161=0),"",'Price History'!O162/'Price History'!O161-1),"")</f>
        <v>-0.00695927243969952</v>
      </c>
      <c r="P161" s="105" t="str">
        <f aca="false">IFERROR(IF(OR(NOT(ISNUMBER('Price History'!P162)),NOT(ISNUMBER('Price History'!P161)),'Price History'!P161=0),"",'Price History'!P162/'Price History'!P161-1),"")</f>
        <v/>
      </c>
      <c r="Q161" s="105" t="n">
        <f aca="false">IFERROR(IF(OR(NOT(ISNUMBER('Price History'!Q162)),NOT(ISNUMBER('Price History'!Q161)),'Price History'!Q161=0),"",'Price History'!Q162/'Price History'!Q161-1),"")</f>
        <v>0.00403400086442884</v>
      </c>
      <c r="R161" s="105" t="n">
        <f aca="false">IFERROR(IF(OR(NOT(ISNUMBER('Price History'!R162)),NOT(ISNUMBER('Price History'!R161)),'Price History'!R161=0),"",'Price History'!R162/'Price History'!R161-1),"")</f>
        <v>-0.00618315508021394</v>
      </c>
      <c r="S161" s="105" t="n">
        <f aca="false">IFERROR(IF(OR(NOT(ISNUMBER('Price History'!S162)),NOT(ISNUMBER('Price History'!S161)),'Price History'!S161=0),"",'Price History'!S162/'Price History'!S161-1),"")</f>
        <v>-0.0131110065218852</v>
      </c>
      <c r="T161" s="105" t="n">
        <f aca="false">IFERROR(IF(OR(NOT(ISNUMBER('Price History'!T162)),NOT(ISNUMBER('Price History'!T161)),'Price History'!T161=0),"",'Price History'!T162/'Price History'!T161-1),"")</f>
        <v>0.00378719567177632</v>
      </c>
      <c r="U161" s="105" t="str">
        <f aca="false">IFERROR(IF(OR(NOT(ISNUMBER('Price History'!U162)),NOT(ISNUMBER('Price History'!U161)),'Price History'!U161=0),"",'Price History'!U162/'Price History'!U161-1),"")</f>
        <v/>
      </c>
      <c r="V161" s="106" t="n">
        <f aca="false">IFERROR(IF(OR(NOT(ISNUMBER('Price History'!V162)),NOT(ISNUMBER('Price History'!V161)),'Price History'!V161=0),"",'Price History'!V162/'Price History'!V161-1),"")</f>
        <v>0.0284605433376455</v>
      </c>
    </row>
    <row r="162" customFormat="false" ht="15" hidden="false" customHeight="true" outlineLevel="0" collapsed="false">
      <c r="A162" s="104" t="n">
        <f aca="false">IF('Price History'!A163="","",'Price History'!A163)</f>
        <v>46269</v>
      </c>
      <c r="B162" s="105" t="n">
        <f aca="false">IFERROR(IF(OR(NOT(ISNUMBER('Price History'!B163)),NOT(ISNUMBER('Price History'!B162)),'Price History'!B162=0),"",'Price History'!B163/'Price History'!B162-1),"")</f>
        <v>-0.0857917124039517</v>
      </c>
      <c r="C162" s="105" t="n">
        <f aca="false">IFERROR(IF(OR(NOT(ISNUMBER('Price History'!C163)),NOT(ISNUMBER('Price History'!C162)),'Price History'!C162=0),"",'Price History'!C163/'Price History'!C162-1),"")</f>
        <v>-0.00818916982290918</v>
      </c>
      <c r="D162" s="105" t="n">
        <f aca="false">IFERROR(IF(OR(NOT(ISNUMBER('Price History'!D163)),NOT(ISNUMBER('Price History'!D162)),'Price History'!D162=0),"",'Price History'!D163/'Price History'!D162-1),"")</f>
        <v>0.011036694651448</v>
      </c>
      <c r="E162" s="105" t="n">
        <f aca="false">IFERROR(IF(OR(NOT(ISNUMBER('Price History'!E163)),NOT(ISNUMBER('Price History'!E162)),'Price History'!E162=0),"",'Price History'!E163/'Price History'!E162-1),"")</f>
        <v>-0.0295290002440415</v>
      </c>
      <c r="F162" s="105" t="n">
        <f aca="false">IFERROR(IF(OR(NOT(ISNUMBER('Price History'!F163)),NOT(ISNUMBER('Price History'!F162)),'Price History'!F162=0),"",'Price History'!F163/'Price History'!F162-1),"")</f>
        <v>-0.0242673992673993</v>
      </c>
      <c r="G162" s="105" t="n">
        <f aca="false">IFERROR(IF(OR(NOT(ISNUMBER('Price History'!G163)),NOT(ISNUMBER('Price History'!G162)),'Price History'!G162=0),"",'Price History'!G163/'Price History'!G162-1),"")</f>
        <v>0.0573088754699784</v>
      </c>
      <c r="H162" s="105" t="n">
        <f aca="false">IFERROR(IF(OR(NOT(ISNUMBER('Price History'!H163)),NOT(ISNUMBER('Price History'!H162)),'Price History'!H162=0),"",'Price History'!H163/'Price History'!H162-1),"")</f>
        <v>0.0897562335184272</v>
      </c>
      <c r="I162" s="105" t="n">
        <f aca="false">IFERROR(IF(OR(NOT(ISNUMBER('Price History'!I163)),NOT(ISNUMBER('Price History'!I162)),'Price History'!I162=0),"",'Price History'!I163/'Price History'!I162-1),"")</f>
        <v>0.058883015398759</v>
      </c>
      <c r="J162" s="105" t="n">
        <f aca="false">IFERROR(IF(OR(NOT(ISNUMBER('Price History'!J163)),NOT(ISNUMBER('Price History'!J162)),'Price History'!J162=0),"",'Price History'!J163/'Price History'!J162-1),"")</f>
        <v>-0.0238805970149253</v>
      </c>
      <c r="K162" s="105" t="n">
        <f aca="false">IFERROR(IF(OR(NOT(ISNUMBER('Price History'!K163)),NOT(ISNUMBER('Price History'!K162)),'Price History'!K162=0),"",'Price History'!K163/'Price History'!K162-1),"")</f>
        <v>-0.0642009769713886</v>
      </c>
      <c r="L162" s="105" t="n">
        <f aca="false">IFERROR(IF(OR(NOT(ISNUMBER('Price History'!L163)),NOT(ISNUMBER('Price History'!L162)),'Price History'!L162=0),"",'Price History'!L163/'Price History'!L162-1),"")</f>
        <v>0.0272801302931598</v>
      </c>
      <c r="M162" s="105" t="n">
        <f aca="false">IFERROR(IF(OR(NOT(ISNUMBER('Price History'!M163)),NOT(ISNUMBER('Price History'!M162)),'Price History'!M162=0),"",'Price History'!M163/'Price History'!M162-1),"")</f>
        <v>0.091216741870235</v>
      </c>
      <c r="N162" s="105" t="n">
        <f aca="false">IFERROR(IF(OR(NOT(ISNUMBER('Price History'!N163)),NOT(ISNUMBER('Price History'!N162)),'Price History'!N162=0),"",'Price History'!N163/'Price History'!N162-1),"")</f>
        <v>0.0081781092506783</v>
      </c>
      <c r="O162" s="105" t="n">
        <f aca="false">IFERROR(IF(OR(NOT(ISNUMBER('Price History'!O163)),NOT(ISNUMBER('Price History'!O162)),'Price History'!O162=0),"",'Price History'!O163/'Price History'!O162-1),"")</f>
        <v>0.0108306124074222</v>
      </c>
      <c r="P162" s="105" t="str">
        <f aca="false">IFERROR(IF(OR(NOT(ISNUMBER('Price History'!P163)),NOT(ISNUMBER('Price History'!P162)),'Price History'!P162=0),"",'Price History'!P163/'Price History'!P162-1),"")</f>
        <v/>
      </c>
      <c r="Q162" s="105" t="n">
        <f aca="false">IFERROR(IF(OR(NOT(ISNUMBER('Price History'!Q163)),NOT(ISNUMBER('Price History'!Q162)),'Price History'!Q162=0),"",'Price History'!Q163/'Price History'!Q162-1),"")</f>
        <v>0.000430477830391851</v>
      </c>
      <c r="R162" s="105" t="n">
        <f aca="false">IFERROR(IF(OR(NOT(ISNUMBER('Price History'!R163)),NOT(ISNUMBER('Price History'!R162)),'Price History'!R162=0),"",'Price History'!R163/'Price History'!R162-1),"")</f>
        <v>0.00672608037666045</v>
      </c>
      <c r="S162" s="105" t="n">
        <f aca="false">IFERROR(IF(OR(NOT(ISNUMBER('Price History'!S163)),NOT(ISNUMBER('Price History'!S162)),'Price History'!S162=0),"",'Price History'!S163/'Price History'!S162-1),"")</f>
        <v>0.0200299768360812</v>
      </c>
      <c r="T162" s="105" t="n">
        <f aca="false">IFERROR(IF(OR(NOT(ISNUMBER('Price History'!T163)),NOT(ISNUMBER('Price History'!T162)),'Price History'!T162=0),"",'Price History'!T163/'Price History'!T162-1),"")</f>
        <v>-0.00664750269493353</v>
      </c>
      <c r="U162" s="105" t="str">
        <f aca="false">IFERROR(IF(OR(NOT(ISNUMBER('Price History'!U163)),NOT(ISNUMBER('Price History'!U162)),'Price History'!U162=0),"",'Price History'!U163/'Price History'!U162-1),"")</f>
        <v/>
      </c>
      <c r="V162" s="106" t="n">
        <f aca="false">IFERROR(IF(OR(NOT(ISNUMBER('Price History'!V163)),NOT(ISNUMBER('Price History'!V162)),'Price History'!V162=0),"",'Price History'!V163/'Price History'!V162-1),"")</f>
        <v>-0.0171121593291406</v>
      </c>
    </row>
  </sheetData>
  <mergeCells count="1">
    <mergeCell ref="A1:U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O28" activeCellId="0" sqref="O28"/>
    </sheetView>
  </sheetViews>
  <sheetFormatPr defaultColWidth="8.66796875" defaultRowHeight="15" customHeight="false" zeroHeight="false" outlineLevelRow="0" outlineLevelCol="0"/>
  <cols>
    <col collapsed="false" customWidth="true" hidden="false" outlineLevel="0" max="1" min="1" style="1" width="10"/>
    <col collapsed="false" customWidth="true" hidden="false" outlineLevel="0" max="21" min="2" style="1" width="5.66"/>
    <col collapsed="false" customWidth="true" hidden="false" outlineLevel="0" max="22" min="22" style="1" width="9"/>
  </cols>
  <sheetData>
    <row r="1" customFormat="false" ht="15" hidden="false" customHeight="true" outlineLevel="0" collapsed="false">
      <c r="A1" s="108" t="s">
        <v>441</v>
      </c>
      <c r="B1" s="108"/>
      <c r="C1" s="108"/>
      <c r="D1" s="108"/>
      <c r="E1" s="108"/>
      <c r="F1" s="108"/>
      <c r="G1" s="108"/>
      <c r="H1" s="108"/>
      <c r="I1" s="108"/>
      <c r="J1" s="108"/>
      <c r="K1" s="108"/>
      <c r="L1" s="108"/>
      <c r="M1" s="108"/>
      <c r="N1" s="108"/>
      <c r="O1" s="108"/>
      <c r="P1" s="108"/>
      <c r="Q1" s="108"/>
      <c r="R1" s="108"/>
      <c r="S1" s="108"/>
      <c r="T1" s="108"/>
      <c r="U1" s="108"/>
      <c r="V1" s="108"/>
    </row>
    <row r="2" customFormat="false" ht="27" hidden="false" customHeight="true" outlineLevel="0" collapsed="false">
      <c r="A2" s="62" t="s">
        <v>82</v>
      </c>
      <c r="B2" s="75" t="str">
        <f aca="false">'Returns (Calc)'!B2</f>
        <v>ADBE</v>
      </c>
      <c r="C2" s="75" t="str">
        <f aca="false">'Returns (Calc)'!C2</f>
        <v>ANET</v>
      </c>
      <c r="D2" s="75" t="str">
        <f aca="false">'Returns (Calc)'!D2</f>
        <v>ASML</v>
      </c>
      <c r="E2" s="75" t="str">
        <f aca="false">'Returns (Calc)'!E2</f>
        <v>AVGO</v>
      </c>
      <c r="F2" s="75" t="str">
        <f aca="false">'Returns (Calc)'!F2</f>
        <v>CRWD</v>
      </c>
      <c r="G2" s="75" t="str">
        <f aca="false">'Returns (Calc)'!G2</f>
        <v>KLAC</v>
      </c>
      <c r="H2" s="75" t="str">
        <f aca="false">'Returns (Calc)'!H2</f>
        <v>MU</v>
      </c>
      <c r="I2" s="75" t="str">
        <f aca="false">'Returns (Calc)'!I2</f>
        <v>NVDA</v>
      </c>
      <c r="J2" s="75" t="str">
        <f aca="false">'Returns (Calc)'!J2</f>
        <v>PLD</v>
      </c>
      <c r="K2" s="75" t="str">
        <f aca="false">'Returns (Calc)'!K2</f>
        <v>PLTR</v>
      </c>
      <c r="L2" s="75" t="str">
        <f aca="false">'Returns (Calc)'!L2</f>
        <v>TSM</v>
      </c>
      <c r="M2" s="75" t="str">
        <f aca="false">'Returns (Calc)'!M2</f>
        <v>VRT</v>
      </c>
      <c r="N2" s="75" t="str">
        <f aca="false">'Returns (Calc)'!N2</f>
        <v>VRTX</v>
      </c>
      <c r="O2" s="75" t="str">
        <f aca="false">'Returns (Calc)'!O2</f>
        <v>AVUV</v>
      </c>
      <c r="P2" s="75" t="n">
        <f aca="false">'Returns (Calc)'!P2</f>
        <v>0</v>
      </c>
      <c r="Q2" s="75" t="str">
        <f aca="false">'Returns (Calc)'!Q2</f>
        <v>HELO</v>
      </c>
      <c r="R2" s="75" t="str">
        <f aca="false">'Returns (Calc)'!R2</f>
        <v>JEPQ</v>
      </c>
      <c r="S2" s="75" t="str">
        <f aca="false">'Returns (Calc)'!S2</f>
        <v>SPMO</v>
      </c>
      <c r="T2" s="75" t="str">
        <f aca="false">'Returns (Calc)'!T2</f>
        <v>VFLO</v>
      </c>
      <c r="U2" s="75" t="n">
        <f aca="false">'Returns (Calc)'!U2</f>
        <v>0</v>
      </c>
      <c r="V2" s="75" t="str">
        <f aca="false">'Returns (Calc)'!V2</f>
        <v>V</v>
      </c>
      <c r="W2" s="109" t="s">
        <v>442</v>
      </c>
    </row>
    <row r="3" customFormat="false" ht="15" hidden="false" customHeight="true" outlineLevel="0" collapsed="false">
      <c r="A3" s="110" t="str">
        <f aca="false">'Returns (Calc)'!B2</f>
        <v>ADBE</v>
      </c>
      <c r="B3" s="111" t="n">
        <v>1</v>
      </c>
      <c r="C3" s="111" t="n">
        <f aca="false">IFERROR(ROUND(CORREL('Returns (Calc)'!$B$3:$B$161,'Returns (Calc)'!$C$3:$C$161),2),"")</f>
        <v>0.22</v>
      </c>
      <c r="D3" s="111" t="n">
        <f aca="false">IFERROR(ROUND(CORREL('Returns (Calc)'!$B$3:$B$161,'Returns (Calc)'!$D$3:$D$161),2),"")</f>
        <v>0.02</v>
      </c>
      <c r="E3" s="111" t="n">
        <f aca="false">IFERROR(ROUND(CORREL('Returns (Calc)'!$B$3:$B$161,'Returns (Calc)'!$E$3:$E$161),2),"")</f>
        <v>0.16</v>
      </c>
      <c r="F3" s="111" t="n">
        <f aca="false">IFERROR(ROUND(CORREL('Returns (Calc)'!$B$3:$B$161,'Returns (Calc)'!$F$3:$F$161),2),"")</f>
        <v>0.41</v>
      </c>
      <c r="G3" s="111" t="n">
        <f aca="false">IFERROR(ROUND(CORREL('Returns (Calc)'!$B$3:$B$161,'Returns (Calc)'!$G$3:$G$161),2),"")</f>
        <v>-0.04</v>
      </c>
      <c r="H3" s="111" t="n">
        <f aca="false">IFERROR(ROUND(CORREL('Returns (Calc)'!$B$3:$B$161,'Returns (Calc)'!$H$3:$H$161),2),"")</f>
        <v>0.06</v>
      </c>
      <c r="I3" s="111" t="n">
        <f aca="false">IFERROR(ROUND(CORREL('Returns (Calc)'!$B$3:$B$161,'Returns (Calc)'!$I$3:$I$161),2),"")</f>
        <v>0.23</v>
      </c>
      <c r="J3" s="111" t="n">
        <f aca="false">IFERROR(ROUND(CORREL('Returns (Calc)'!$B$3:$B$161,'Returns (Calc)'!$J$3:$J$161),2),"")</f>
        <v>0.17</v>
      </c>
      <c r="K3" s="111" t="n">
        <f aca="false">IFERROR(ROUND(CORREL('Returns (Calc)'!$B$3:$B$161,'Returns (Calc)'!$K$3:$K$161),2),"")</f>
        <v>0.37</v>
      </c>
      <c r="L3" s="111" t="n">
        <f aca="false">IFERROR(ROUND(CORREL('Returns (Calc)'!$B$3:$B$161,'Returns (Calc)'!$L$3:$L$161),2),"")</f>
        <v>0.16</v>
      </c>
      <c r="M3" s="111" t="n">
        <f aca="false">IFERROR(ROUND(CORREL('Returns (Calc)'!$B$3:$B$161,'Returns (Calc)'!$M$3:$M$161),2),"")</f>
        <v>0.07</v>
      </c>
      <c r="N3" s="111" t="n">
        <f aca="false">IFERROR(ROUND(CORREL('Returns (Calc)'!$B$3:$B$161,'Returns (Calc)'!$N$3:$N$161),2),"")</f>
        <v>0.14</v>
      </c>
      <c r="O3" s="111" t="n">
        <f aca="false">IFERROR(ROUND(CORREL('Returns (Calc)'!$B$3:$B$161,'Returns (Calc)'!$O$3:$O$161),2),"")</f>
        <v>0.17</v>
      </c>
      <c r="P3" s="111" t="str">
        <f aca="false">IFERROR(ROUND(CORREL('Returns (Calc)'!$B$3:$B$161,'Returns (Calc)'!$P$3:$P$161),2),"")</f>
        <v/>
      </c>
      <c r="Q3" s="111" t="n">
        <f aca="false">IFERROR(ROUND(CORREL('Returns (Calc)'!$B$3:$B$161,'Returns (Calc)'!$Q$3:$Q$161),2),"")</f>
        <v>-0.1</v>
      </c>
      <c r="R3" s="111" t="n">
        <f aca="false">IFERROR(ROUND(CORREL('Returns (Calc)'!$B$3:$B$161,'Returns (Calc)'!$R$3:$R$161),2),"")</f>
        <v>0.32</v>
      </c>
      <c r="S3" s="111" t="n">
        <f aca="false">IFERROR(ROUND(CORREL('Returns (Calc)'!$B$3:$B$161,'Returns (Calc)'!$S$3:$S$161),2),"")</f>
        <v>0.24</v>
      </c>
      <c r="T3" s="111" t="n">
        <f aca="false">IFERROR(ROUND(CORREL('Returns (Calc)'!$B$3:$B$161,'Returns (Calc)'!$T$3:$T$161),2),"")</f>
        <v>0.41</v>
      </c>
      <c r="U3" s="111" t="str">
        <f aca="false">IFERROR(ROUND(CORREL('Returns (Calc)'!$B$3:$B$161,'Returns (Calc)'!$U$3:$U$161),2),"")</f>
        <v/>
      </c>
      <c r="V3" s="111" t="n">
        <f aca="false">IFERROR(ROUND(CORREL('Returns (Calc)'!$B$3:$B$161,'Returns (Calc)'!$V$3:$V$161),2),"")</f>
        <v>0.39</v>
      </c>
      <c r="W3" s="112" t="n">
        <f aca="false">COUNTIF(B3:V3,"&gt;0.7")-1</f>
        <v>0</v>
      </c>
    </row>
    <row r="4" customFormat="false" ht="15" hidden="false" customHeight="true" outlineLevel="0" collapsed="false">
      <c r="A4" s="110" t="str">
        <f aca="false">'Returns (Calc)'!C2</f>
        <v>ANET</v>
      </c>
      <c r="B4" s="111" t="n">
        <f aca="false">IFERROR(ROUND(CORREL('Returns (Calc)'!$C$3:$C$161,'Returns (Calc)'!$B$3:$B$161),2),"")</f>
        <v>0.22</v>
      </c>
      <c r="C4" s="111" t="n">
        <v>1</v>
      </c>
      <c r="D4" s="111" t="n">
        <f aca="false">IFERROR(ROUND(CORREL('Returns (Calc)'!$C$3:$C$161,'Returns (Calc)'!$D$3:$D$161),2),"")</f>
        <v>0.39</v>
      </c>
      <c r="E4" s="111" t="n">
        <f aca="false">IFERROR(ROUND(CORREL('Returns (Calc)'!$C$3:$C$161,'Returns (Calc)'!$E$3:$E$161),2),"")</f>
        <v>0.58</v>
      </c>
      <c r="F4" s="111" t="n">
        <f aca="false">IFERROR(ROUND(CORREL('Returns (Calc)'!$C$3:$C$161,'Returns (Calc)'!$F$3:$F$161),2),"")</f>
        <v>0.38</v>
      </c>
      <c r="G4" s="111" t="n">
        <f aca="false">IFERROR(ROUND(CORREL('Returns (Calc)'!$C$3:$C$161,'Returns (Calc)'!$G$3:$G$161),2),"")</f>
        <v>0.45</v>
      </c>
      <c r="H4" s="111" t="n">
        <f aca="false">IFERROR(ROUND(CORREL('Returns (Calc)'!$C$3:$C$161,'Returns (Calc)'!$H$3:$H$161),2),"")</f>
        <v>0.35</v>
      </c>
      <c r="I4" s="111" t="n">
        <f aca="false">IFERROR(ROUND(CORREL('Returns (Calc)'!$C$3:$C$161,'Returns (Calc)'!$I$3:$I$161),2),"")</f>
        <v>0.53</v>
      </c>
      <c r="J4" s="111" t="n">
        <f aca="false">IFERROR(ROUND(CORREL('Returns (Calc)'!$C$3:$C$161,'Returns (Calc)'!$J$3:$J$161),2),"")</f>
        <v>0.18</v>
      </c>
      <c r="K4" s="111" t="n">
        <f aca="false">IFERROR(ROUND(CORREL('Returns (Calc)'!$C$3:$C$161,'Returns (Calc)'!$K$3:$K$161),2),"")</f>
        <v>0.33</v>
      </c>
      <c r="L4" s="111" t="n">
        <f aca="false">IFERROR(ROUND(CORREL('Returns (Calc)'!$C$3:$C$161,'Returns (Calc)'!$L$3:$L$161),2),"")</f>
        <v>0.55</v>
      </c>
      <c r="M4" s="111" t="n">
        <f aca="false">IFERROR(ROUND(CORREL('Returns (Calc)'!$C$3:$C$161,'Returns (Calc)'!$M$3:$M$161),2),"")</f>
        <v>0.59</v>
      </c>
      <c r="N4" s="111" t="n">
        <f aca="false">IFERROR(ROUND(CORREL('Returns (Calc)'!$C$3:$C$161,'Returns (Calc)'!$N$3:$N$161),2),"")</f>
        <v>0.04</v>
      </c>
      <c r="O4" s="111" t="n">
        <f aca="false">IFERROR(ROUND(CORREL('Returns (Calc)'!$C$3:$C$161,'Returns (Calc)'!$O$3:$O$161),2),"")</f>
        <v>0.35</v>
      </c>
      <c r="P4" s="111" t="str">
        <f aca="false">IFERROR(ROUND(CORREL('Returns (Calc)'!$C$3:$C$161,'Returns (Calc)'!$P$3:$P$161),2),"")</f>
        <v/>
      </c>
      <c r="Q4" s="111" t="n">
        <f aca="false">IFERROR(ROUND(CORREL('Returns (Calc)'!$C$3:$C$161,'Returns (Calc)'!$Q$3:$Q$161),2),"")</f>
        <v>-0</v>
      </c>
      <c r="R4" s="111" t="n">
        <f aca="false">IFERROR(ROUND(CORREL('Returns (Calc)'!$C$3:$C$161,'Returns (Calc)'!$R$3:$R$161),2),"")</f>
        <v>0.64</v>
      </c>
      <c r="S4" s="111" t="n">
        <f aca="false">IFERROR(ROUND(CORREL('Returns (Calc)'!$C$3:$C$161,'Returns (Calc)'!$S$3:$S$161),2),"")</f>
        <v>0.64</v>
      </c>
      <c r="T4" s="111" t="n">
        <f aca="false">IFERROR(ROUND(CORREL('Returns (Calc)'!$C$3:$C$161,'Returns (Calc)'!$T$3:$T$161),2),"")</f>
        <v>0.34</v>
      </c>
      <c r="U4" s="111" t="str">
        <f aca="false">IFERROR(ROUND(CORREL('Returns (Calc)'!$C$3:$C$161,'Returns (Calc)'!$U$3:$U$161),2),"")</f>
        <v/>
      </c>
      <c r="V4" s="111" t="n">
        <f aca="false">IFERROR(ROUND(CORREL('Returns (Calc)'!$C$3:$C$161,'Returns (Calc)'!$V$3:$V$161),2),"")</f>
        <v>0.3</v>
      </c>
      <c r="W4" s="112" t="n">
        <f aca="false">COUNTIF(B4:V4,"&gt;0.7")-1</f>
        <v>0</v>
      </c>
    </row>
    <row r="5" customFormat="false" ht="15" hidden="false" customHeight="true" outlineLevel="0" collapsed="false">
      <c r="A5" s="110" t="str">
        <f aca="false">'Returns (Calc)'!D2</f>
        <v>ASML</v>
      </c>
      <c r="B5" s="111" t="n">
        <f aca="false">IFERROR(ROUND(CORREL('Returns (Calc)'!$D$3:$D$161,'Returns (Calc)'!$B$3:$B$161),2),"")</f>
        <v>0.02</v>
      </c>
      <c r="C5" s="111" t="n">
        <f aca="false">IFERROR(ROUND(CORREL('Returns (Calc)'!$D$3:$D$161,'Returns (Calc)'!$C$3:$C$161),2),"")</f>
        <v>0.39</v>
      </c>
      <c r="D5" s="111" t="n">
        <v>1</v>
      </c>
      <c r="E5" s="111" t="n">
        <f aca="false">IFERROR(ROUND(CORREL('Returns (Calc)'!$D$3:$D$161,'Returns (Calc)'!$E$3:$E$161),2),"")</f>
        <v>0.5</v>
      </c>
      <c r="F5" s="111" t="n">
        <f aca="false">IFERROR(ROUND(CORREL('Returns (Calc)'!$D$3:$D$161,'Returns (Calc)'!$F$3:$F$161),2),"")</f>
        <v>0.33</v>
      </c>
      <c r="G5" s="111" t="n">
        <f aca="false">IFERROR(ROUND(CORREL('Returns (Calc)'!$D$3:$D$161,'Returns (Calc)'!$G$3:$G$161),2),"")</f>
        <v>0.77</v>
      </c>
      <c r="H5" s="111" t="n">
        <f aca="false">IFERROR(ROUND(CORREL('Returns (Calc)'!$D$3:$D$161,'Returns (Calc)'!$H$3:$H$161),2),"")</f>
        <v>0.6</v>
      </c>
      <c r="I5" s="111" t="n">
        <f aca="false">IFERROR(ROUND(CORREL('Returns (Calc)'!$D$3:$D$161,'Returns (Calc)'!$I$3:$I$161),2),"")</f>
        <v>0.49</v>
      </c>
      <c r="J5" s="111" t="n">
        <f aca="false">IFERROR(ROUND(CORREL('Returns (Calc)'!$D$3:$D$161,'Returns (Calc)'!$J$3:$J$161),2),"")</f>
        <v>0.28</v>
      </c>
      <c r="K5" s="111" t="n">
        <f aca="false">IFERROR(ROUND(CORREL('Returns (Calc)'!$D$3:$D$161,'Returns (Calc)'!$K$3:$K$161),2),"")</f>
        <v>0.21</v>
      </c>
      <c r="L5" s="111" t="n">
        <f aca="false">IFERROR(ROUND(CORREL('Returns (Calc)'!$D$3:$D$161,'Returns (Calc)'!$L$3:$L$161),2),"")</f>
        <v>0.63</v>
      </c>
      <c r="M5" s="111" t="n">
        <f aca="false">IFERROR(ROUND(CORREL('Returns (Calc)'!$D$3:$D$161,'Returns (Calc)'!$M$3:$M$161),2),"")</f>
        <v>0.43</v>
      </c>
      <c r="N5" s="111" t="n">
        <f aca="false">IFERROR(ROUND(CORREL('Returns (Calc)'!$D$3:$D$161,'Returns (Calc)'!$N$3:$N$161),2),"")</f>
        <v>0.12</v>
      </c>
      <c r="O5" s="111" t="n">
        <f aca="false">IFERROR(ROUND(CORREL('Returns (Calc)'!$D$3:$D$161,'Returns (Calc)'!$O$3:$O$161),2),"")</f>
        <v>0.39</v>
      </c>
      <c r="P5" s="111" t="str">
        <f aca="false">IFERROR(ROUND(CORREL('Returns (Calc)'!$D$3:$D$161,'Returns (Calc)'!$P$3:$P$161),2),"")</f>
        <v/>
      </c>
      <c r="Q5" s="111" t="n">
        <f aca="false">IFERROR(ROUND(CORREL('Returns (Calc)'!$D$3:$D$161,'Returns (Calc)'!$Q$3:$Q$161),2),"")</f>
        <v>-0.05</v>
      </c>
      <c r="R5" s="111" t="n">
        <f aca="false">IFERROR(ROUND(CORREL('Returns (Calc)'!$D$3:$D$161,'Returns (Calc)'!$R$3:$R$161),2),"")</f>
        <v>0.61</v>
      </c>
      <c r="S5" s="111" t="n">
        <f aca="false">IFERROR(ROUND(CORREL('Returns (Calc)'!$D$3:$D$161,'Returns (Calc)'!$S$3:$S$161),2),"")</f>
        <v>0.61</v>
      </c>
      <c r="T5" s="111" t="n">
        <f aca="false">IFERROR(ROUND(CORREL('Returns (Calc)'!$D$3:$D$161,'Returns (Calc)'!$T$3:$T$161),2),"")</f>
        <v>0.31</v>
      </c>
      <c r="U5" s="111" t="str">
        <f aca="false">IFERROR(ROUND(CORREL('Returns (Calc)'!$D$3:$D$161,'Returns (Calc)'!$U$3:$U$161),2),"")</f>
        <v/>
      </c>
      <c r="V5" s="111" t="n">
        <f aca="false">IFERROR(ROUND(CORREL('Returns (Calc)'!$D$3:$D$161,'Returns (Calc)'!$V$3:$V$161),2),"")</f>
        <v>0.06</v>
      </c>
      <c r="W5" s="112" t="n">
        <f aca="false">COUNTIF(B5:V5,"&gt;0.7")-1</f>
        <v>1</v>
      </c>
    </row>
    <row r="6" customFormat="false" ht="15" hidden="false" customHeight="true" outlineLevel="0" collapsed="false">
      <c r="A6" s="110" t="str">
        <f aca="false">'Returns (Calc)'!E2</f>
        <v>AVGO</v>
      </c>
      <c r="B6" s="111" t="n">
        <f aca="false">IFERROR(ROUND(CORREL('Returns (Calc)'!$E$3:$E$161,'Returns (Calc)'!$B$3:$B$161),2),"")</f>
        <v>0.16</v>
      </c>
      <c r="C6" s="111" t="n">
        <f aca="false">IFERROR(ROUND(CORREL('Returns (Calc)'!$E$3:$E$161,'Returns (Calc)'!$C$3:$C$161),2),"")</f>
        <v>0.58</v>
      </c>
      <c r="D6" s="111" t="n">
        <f aca="false">IFERROR(ROUND(CORREL('Returns (Calc)'!$E$3:$E$161,'Returns (Calc)'!$D$3:$D$161),2),"")</f>
        <v>0.5</v>
      </c>
      <c r="E6" s="111" t="n">
        <v>1</v>
      </c>
      <c r="F6" s="111" t="n">
        <f aca="false">IFERROR(ROUND(CORREL('Returns (Calc)'!$E$3:$E$161,'Returns (Calc)'!$F$3:$F$161),2),"")</f>
        <v>0.41</v>
      </c>
      <c r="G6" s="111" t="n">
        <f aca="false">IFERROR(ROUND(CORREL('Returns (Calc)'!$E$3:$E$161,'Returns (Calc)'!$G$3:$G$161),2),"")</f>
        <v>0.54</v>
      </c>
      <c r="H6" s="111" t="n">
        <f aca="false">IFERROR(ROUND(CORREL('Returns (Calc)'!$E$3:$E$161,'Returns (Calc)'!$H$3:$H$161),2),"")</f>
        <v>0.49</v>
      </c>
      <c r="I6" s="111" t="n">
        <f aca="false">IFERROR(ROUND(CORREL('Returns (Calc)'!$E$3:$E$161,'Returns (Calc)'!$I$3:$I$161),2),"")</f>
        <v>0.63</v>
      </c>
      <c r="J6" s="111" t="n">
        <f aca="false">IFERROR(ROUND(CORREL('Returns (Calc)'!$E$3:$E$161,'Returns (Calc)'!$J$3:$J$161),2),"")</f>
        <v>0.22</v>
      </c>
      <c r="K6" s="111" t="n">
        <f aca="false">IFERROR(ROUND(CORREL('Returns (Calc)'!$E$3:$E$161,'Returns (Calc)'!$K$3:$K$161),2),"")</f>
        <v>0.38</v>
      </c>
      <c r="L6" s="111" t="n">
        <f aca="false">IFERROR(ROUND(CORREL('Returns (Calc)'!$E$3:$E$161,'Returns (Calc)'!$L$3:$L$161),2),"")</f>
        <v>0.63</v>
      </c>
      <c r="M6" s="111" t="n">
        <f aca="false">IFERROR(ROUND(CORREL('Returns (Calc)'!$E$3:$E$161,'Returns (Calc)'!$M$3:$M$161),2),"")</f>
        <v>0.53</v>
      </c>
      <c r="N6" s="111" t="n">
        <f aca="false">IFERROR(ROUND(CORREL('Returns (Calc)'!$E$3:$E$161,'Returns (Calc)'!$N$3:$N$161),2),"")</f>
        <v>0.15</v>
      </c>
      <c r="O6" s="111" t="n">
        <f aca="false">IFERROR(ROUND(CORREL('Returns (Calc)'!$E$3:$E$161,'Returns (Calc)'!$O$3:$O$161),2),"")</f>
        <v>0.29</v>
      </c>
      <c r="P6" s="111" t="str">
        <f aca="false">IFERROR(ROUND(CORREL('Returns (Calc)'!$E$3:$E$161,'Returns (Calc)'!$P$3:$P$161),2),"")</f>
        <v/>
      </c>
      <c r="Q6" s="111" t="n">
        <f aca="false">IFERROR(ROUND(CORREL('Returns (Calc)'!$E$3:$E$161,'Returns (Calc)'!$Q$3:$Q$161),2),"")</f>
        <v>-0.07</v>
      </c>
      <c r="R6" s="111" t="n">
        <f aca="false">IFERROR(ROUND(CORREL('Returns (Calc)'!$E$3:$E$161,'Returns (Calc)'!$R$3:$R$161),2),"")</f>
        <v>0.72</v>
      </c>
      <c r="S6" s="111" t="n">
        <f aca="false">IFERROR(ROUND(CORREL('Returns (Calc)'!$E$3:$E$161,'Returns (Calc)'!$S$3:$S$161),2),"")</f>
        <v>0.74</v>
      </c>
      <c r="T6" s="111" t="n">
        <f aca="false">IFERROR(ROUND(CORREL('Returns (Calc)'!$E$3:$E$161,'Returns (Calc)'!$T$3:$T$161),2),"")</f>
        <v>0.26</v>
      </c>
      <c r="U6" s="111" t="str">
        <f aca="false">IFERROR(ROUND(CORREL('Returns (Calc)'!$E$3:$E$161,'Returns (Calc)'!$U$3:$U$161),2),"")</f>
        <v/>
      </c>
      <c r="V6" s="111" t="n">
        <f aca="false">IFERROR(ROUND(CORREL('Returns (Calc)'!$E$3:$E$161,'Returns (Calc)'!$V$3:$V$161),2),"")</f>
        <v>0.23</v>
      </c>
      <c r="W6" s="112" t="n">
        <f aca="false">COUNTIF(B6:V6,"&gt;0.7")-1</f>
        <v>2</v>
      </c>
    </row>
    <row r="7" customFormat="false" ht="15" hidden="false" customHeight="true" outlineLevel="0" collapsed="false">
      <c r="A7" s="110" t="str">
        <f aca="false">'Returns (Calc)'!F2</f>
        <v>CRWD</v>
      </c>
      <c r="B7" s="111" t="n">
        <f aca="false">IFERROR(ROUND(CORREL('Returns (Calc)'!$F$3:$F$161,'Returns (Calc)'!$B$3:$B$161),2),"")</f>
        <v>0.41</v>
      </c>
      <c r="C7" s="111" t="n">
        <f aca="false">IFERROR(ROUND(CORREL('Returns (Calc)'!$F$3:$F$161,'Returns (Calc)'!$C$3:$C$161),2),"")</f>
        <v>0.38</v>
      </c>
      <c r="D7" s="111" t="n">
        <f aca="false">IFERROR(ROUND(CORREL('Returns (Calc)'!$F$3:$F$161,'Returns (Calc)'!$D$3:$D$161),2),"")</f>
        <v>0.33</v>
      </c>
      <c r="E7" s="111" t="n">
        <f aca="false">IFERROR(ROUND(CORREL('Returns (Calc)'!$F$3:$F$161,'Returns (Calc)'!$E$3:$E$161),2),"")</f>
        <v>0.41</v>
      </c>
      <c r="F7" s="111" t="n">
        <v>1</v>
      </c>
      <c r="G7" s="111" t="n">
        <f aca="false">IFERROR(ROUND(CORREL('Returns (Calc)'!$F$3:$F$161,'Returns (Calc)'!$G$3:$G$161),2),"")</f>
        <v>0.34</v>
      </c>
      <c r="H7" s="111" t="n">
        <f aca="false">IFERROR(ROUND(CORREL('Returns (Calc)'!$F$3:$F$161,'Returns (Calc)'!$H$3:$H$161),2),"")</f>
        <v>0.33</v>
      </c>
      <c r="I7" s="111" t="n">
        <f aca="false">IFERROR(ROUND(CORREL('Returns (Calc)'!$F$3:$F$161,'Returns (Calc)'!$I$3:$I$161),2),"")</f>
        <v>0.46</v>
      </c>
      <c r="J7" s="111" t="n">
        <f aca="false">IFERROR(ROUND(CORREL('Returns (Calc)'!$F$3:$F$161,'Returns (Calc)'!$J$3:$J$161),2),"")</f>
        <v>0.1</v>
      </c>
      <c r="K7" s="111" t="n">
        <f aca="false">IFERROR(ROUND(CORREL('Returns (Calc)'!$F$3:$F$161,'Returns (Calc)'!$K$3:$K$161),2),"")</f>
        <v>0.5</v>
      </c>
      <c r="L7" s="111" t="n">
        <f aca="false">IFERROR(ROUND(CORREL('Returns (Calc)'!$F$3:$F$161,'Returns (Calc)'!$L$3:$L$161),2),"")</f>
        <v>0.38</v>
      </c>
      <c r="M7" s="111" t="n">
        <f aca="false">IFERROR(ROUND(CORREL('Returns (Calc)'!$F$3:$F$161,'Returns (Calc)'!$M$3:$M$161),2),"")</f>
        <v>0.42</v>
      </c>
      <c r="N7" s="111" t="n">
        <f aca="false">IFERROR(ROUND(CORREL('Returns (Calc)'!$F$3:$F$161,'Returns (Calc)'!$N$3:$N$161),2),"")</f>
        <v>0.18</v>
      </c>
      <c r="O7" s="111" t="n">
        <f aca="false">IFERROR(ROUND(CORREL('Returns (Calc)'!$F$3:$F$161,'Returns (Calc)'!$O$3:$O$161),2),"")</f>
        <v>0.22</v>
      </c>
      <c r="P7" s="111" t="str">
        <f aca="false">IFERROR(ROUND(CORREL('Returns (Calc)'!$F$3:$F$161,'Returns (Calc)'!$P$3:$P$161),2),"")</f>
        <v/>
      </c>
      <c r="Q7" s="111" t="n">
        <f aca="false">IFERROR(ROUND(CORREL('Returns (Calc)'!$F$3:$F$161,'Returns (Calc)'!$Q$3:$Q$161),2),"")</f>
        <v>-0.05</v>
      </c>
      <c r="R7" s="111" t="n">
        <f aca="false">IFERROR(ROUND(CORREL('Returns (Calc)'!$F$3:$F$161,'Returns (Calc)'!$R$3:$R$161),2),"")</f>
        <v>0.54</v>
      </c>
      <c r="S7" s="111" t="n">
        <f aca="false">IFERROR(ROUND(CORREL('Returns (Calc)'!$F$3:$F$161,'Returns (Calc)'!$S$3:$S$161),2),"")</f>
        <v>0.53</v>
      </c>
      <c r="T7" s="111" t="n">
        <f aca="false">IFERROR(ROUND(CORREL('Returns (Calc)'!$F$3:$F$161,'Returns (Calc)'!$T$3:$T$161),2),"")</f>
        <v>0.31</v>
      </c>
      <c r="U7" s="111" t="str">
        <f aca="false">IFERROR(ROUND(CORREL('Returns (Calc)'!$F$3:$F$161,'Returns (Calc)'!$U$3:$U$161),2),"")</f>
        <v/>
      </c>
      <c r="V7" s="111" t="n">
        <f aca="false">IFERROR(ROUND(CORREL('Returns (Calc)'!$F$3:$F$161,'Returns (Calc)'!$V$3:$V$161),2),"")</f>
        <v>0.25</v>
      </c>
      <c r="W7" s="112" t="n">
        <f aca="false">COUNTIF(B7:V7,"&gt;0.7")-1</f>
        <v>0</v>
      </c>
    </row>
    <row r="8" customFormat="false" ht="15" hidden="false" customHeight="true" outlineLevel="0" collapsed="false">
      <c r="A8" s="110" t="str">
        <f aca="false">'Returns (Calc)'!G2</f>
        <v>KLAC</v>
      </c>
      <c r="B8" s="111" t="n">
        <f aca="false">IFERROR(ROUND(CORREL('Returns (Calc)'!$G$3:$G$161,'Returns (Calc)'!$B$3:$B$161),2),"")</f>
        <v>-0.04</v>
      </c>
      <c r="C8" s="111" t="n">
        <f aca="false">IFERROR(ROUND(CORREL('Returns (Calc)'!$G$3:$G$161,'Returns (Calc)'!$C$3:$C$161),2),"")</f>
        <v>0.45</v>
      </c>
      <c r="D8" s="111" t="n">
        <f aca="false">IFERROR(ROUND(CORREL('Returns (Calc)'!$G$3:$G$161,'Returns (Calc)'!$D$3:$D$161),2),"")</f>
        <v>0.77</v>
      </c>
      <c r="E8" s="111" t="n">
        <f aca="false">IFERROR(ROUND(CORREL('Returns (Calc)'!$G$3:$G$161,'Returns (Calc)'!$E$3:$E$161),2),"")</f>
        <v>0.54</v>
      </c>
      <c r="F8" s="111" t="n">
        <f aca="false">IFERROR(ROUND(CORREL('Returns (Calc)'!$G$3:$G$161,'Returns (Calc)'!$F$3:$F$161),2),"")</f>
        <v>0.34</v>
      </c>
      <c r="G8" s="111" t="n">
        <v>1</v>
      </c>
      <c r="H8" s="111" t="n">
        <f aca="false">IFERROR(ROUND(CORREL('Returns (Calc)'!$G$3:$G$161,'Returns (Calc)'!$H$3:$H$161),2),"")</f>
        <v>0.6</v>
      </c>
      <c r="I8" s="111" t="n">
        <f aca="false">IFERROR(ROUND(CORREL('Returns (Calc)'!$G$3:$G$161,'Returns (Calc)'!$I$3:$I$161),2),"")</f>
        <v>0.52</v>
      </c>
      <c r="J8" s="111" t="n">
        <f aca="false">IFERROR(ROUND(CORREL('Returns (Calc)'!$G$3:$G$161,'Returns (Calc)'!$J$3:$J$161),2),"")</f>
        <v>0.28</v>
      </c>
      <c r="K8" s="111" t="n">
        <f aca="false">IFERROR(ROUND(CORREL('Returns (Calc)'!$G$3:$G$161,'Returns (Calc)'!$K$3:$K$161),2),"")</f>
        <v>0.25</v>
      </c>
      <c r="L8" s="111" t="n">
        <f aca="false">IFERROR(ROUND(CORREL('Returns (Calc)'!$G$3:$G$161,'Returns (Calc)'!$L$3:$L$161),2),"")</f>
        <v>0.61</v>
      </c>
      <c r="M8" s="111" t="n">
        <f aca="false">IFERROR(ROUND(CORREL('Returns (Calc)'!$G$3:$G$161,'Returns (Calc)'!$M$3:$M$161),2),"")</f>
        <v>0.51</v>
      </c>
      <c r="N8" s="111" t="n">
        <f aca="false">IFERROR(ROUND(CORREL('Returns (Calc)'!$G$3:$G$161,'Returns (Calc)'!$N$3:$N$161),2),"")</f>
        <v>0.16</v>
      </c>
      <c r="O8" s="111" t="n">
        <f aca="false">IFERROR(ROUND(CORREL('Returns (Calc)'!$G$3:$G$161,'Returns (Calc)'!$O$3:$O$161),2),"")</f>
        <v>0.43</v>
      </c>
      <c r="P8" s="111" t="str">
        <f aca="false">IFERROR(ROUND(CORREL('Returns (Calc)'!$G$3:$G$161,'Returns (Calc)'!$P$3:$P$161),2),"")</f>
        <v/>
      </c>
      <c r="Q8" s="111" t="n">
        <f aca="false">IFERROR(ROUND(CORREL('Returns (Calc)'!$G$3:$G$161,'Returns (Calc)'!$Q$3:$Q$161),2),"")</f>
        <v>-0.03</v>
      </c>
      <c r="R8" s="111" t="n">
        <f aca="false">IFERROR(ROUND(CORREL('Returns (Calc)'!$G$3:$G$161,'Returns (Calc)'!$R$3:$R$161),2),"")</f>
        <v>0.62</v>
      </c>
      <c r="S8" s="111" t="n">
        <f aca="false">IFERROR(ROUND(CORREL('Returns (Calc)'!$G$3:$G$161,'Returns (Calc)'!$S$3:$S$161),2),"")</f>
        <v>0.67</v>
      </c>
      <c r="T8" s="111" t="n">
        <f aca="false">IFERROR(ROUND(CORREL('Returns (Calc)'!$G$3:$G$161,'Returns (Calc)'!$T$3:$T$161),2),"")</f>
        <v>0.32</v>
      </c>
      <c r="U8" s="111" t="str">
        <f aca="false">IFERROR(ROUND(CORREL('Returns (Calc)'!$G$3:$G$161,'Returns (Calc)'!$U$3:$U$161),2),"")</f>
        <v/>
      </c>
      <c r="V8" s="111" t="n">
        <f aca="false">IFERROR(ROUND(CORREL('Returns (Calc)'!$G$3:$G$161,'Returns (Calc)'!$V$3:$V$161),2),"")</f>
        <v>0.04</v>
      </c>
      <c r="W8" s="112" t="n">
        <f aca="false">COUNTIF(B8:V8,"&gt;0.7")-1</f>
        <v>1</v>
      </c>
    </row>
    <row r="9" customFormat="false" ht="15" hidden="false" customHeight="true" outlineLevel="0" collapsed="false">
      <c r="A9" s="110" t="str">
        <f aca="false">'Returns (Calc)'!H2</f>
        <v>MU</v>
      </c>
      <c r="B9" s="111" t="n">
        <f aca="false">IFERROR(ROUND(CORREL('Returns (Calc)'!$H$3:$H$161,'Returns (Calc)'!$B$3:$B$161),2),"")</f>
        <v>0.06</v>
      </c>
      <c r="C9" s="111" t="n">
        <f aca="false">IFERROR(ROUND(CORREL('Returns (Calc)'!$H$3:$H$161,'Returns (Calc)'!$C$3:$C$161),2),"")</f>
        <v>0.35</v>
      </c>
      <c r="D9" s="111" t="n">
        <f aca="false">IFERROR(ROUND(CORREL('Returns (Calc)'!$H$3:$H$161,'Returns (Calc)'!$D$3:$D$161),2),"")</f>
        <v>0.6</v>
      </c>
      <c r="E9" s="111" t="n">
        <f aca="false">IFERROR(ROUND(CORREL('Returns (Calc)'!$H$3:$H$161,'Returns (Calc)'!$E$3:$E$161),2),"")</f>
        <v>0.49</v>
      </c>
      <c r="F9" s="111" t="n">
        <f aca="false">IFERROR(ROUND(CORREL('Returns (Calc)'!$H$3:$H$161,'Returns (Calc)'!$F$3:$F$161),2),"")</f>
        <v>0.33</v>
      </c>
      <c r="G9" s="111" t="n">
        <f aca="false">IFERROR(ROUND(CORREL('Returns (Calc)'!$H$3:$H$161,'Returns (Calc)'!$G$3:$G$161),2),"")</f>
        <v>0.6</v>
      </c>
      <c r="H9" s="111" t="n">
        <v>1</v>
      </c>
      <c r="I9" s="111" t="n">
        <f aca="false">IFERROR(ROUND(CORREL('Returns (Calc)'!$H$3:$H$161,'Returns (Calc)'!$I$3:$I$161),2),"")</f>
        <v>0.49</v>
      </c>
      <c r="J9" s="111" t="n">
        <f aca="false">IFERROR(ROUND(CORREL('Returns (Calc)'!$H$3:$H$161,'Returns (Calc)'!$J$3:$J$161),2),"")</f>
        <v>0.21</v>
      </c>
      <c r="K9" s="111" t="n">
        <f aca="false">IFERROR(ROUND(CORREL('Returns (Calc)'!$H$3:$H$161,'Returns (Calc)'!$K$3:$K$161),2),"")</f>
        <v>0.17</v>
      </c>
      <c r="L9" s="111" t="n">
        <f aca="false">IFERROR(ROUND(CORREL('Returns (Calc)'!$H$3:$H$161,'Returns (Calc)'!$L$3:$L$161),2),"")</f>
        <v>0.55</v>
      </c>
      <c r="M9" s="111" t="n">
        <f aca="false">IFERROR(ROUND(CORREL('Returns (Calc)'!$H$3:$H$161,'Returns (Calc)'!$M$3:$M$161),2),"")</f>
        <v>0.49</v>
      </c>
      <c r="N9" s="111" t="n">
        <f aca="false">IFERROR(ROUND(CORREL('Returns (Calc)'!$H$3:$H$161,'Returns (Calc)'!$N$3:$N$161),2),"")</f>
        <v>0.18</v>
      </c>
      <c r="O9" s="111" t="n">
        <f aca="false">IFERROR(ROUND(CORREL('Returns (Calc)'!$H$3:$H$161,'Returns (Calc)'!$O$3:$O$161),2),"")</f>
        <v>0.36</v>
      </c>
      <c r="P9" s="111" t="str">
        <f aca="false">IFERROR(ROUND(CORREL('Returns (Calc)'!$H$3:$H$161,'Returns (Calc)'!$P$3:$P$161),2),"")</f>
        <v/>
      </c>
      <c r="Q9" s="111" t="n">
        <f aca="false">IFERROR(ROUND(CORREL('Returns (Calc)'!$H$3:$H$161,'Returns (Calc)'!$Q$3:$Q$161),2),"")</f>
        <v>-0.11</v>
      </c>
      <c r="R9" s="111" t="n">
        <f aca="false">IFERROR(ROUND(CORREL('Returns (Calc)'!$H$3:$H$161,'Returns (Calc)'!$R$3:$R$161),2),"")</f>
        <v>0.61</v>
      </c>
      <c r="S9" s="111" t="n">
        <f aca="false">IFERROR(ROUND(CORREL('Returns (Calc)'!$H$3:$H$161,'Returns (Calc)'!$S$3:$S$161),2),"")</f>
        <v>0.66</v>
      </c>
      <c r="T9" s="111" t="n">
        <f aca="false">IFERROR(ROUND(CORREL('Returns (Calc)'!$H$3:$H$161,'Returns (Calc)'!$T$3:$T$161),2),"")</f>
        <v>0.43</v>
      </c>
      <c r="U9" s="111" t="str">
        <f aca="false">IFERROR(ROUND(CORREL('Returns (Calc)'!$H$3:$H$161,'Returns (Calc)'!$U$3:$U$161),2),"")</f>
        <v/>
      </c>
      <c r="V9" s="111" t="n">
        <f aca="false">IFERROR(ROUND(CORREL('Returns (Calc)'!$H$3:$H$161,'Returns (Calc)'!$V$3:$V$161),2),"")</f>
        <v>0.05</v>
      </c>
      <c r="W9" s="112" t="n">
        <f aca="false">COUNTIF(B9:V9,"&gt;0.7")-1</f>
        <v>0</v>
      </c>
    </row>
    <row r="10" customFormat="false" ht="15" hidden="false" customHeight="true" outlineLevel="0" collapsed="false">
      <c r="A10" s="110" t="str">
        <f aca="false">'Returns (Calc)'!I2</f>
        <v>NVDA</v>
      </c>
      <c r="B10" s="111" t="n">
        <f aca="false">IFERROR(ROUND(CORREL('Returns (Calc)'!$I$3:$I$161,'Returns (Calc)'!$B$3:$B$161),2),"")</f>
        <v>0.23</v>
      </c>
      <c r="C10" s="111" t="n">
        <f aca="false">IFERROR(ROUND(CORREL('Returns (Calc)'!$I$3:$I$161,'Returns (Calc)'!$C$3:$C$161),2),"")</f>
        <v>0.53</v>
      </c>
      <c r="D10" s="111" t="n">
        <f aca="false">IFERROR(ROUND(CORREL('Returns (Calc)'!$I$3:$I$161,'Returns (Calc)'!$D$3:$D$161),2),"")</f>
        <v>0.49</v>
      </c>
      <c r="E10" s="111" t="n">
        <f aca="false">IFERROR(ROUND(CORREL('Returns (Calc)'!$I$3:$I$161,'Returns (Calc)'!$E$3:$E$161),2),"")</f>
        <v>0.63</v>
      </c>
      <c r="F10" s="111" t="n">
        <f aca="false">IFERROR(ROUND(CORREL('Returns (Calc)'!$I$3:$I$161,'Returns (Calc)'!$F$3:$F$161),2),"")</f>
        <v>0.46</v>
      </c>
      <c r="G10" s="111" t="n">
        <f aca="false">IFERROR(ROUND(CORREL('Returns (Calc)'!$I$3:$I$161,'Returns (Calc)'!$G$3:$G$161),2),"")</f>
        <v>0.52</v>
      </c>
      <c r="H10" s="111" t="n">
        <f aca="false">IFERROR(ROUND(CORREL('Returns (Calc)'!$I$3:$I$161,'Returns (Calc)'!$H$3:$H$161),2),"")</f>
        <v>0.49</v>
      </c>
      <c r="I10" s="111" t="n">
        <v>1</v>
      </c>
      <c r="J10" s="111" t="n">
        <f aca="false">IFERROR(ROUND(CORREL('Returns (Calc)'!$I$3:$I$161,'Returns (Calc)'!$J$3:$J$161),2),"")</f>
        <v>0.17</v>
      </c>
      <c r="K10" s="111" t="n">
        <f aca="false">IFERROR(ROUND(CORREL('Returns (Calc)'!$I$3:$I$161,'Returns (Calc)'!$K$3:$K$161),2),"")</f>
        <v>0.46</v>
      </c>
      <c r="L10" s="111" t="n">
        <f aca="false">IFERROR(ROUND(CORREL('Returns (Calc)'!$I$3:$I$161,'Returns (Calc)'!$L$3:$L$161),2),"")</f>
        <v>0.64</v>
      </c>
      <c r="M10" s="111" t="n">
        <f aca="false">IFERROR(ROUND(CORREL('Returns (Calc)'!$I$3:$I$161,'Returns (Calc)'!$M$3:$M$161),2),"")</f>
        <v>0.65</v>
      </c>
      <c r="N10" s="111" t="n">
        <f aca="false">IFERROR(ROUND(CORREL('Returns (Calc)'!$I$3:$I$161,'Returns (Calc)'!$N$3:$N$161),2),"")</f>
        <v>0.13</v>
      </c>
      <c r="O10" s="111" t="n">
        <f aca="false">IFERROR(ROUND(CORREL('Returns (Calc)'!$I$3:$I$161,'Returns (Calc)'!$O$3:$O$161),2),"")</f>
        <v>0.27</v>
      </c>
      <c r="P10" s="111" t="str">
        <f aca="false">IFERROR(ROUND(CORREL('Returns (Calc)'!$I$3:$I$161,'Returns (Calc)'!$P$3:$P$161),2),"")</f>
        <v/>
      </c>
      <c r="Q10" s="111" t="n">
        <f aca="false">IFERROR(ROUND(CORREL('Returns (Calc)'!$I$3:$I$161,'Returns (Calc)'!$Q$3:$Q$161),2),"")</f>
        <v>-0.1</v>
      </c>
      <c r="R10" s="111" t="n">
        <f aca="false">IFERROR(ROUND(CORREL('Returns (Calc)'!$I$3:$I$161,'Returns (Calc)'!$R$3:$R$161),2),"")</f>
        <v>0.72</v>
      </c>
      <c r="S10" s="111" t="n">
        <f aca="false">IFERROR(ROUND(CORREL('Returns (Calc)'!$I$3:$I$161,'Returns (Calc)'!$S$3:$S$161),2),"")</f>
        <v>0.74</v>
      </c>
      <c r="T10" s="111" t="n">
        <f aca="false">IFERROR(ROUND(CORREL('Returns (Calc)'!$I$3:$I$161,'Returns (Calc)'!$T$3:$T$161),2),"")</f>
        <v>0.29</v>
      </c>
      <c r="U10" s="111" t="str">
        <f aca="false">IFERROR(ROUND(CORREL('Returns (Calc)'!$I$3:$I$161,'Returns (Calc)'!$U$3:$U$161),2),"")</f>
        <v/>
      </c>
      <c r="V10" s="111" t="n">
        <f aca="false">IFERROR(ROUND(CORREL('Returns (Calc)'!$I$3:$I$161,'Returns (Calc)'!$V$3:$V$161),2),"")</f>
        <v>0.23</v>
      </c>
      <c r="W10" s="112" t="n">
        <f aca="false">COUNTIF(B10:V10,"&gt;0.7")-1</f>
        <v>2</v>
      </c>
    </row>
    <row r="11" customFormat="false" ht="15" hidden="false" customHeight="true" outlineLevel="0" collapsed="false">
      <c r="A11" s="110" t="str">
        <f aca="false">'Returns (Calc)'!J2</f>
        <v>PLD</v>
      </c>
      <c r="B11" s="111" t="n">
        <f aca="false">IFERROR(ROUND(CORREL('Returns (Calc)'!$J$3:$J$161,'Returns (Calc)'!$B$3:$B$161),2),"")</f>
        <v>0.17</v>
      </c>
      <c r="C11" s="111" t="n">
        <f aca="false">IFERROR(ROUND(CORREL('Returns (Calc)'!$J$3:$J$161,'Returns (Calc)'!$C$3:$C$161),2),"")</f>
        <v>0.18</v>
      </c>
      <c r="D11" s="111" t="n">
        <f aca="false">IFERROR(ROUND(CORREL('Returns (Calc)'!$J$3:$J$161,'Returns (Calc)'!$D$3:$D$161),2),"")</f>
        <v>0.28</v>
      </c>
      <c r="E11" s="111" t="n">
        <f aca="false">IFERROR(ROUND(CORREL('Returns (Calc)'!$J$3:$J$161,'Returns (Calc)'!$E$3:$E$161),2),"")</f>
        <v>0.22</v>
      </c>
      <c r="F11" s="111" t="n">
        <f aca="false">IFERROR(ROUND(CORREL('Returns (Calc)'!$J$3:$J$161,'Returns (Calc)'!$F$3:$F$161),2),"")</f>
        <v>0.1</v>
      </c>
      <c r="G11" s="111" t="n">
        <f aca="false">IFERROR(ROUND(CORREL('Returns (Calc)'!$J$3:$J$161,'Returns (Calc)'!$G$3:$G$161),2),"")</f>
        <v>0.28</v>
      </c>
      <c r="H11" s="111" t="n">
        <f aca="false">IFERROR(ROUND(CORREL('Returns (Calc)'!$J$3:$J$161,'Returns (Calc)'!$H$3:$H$161),2),"")</f>
        <v>0.21</v>
      </c>
      <c r="I11" s="111" t="n">
        <f aca="false">IFERROR(ROUND(CORREL('Returns (Calc)'!$J$3:$J$161,'Returns (Calc)'!$I$3:$I$161),2),"")</f>
        <v>0.17</v>
      </c>
      <c r="J11" s="111" t="n">
        <v>1</v>
      </c>
      <c r="K11" s="111" t="n">
        <f aca="false">IFERROR(ROUND(CORREL('Returns (Calc)'!$J$3:$J$161,'Returns (Calc)'!$K$3:$K$161),2),"")</f>
        <v>0.13</v>
      </c>
      <c r="L11" s="111" t="n">
        <f aca="false">IFERROR(ROUND(CORREL('Returns (Calc)'!$J$3:$J$161,'Returns (Calc)'!$L$3:$L$161),2),"")</f>
        <v>0.21</v>
      </c>
      <c r="M11" s="111" t="n">
        <f aca="false">IFERROR(ROUND(CORREL('Returns (Calc)'!$J$3:$J$161,'Returns (Calc)'!$M$3:$M$161),2),"")</f>
        <v>0.15</v>
      </c>
      <c r="N11" s="111" t="n">
        <f aca="false">IFERROR(ROUND(CORREL('Returns (Calc)'!$J$3:$J$161,'Returns (Calc)'!$N$3:$N$161),2),"")</f>
        <v>0.25</v>
      </c>
      <c r="O11" s="111" t="n">
        <f aca="false">IFERROR(ROUND(CORREL('Returns (Calc)'!$J$3:$J$161,'Returns (Calc)'!$O$3:$O$161),2),"")</f>
        <v>0.62</v>
      </c>
      <c r="P11" s="111" t="str">
        <f aca="false">IFERROR(ROUND(CORREL('Returns (Calc)'!$J$3:$J$161,'Returns (Calc)'!$P$3:$P$161),2),"")</f>
        <v/>
      </c>
      <c r="Q11" s="111" t="n">
        <f aca="false">IFERROR(ROUND(CORREL('Returns (Calc)'!$J$3:$J$161,'Returns (Calc)'!$Q$3:$Q$161),2),"")</f>
        <v>-0.09</v>
      </c>
      <c r="R11" s="111" t="n">
        <f aca="false">IFERROR(ROUND(CORREL('Returns (Calc)'!$J$3:$J$161,'Returns (Calc)'!$R$3:$R$161),2),"")</f>
        <v>0.37</v>
      </c>
      <c r="S11" s="111" t="n">
        <f aca="false">IFERROR(ROUND(CORREL('Returns (Calc)'!$J$3:$J$161,'Returns (Calc)'!$S$3:$S$161),2),"")</f>
        <v>0.35</v>
      </c>
      <c r="T11" s="111" t="n">
        <f aca="false">IFERROR(ROUND(CORREL('Returns (Calc)'!$J$3:$J$161,'Returns (Calc)'!$T$3:$T$161),2),"")</f>
        <v>0.52</v>
      </c>
      <c r="U11" s="111" t="str">
        <f aca="false">IFERROR(ROUND(CORREL('Returns (Calc)'!$J$3:$J$161,'Returns (Calc)'!$U$3:$U$161),2),"")</f>
        <v/>
      </c>
      <c r="V11" s="111" t="n">
        <f aca="false">IFERROR(ROUND(CORREL('Returns (Calc)'!$J$3:$J$161,'Returns (Calc)'!$V$3:$V$161),2),"")</f>
        <v>0.4</v>
      </c>
      <c r="W11" s="112" t="n">
        <f aca="false">COUNTIF(B11:V11,"&gt;0.7")-1</f>
        <v>0</v>
      </c>
    </row>
    <row r="12" customFormat="false" ht="15" hidden="false" customHeight="true" outlineLevel="0" collapsed="false">
      <c r="A12" s="110" t="str">
        <f aca="false">'Returns (Calc)'!K2</f>
        <v>PLTR</v>
      </c>
      <c r="B12" s="111" t="n">
        <f aca="false">IFERROR(ROUND(CORREL('Returns (Calc)'!$K$3:$K$161,'Returns (Calc)'!$B$3:$B$161),2),"")</f>
        <v>0.37</v>
      </c>
      <c r="C12" s="111" t="n">
        <f aca="false">IFERROR(ROUND(CORREL('Returns (Calc)'!$K$3:$K$161,'Returns (Calc)'!$C$3:$C$161),2),"")</f>
        <v>0.33</v>
      </c>
      <c r="D12" s="111" t="n">
        <f aca="false">IFERROR(ROUND(CORREL('Returns (Calc)'!$K$3:$K$161,'Returns (Calc)'!$D$3:$D$161),2),"")</f>
        <v>0.21</v>
      </c>
      <c r="E12" s="111" t="n">
        <f aca="false">IFERROR(ROUND(CORREL('Returns (Calc)'!$K$3:$K$161,'Returns (Calc)'!$E$3:$E$161),2),"")</f>
        <v>0.38</v>
      </c>
      <c r="F12" s="111" t="n">
        <f aca="false">IFERROR(ROUND(CORREL('Returns (Calc)'!$K$3:$K$161,'Returns (Calc)'!$F$3:$F$161),2),"")</f>
        <v>0.5</v>
      </c>
      <c r="G12" s="111" t="n">
        <f aca="false">IFERROR(ROUND(CORREL('Returns (Calc)'!$K$3:$K$161,'Returns (Calc)'!$G$3:$G$161),2),"")</f>
        <v>0.25</v>
      </c>
      <c r="H12" s="111" t="n">
        <f aca="false">IFERROR(ROUND(CORREL('Returns (Calc)'!$K$3:$K$161,'Returns (Calc)'!$H$3:$H$161),2),"")</f>
        <v>0.17</v>
      </c>
      <c r="I12" s="111" t="n">
        <f aca="false">IFERROR(ROUND(CORREL('Returns (Calc)'!$K$3:$K$161,'Returns (Calc)'!$I$3:$I$161),2),"")</f>
        <v>0.46</v>
      </c>
      <c r="J12" s="111" t="n">
        <f aca="false">IFERROR(ROUND(CORREL('Returns (Calc)'!$K$3:$K$161,'Returns (Calc)'!$J$3:$J$161),2),"")</f>
        <v>0.13</v>
      </c>
      <c r="K12" s="111" t="n">
        <v>1</v>
      </c>
      <c r="L12" s="111" t="n">
        <f aca="false">IFERROR(ROUND(CORREL('Returns (Calc)'!$K$3:$K$161,'Returns (Calc)'!$L$3:$L$161),2),"")</f>
        <v>0.38</v>
      </c>
      <c r="M12" s="111" t="n">
        <f aca="false">IFERROR(ROUND(CORREL('Returns (Calc)'!$K$3:$K$161,'Returns (Calc)'!$M$3:$M$161),2),"")</f>
        <v>0.33</v>
      </c>
      <c r="N12" s="111" t="n">
        <f aca="false">IFERROR(ROUND(CORREL('Returns (Calc)'!$K$3:$K$161,'Returns (Calc)'!$N$3:$N$161),2),"")</f>
        <v>0.07</v>
      </c>
      <c r="O12" s="111" t="n">
        <f aca="false">IFERROR(ROUND(CORREL('Returns (Calc)'!$K$3:$K$161,'Returns (Calc)'!$O$3:$O$161),2),"")</f>
        <v>0.25</v>
      </c>
      <c r="P12" s="111" t="str">
        <f aca="false">IFERROR(ROUND(CORREL('Returns (Calc)'!$K$3:$K$161,'Returns (Calc)'!$P$3:$P$161),2),"")</f>
        <v/>
      </c>
      <c r="Q12" s="111" t="n">
        <f aca="false">IFERROR(ROUND(CORREL('Returns (Calc)'!$K$3:$K$161,'Returns (Calc)'!$Q$3:$Q$161),2),"")</f>
        <v>-0.08</v>
      </c>
      <c r="R12" s="111" t="n">
        <f aca="false">IFERROR(ROUND(CORREL('Returns (Calc)'!$K$3:$K$161,'Returns (Calc)'!$R$3:$R$161),2),"")</f>
        <v>0.48</v>
      </c>
      <c r="S12" s="111" t="n">
        <f aca="false">IFERROR(ROUND(CORREL('Returns (Calc)'!$K$3:$K$161,'Returns (Calc)'!$S$3:$S$161),2),"")</f>
        <v>0.45</v>
      </c>
      <c r="T12" s="111" t="n">
        <f aca="false">IFERROR(ROUND(CORREL('Returns (Calc)'!$K$3:$K$161,'Returns (Calc)'!$T$3:$T$161),2),"")</f>
        <v>0.35</v>
      </c>
      <c r="U12" s="111" t="str">
        <f aca="false">IFERROR(ROUND(CORREL('Returns (Calc)'!$K$3:$K$161,'Returns (Calc)'!$U$3:$U$161),2),"")</f>
        <v/>
      </c>
      <c r="V12" s="111" t="n">
        <f aca="false">IFERROR(ROUND(CORREL('Returns (Calc)'!$K$3:$K$161,'Returns (Calc)'!$V$3:$V$161),2),"")</f>
        <v>0.23</v>
      </c>
      <c r="W12" s="112" t="n">
        <f aca="false">COUNTIF(B12:V12,"&gt;0.7")-1</f>
        <v>0</v>
      </c>
    </row>
    <row r="13" customFormat="false" ht="15" hidden="false" customHeight="true" outlineLevel="0" collapsed="false">
      <c r="A13" s="110" t="str">
        <f aca="false">'Returns (Calc)'!L2</f>
        <v>TSM</v>
      </c>
      <c r="B13" s="111" t="n">
        <f aca="false">IFERROR(ROUND(CORREL('Returns (Calc)'!$L$3:$L$161,'Returns (Calc)'!$B$3:$B$161),2),"")</f>
        <v>0.16</v>
      </c>
      <c r="C13" s="111" t="n">
        <f aca="false">IFERROR(ROUND(CORREL('Returns (Calc)'!$L$3:$L$161,'Returns (Calc)'!$C$3:$C$161),2),"")</f>
        <v>0.55</v>
      </c>
      <c r="D13" s="111" t="n">
        <f aca="false">IFERROR(ROUND(CORREL('Returns (Calc)'!$L$3:$L$161,'Returns (Calc)'!$D$3:$D$161),2),"")</f>
        <v>0.63</v>
      </c>
      <c r="E13" s="111" t="n">
        <f aca="false">IFERROR(ROUND(CORREL('Returns (Calc)'!$L$3:$L$161,'Returns (Calc)'!$E$3:$E$161),2),"")</f>
        <v>0.63</v>
      </c>
      <c r="F13" s="111" t="n">
        <f aca="false">IFERROR(ROUND(CORREL('Returns (Calc)'!$L$3:$L$161,'Returns (Calc)'!$F$3:$F$161),2),"")</f>
        <v>0.38</v>
      </c>
      <c r="G13" s="111" t="n">
        <f aca="false">IFERROR(ROUND(CORREL('Returns (Calc)'!$L$3:$L$161,'Returns (Calc)'!$G$3:$G$161),2),"")</f>
        <v>0.61</v>
      </c>
      <c r="H13" s="111" t="n">
        <f aca="false">IFERROR(ROUND(CORREL('Returns (Calc)'!$L$3:$L$161,'Returns (Calc)'!$H$3:$H$161),2),"")</f>
        <v>0.55</v>
      </c>
      <c r="I13" s="111" t="n">
        <f aca="false">IFERROR(ROUND(CORREL('Returns (Calc)'!$L$3:$L$161,'Returns (Calc)'!$I$3:$I$161),2),"")</f>
        <v>0.64</v>
      </c>
      <c r="J13" s="111" t="n">
        <f aca="false">IFERROR(ROUND(CORREL('Returns (Calc)'!$L$3:$L$161,'Returns (Calc)'!$J$3:$J$161),2),"")</f>
        <v>0.21</v>
      </c>
      <c r="K13" s="111" t="n">
        <f aca="false">IFERROR(ROUND(CORREL('Returns (Calc)'!$L$3:$L$161,'Returns (Calc)'!$K$3:$K$161),2),"")</f>
        <v>0.38</v>
      </c>
      <c r="L13" s="111" t="n">
        <v>1</v>
      </c>
      <c r="M13" s="111" t="n">
        <f aca="false">IFERROR(ROUND(CORREL('Returns (Calc)'!$L$3:$L$161,'Returns (Calc)'!$M$3:$M$161),2),"")</f>
        <v>0.6</v>
      </c>
      <c r="N13" s="111" t="n">
        <f aca="false">IFERROR(ROUND(CORREL('Returns (Calc)'!$L$3:$L$161,'Returns (Calc)'!$N$3:$N$161),2),"")</f>
        <v>0.15</v>
      </c>
      <c r="O13" s="111" t="n">
        <f aca="false">IFERROR(ROUND(CORREL('Returns (Calc)'!$L$3:$L$161,'Returns (Calc)'!$O$3:$O$161),2),"")</f>
        <v>0.33</v>
      </c>
      <c r="P13" s="111" t="str">
        <f aca="false">IFERROR(ROUND(CORREL('Returns (Calc)'!$L$3:$L$161,'Returns (Calc)'!$P$3:$P$161),2),"")</f>
        <v/>
      </c>
      <c r="Q13" s="111" t="n">
        <f aca="false">IFERROR(ROUND(CORREL('Returns (Calc)'!$L$3:$L$161,'Returns (Calc)'!$Q$3:$Q$161),2),"")</f>
        <v>0</v>
      </c>
      <c r="R13" s="111" t="n">
        <f aca="false">IFERROR(ROUND(CORREL('Returns (Calc)'!$L$3:$L$161,'Returns (Calc)'!$R$3:$R$161),2),"")</f>
        <v>0.67</v>
      </c>
      <c r="S13" s="111" t="n">
        <f aca="false">IFERROR(ROUND(CORREL('Returns (Calc)'!$L$3:$L$161,'Returns (Calc)'!$S$3:$S$161),2),"")</f>
        <v>0.69</v>
      </c>
      <c r="T13" s="111" t="n">
        <f aca="false">IFERROR(ROUND(CORREL('Returns (Calc)'!$L$3:$L$161,'Returns (Calc)'!$T$3:$T$161),2),"")</f>
        <v>0.29</v>
      </c>
      <c r="U13" s="111" t="str">
        <f aca="false">IFERROR(ROUND(CORREL('Returns (Calc)'!$L$3:$L$161,'Returns (Calc)'!$U$3:$U$161),2),"")</f>
        <v/>
      </c>
      <c r="V13" s="111" t="n">
        <f aca="false">IFERROR(ROUND(CORREL('Returns (Calc)'!$L$3:$L$161,'Returns (Calc)'!$V$3:$V$161),2),"")</f>
        <v>0.13</v>
      </c>
      <c r="W13" s="112" t="n">
        <f aca="false">COUNTIF(B13:V13,"&gt;0.7")-1</f>
        <v>0</v>
      </c>
    </row>
    <row r="14" customFormat="false" ht="15" hidden="false" customHeight="true" outlineLevel="0" collapsed="false">
      <c r="A14" s="110" t="str">
        <f aca="false">'Returns (Calc)'!M2</f>
        <v>VRT</v>
      </c>
      <c r="B14" s="111" t="n">
        <f aca="false">IFERROR(ROUND(CORREL('Returns (Calc)'!$M$3:$M$161,'Returns (Calc)'!$B$3:$B$161),2),"")</f>
        <v>0.07</v>
      </c>
      <c r="C14" s="111" t="n">
        <f aca="false">IFERROR(ROUND(CORREL('Returns (Calc)'!$M$3:$M$161,'Returns (Calc)'!$C$3:$C$161),2),"")</f>
        <v>0.59</v>
      </c>
      <c r="D14" s="111" t="n">
        <f aca="false">IFERROR(ROUND(CORREL('Returns (Calc)'!$M$3:$M$161,'Returns (Calc)'!$D$3:$D$161),2),"")</f>
        <v>0.43</v>
      </c>
      <c r="E14" s="111" t="n">
        <f aca="false">IFERROR(ROUND(CORREL('Returns (Calc)'!$M$3:$M$161,'Returns (Calc)'!$E$3:$E$161),2),"")</f>
        <v>0.53</v>
      </c>
      <c r="F14" s="111" t="n">
        <f aca="false">IFERROR(ROUND(CORREL('Returns (Calc)'!$M$3:$M$161,'Returns (Calc)'!$F$3:$F$161),2),"")</f>
        <v>0.42</v>
      </c>
      <c r="G14" s="111" t="n">
        <f aca="false">IFERROR(ROUND(CORREL('Returns (Calc)'!$M$3:$M$161,'Returns (Calc)'!$G$3:$G$161),2),"")</f>
        <v>0.51</v>
      </c>
      <c r="H14" s="111" t="n">
        <f aca="false">IFERROR(ROUND(CORREL('Returns (Calc)'!$M$3:$M$161,'Returns (Calc)'!$H$3:$H$161),2),"")</f>
        <v>0.49</v>
      </c>
      <c r="I14" s="111" t="n">
        <f aca="false">IFERROR(ROUND(CORREL('Returns (Calc)'!$M$3:$M$161,'Returns (Calc)'!$I$3:$I$161),2),"")</f>
        <v>0.65</v>
      </c>
      <c r="J14" s="111" t="n">
        <f aca="false">IFERROR(ROUND(CORREL('Returns (Calc)'!$M$3:$M$161,'Returns (Calc)'!$J$3:$J$161),2),"")</f>
        <v>0.15</v>
      </c>
      <c r="K14" s="111" t="n">
        <f aca="false">IFERROR(ROUND(CORREL('Returns (Calc)'!$M$3:$M$161,'Returns (Calc)'!$K$3:$K$161),2),"")</f>
        <v>0.33</v>
      </c>
      <c r="L14" s="111" t="n">
        <f aca="false">IFERROR(ROUND(CORREL('Returns (Calc)'!$M$3:$M$161,'Returns (Calc)'!$L$3:$L$161),2),"")</f>
        <v>0.6</v>
      </c>
      <c r="M14" s="111" t="n">
        <v>1</v>
      </c>
      <c r="N14" s="111" t="n">
        <f aca="false">IFERROR(ROUND(CORREL('Returns (Calc)'!$M$3:$M$161,'Returns (Calc)'!$N$3:$N$161),2),"")</f>
        <v>0.11</v>
      </c>
      <c r="O14" s="111" t="n">
        <f aca="false">IFERROR(ROUND(CORREL('Returns (Calc)'!$M$3:$M$161,'Returns (Calc)'!$O$3:$O$161),2),"")</f>
        <v>0.34</v>
      </c>
      <c r="P14" s="111" t="str">
        <f aca="false">IFERROR(ROUND(CORREL('Returns (Calc)'!$M$3:$M$161,'Returns (Calc)'!$P$3:$P$161),2),"")</f>
        <v/>
      </c>
      <c r="Q14" s="111" t="n">
        <f aca="false">IFERROR(ROUND(CORREL('Returns (Calc)'!$M$3:$M$161,'Returns (Calc)'!$Q$3:$Q$161),2),"")</f>
        <v>-0.01</v>
      </c>
      <c r="R14" s="111" t="n">
        <f aca="false">IFERROR(ROUND(CORREL('Returns (Calc)'!$M$3:$M$161,'Returns (Calc)'!$R$3:$R$161),2),"")</f>
        <v>0.62</v>
      </c>
      <c r="S14" s="111" t="n">
        <f aca="false">IFERROR(ROUND(CORREL('Returns (Calc)'!$M$3:$M$161,'Returns (Calc)'!$S$3:$S$161),2),"")</f>
        <v>0.66</v>
      </c>
      <c r="T14" s="111" t="n">
        <f aca="false">IFERROR(ROUND(CORREL('Returns (Calc)'!$M$3:$M$161,'Returns (Calc)'!$T$3:$T$161),2),"")</f>
        <v>0.29</v>
      </c>
      <c r="U14" s="111" t="str">
        <f aca="false">IFERROR(ROUND(CORREL('Returns (Calc)'!$M$3:$M$161,'Returns (Calc)'!$U$3:$U$161),2),"")</f>
        <v/>
      </c>
      <c r="V14" s="111" t="n">
        <f aca="false">IFERROR(ROUND(CORREL('Returns (Calc)'!$M$3:$M$161,'Returns (Calc)'!$V$3:$V$161),2),"")</f>
        <v>0.16</v>
      </c>
      <c r="W14" s="112" t="n">
        <f aca="false">COUNTIF(B14:V14,"&gt;0.7")-1</f>
        <v>0</v>
      </c>
    </row>
    <row r="15" customFormat="false" ht="15" hidden="false" customHeight="true" outlineLevel="0" collapsed="false">
      <c r="A15" s="110" t="str">
        <f aca="false">'Returns (Calc)'!N2</f>
        <v>VRTX</v>
      </c>
      <c r="B15" s="111" t="n">
        <f aca="false">IFERROR(ROUND(CORREL('Returns (Calc)'!$N$3:$N$161,'Returns (Calc)'!$B$3:$B$161),2),"")</f>
        <v>0.14</v>
      </c>
      <c r="C15" s="111" t="n">
        <f aca="false">IFERROR(ROUND(CORREL('Returns (Calc)'!$N$3:$N$161,'Returns (Calc)'!$C$3:$C$161),2),"")</f>
        <v>0.04</v>
      </c>
      <c r="D15" s="111" t="n">
        <f aca="false">IFERROR(ROUND(CORREL('Returns (Calc)'!$N$3:$N$161,'Returns (Calc)'!$D$3:$D$161),2),"")</f>
        <v>0.12</v>
      </c>
      <c r="E15" s="111" t="n">
        <f aca="false">IFERROR(ROUND(CORREL('Returns (Calc)'!$N$3:$N$161,'Returns (Calc)'!$E$3:$E$161),2),"")</f>
        <v>0.15</v>
      </c>
      <c r="F15" s="111" t="n">
        <f aca="false">IFERROR(ROUND(CORREL('Returns (Calc)'!$N$3:$N$161,'Returns (Calc)'!$F$3:$F$161),2),"")</f>
        <v>0.18</v>
      </c>
      <c r="G15" s="111" t="n">
        <f aca="false">IFERROR(ROUND(CORREL('Returns (Calc)'!$N$3:$N$161,'Returns (Calc)'!$G$3:$G$161),2),"")</f>
        <v>0.16</v>
      </c>
      <c r="H15" s="111" t="n">
        <f aca="false">IFERROR(ROUND(CORREL('Returns (Calc)'!$N$3:$N$161,'Returns (Calc)'!$H$3:$H$161),2),"")</f>
        <v>0.18</v>
      </c>
      <c r="I15" s="111" t="n">
        <f aca="false">IFERROR(ROUND(CORREL('Returns (Calc)'!$N$3:$N$161,'Returns (Calc)'!$I$3:$I$161),2),"")</f>
        <v>0.13</v>
      </c>
      <c r="J15" s="111" t="n">
        <f aca="false">IFERROR(ROUND(CORREL('Returns (Calc)'!$N$3:$N$161,'Returns (Calc)'!$J$3:$J$161),2),"")</f>
        <v>0.25</v>
      </c>
      <c r="K15" s="111" t="n">
        <f aca="false">IFERROR(ROUND(CORREL('Returns (Calc)'!$N$3:$N$161,'Returns (Calc)'!$K$3:$K$161),2),"")</f>
        <v>0.07</v>
      </c>
      <c r="L15" s="111" t="n">
        <f aca="false">IFERROR(ROUND(CORREL('Returns (Calc)'!$N$3:$N$161,'Returns (Calc)'!$L$3:$L$161),2),"")</f>
        <v>0.15</v>
      </c>
      <c r="M15" s="111" t="n">
        <f aca="false">IFERROR(ROUND(CORREL('Returns (Calc)'!$N$3:$N$161,'Returns (Calc)'!$M$3:$M$161),2),"")</f>
        <v>0.11</v>
      </c>
      <c r="N15" s="111" t="n">
        <v>1</v>
      </c>
      <c r="O15" s="111" t="n">
        <f aca="false">IFERROR(ROUND(CORREL('Returns (Calc)'!$N$3:$N$161,'Returns (Calc)'!$O$3:$O$161),2),"")</f>
        <v>0.23</v>
      </c>
      <c r="P15" s="111" t="str">
        <f aca="false">IFERROR(ROUND(CORREL('Returns (Calc)'!$N$3:$N$161,'Returns (Calc)'!$P$3:$P$161),2),"")</f>
        <v/>
      </c>
      <c r="Q15" s="111" t="n">
        <f aca="false">IFERROR(ROUND(CORREL('Returns (Calc)'!$N$3:$N$161,'Returns (Calc)'!$Q$3:$Q$161),2),"")</f>
        <v>0.02</v>
      </c>
      <c r="R15" s="111" t="n">
        <f aca="false">IFERROR(ROUND(CORREL('Returns (Calc)'!$N$3:$N$161,'Returns (Calc)'!$R$3:$R$161),2),"")</f>
        <v>0.19</v>
      </c>
      <c r="S15" s="111" t="n">
        <f aca="false">IFERROR(ROUND(CORREL('Returns (Calc)'!$N$3:$N$161,'Returns (Calc)'!$S$3:$S$161),2),"")</f>
        <v>0.16</v>
      </c>
      <c r="T15" s="111" t="n">
        <f aca="false">IFERROR(ROUND(CORREL('Returns (Calc)'!$N$3:$N$161,'Returns (Calc)'!$T$3:$T$161),2),"")</f>
        <v>0.32</v>
      </c>
      <c r="U15" s="111" t="str">
        <f aca="false">IFERROR(ROUND(CORREL('Returns (Calc)'!$N$3:$N$161,'Returns (Calc)'!$U$3:$U$161),2),"")</f>
        <v/>
      </c>
      <c r="V15" s="111" t="n">
        <f aca="false">IFERROR(ROUND(CORREL('Returns (Calc)'!$N$3:$N$161,'Returns (Calc)'!$V$3:$V$161),2),"")</f>
        <v>0.2</v>
      </c>
      <c r="W15" s="112" t="n">
        <f aca="false">COUNTIF(B15:V15,"&gt;0.7")-1</f>
        <v>0</v>
      </c>
    </row>
    <row r="16" customFormat="false" ht="15" hidden="false" customHeight="true" outlineLevel="0" collapsed="false">
      <c r="A16" s="110" t="str">
        <f aca="false">'Returns (Calc)'!O2</f>
        <v>AVUV</v>
      </c>
      <c r="B16" s="111" t="n">
        <f aca="false">IFERROR(ROUND(CORREL('Returns (Calc)'!$O$3:$O$161,'Returns (Calc)'!$B$3:$B$161),2),"")</f>
        <v>0.17</v>
      </c>
      <c r="C16" s="111" t="n">
        <f aca="false">IFERROR(ROUND(CORREL('Returns (Calc)'!$O$3:$O$161,'Returns (Calc)'!$C$3:$C$161),2),"")</f>
        <v>0.35</v>
      </c>
      <c r="D16" s="111" t="n">
        <f aca="false">IFERROR(ROUND(CORREL('Returns (Calc)'!$O$3:$O$161,'Returns (Calc)'!$D$3:$D$161),2),"")</f>
        <v>0.39</v>
      </c>
      <c r="E16" s="111" t="n">
        <f aca="false">IFERROR(ROUND(CORREL('Returns (Calc)'!$O$3:$O$161,'Returns (Calc)'!$E$3:$E$161),2),"")</f>
        <v>0.29</v>
      </c>
      <c r="F16" s="111" t="n">
        <f aca="false">IFERROR(ROUND(CORREL('Returns (Calc)'!$O$3:$O$161,'Returns (Calc)'!$F$3:$F$161),2),"")</f>
        <v>0.22</v>
      </c>
      <c r="G16" s="111" t="n">
        <f aca="false">IFERROR(ROUND(CORREL('Returns (Calc)'!$O$3:$O$161,'Returns (Calc)'!$G$3:$G$161),2),"")</f>
        <v>0.43</v>
      </c>
      <c r="H16" s="111" t="n">
        <f aca="false">IFERROR(ROUND(CORREL('Returns (Calc)'!$O$3:$O$161,'Returns (Calc)'!$H$3:$H$161),2),"")</f>
        <v>0.36</v>
      </c>
      <c r="I16" s="111" t="n">
        <f aca="false">IFERROR(ROUND(CORREL('Returns (Calc)'!$O$3:$O$161,'Returns (Calc)'!$I$3:$I$161),2),"")</f>
        <v>0.27</v>
      </c>
      <c r="J16" s="111" t="n">
        <f aca="false">IFERROR(ROUND(CORREL('Returns (Calc)'!$O$3:$O$161,'Returns (Calc)'!$J$3:$J$161),2),"")</f>
        <v>0.62</v>
      </c>
      <c r="K16" s="111" t="n">
        <f aca="false">IFERROR(ROUND(CORREL('Returns (Calc)'!$O$3:$O$161,'Returns (Calc)'!$K$3:$K$161),2),"")</f>
        <v>0.25</v>
      </c>
      <c r="L16" s="111" t="n">
        <f aca="false">IFERROR(ROUND(CORREL('Returns (Calc)'!$O$3:$O$161,'Returns (Calc)'!$L$3:$L$161),2),"")</f>
        <v>0.33</v>
      </c>
      <c r="M16" s="111" t="n">
        <f aca="false">IFERROR(ROUND(CORREL('Returns (Calc)'!$O$3:$O$161,'Returns (Calc)'!$M$3:$M$161),2),"")</f>
        <v>0.34</v>
      </c>
      <c r="N16" s="111" t="n">
        <f aca="false">IFERROR(ROUND(CORREL('Returns (Calc)'!$O$3:$O$161,'Returns (Calc)'!$N$3:$N$161),2),"")</f>
        <v>0.23</v>
      </c>
      <c r="O16" s="111" t="n">
        <v>1</v>
      </c>
      <c r="P16" s="111" t="str">
        <f aca="false">IFERROR(ROUND(CORREL('Returns (Calc)'!$O$3:$O$161,'Returns (Calc)'!$P$3:$P$161),2),"")</f>
        <v/>
      </c>
      <c r="Q16" s="111" t="n">
        <f aca="false">IFERROR(ROUND(CORREL('Returns (Calc)'!$O$3:$O$161,'Returns (Calc)'!$Q$3:$Q$161),2),"")</f>
        <v>-0.04</v>
      </c>
      <c r="R16" s="111" t="n">
        <f aca="false">IFERROR(ROUND(CORREL('Returns (Calc)'!$O$3:$O$161,'Returns (Calc)'!$R$3:$R$161),2),"")</f>
        <v>0.54</v>
      </c>
      <c r="S16" s="111" t="n">
        <f aca="false">IFERROR(ROUND(CORREL('Returns (Calc)'!$O$3:$O$161,'Returns (Calc)'!$S$3:$S$161),2),"")</f>
        <v>0.5</v>
      </c>
      <c r="T16" s="111" t="n">
        <f aca="false">IFERROR(ROUND(CORREL('Returns (Calc)'!$O$3:$O$161,'Returns (Calc)'!$T$3:$T$161),2),"")</f>
        <v>0.79</v>
      </c>
      <c r="U16" s="111" t="str">
        <f aca="false">IFERROR(ROUND(CORREL('Returns (Calc)'!$O$3:$O$161,'Returns (Calc)'!$U$3:$U$161),2),"")</f>
        <v/>
      </c>
      <c r="V16" s="111" t="n">
        <f aca="false">IFERROR(ROUND(CORREL('Returns (Calc)'!$O$3:$O$161,'Returns (Calc)'!$V$3:$V$161),2),"")</f>
        <v>0.39</v>
      </c>
      <c r="W16" s="112" t="n">
        <f aca="false">COUNTIF(B16:V16,"&gt;0.7")-1</f>
        <v>1</v>
      </c>
    </row>
    <row r="17" customFormat="false" ht="15" hidden="false" customHeight="true" outlineLevel="0" collapsed="false">
      <c r="A17" s="110" t="n">
        <f aca="false">'Returns (Calc)'!P2</f>
        <v>0</v>
      </c>
      <c r="B17" s="111" t="str">
        <f aca="false">IFERROR(ROUND(CORREL('Returns (Calc)'!$P$3:$P$161,'Returns (Calc)'!$B$3:$B$161),2),"")</f>
        <v/>
      </c>
      <c r="C17" s="111" t="str">
        <f aca="false">IFERROR(ROUND(CORREL('Returns (Calc)'!$P$3:$P$161,'Returns (Calc)'!$C$3:$C$161),2),"")</f>
        <v/>
      </c>
      <c r="D17" s="111" t="str">
        <f aca="false">IFERROR(ROUND(CORREL('Returns (Calc)'!$P$3:$P$161,'Returns (Calc)'!$D$3:$D$161),2),"")</f>
        <v/>
      </c>
      <c r="E17" s="111" t="str">
        <f aca="false">IFERROR(ROUND(CORREL('Returns (Calc)'!$P$3:$P$161,'Returns (Calc)'!$E$3:$E$161),2),"")</f>
        <v/>
      </c>
      <c r="F17" s="111" t="str">
        <f aca="false">IFERROR(ROUND(CORREL('Returns (Calc)'!$P$3:$P$161,'Returns (Calc)'!$F$3:$F$161),2),"")</f>
        <v/>
      </c>
      <c r="G17" s="111" t="str">
        <f aca="false">IFERROR(ROUND(CORREL('Returns (Calc)'!$P$3:$P$161,'Returns (Calc)'!$G$3:$G$161),2),"")</f>
        <v/>
      </c>
      <c r="H17" s="111" t="str">
        <f aca="false">IFERROR(ROUND(CORREL('Returns (Calc)'!$P$3:$P$161,'Returns (Calc)'!$H$3:$H$161),2),"")</f>
        <v/>
      </c>
      <c r="I17" s="111" t="str">
        <f aca="false">IFERROR(ROUND(CORREL('Returns (Calc)'!$P$3:$P$161,'Returns (Calc)'!$I$3:$I$161),2),"")</f>
        <v/>
      </c>
      <c r="J17" s="111" t="str">
        <f aca="false">IFERROR(ROUND(CORREL('Returns (Calc)'!$P$3:$P$161,'Returns (Calc)'!$J$3:$J$161),2),"")</f>
        <v/>
      </c>
      <c r="K17" s="111" t="str">
        <f aca="false">IFERROR(ROUND(CORREL('Returns (Calc)'!$P$3:$P$161,'Returns (Calc)'!$K$3:$K$161),2),"")</f>
        <v/>
      </c>
      <c r="L17" s="111" t="str">
        <f aca="false">IFERROR(ROUND(CORREL('Returns (Calc)'!$P$3:$P$161,'Returns (Calc)'!$L$3:$L$161),2),"")</f>
        <v/>
      </c>
      <c r="M17" s="111" t="str">
        <f aca="false">IFERROR(ROUND(CORREL('Returns (Calc)'!$P$3:$P$161,'Returns (Calc)'!$M$3:$M$161),2),"")</f>
        <v/>
      </c>
      <c r="N17" s="111" t="str">
        <f aca="false">IFERROR(ROUND(CORREL('Returns (Calc)'!$P$3:$P$161,'Returns (Calc)'!$N$3:$N$161),2),"")</f>
        <v/>
      </c>
      <c r="O17" s="111" t="str">
        <f aca="false">IFERROR(ROUND(CORREL('Returns (Calc)'!$P$3:$P$161,'Returns (Calc)'!$O$3:$O$161),2),"")</f>
        <v/>
      </c>
      <c r="P17" s="111" t="n">
        <v>1</v>
      </c>
      <c r="Q17" s="111" t="str">
        <f aca="false">IFERROR(ROUND(CORREL('Returns (Calc)'!$P$3:$P$161,'Returns (Calc)'!$Q$3:$Q$161),2),"")</f>
        <v/>
      </c>
      <c r="R17" s="111" t="str">
        <f aca="false">IFERROR(ROUND(CORREL('Returns (Calc)'!$P$3:$P$161,'Returns (Calc)'!$R$3:$R$161),2),"")</f>
        <v/>
      </c>
      <c r="S17" s="111" t="str">
        <f aca="false">IFERROR(ROUND(CORREL('Returns (Calc)'!$P$3:$P$161,'Returns (Calc)'!$S$3:$S$161),2),"")</f>
        <v/>
      </c>
      <c r="T17" s="111" t="str">
        <f aca="false">IFERROR(ROUND(CORREL('Returns (Calc)'!$P$3:$P$161,'Returns (Calc)'!$T$3:$T$161),2),"")</f>
        <v/>
      </c>
      <c r="U17" s="111" t="str">
        <f aca="false">IFERROR(ROUND(CORREL('Returns (Calc)'!$P$3:$P$161,'Returns (Calc)'!$U$3:$U$161),2),"")</f>
        <v/>
      </c>
      <c r="V17" s="111" t="str">
        <f aca="false">IFERROR(ROUND(CORREL('Returns (Calc)'!$P$3:$P$161,'Returns (Calc)'!$V$3:$V$161),2),"")</f>
        <v/>
      </c>
      <c r="W17" s="112" t="n">
        <f aca="false">COUNTIF(B17:V17,"&gt;0.7")-1</f>
        <v>0</v>
      </c>
    </row>
    <row r="18" customFormat="false" ht="15" hidden="false" customHeight="true" outlineLevel="0" collapsed="false">
      <c r="A18" s="110" t="str">
        <f aca="false">'Returns (Calc)'!Q2</f>
        <v>HELO</v>
      </c>
      <c r="B18" s="111" t="n">
        <f aca="false">IFERROR(ROUND(CORREL('Returns (Calc)'!$Q$3:$Q$161,'Returns (Calc)'!$B$3:$B$161),2),"")</f>
        <v>-0.1</v>
      </c>
      <c r="C18" s="111" t="n">
        <f aca="false">IFERROR(ROUND(CORREL('Returns (Calc)'!$Q$3:$Q$161,'Returns (Calc)'!$C$3:$C$161),2),"")</f>
        <v>-0</v>
      </c>
      <c r="D18" s="111" t="n">
        <f aca="false">IFERROR(ROUND(CORREL('Returns (Calc)'!$Q$3:$Q$161,'Returns (Calc)'!$D$3:$D$161),2),"")</f>
        <v>-0.05</v>
      </c>
      <c r="E18" s="111" t="n">
        <f aca="false">IFERROR(ROUND(CORREL('Returns (Calc)'!$Q$3:$Q$161,'Returns (Calc)'!$E$3:$E$161),2),"")</f>
        <v>-0.07</v>
      </c>
      <c r="F18" s="111" t="n">
        <f aca="false">IFERROR(ROUND(CORREL('Returns (Calc)'!$Q$3:$Q$161,'Returns (Calc)'!$F$3:$F$161),2),"")</f>
        <v>-0.05</v>
      </c>
      <c r="G18" s="111" t="n">
        <f aca="false">IFERROR(ROUND(CORREL('Returns (Calc)'!$Q$3:$Q$161,'Returns (Calc)'!$G$3:$G$161),2),"")</f>
        <v>-0.03</v>
      </c>
      <c r="H18" s="111" t="n">
        <f aca="false">IFERROR(ROUND(CORREL('Returns (Calc)'!$Q$3:$Q$161,'Returns (Calc)'!$H$3:$H$161),2),"")</f>
        <v>-0.11</v>
      </c>
      <c r="I18" s="111" t="n">
        <f aca="false">IFERROR(ROUND(CORREL('Returns (Calc)'!$Q$3:$Q$161,'Returns (Calc)'!$I$3:$I$161),2),"")</f>
        <v>-0.1</v>
      </c>
      <c r="J18" s="111" t="n">
        <f aca="false">IFERROR(ROUND(CORREL('Returns (Calc)'!$Q$3:$Q$161,'Returns (Calc)'!$J$3:$J$161),2),"")</f>
        <v>-0.09</v>
      </c>
      <c r="K18" s="111" t="n">
        <f aca="false">IFERROR(ROUND(CORREL('Returns (Calc)'!$Q$3:$Q$161,'Returns (Calc)'!$K$3:$K$161),2),"")</f>
        <v>-0.08</v>
      </c>
      <c r="L18" s="111" t="n">
        <f aca="false">IFERROR(ROUND(CORREL('Returns (Calc)'!$Q$3:$Q$161,'Returns (Calc)'!$L$3:$L$161),2),"")</f>
        <v>0</v>
      </c>
      <c r="M18" s="111" t="n">
        <f aca="false">IFERROR(ROUND(CORREL('Returns (Calc)'!$Q$3:$Q$161,'Returns (Calc)'!$M$3:$M$161),2),"")</f>
        <v>-0.01</v>
      </c>
      <c r="N18" s="111" t="n">
        <f aca="false">IFERROR(ROUND(CORREL('Returns (Calc)'!$Q$3:$Q$161,'Returns (Calc)'!$N$3:$N$161),2),"")</f>
        <v>0.02</v>
      </c>
      <c r="O18" s="111" t="n">
        <f aca="false">IFERROR(ROUND(CORREL('Returns (Calc)'!$Q$3:$Q$161,'Returns (Calc)'!$O$3:$O$161),2),"")</f>
        <v>-0.04</v>
      </c>
      <c r="P18" s="111" t="str">
        <f aca="false">IFERROR(ROUND(CORREL('Returns (Calc)'!$Q$3:$Q$161,'Returns (Calc)'!$P$3:$P$161),2),"")</f>
        <v/>
      </c>
      <c r="Q18" s="111" t="n">
        <v>1</v>
      </c>
      <c r="R18" s="111" t="n">
        <f aca="false">IFERROR(ROUND(CORREL('Returns (Calc)'!$Q$3:$Q$161,'Returns (Calc)'!$R$3:$R$161),2),"")</f>
        <v>-0.03</v>
      </c>
      <c r="S18" s="111" t="n">
        <f aca="false">IFERROR(ROUND(CORREL('Returns (Calc)'!$Q$3:$Q$161,'Returns (Calc)'!$S$3:$S$161),2),"")</f>
        <v>-0.04</v>
      </c>
      <c r="T18" s="111" t="n">
        <f aca="false">IFERROR(ROUND(CORREL('Returns (Calc)'!$Q$3:$Q$161,'Returns (Calc)'!$T$3:$T$161),2),"")</f>
        <v>-0.09</v>
      </c>
      <c r="U18" s="111" t="str">
        <f aca="false">IFERROR(ROUND(CORREL('Returns (Calc)'!$Q$3:$Q$161,'Returns (Calc)'!$U$3:$U$161),2),"")</f>
        <v/>
      </c>
      <c r="V18" s="111" t="n">
        <f aca="false">IFERROR(ROUND(CORREL('Returns (Calc)'!$Q$3:$Q$161,'Returns (Calc)'!$V$3:$V$161),2),"")</f>
        <v>-0.1</v>
      </c>
      <c r="W18" s="112" t="n">
        <f aca="false">COUNTIF(B18:V18,"&gt;0.7")-1</f>
        <v>0</v>
      </c>
    </row>
    <row r="19" customFormat="false" ht="15" hidden="false" customHeight="true" outlineLevel="0" collapsed="false">
      <c r="A19" s="110" t="str">
        <f aca="false">'Returns (Calc)'!R2</f>
        <v>JEPQ</v>
      </c>
      <c r="B19" s="111" t="n">
        <f aca="false">IFERROR(ROUND(CORREL('Returns (Calc)'!$R$3:$R$161,'Returns (Calc)'!$B$3:$B$161),2),"")</f>
        <v>0.32</v>
      </c>
      <c r="C19" s="111" t="n">
        <f aca="false">IFERROR(ROUND(CORREL('Returns (Calc)'!$R$3:$R$161,'Returns (Calc)'!$C$3:$C$161),2),"")</f>
        <v>0.64</v>
      </c>
      <c r="D19" s="111" t="n">
        <f aca="false">IFERROR(ROUND(CORREL('Returns (Calc)'!$R$3:$R$161,'Returns (Calc)'!$D$3:$D$161),2),"")</f>
        <v>0.61</v>
      </c>
      <c r="E19" s="111" t="n">
        <f aca="false">IFERROR(ROUND(CORREL('Returns (Calc)'!$R$3:$R$161,'Returns (Calc)'!$E$3:$E$161),2),"")</f>
        <v>0.72</v>
      </c>
      <c r="F19" s="111" t="n">
        <f aca="false">IFERROR(ROUND(CORREL('Returns (Calc)'!$R$3:$R$161,'Returns (Calc)'!$F$3:$F$161),2),"")</f>
        <v>0.54</v>
      </c>
      <c r="G19" s="111" t="n">
        <f aca="false">IFERROR(ROUND(CORREL('Returns (Calc)'!$R$3:$R$161,'Returns (Calc)'!$G$3:$G$161),2),"")</f>
        <v>0.62</v>
      </c>
      <c r="H19" s="111" t="n">
        <f aca="false">IFERROR(ROUND(CORREL('Returns (Calc)'!$R$3:$R$161,'Returns (Calc)'!$H$3:$H$161),2),"")</f>
        <v>0.61</v>
      </c>
      <c r="I19" s="111" t="n">
        <f aca="false">IFERROR(ROUND(CORREL('Returns (Calc)'!$R$3:$R$161,'Returns (Calc)'!$I$3:$I$161),2),"")</f>
        <v>0.72</v>
      </c>
      <c r="J19" s="111" t="n">
        <f aca="false">IFERROR(ROUND(CORREL('Returns (Calc)'!$R$3:$R$161,'Returns (Calc)'!$J$3:$J$161),2),"")</f>
        <v>0.37</v>
      </c>
      <c r="K19" s="111" t="n">
        <f aca="false">IFERROR(ROUND(CORREL('Returns (Calc)'!$R$3:$R$161,'Returns (Calc)'!$K$3:$K$161),2),"")</f>
        <v>0.48</v>
      </c>
      <c r="L19" s="111" t="n">
        <f aca="false">IFERROR(ROUND(CORREL('Returns (Calc)'!$R$3:$R$161,'Returns (Calc)'!$L$3:$L$161),2),"")</f>
        <v>0.67</v>
      </c>
      <c r="M19" s="111" t="n">
        <f aca="false">IFERROR(ROUND(CORREL('Returns (Calc)'!$R$3:$R$161,'Returns (Calc)'!$M$3:$M$161),2),"")</f>
        <v>0.62</v>
      </c>
      <c r="N19" s="111" t="n">
        <f aca="false">IFERROR(ROUND(CORREL('Returns (Calc)'!$R$3:$R$161,'Returns (Calc)'!$N$3:$N$161),2),"")</f>
        <v>0.19</v>
      </c>
      <c r="O19" s="111" t="n">
        <f aca="false">IFERROR(ROUND(CORREL('Returns (Calc)'!$R$3:$R$161,'Returns (Calc)'!$O$3:$O$161),2),"")</f>
        <v>0.54</v>
      </c>
      <c r="P19" s="111" t="str">
        <f aca="false">IFERROR(ROUND(CORREL('Returns (Calc)'!$R$3:$R$161,'Returns (Calc)'!$P$3:$P$161),2),"")</f>
        <v/>
      </c>
      <c r="Q19" s="111" t="n">
        <f aca="false">IFERROR(ROUND(CORREL('Returns (Calc)'!$R$3:$R$161,'Returns (Calc)'!$Q$3:$Q$161),2),"")</f>
        <v>-0.03</v>
      </c>
      <c r="R19" s="111" t="n">
        <v>1</v>
      </c>
      <c r="S19" s="111" t="n">
        <f aca="false">IFERROR(ROUND(CORREL('Returns (Calc)'!$R$3:$R$161,'Returns (Calc)'!$S$3:$S$161),2),"")</f>
        <v>0.88</v>
      </c>
      <c r="T19" s="111" t="n">
        <f aca="false">IFERROR(ROUND(CORREL('Returns (Calc)'!$R$3:$R$161,'Returns (Calc)'!$T$3:$T$161),2),"")</f>
        <v>0.57</v>
      </c>
      <c r="U19" s="111" t="str">
        <f aca="false">IFERROR(ROUND(CORREL('Returns (Calc)'!$R$3:$R$161,'Returns (Calc)'!$U$3:$U$161),2),"")</f>
        <v/>
      </c>
      <c r="V19" s="111" t="n">
        <f aca="false">IFERROR(ROUND(CORREL('Returns (Calc)'!$R$3:$R$161,'Returns (Calc)'!$V$3:$V$161),2),"")</f>
        <v>0.44</v>
      </c>
      <c r="W19" s="112" t="n">
        <f aca="false">COUNTIF(B19:V19,"&gt;0.7")-1</f>
        <v>3</v>
      </c>
    </row>
    <row r="20" customFormat="false" ht="15" hidden="false" customHeight="true" outlineLevel="0" collapsed="false">
      <c r="A20" s="110" t="str">
        <f aca="false">'Returns (Calc)'!S2</f>
        <v>SPMO</v>
      </c>
      <c r="B20" s="111" t="n">
        <f aca="false">IFERROR(ROUND(CORREL('Returns (Calc)'!$S$3:$S$161,'Returns (Calc)'!$B$3:$B$161),2),"")</f>
        <v>0.24</v>
      </c>
      <c r="C20" s="111" t="n">
        <f aca="false">IFERROR(ROUND(CORREL('Returns (Calc)'!$S$3:$S$161,'Returns (Calc)'!$C$3:$C$161),2),"")</f>
        <v>0.64</v>
      </c>
      <c r="D20" s="111" t="n">
        <f aca="false">IFERROR(ROUND(CORREL('Returns (Calc)'!$S$3:$S$161,'Returns (Calc)'!$D$3:$D$161),2),"")</f>
        <v>0.61</v>
      </c>
      <c r="E20" s="111" t="n">
        <f aca="false">IFERROR(ROUND(CORREL('Returns (Calc)'!$S$3:$S$161,'Returns (Calc)'!$E$3:$E$161),2),"")</f>
        <v>0.74</v>
      </c>
      <c r="F20" s="111" t="n">
        <f aca="false">IFERROR(ROUND(CORREL('Returns (Calc)'!$S$3:$S$161,'Returns (Calc)'!$F$3:$F$161),2),"")</f>
        <v>0.53</v>
      </c>
      <c r="G20" s="111" t="n">
        <f aca="false">IFERROR(ROUND(CORREL('Returns (Calc)'!$S$3:$S$161,'Returns (Calc)'!$G$3:$G$161),2),"")</f>
        <v>0.67</v>
      </c>
      <c r="H20" s="111" t="n">
        <f aca="false">IFERROR(ROUND(CORREL('Returns (Calc)'!$S$3:$S$161,'Returns (Calc)'!$H$3:$H$161),2),"")</f>
        <v>0.66</v>
      </c>
      <c r="I20" s="111" t="n">
        <f aca="false">IFERROR(ROUND(CORREL('Returns (Calc)'!$S$3:$S$161,'Returns (Calc)'!$I$3:$I$161),2),"")</f>
        <v>0.74</v>
      </c>
      <c r="J20" s="111" t="n">
        <f aca="false">IFERROR(ROUND(CORREL('Returns (Calc)'!$S$3:$S$161,'Returns (Calc)'!$J$3:$J$161),2),"")</f>
        <v>0.35</v>
      </c>
      <c r="K20" s="111" t="n">
        <f aca="false">IFERROR(ROUND(CORREL('Returns (Calc)'!$S$3:$S$161,'Returns (Calc)'!$K$3:$K$161),2),"")</f>
        <v>0.45</v>
      </c>
      <c r="L20" s="111" t="n">
        <f aca="false">IFERROR(ROUND(CORREL('Returns (Calc)'!$S$3:$S$161,'Returns (Calc)'!$L$3:$L$161),2),"")</f>
        <v>0.69</v>
      </c>
      <c r="M20" s="111" t="n">
        <f aca="false">IFERROR(ROUND(CORREL('Returns (Calc)'!$S$3:$S$161,'Returns (Calc)'!$M$3:$M$161),2),"")</f>
        <v>0.66</v>
      </c>
      <c r="N20" s="111" t="n">
        <f aca="false">IFERROR(ROUND(CORREL('Returns (Calc)'!$S$3:$S$161,'Returns (Calc)'!$N$3:$N$161),2),"")</f>
        <v>0.16</v>
      </c>
      <c r="O20" s="111" t="n">
        <f aca="false">IFERROR(ROUND(CORREL('Returns (Calc)'!$S$3:$S$161,'Returns (Calc)'!$O$3:$O$161),2),"")</f>
        <v>0.5</v>
      </c>
      <c r="P20" s="111" t="str">
        <f aca="false">IFERROR(ROUND(CORREL('Returns (Calc)'!$S$3:$S$161,'Returns (Calc)'!$P$3:$P$161),2),"")</f>
        <v/>
      </c>
      <c r="Q20" s="111" t="n">
        <f aca="false">IFERROR(ROUND(CORREL('Returns (Calc)'!$S$3:$S$161,'Returns (Calc)'!$Q$3:$Q$161),2),"")</f>
        <v>-0.04</v>
      </c>
      <c r="R20" s="111" t="n">
        <f aca="false">IFERROR(ROUND(CORREL('Returns (Calc)'!$S$3:$S$161,'Returns (Calc)'!$R$3:$R$161),2),"")</f>
        <v>0.88</v>
      </c>
      <c r="S20" s="111" t="n">
        <v>1</v>
      </c>
      <c r="T20" s="111" t="n">
        <f aca="false">IFERROR(ROUND(CORREL('Returns (Calc)'!$S$3:$S$161,'Returns (Calc)'!$T$3:$T$161),2),"")</f>
        <v>0.52</v>
      </c>
      <c r="U20" s="111" t="str">
        <f aca="false">IFERROR(ROUND(CORREL('Returns (Calc)'!$S$3:$S$161,'Returns (Calc)'!$U$3:$U$161),2),"")</f>
        <v/>
      </c>
      <c r="V20" s="111" t="n">
        <f aca="false">IFERROR(ROUND(CORREL('Returns (Calc)'!$S$3:$S$161,'Returns (Calc)'!$V$3:$V$161),2),"")</f>
        <v>0.42</v>
      </c>
      <c r="W20" s="112" t="n">
        <f aca="false">COUNTIF(B20:V20,"&gt;0.7")-1</f>
        <v>3</v>
      </c>
    </row>
    <row r="21" customFormat="false" ht="15" hidden="false" customHeight="true" outlineLevel="0" collapsed="false">
      <c r="A21" s="110" t="str">
        <f aca="false">'Returns (Calc)'!T2</f>
        <v>VFLO</v>
      </c>
      <c r="B21" s="111" t="n">
        <f aca="false">IFERROR(ROUND(CORREL('Returns (Calc)'!$T$3:$T$161,'Returns (Calc)'!$B$3:$B$161),2),"")</f>
        <v>0.41</v>
      </c>
      <c r="C21" s="111" t="n">
        <f aca="false">IFERROR(ROUND(CORREL('Returns (Calc)'!$T$3:$T$161,'Returns (Calc)'!$C$3:$C$161),2),"")</f>
        <v>0.34</v>
      </c>
      <c r="D21" s="111" t="n">
        <f aca="false">IFERROR(ROUND(CORREL('Returns (Calc)'!$T$3:$T$161,'Returns (Calc)'!$D$3:$D$161),2),"")</f>
        <v>0.31</v>
      </c>
      <c r="E21" s="111" t="n">
        <f aca="false">IFERROR(ROUND(CORREL('Returns (Calc)'!$T$3:$T$161,'Returns (Calc)'!$E$3:$E$161),2),"")</f>
        <v>0.26</v>
      </c>
      <c r="F21" s="111" t="n">
        <f aca="false">IFERROR(ROUND(CORREL('Returns (Calc)'!$T$3:$T$161,'Returns (Calc)'!$F$3:$F$161),2),"")</f>
        <v>0.31</v>
      </c>
      <c r="G21" s="111" t="n">
        <f aca="false">IFERROR(ROUND(CORREL('Returns (Calc)'!$T$3:$T$161,'Returns (Calc)'!$G$3:$G$161),2),"")</f>
        <v>0.32</v>
      </c>
      <c r="H21" s="111" t="n">
        <f aca="false">IFERROR(ROUND(CORREL('Returns (Calc)'!$T$3:$T$161,'Returns (Calc)'!$H$3:$H$161),2),"")</f>
        <v>0.43</v>
      </c>
      <c r="I21" s="111" t="n">
        <f aca="false">IFERROR(ROUND(CORREL('Returns (Calc)'!$T$3:$T$161,'Returns (Calc)'!$I$3:$I$161),2),"")</f>
        <v>0.29</v>
      </c>
      <c r="J21" s="111" t="n">
        <f aca="false">IFERROR(ROUND(CORREL('Returns (Calc)'!$T$3:$T$161,'Returns (Calc)'!$J$3:$J$161),2),"")</f>
        <v>0.52</v>
      </c>
      <c r="K21" s="111" t="n">
        <f aca="false">IFERROR(ROUND(CORREL('Returns (Calc)'!$T$3:$T$161,'Returns (Calc)'!$K$3:$K$161),2),"")</f>
        <v>0.35</v>
      </c>
      <c r="L21" s="111" t="n">
        <f aca="false">IFERROR(ROUND(CORREL('Returns (Calc)'!$T$3:$T$161,'Returns (Calc)'!$L$3:$L$161),2),"")</f>
        <v>0.29</v>
      </c>
      <c r="M21" s="111" t="n">
        <f aca="false">IFERROR(ROUND(CORREL('Returns (Calc)'!$T$3:$T$161,'Returns (Calc)'!$M$3:$M$161),2),"")</f>
        <v>0.29</v>
      </c>
      <c r="N21" s="111" t="n">
        <f aca="false">IFERROR(ROUND(CORREL('Returns (Calc)'!$T$3:$T$161,'Returns (Calc)'!$N$3:$N$161),2),"")</f>
        <v>0.32</v>
      </c>
      <c r="O21" s="111" t="n">
        <f aca="false">IFERROR(ROUND(CORREL('Returns (Calc)'!$T$3:$T$161,'Returns (Calc)'!$O$3:$O$161),2),"")</f>
        <v>0.79</v>
      </c>
      <c r="P21" s="111" t="str">
        <f aca="false">IFERROR(ROUND(CORREL('Returns (Calc)'!$T$3:$T$161,'Returns (Calc)'!$P$3:$P$161),2),"")</f>
        <v/>
      </c>
      <c r="Q21" s="111" t="n">
        <f aca="false">IFERROR(ROUND(CORREL('Returns (Calc)'!$T$3:$T$161,'Returns (Calc)'!$Q$3:$Q$161),2),"")</f>
        <v>-0.09</v>
      </c>
      <c r="R21" s="111" t="n">
        <f aca="false">IFERROR(ROUND(CORREL('Returns (Calc)'!$T$3:$T$161,'Returns (Calc)'!$R$3:$R$161),2),"")</f>
        <v>0.57</v>
      </c>
      <c r="S21" s="111" t="n">
        <f aca="false">IFERROR(ROUND(CORREL('Returns (Calc)'!$T$3:$T$161,'Returns (Calc)'!$S$3:$S$161),2),"")</f>
        <v>0.52</v>
      </c>
      <c r="T21" s="111" t="n">
        <v>1</v>
      </c>
      <c r="U21" s="111" t="str">
        <f aca="false">IFERROR(ROUND(CORREL('Returns (Calc)'!$T$3:$T$161,'Returns (Calc)'!$U$3:$U$161),2),"")</f>
        <v/>
      </c>
      <c r="V21" s="111" t="n">
        <f aca="false">IFERROR(ROUND(CORREL('Returns (Calc)'!$T$3:$T$161,'Returns (Calc)'!$V$3:$V$161),2),"")</f>
        <v>0.46</v>
      </c>
      <c r="W21" s="112" t="n">
        <f aca="false">COUNTIF(B21:V21,"&gt;0.7")-1</f>
        <v>1</v>
      </c>
    </row>
    <row r="22" customFormat="false" ht="15" hidden="false" customHeight="true" outlineLevel="0" collapsed="false">
      <c r="A22" s="110" t="n">
        <f aca="false">'Returns (Calc)'!U2</f>
        <v>0</v>
      </c>
      <c r="B22" s="111" t="str">
        <f aca="false">IFERROR(ROUND(CORREL('Returns (Calc)'!$U$3:$U$161,'Returns (Calc)'!$B$3:$B$161),2),"")</f>
        <v/>
      </c>
      <c r="C22" s="111" t="str">
        <f aca="false">IFERROR(ROUND(CORREL('Returns (Calc)'!$U$3:$U$161,'Returns (Calc)'!$C$3:$C$161),2),"")</f>
        <v/>
      </c>
      <c r="D22" s="111" t="str">
        <f aca="false">IFERROR(ROUND(CORREL('Returns (Calc)'!$U$3:$U$161,'Returns (Calc)'!$D$3:$D$161),2),"")</f>
        <v/>
      </c>
      <c r="E22" s="111" t="str">
        <f aca="false">IFERROR(ROUND(CORREL('Returns (Calc)'!$U$3:$U$161,'Returns (Calc)'!$E$3:$E$161),2),"")</f>
        <v/>
      </c>
      <c r="F22" s="111" t="str">
        <f aca="false">IFERROR(ROUND(CORREL('Returns (Calc)'!$U$3:$U$161,'Returns (Calc)'!$F$3:$F$161),2),"")</f>
        <v/>
      </c>
      <c r="G22" s="111" t="str">
        <f aca="false">IFERROR(ROUND(CORREL('Returns (Calc)'!$U$3:$U$161,'Returns (Calc)'!$G$3:$G$161),2),"")</f>
        <v/>
      </c>
      <c r="H22" s="111" t="str">
        <f aca="false">IFERROR(ROUND(CORREL('Returns (Calc)'!$U$3:$U$161,'Returns (Calc)'!$H$3:$H$161),2),"")</f>
        <v/>
      </c>
      <c r="I22" s="111" t="str">
        <f aca="false">IFERROR(ROUND(CORREL('Returns (Calc)'!$U$3:$U$161,'Returns (Calc)'!$I$3:$I$161),2),"")</f>
        <v/>
      </c>
      <c r="J22" s="111" t="str">
        <f aca="false">IFERROR(ROUND(CORREL('Returns (Calc)'!$U$3:$U$161,'Returns (Calc)'!$J$3:$J$161),2),"")</f>
        <v/>
      </c>
      <c r="K22" s="111" t="str">
        <f aca="false">IFERROR(ROUND(CORREL('Returns (Calc)'!$U$3:$U$161,'Returns (Calc)'!$K$3:$K$161),2),"")</f>
        <v/>
      </c>
      <c r="L22" s="111" t="str">
        <f aca="false">IFERROR(ROUND(CORREL('Returns (Calc)'!$U$3:$U$161,'Returns (Calc)'!$L$3:$L$161),2),"")</f>
        <v/>
      </c>
      <c r="M22" s="111" t="str">
        <f aca="false">IFERROR(ROUND(CORREL('Returns (Calc)'!$U$3:$U$161,'Returns (Calc)'!$M$3:$M$161),2),"")</f>
        <v/>
      </c>
      <c r="N22" s="111" t="str">
        <f aca="false">IFERROR(ROUND(CORREL('Returns (Calc)'!$U$3:$U$161,'Returns (Calc)'!$N$3:$N$161),2),"")</f>
        <v/>
      </c>
      <c r="O22" s="111" t="str">
        <f aca="false">IFERROR(ROUND(CORREL('Returns (Calc)'!$U$3:$U$161,'Returns (Calc)'!$O$3:$O$161),2),"")</f>
        <v/>
      </c>
      <c r="P22" s="111" t="str">
        <f aca="false">IFERROR(ROUND(CORREL('Returns (Calc)'!$U$3:$U$161,'Returns (Calc)'!$P$3:$P$161),2),"")</f>
        <v/>
      </c>
      <c r="Q22" s="111" t="str">
        <f aca="false">IFERROR(ROUND(CORREL('Returns (Calc)'!$U$3:$U$161,'Returns (Calc)'!$Q$3:$Q$161),2),"")</f>
        <v/>
      </c>
      <c r="R22" s="111" t="str">
        <f aca="false">IFERROR(ROUND(CORREL('Returns (Calc)'!$U$3:$U$161,'Returns (Calc)'!$R$3:$R$161),2),"")</f>
        <v/>
      </c>
      <c r="S22" s="111" t="str">
        <f aca="false">IFERROR(ROUND(CORREL('Returns (Calc)'!$U$3:$U$161,'Returns (Calc)'!$S$3:$S$161),2),"")</f>
        <v/>
      </c>
      <c r="T22" s="111" t="str">
        <f aca="false">IFERROR(ROUND(CORREL('Returns (Calc)'!$U$3:$U$161,'Returns (Calc)'!$T$3:$T$161),2),"")</f>
        <v/>
      </c>
      <c r="U22" s="111" t="n">
        <v>1</v>
      </c>
      <c r="V22" s="111" t="str">
        <f aca="false">IFERROR(ROUND(CORREL('Returns (Calc)'!$U$3:$U$161,'Returns (Calc)'!$V$3:$V$161),2),"")</f>
        <v/>
      </c>
      <c r="W22" s="112" t="n">
        <f aca="false">COUNTIF(B22:V22,"&gt;0.7")-1</f>
        <v>0</v>
      </c>
    </row>
    <row r="23" customFormat="false" ht="15" hidden="false" customHeight="true" outlineLevel="0" collapsed="false">
      <c r="A23" s="113" t="str">
        <f aca="false">'Returns (Calc)'!V2</f>
        <v>V</v>
      </c>
      <c r="B23" s="114" t="n">
        <f aca="false">IFERROR(ROUND(CORREL('Returns (Calc)'!$V$3:$V$161,'Returns (Calc)'!$B$3:$B$161),2),"")</f>
        <v>0.39</v>
      </c>
      <c r="C23" s="114" t="n">
        <f aca="false">IFERROR(ROUND(CORREL('Returns (Calc)'!$V$3:$V$161,'Returns (Calc)'!$C$3:$C$161),2),"")</f>
        <v>0.3</v>
      </c>
      <c r="D23" s="114" t="n">
        <f aca="false">IFERROR(ROUND(CORREL('Returns (Calc)'!$V$3:$V$161,'Returns (Calc)'!$D$3:$D$161),2),"")</f>
        <v>0.06</v>
      </c>
      <c r="E23" s="114" t="n">
        <f aca="false">IFERROR(ROUND(CORREL('Returns (Calc)'!$V$3:$V$161,'Returns (Calc)'!$E$3:$E$161),2),"")</f>
        <v>0.23</v>
      </c>
      <c r="F23" s="114" t="n">
        <f aca="false">IFERROR(ROUND(CORREL('Returns (Calc)'!$V$3:$V$161,'Returns (Calc)'!$F$3:$F$161),2),"")</f>
        <v>0.25</v>
      </c>
      <c r="G23" s="114" t="n">
        <f aca="false">IFERROR(ROUND(CORREL('Returns (Calc)'!$V$3:$V$161,'Returns (Calc)'!$G$3:$G$161),2),"")</f>
        <v>0.04</v>
      </c>
      <c r="H23" s="114" t="n">
        <f aca="false">IFERROR(ROUND(CORREL('Returns (Calc)'!$V$3:$V$161,'Returns (Calc)'!$H$3:$H$161),2),"")</f>
        <v>0.05</v>
      </c>
      <c r="I23" s="114" t="n">
        <f aca="false">IFERROR(ROUND(CORREL('Returns (Calc)'!$V$3:$V$161,'Returns (Calc)'!$I$3:$I$161),2),"")</f>
        <v>0.23</v>
      </c>
      <c r="J23" s="114" t="n">
        <f aca="false">IFERROR(ROUND(CORREL('Returns (Calc)'!$V$3:$V$161,'Returns (Calc)'!$J$3:$J$161),2),"")</f>
        <v>0.4</v>
      </c>
      <c r="K23" s="114" t="n">
        <f aca="false">IFERROR(ROUND(CORREL('Returns (Calc)'!$V$3:$V$161,'Returns (Calc)'!$K$3:$K$161),2),"")</f>
        <v>0.23</v>
      </c>
      <c r="L23" s="114" t="n">
        <f aca="false">IFERROR(ROUND(CORREL('Returns (Calc)'!$V$3:$V$161,'Returns (Calc)'!$L$3:$L$161),2),"")</f>
        <v>0.13</v>
      </c>
      <c r="M23" s="114" t="n">
        <f aca="false">IFERROR(ROUND(CORREL('Returns (Calc)'!$V$3:$V$161,'Returns (Calc)'!$M$3:$M$161),2),"")</f>
        <v>0.16</v>
      </c>
      <c r="N23" s="114" t="n">
        <f aca="false">IFERROR(ROUND(CORREL('Returns (Calc)'!$V$3:$V$161,'Returns (Calc)'!$N$3:$N$161),2),"")</f>
        <v>0.2</v>
      </c>
      <c r="O23" s="114" t="n">
        <f aca="false">IFERROR(ROUND(CORREL('Returns (Calc)'!$V$3:$V$161,'Returns (Calc)'!$O$3:$O$161),2),"")</f>
        <v>0.39</v>
      </c>
      <c r="P23" s="114" t="str">
        <f aca="false">IFERROR(ROUND(CORREL('Returns (Calc)'!$V$3:$V$161,'Returns (Calc)'!$P$3:$P$161),2),"")</f>
        <v/>
      </c>
      <c r="Q23" s="114" t="n">
        <f aca="false">IFERROR(ROUND(CORREL('Returns (Calc)'!$V$3:$V$161,'Returns (Calc)'!$Q$3:$Q$161),2),"")</f>
        <v>-0.1</v>
      </c>
      <c r="R23" s="114" t="n">
        <f aca="false">IFERROR(ROUND(CORREL('Returns (Calc)'!$V$3:$V$161,'Returns (Calc)'!$R$3:$R$161),2),"")</f>
        <v>0.44</v>
      </c>
      <c r="S23" s="114" t="n">
        <f aca="false">IFERROR(ROUND(CORREL('Returns (Calc)'!$V$3:$V$161,'Returns (Calc)'!$S$3:$S$161),2),"")</f>
        <v>0.42</v>
      </c>
      <c r="T23" s="114" t="n">
        <f aca="false">IFERROR(ROUND(CORREL('Returns (Calc)'!$V$3:$V$161,'Returns (Calc)'!$T$3:$T$161),2),"")</f>
        <v>0.46</v>
      </c>
      <c r="U23" s="114" t="str">
        <f aca="false">IFERROR(ROUND(CORREL('Returns (Calc)'!$V$3:$V$161,'Returns (Calc)'!$U$3:$U$161),2),"")</f>
        <v/>
      </c>
      <c r="V23" s="114" t="n">
        <v>1</v>
      </c>
      <c r="W23" s="112" t="n">
        <f aca="false">COUNTIF(B23:V23,"&gt;0.7")-1</f>
        <v>0</v>
      </c>
    </row>
    <row r="24" customFormat="false" ht="15" hidden="false" customHeight="true" outlineLevel="0" collapsed="false">
      <c r="A24" s="113" t="s">
        <v>443</v>
      </c>
      <c r="B24" s="115"/>
      <c r="I24" s="116" t="n">
        <f aca="false">COUNTIF(W3:W23,"&gt;1")</f>
        <v>4</v>
      </c>
    </row>
    <row r="25" customFormat="false" ht="15" hidden="false" customHeight="true" outlineLevel="0" collapsed="false">
      <c r="A25" s="113" t="s">
        <v>444</v>
      </c>
      <c r="B25" s="43"/>
      <c r="I25" s="117" t="str">
        <f aca="false">IF(I24&gt;0,"REVIEW REQUIRED","OK")</f>
        <v>REVIEW REQUIRED</v>
      </c>
    </row>
  </sheetData>
  <mergeCells count="1">
    <mergeCell ref="A1:V1"/>
  </mergeCells>
  <conditionalFormatting sqref="B3:U22">
    <cfRule type="expression" priority="2" aboveAverage="0" equalAverage="0" bottom="0" percent="0" rank="0" text="" dxfId="0">
      <formula>AND(B3&lt;&gt;1,ABS(B3)&gt;0.7)</formula>
    </cfRule>
  </conditionalFormatting>
  <conditionalFormatting sqref="V3:V22">
    <cfRule type="cellIs" priority="3" operator="greaterThan" aboveAverage="0" equalAverage="0" bottom="0" percent="0" rank="0" text="" dxfId="0">
      <formula>1</formula>
    </cfRule>
  </conditionalFormatting>
  <conditionalFormatting sqref="I25">
    <cfRule type="cellIs" priority="4" operator="equal" aboveAverage="0" equalAverage="0" bottom="0" percent="0" rank="0" text="" dxfId="0">
      <formula>"REVIEW REQUIRED"</formula>
    </cfRule>
    <cfRule type="cellIs" priority="5" operator="equal" aboveAverage="0" equalAverage="0" bottom="0" percent="0" rank="0" text="" dxfId="13">
      <formula>"OK"</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6796875" defaultRowHeight="15" customHeight="false" zeroHeight="false" outlineLevelRow="0" outlineLevelCol="0"/>
  <cols>
    <col collapsed="false" customWidth="true" hidden="false" outlineLevel="0" max="1" min="1" style="1" width="12"/>
    <col collapsed="false" customWidth="true" hidden="false" outlineLevel="0" max="3" min="2" style="1" width="15"/>
    <col collapsed="false" customWidth="true" hidden="false" outlineLevel="0" max="4" min="4" style="1" width="12"/>
    <col collapsed="false" customWidth="true" hidden="false" outlineLevel="0" max="6" min="5" style="1" width="13"/>
    <col collapsed="false" customWidth="true" hidden="false" outlineLevel="0" max="7" min="7" style="1" width="22"/>
    <col collapsed="false" customWidth="true" hidden="false" outlineLevel="0" max="8" min="8" style="1" width="30"/>
  </cols>
  <sheetData>
    <row r="1" customFormat="false" ht="24" hidden="false" customHeight="true" outlineLevel="0" collapsed="false">
      <c r="A1" s="118" t="s">
        <v>445</v>
      </c>
      <c r="B1" s="118"/>
      <c r="C1" s="118"/>
      <c r="D1" s="118"/>
      <c r="E1" s="118"/>
      <c r="F1" s="118"/>
      <c r="G1" s="118"/>
      <c r="H1" s="118"/>
    </row>
    <row r="2" customFormat="false" ht="27.75" hidden="false" customHeight="true" outlineLevel="0" collapsed="false">
      <c r="A2" s="75" t="s">
        <v>446</v>
      </c>
      <c r="B2" s="75" t="s">
        <v>447</v>
      </c>
      <c r="C2" s="75" t="s">
        <v>448</v>
      </c>
      <c r="D2" s="75" t="s">
        <v>449</v>
      </c>
      <c r="E2" s="75" t="s">
        <v>450</v>
      </c>
      <c r="F2" s="75" t="s">
        <v>451</v>
      </c>
      <c r="G2" s="75" t="s">
        <v>452</v>
      </c>
      <c r="H2" s="75" t="s">
        <v>205</v>
      </c>
    </row>
    <row r="3" customFormat="false" ht="15" hidden="false" customHeight="true" outlineLevel="0" collapsed="false">
      <c r="A3" s="79" t="n">
        <v>46245</v>
      </c>
      <c r="B3" s="97" t="n">
        <v>700739.19</v>
      </c>
      <c r="C3" s="119" t="n">
        <f aca="false">IF(B3="","",B3)</f>
        <v>700739.19</v>
      </c>
      <c r="D3" s="120" t="n">
        <f aca="false">IF(OR(B3="",C3=""),"",B3/C3-1)</f>
        <v>0</v>
      </c>
      <c r="E3" s="63" t="str">
        <f aca="false">IF(D3="","",IF(D3&gt;=-0.1,"Normal",IF(D3&gt;=-0.2,"Elevated",IF(D3&gt;=-0.3,"Severe","Critical"))))</f>
        <v>Normal</v>
      </c>
      <c r="F3" s="37" t="str">
        <f aca="false">IF(E3="","",IF(E3="Normal","5-15%",IF(E3="Elevated","15%",IF(E3="Severe","20%","25%"))))</f>
        <v>5-15%</v>
      </c>
      <c r="G3" s="37" t="str">
        <f aca="false">IF(E3="","",IF(E3="Normal","Standard (score &gt;=65)",IF(E3="Elevated","Restricted (score &gt;=80 only)","Suspended")))</f>
        <v>Standard (score &gt;=65)</v>
      </c>
      <c r="H3" s="78"/>
    </row>
    <row r="4" customFormat="false" ht="15" hidden="false" customHeight="true" outlineLevel="0" collapsed="false">
      <c r="A4" s="79" t="n">
        <v>46269</v>
      </c>
      <c r="B4" s="97" t="n">
        <v>751223.12</v>
      </c>
      <c r="C4" s="119" t="n">
        <f aca="false">IF(B4="","",MAX(C3,B4))</f>
        <v>751223.12</v>
      </c>
      <c r="D4" s="120" t="n">
        <f aca="false">IF(OR(B4="",C4=""),"",B4/C4-1)</f>
        <v>0</v>
      </c>
      <c r="E4" s="63" t="str">
        <f aca="false">IF(D4="","",IF(D4&gt;=-0.1,"Normal",IF(D4&gt;=-0.2,"Elevated",IF(D4&gt;=-0.3,"Severe","Critical"))))</f>
        <v>Normal</v>
      </c>
      <c r="F4" s="37" t="str">
        <f aca="false">IF(E4="","",IF(E4="Normal","5-15%",IF(E4="Elevated","15%",IF(E4="Severe","20%","25%"))))</f>
        <v>5-15%</v>
      </c>
      <c r="G4" s="37" t="str">
        <f aca="false">IF(E4="","",IF(E4="Normal","Standard (score &gt;=65)",IF(E4="Elevated","Restricted (score &gt;=80 only)","Suspended")))</f>
        <v>Standard (score &gt;=65)</v>
      </c>
      <c r="H4" s="78" t="s">
        <v>453</v>
      </c>
    </row>
    <row r="5" customFormat="false" ht="15" hidden="false" customHeight="true" outlineLevel="0" collapsed="false">
      <c r="A5" s="79"/>
      <c r="B5" s="97"/>
      <c r="C5" s="119" t="str">
        <f aca="false">IF(B5="","",MAX(C4,B5))</f>
        <v/>
      </c>
      <c r="D5" s="120" t="str">
        <f aca="false">IF(OR(B5="",C5=""),"",B5/C5-1)</f>
        <v/>
      </c>
      <c r="E5" s="63" t="str">
        <f aca="false">IF(D5="","",IF(D5&gt;=-0.1,"Normal",IF(D5&gt;=-0.2,"Elevated",IF(D5&gt;=-0.3,"Severe","Critical"))))</f>
        <v/>
      </c>
      <c r="F5" s="37" t="str">
        <f aca="false">IF(E5="","",IF(E5="Normal","5-15%",IF(E5="Elevated","15%",IF(E5="Severe","20%","25%"))))</f>
        <v/>
      </c>
      <c r="G5" s="37" t="str">
        <f aca="false">IF(E5="","",IF(E5="Normal","Standard (score &gt;=65)",IF(E5="Elevated","Restricted (score &gt;=80 only)","Suspended")))</f>
        <v/>
      </c>
      <c r="H5" s="78"/>
    </row>
    <row r="6" customFormat="false" ht="15" hidden="false" customHeight="true" outlineLevel="0" collapsed="false">
      <c r="A6" s="79"/>
      <c r="B6" s="97"/>
      <c r="C6" s="119" t="str">
        <f aca="false">IF(B6="","",MAX(C5,B6))</f>
        <v/>
      </c>
      <c r="D6" s="120" t="str">
        <f aca="false">IF(OR(B6="",C6=""),"",B6/C6-1)</f>
        <v/>
      </c>
      <c r="E6" s="63" t="str">
        <f aca="false">IF(D6="","",IF(D6&gt;=-0.1,"Normal",IF(D6&gt;=-0.2,"Elevated",IF(D6&gt;=-0.3,"Severe","Critical"))))</f>
        <v/>
      </c>
      <c r="F6" s="37" t="str">
        <f aca="false">IF(E6="","",IF(E6="Normal","5-15%",IF(E6="Elevated","15%",IF(E6="Severe","20%","25%"))))</f>
        <v/>
      </c>
      <c r="G6" s="37" t="str">
        <f aca="false">IF(E6="","",IF(E6="Normal","Standard (score &gt;=65)",IF(E6="Elevated","Restricted (score &gt;=80 only)","Suspended")))</f>
        <v/>
      </c>
      <c r="H6" s="78"/>
    </row>
    <row r="7" customFormat="false" ht="15" hidden="false" customHeight="true" outlineLevel="0" collapsed="false">
      <c r="A7" s="79"/>
      <c r="B7" s="97"/>
      <c r="C7" s="119" t="str">
        <f aca="false">IF(B7="","",MAX(C6,B7))</f>
        <v/>
      </c>
      <c r="D7" s="120" t="str">
        <f aca="false">IF(OR(B7="",C7=""),"",B7/C7-1)</f>
        <v/>
      </c>
      <c r="E7" s="63" t="str">
        <f aca="false">IF(D7="","",IF(D7&gt;=-0.1,"Normal",IF(D7&gt;=-0.2,"Elevated",IF(D7&gt;=-0.3,"Severe","Critical"))))</f>
        <v/>
      </c>
      <c r="F7" s="37" t="str">
        <f aca="false">IF(E7="","",IF(E7="Normal","5-15%",IF(E7="Elevated","15%",IF(E7="Severe","20%","25%"))))</f>
        <v/>
      </c>
      <c r="G7" s="37" t="str">
        <f aca="false">IF(E7="","",IF(E7="Normal","Standard (score &gt;=65)",IF(E7="Elevated","Restricted (score &gt;=80 only)","Suspended")))</f>
        <v/>
      </c>
      <c r="H7" s="78"/>
    </row>
    <row r="8" customFormat="false" ht="15" hidden="false" customHeight="true" outlineLevel="0" collapsed="false">
      <c r="A8" s="79"/>
      <c r="B8" s="97"/>
      <c r="C8" s="119" t="str">
        <f aca="false">IF(B8="","",MAX(C7,B8))</f>
        <v/>
      </c>
      <c r="D8" s="120" t="str">
        <f aca="false">IF(OR(B8="",C8=""),"",B8/C8-1)</f>
        <v/>
      </c>
      <c r="E8" s="63" t="str">
        <f aca="false">IF(D8="","",IF(D8&gt;=-0.1,"Normal",IF(D8&gt;=-0.2,"Elevated",IF(D8&gt;=-0.3,"Severe","Critical"))))</f>
        <v/>
      </c>
      <c r="F8" s="37" t="str">
        <f aca="false">IF(E8="","",IF(E8="Normal","5-15%",IF(E8="Elevated","15%",IF(E8="Severe","20%","25%"))))</f>
        <v/>
      </c>
      <c r="G8" s="37" t="str">
        <f aca="false">IF(E8="","",IF(E8="Normal","Standard (score &gt;=65)",IF(E8="Elevated","Restricted (score &gt;=80 only)","Suspended")))</f>
        <v/>
      </c>
      <c r="H8" s="78"/>
    </row>
    <row r="9" customFormat="false" ht="15" hidden="false" customHeight="true" outlineLevel="0" collapsed="false">
      <c r="A9" s="79"/>
      <c r="B9" s="97"/>
      <c r="C9" s="119" t="str">
        <f aca="false">IF(B9="","",MAX(C8,B9))</f>
        <v/>
      </c>
      <c r="D9" s="120" t="str">
        <f aca="false">IF(OR(B9="",C9=""),"",B9/C9-1)</f>
        <v/>
      </c>
      <c r="E9" s="63" t="str">
        <f aca="false">IF(D9="","",IF(D9&gt;=-0.1,"Normal",IF(D9&gt;=-0.2,"Elevated",IF(D9&gt;=-0.3,"Severe","Critical"))))</f>
        <v/>
      </c>
      <c r="F9" s="37" t="str">
        <f aca="false">IF(E9="","",IF(E9="Normal","5-15%",IF(E9="Elevated","15%",IF(E9="Severe","20%","25%"))))</f>
        <v/>
      </c>
      <c r="G9" s="37" t="str">
        <f aca="false">IF(E9="","",IF(E9="Normal","Standard (score &gt;=65)",IF(E9="Elevated","Restricted (score &gt;=80 only)","Suspended")))</f>
        <v/>
      </c>
      <c r="H9" s="78"/>
    </row>
    <row r="10" customFormat="false" ht="15" hidden="false" customHeight="true" outlineLevel="0" collapsed="false">
      <c r="A10" s="79"/>
      <c r="B10" s="97"/>
      <c r="C10" s="119" t="str">
        <f aca="false">IF(B10="","",MAX(C9,B10))</f>
        <v/>
      </c>
      <c r="D10" s="120" t="str">
        <f aca="false">IF(OR(B10="",C10=""),"",B10/C10-1)</f>
        <v/>
      </c>
      <c r="E10" s="63" t="str">
        <f aca="false">IF(D10="","",IF(D10&gt;=-0.1,"Normal",IF(D10&gt;=-0.2,"Elevated",IF(D10&gt;=-0.3,"Severe","Critical"))))</f>
        <v/>
      </c>
      <c r="F10" s="37" t="str">
        <f aca="false">IF(E10="","",IF(E10="Normal","5-15%",IF(E10="Elevated","15%",IF(E10="Severe","20%","25%"))))</f>
        <v/>
      </c>
      <c r="G10" s="37" t="str">
        <f aca="false">IF(E10="","",IF(E10="Normal","Standard (score &gt;=65)",IF(E10="Elevated","Restricted (score &gt;=80 only)","Suspended")))</f>
        <v/>
      </c>
      <c r="H10" s="78"/>
    </row>
    <row r="11" customFormat="false" ht="15" hidden="false" customHeight="true" outlineLevel="0" collapsed="false">
      <c r="A11" s="79"/>
      <c r="B11" s="97"/>
      <c r="C11" s="119" t="str">
        <f aca="false">IF(B11="","",MAX(C10,B11))</f>
        <v/>
      </c>
      <c r="D11" s="120" t="str">
        <f aca="false">IF(OR(B11="",C11=""),"",B11/C11-1)</f>
        <v/>
      </c>
      <c r="E11" s="63" t="str">
        <f aca="false">IF(D11="","",IF(D11&gt;=-0.1,"Normal",IF(D11&gt;=-0.2,"Elevated",IF(D11&gt;=-0.3,"Severe","Critical"))))</f>
        <v/>
      </c>
      <c r="F11" s="37" t="str">
        <f aca="false">IF(E11="","",IF(E11="Normal","5-15%",IF(E11="Elevated","15%",IF(E11="Severe","20%","25%"))))</f>
        <v/>
      </c>
      <c r="G11" s="37" t="str">
        <f aca="false">IF(E11="","",IF(E11="Normal","Standard (score &gt;=65)",IF(E11="Elevated","Restricted (score &gt;=80 only)","Suspended")))</f>
        <v/>
      </c>
      <c r="H11" s="78"/>
    </row>
    <row r="12" customFormat="false" ht="15" hidden="false" customHeight="true" outlineLevel="0" collapsed="false">
      <c r="A12" s="79"/>
      <c r="B12" s="97"/>
      <c r="C12" s="119" t="str">
        <f aca="false">IF(B12="","",MAX(C11,B12))</f>
        <v/>
      </c>
      <c r="D12" s="120" t="str">
        <f aca="false">IF(OR(B12="",C12=""),"",B12/C12-1)</f>
        <v/>
      </c>
      <c r="E12" s="63" t="str">
        <f aca="false">IF(D12="","",IF(D12&gt;=-0.1,"Normal",IF(D12&gt;=-0.2,"Elevated",IF(D12&gt;=-0.3,"Severe","Critical"))))</f>
        <v/>
      </c>
      <c r="F12" s="37" t="str">
        <f aca="false">IF(E12="","",IF(E12="Normal","5-15%",IF(E12="Elevated","15%",IF(E12="Severe","20%","25%"))))</f>
        <v/>
      </c>
      <c r="G12" s="37" t="str">
        <f aca="false">IF(E12="","",IF(E12="Normal","Standard (score &gt;=65)",IF(E12="Elevated","Restricted (score &gt;=80 only)","Suspended")))</f>
        <v/>
      </c>
      <c r="H12" s="78"/>
    </row>
    <row r="13" customFormat="false" ht="15" hidden="false" customHeight="true" outlineLevel="0" collapsed="false">
      <c r="A13" s="79"/>
      <c r="B13" s="97"/>
      <c r="C13" s="119" t="str">
        <f aca="false">IF(B13="","",MAX(C12,B13))</f>
        <v/>
      </c>
      <c r="D13" s="120" t="str">
        <f aca="false">IF(OR(B13="",C13=""),"",B13/C13-1)</f>
        <v/>
      </c>
      <c r="E13" s="63" t="str">
        <f aca="false">IF(D13="","",IF(D13&gt;=-0.1,"Normal",IF(D13&gt;=-0.2,"Elevated",IF(D13&gt;=-0.3,"Severe","Critical"))))</f>
        <v/>
      </c>
      <c r="F13" s="37" t="str">
        <f aca="false">IF(E13="","",IF(E13="Normal","5-15%",IF(E13="Elevated","15%",IF(E13="Severe","20%","25%"))))</f>
        <v/>
      </c>
      <c r="G13" s="37" t="str">
        <f aca="false">IF(E13="","",IF(E13="Normal","Standard (score &gt;=65)",IF(E13="Elevated","Restricted (score &gt;=80 only)","Suspended")))</f>
        <v/>
      </c>
      <c r="H13" s="78"/>
    </row>
    <row r="14" customFormat="false" ht="15" hidden="false" customHeight="true" outlineLevel="0" collapsed="false">
      <c r="A14" s="79"/>
      <c r="B14" s="97"/>
      <c r="C14" s="119" t="str">
        <f aca="false">IF(B14="","",MAX(C13,B14))</f>
        <v/>
      </c>
      <c r="D14" s="120" t="str">
        <f aca="false">IF(OR(B14="",C14=""),"",B14/C14-1)</f>
        <v/>
      </c>
      <c r="E14" s="63" t="str">
        <f aca="false">IF(D14="","",IF(D14&gt;=-0.1,"Normal",IF(D14&gt;=-0.2,"Elevated",IF(D14&gt;=-0.3,"Severe","Critical"))))</f>
        <v/>
      </c>
      <c r="F14" s="37" t="str">
        <f aca="false">IF(E14="","",IF(E14="Normal","5-15%",IF(E14="Elevated","15%",IF(E14="Severe","20%","25%"))))</f>
        <v/>
      </c>
      <c r="G14" s="37" t="str">
        <f aca="false">IF(E14="","",IF(E14="Normal","Standard (score &gt;=65)",IF(E14="Elevated","Restricted (score &gt;=80 only)","Suspended")))</f>
        <v/>
      </c>
      <c r="H14" s="78"/>
    </row>
    <row r="15" customFormat="false" ht="15" hidden="false" customHeight="true" outlineLevel="0" collapsed="false">
      <c r="A15" s="79"/>
      <c r="B15" s="97"/>
      <c r="C15" s="119" t="str">
        <f aca="false">IF(B15="","",MAX(C14,B15))</f>
        <v/>
      </c>
      <c r="D15" s="120" t="str">
        <f aca="false">IF(OR(B15="",C15=""),"",B15/C15-1)</f>
        <v/>
      </c>
      <c r="E15" s="63" t="str">
        <f aca="false">IF(D15="","",IF(D15&gt;=-0.1,"Normal",IF(D15&gt;=-0.2,"Elevated",IF(D15&gt;=-0.3,"Severe","Critical"))))</f>
        <v/>
      </c>
      <c r="F15" s="37" t="str">
        <f aca="false">IF(E15="","",IF(E15="Normal","5-15%",IF(E15="Elevated","15%",IF(E15="Severe","20%","25%"))))</f>
        <v/>
      </c>
      <c r="G15" s="37" t="str">
        <f aca="false">IF(E15="","",IF(E15="Normal","Standard (score &gt;=65)",IF(E15="Elevated","Restricted (score &gt;=80 only)","Suspended")))</f>
        <v/>
      </c>
      <c r="H15" s="78"/>
    </row>
    <row r="16" customFormat="false" ht="15" hidden="false" customHeight="true" outlineLevel="0" collapsed="false">
      <c r="A16" s="79"/>
      <c r="B16" s="97"/>
      <c r="C16" s="119" t="str">
        <f aca="false">IF(B16="","",MAX(C15,B16))</f>
        <v/>
      </c>
      <c r="D16" s="120" t="str">
        <f aca="false">IF(OR(B16="",C16=""),"",B16/C16-1)</f>
        <v/>
      </c>
      <c r="E16" s="63" t="str">
        <f aca="false">IF(D16="","",IF(D16&gt;=-0.1,"Normal",IF(D16&gt;=-0.2,"Elevated",IF(D16&gt;=-0.3,"Severe","Critical"))))</f>
        <v/>
      </c>
      <c r="F16" s="37" t="str">
        <f aca="false">IF(E16="","",IF(E16="Normal","5-15%",IF(E16="Elevated","15%",IF(E16="Severe","20%","25%"))))</f>
        <v/>
      </c>
      <c r="G16" s="37" t="str">
        <f aca="false">IF(E16="","",IF(E16="Normal","Standard (score &gt;=65)",IF(E16="Elevated","Restricted (score &gt;=80 only)","Suspended")))</f>
        <v/>
      </c>
      <c r="H16" s="78"/>
    </row>
    <row r="17" customFormat="false" ht="15" hidden="false" customHeight="true" outlineLevel="0" collapsed="false">
      <c r="A17" s="79"/>
      <c r="B17" s="97"/>
      <c r="C17" s="119" t="str">
        <f aca="false">IF(B17="","",MAX(C16,B17))</f>
        <v/>
      </c>
      <c r="D17" s="120" t="str">
        <f aca="false">IF(OR(B17="",C17=""),"",B17/C17-1)</f>
        <v/>
      </c>
      <c r="E17" s="63" t="str">
        <f aca="false">IF(D17="","",IF(D17&gt;=-0.1,"Normal",IF(D17&gt;=-0.2,"Elevated",IF(D17&gt;=-0.3,"Severe","Critical"))))</f>
        <v/>
      </c>
      <c r="F17" s="37" t="str">
        <f aca="false">IF(E17="","",IF(E17="Normal","5-15%",IF(E17="Elevated","15%",IF(E17="Severe","20%","25%"))))</f>
        <v/>
      </c>
      <c r="G17" s="37" t="str">
        <f aca="false">IF(E17="","",IF(E17="Normal","Standard (score &gt;=65)",IF(E17="Elevated","Restricted (score &gt;=80 only)","Suspended")))</f>
        <v/>
      </c>
      <c r="H17" s="78"/>
    </row>
    <row r="18" customFormat="false" ht="15" hidden="false" customHeight="true" outlineLevel="0" collapsed="false">
      <c r="A18" s="79"/>
      <c r="B18" s="97"/>
      <c r="C18" s="119" t="str">
        <f aca="false">IF(B18="","",MAX(C17,B18))</f>
        <v/>
      </c>
      <c r="D18" s="120" t="str">
        <f aca="false">IF(OR(B18="",C18=""),"",B18/C18-1)</f>
        <v/>
      </c>
      <c r="E18" s="63" t="str">
        <f aca="false">IF(D18="","",IF(D18&gt;=-0.1,"Normal",IF(D18&gt;=-0.2,"Elevated",IF(D18&gt;=-0.3,"Severe","Critical"))))</f>
        <v/>
      </c>
      <c r="F18" s="37" t="str">
        <f aca="false">IF(E18="","",IF(E18="Normal","5-15%",IF(E18="Elevated","15%",IF(E18="Severe","20%","25%"))))</f>
        <v/>
      </c>
      <c r="G18" s="37" t="str">
        <f aca="false">IF(E18="","",IF(E18="Normal","Standard (score &gt;=65)",IF(E18="Elevated","Restricted (score &gt;=80 only)","Suspended")))</f>
        <v/>
      </c>
      <c r="H18" s="78"/>
    </row>
    <row r="19" customFormat="false" ht="15" hidden="false" customHeight="true" outlineLevel="0" collapsed="false">
      <c r="A19" s="79"/>
      <c r="B19" s="97"/>
      <c r="C19" s="119" t="str">
        <f aca="false">IF(B19="","",MAX(C18,B19))</f>
        <v/>
      </c>
      <c r="D19" s="120" t="str">
        <f aca="false">IF(OR(B19="",C19=""),"",B19/C19-1)</f>
        <v/>
      </c>
      <c r="E19" s="63" t="str">
        <f aca="false">IF(D19="","",IF(D19&gt;=-0.1,"Normal",IF(D19&gt;=-0.2,"Elevated",IF(D19&gt;=-0.3,"Severe","Critical"))))</f>
        <v/>
      </c>
      <c r="F19" s="37" t="str">
        <f aca="false">IF(E19="","",IF(E19="Normal","5-15%",IF(E19="Elevated","15%",IF(E19="Severe","20%","25%"))))</f>
        <v/>
      </c>
      <c r="G19" s="37" t="str">
        <f aca="false">IF(E19="","",IF(E19="Normal","Standard (score &gt;=65)",IF(E19="Elevated","Restricted (score &gt;=80 only)","Suspended")))</f>
        <v/>
      </c>
      <c r="H19" s="78"/>
    </row>
    <row r="20" customFormat="false" ht="15" hidden="false" customHeight="true" outlineLevel="0" collapsed="false">
      <c r="A20" s="79"/>
      <c r="B20" s="97"/>
      <c r="C20" s="119" t="str">
        <f aca="false">IF(B20="","",MAX(C19,B20))</f>
        <v/>
      </c>
      <c r="D20" s="120" t="str">
        <f aca="false">IF(OR(B20="",C20=""),"",B20/C20-1)</f>
        <v/>
      </c>
      <c r="E20" s="63" t="str">
        <f aca="false">IF(D20="","",IF(D20&gt;=-0.1,"Normal",IF(D20&gt;=-0.2,"Elevated",IF(D20&gt;=-0.3,"Severe","Critical"))))</f>
        <v/>
      </c>
      <c r="F20" s="37" t="str">
        <f aca="false">IF(E20="","",IF(E20="Normal","5-15%",IF(E20="Elevated","15%",IF(E20="Severe","20%","25%"))))</f>
        <v/>
      </c>
      <c r="G20" s="37" t="str">
        <f aca="false">IF(E20="","",IF(E20="Normal","Standard (score &gt;=65)",IF(E20="Elevated","Restricted (score &gt;=80 only)","Suspended")))</f>
        <v/>
      </c>
      <c r="H20" s="78"/>
    </row>
    <row r="21" customFormat="false" ht="15" hidden="false" customHeight="true" outlineLevel="0" collapsed="false">
      <c r="A21" s="79"/>
      <c r="B21" s="97"/>
      <c r="C21" s="119" t="str">
        <f aca="false">IF(B21="","",MAX(C20,B21))</f>
        <v/>
      </c>
      <c r="D21" s="120" t="str">
        <f aca="false">IF(OR(B21="",C21=""),"",B21/C21-1)</f>
        <v/>
      </c>
      <c r="E21" s="63" t="str">
        <f aca="false">IF(D21="","",IF(D21&gt;=-0.1,"Normal",IF(D21&gt;=-0.2,"Elevated",IF(D21&gt;=-0.3,"Severe","Critical"))))</f>
        <v/>
      </c>
      <c r="F21" s="37" t="str">
        <f aca="false">IF(E21="","",IF(E21="Normal","5-15%",IF(E21="Elevated","15%",IF(E21="Severe","20%","25%"))))</f>
        <v/>
      </c>
      <c r="G21" s="37" t="str">
        <f aca="false">IF(E21="","",IF(E21="Normal","Standard (score &gt;=65)",IF(E21="Elevated","Restricted (score &gt;=80 only)","Suspended")))</f>
        <v/>
      </c>
      <c r="H21" s="78"/>
    </row>
    <row r="22" customFormat="false" ht="15" hidden="false" customHeight="true" outlineLevel="0" collapsed="false">
      <c r="A22" s="79"/>
      <c r="B22" s="97"/>
      <c r="C22" s="119" t="str">
        <f aca="false">IF(B22="","",MAX(C21,B22))</f>
        <v/>
      </c>
      <c r="D22" s="120" t="str">
        <f aca="false">IF(OR(B22="",C22=""),"",B22/C22-1)</f>
        <v/>
      </c>
      <c r="E22" s="63" t="str">
        <f aca="false">IF(D22="","",IF(D22&gt;=-0.1,"Normal",IF(D22&gt;=-0.2,"Elevated",IF(D22&gt;=-0.3,"Severe","Critical"))))</f>
        <v/>
      </c>
      <c r="F22" s="37" t="str">
        <f aca="false">IF(E22="","",IF(E22="Normal","5-15%",IF(E22="Elevated","15%",IF(E22="Severe","20%","25%"))))</f>
        <v/>
      </c>
      <c r="G22" s="37" t="str">
        <f aca="false">IF(E22="","",IF(E22="Normal","Standard (score &gt;=65)",IF(E22="Elevated","Restricted (score &gt;=80 only)","Suspended")))</f>
        <v/>
      </c>
      <c r="H22" s="78"/>
    </row>
    <row r="23" customFormat="false" ht="15" hidden="false" customHeight="true" outlineLevel="0" collapsed="false">
      <c r="A23" s="79"/>
      <c r="B23" s="97"/>
      <c r="C23" s="119" t="str">
        <f aca="false">IF(B23="","",MAX(C22,B23))</f>
        <v/>
      </c>
      <c r="D23" s="120" t="str">
        <f aca="false">IF(OR(B23="",C23=""),"",B23/C23-1)</f>
        <v/>
      </c>
      <c r="E23" s="63" t="str">
        <f aca="false">IF(D23="","",IF(D23&gt;=-0.1,"Normal",IF(D23&gt;=-0.2,"Elevated",IF(D23&gt;=-0.3,"Severe","Critical"))))</f>
        <v/>
      </c>
      <c r="F23" s="37" t="str">
        <f aca="false">IF(E23="","",IF(E23="Normal","5-15%",IF(E23="Elevated","15%",IF(E23="Severe","20%","25%"))))</f>
        <v/>
      </c>
      <c r="G23" s="37" t="str">
        <f aca="false">IF(E23="","",IF(E23="Normal","Standard (score &gt;=65)",IF(E23="Elevated","Restricted (score &gt;=80 only)","Suspended")))</f>
        <v/>
      </c>
      <c r="H23" s="78"/>
    </row>
    <row r="24" customFormat="false" ht="15" hidden="false" customHeight="true" outlineLevel="0" collapsed="false">
      <c r="A24" s="79"/>
      <c r="B24" s="97"/>
      <c r="C24" s="119" t="str">
        <f aca="false">IF(B24="","",MAX(C23,B24))</f>
        <v/>
      </c>
      <c r="D24" s="120" t="str">
        <f aca="false">IF(OR(B24="",C24=""),"",B24/C24-1)</f>
        <v/>
      </c>
      <c r="E24" s="63" t="str">
        <f aca="false">IF(D24="","",IF(D24&gt;=-0.1,"Normal",IF(D24&gt;=-0.2,"Elevated",IF(D24&gt;=-0.3,"Severe","Critical"))))</f>
        <v/>
      </c>
      <c r="F24" s="37" t="str">
        <f aca="false">IF(E24="","",IF(E24="Normal","5-15%",IF(E24="Elevated","15%",IF(E24="Severe","20%","25%"))))</f>
        <v/>
      </c>
      <c r="G24" s="37" t="str">
        <f aca="false">IF(E24="","",IF(E24="Normal","Standard (score &gt;=65)",IF(E24="Elevated","Restricted (score &gt;=80 only)","Suspended")))</f>
        <v/>
      </c>
      <c r="H24" s="78"/>
    </row>
    <row r="25" customFormat="false" ht="15" hidden="false" customHeight="true" outlineLevel="0" collapsed="false">
      <c r="A25" s="79"/>
      <c r="B25" s="97"/>
      <c r="C25" s="119" t="str">
        <f aca="false">IF(B25="","",MAX(C24,B25))</f>
        <v/>
      </c>
      <c r="D25" s="120" t="str">
        <f aca="false">IF(OR(B25="",C25=""),"",B25/C25-1)</f>
        <v/>
      </c>
      <c r="E25" s="63" t="str">
        <f aca="false">IF(D25="","",IF(D25&gt;=-0.1,"Normal",IF(D25&gt;=-0.2,"Elevated",IF(D25&gt;=-0.3,"Severe","Critical"))))</f>
        <v/>
      </c>
      <c r="F25" s="37" t="str">
        <f aca="false">IF(E25="","",IF(E25="Normal","5-15%",IF(E25="Elevated","15%",IF(E25="Severe","20%","25%"))))</f>
        <v/>
      </c>
      <c r="G25" s="37" t="str">
        <f aca="false">IF(E25="","",IF(E25="Normal","Standard (score &gt;=65)",IF(E25="Elevated","Restricted (score &gt;=80 only)","Suspended")))</f>
        <v/>
      </c>
      <c r="H25" s="78"/>
    </row>
    <row r="26" customFormat="false" ht="15" hidden="false" customHeight="true" outlineLevel="0" collapsed="false">
      <c r="A26" s="79"/>
      <c r="B26" s="97"/>
      <c r="C26" s="119" t="str">
        <f aca="false">IF(B26="","",MAX(C25,B26))</f>
        <v/>
      </c>
      <c r="D26" s="120" t="str">
        <f aca="false">IF(OR(B26="",C26=""),"",B26/C26-1)</f>
        <v/>
      </c>
      <c r="E26" s="63" t="str">
        <f aca="false">IF(D26="","",IF(D26&gt;=-0.1,"Normal",IF(D26&gt;=-0.2,"Elevated",IF(D26&gt;=-0.3,"Severe","Critical"))))</f>
        <v/>
      </c>
      <c r="F26" s="37" t="str">
        <f aca="false">IF(E26="","",IF(E26="Normal","5-15%",IF(E26="Elevated","15%",IF(E26="Severe","20%","25%"))))</f>
        <v/>
      </c>
      <c r="G26" s="37" t="str">
        <f aca="false">IF(E26="","",IF(E26="Normal","Standard (score &gt;=65)",IF(E26="Elevated","Restricted (score &gt;=80 only)","Suspended")))</f>
        <v/>
      </c>
      <c r="H26" s="78"/>
    </row>
    <row r="27" customFormat="false" ht="15" hidden="false" customHeight="true" outlineLevel="0" collapsed="false">
      <c r="A27" s="79"/>
      <c r="B27" s="97"/>
      <c r="C27" s="119" t="str">
        <f aca="false">IF(B27="","",MAX(C26,B27))</f>
        <v/>
      </c>
      <c r="D27" s="120" t="str">
        <f aca="false">IF(OR(B27="",C27=""),"",B27/C27-1)</f>
        <v/>
      </c>
      <c r="E27" s="63" t="str">
        <f aca="false">IF(D27="","",IF(D27&gt;=-0.1,"Normal",IF(D27&gt;=-0.2,"Elevated",IF(D27&gt;=-0.3,"Severe","Critical"))))</f>
        <v/>
      </c>
      <c r="F27" s="37" t="str">
        <f aca="false">IF(E27="","",IF(E27="Normal","5-15%",IF(E27="Elevated","15%",IF(E27="Severe","20%","25%"))))</f>
        <v/>
      </c>
      <c r="G27" s="37" t="str">
        <f aca="false">IF(E27="","",IF(E27="Normal","Standard (score &gt;=65)",IF(E27="Elevated","Restricted (score &gt;=80 only)","Suspended")))</f>
        <v/>
      </c>
      <c r="H27" s="78"/>
    </row>
    <row r="28" customFormat="false" ht="15" hidden="false" customHeight="true" outlineLevel="0" collapsed="false">
      <c r="A28" s="79"/>
      <c r="B28" s="97"/>
      <c r="C28" s="119" t="str">
        <f aca="false">IF(B28="","",MAX(C27,B28))</f>
        <v/>
      </c>
      <c r="D28" s="120" t="str">
        <f aca="false">IF(OR(B28="",C28=""),"",B28/C28-1)</f>
        <v/>
      </c>
      <c r="E28" s="63" t="str">
        <f aca="false">IF(D28="","",IF(D28&gt;=-0.1,"Normal",IF(D28&gt;=-0.2,"Elevated",IF(D28&gt;=-0.3,"Severe","Critical"))))</f>
        <v/>
      </c>
      <c r="F28" s="37" t="str">
        <f aca="false">IF(E28="","",IF(E28="Normal","5-15%",IF(E28="Elevated","15%",IF(E28="Severe","20%","25%"))))</f>
        <v/>
      </c>
      <c r="G28" s="37" t="str">
        <f aca="false">IF(E28="","",IF(E28="Normal","Standard (score &gt;=65)",IF(E28="Elevated","Restricted (score &gt;=80 only)","Suspended")))</f>
        <v/>
      </c>
      <c r="H28" s="78"/>
    </row>
    <row r="29" customFormat="false" ht="15" hidden="false" customHeight="true" outlineLevel="0" collapsed="false">
      <c r="A29" s="79"/>
      <c r="B29" s="97"/>
      <c r="C29" s="119" t="str">
        <f aca="false">IF(B29="","",MAX(C28,B29))</f>
        <v/>
      </c>
      <c r="D29" s="120" t="str">
        <f aca="false">IF(OR(B29="",C29=""),"",B29/C29-1)</f>
        <v/>
      </c>
      <c r="E29" s="63" t="str">
        <f aca="false">IF(D29="","",IF(D29&gt;=-0.1,"Normal",IF(D29&gt;=-0.2,"Elevated",IF(D29&gt;=-0.3,"Severe","Critical"))))</f>
        <v/>
      </c>
      <c r="F29" s="37" t="str">
        <f aca="false">IF(E29="","",IF(E29="Normal","5-15%",IF(E29="Elevated","15%",IF(E29="Severe","20%","25%"))))</f>
        <v/>
      </c>
      <c r="G29" s="37" t="str">
        <f aca="false">IF(E29="","",IF(E29="Normal","Standard (score &gt;=65)",IF(E29="Elevated","Restricted (score &gt;=80 only)","Suspended")))</f>
        <v/>
      </c>
      <c r="H29" s="78"/>
    </row>
    <row r="30" customFormat="false" ht="15" hidden="false" customHeight="true" outlineLevel="0" collapsed="false">
      <c r="A30" s="79"/>
      <c r="B30" s="97"/>
      <c r="C30" s="119" t="str">
        <f aca="false">IF(B30="","",MAX(C29,B30))</f>
        <v/>
      </c>
      <c r="D30" s="120" t="str">
        <f aca="false">IF(OR(B30="",C30=""),"",B30/C30-1)</f>
        <v/>
      </c>
      <c r="E30" s="63" t="str">
        <f aca="false">IF(D30="","",IF(D30&gt;=-0.1,"Normal",IF(D30&gt;=-0.2,"Elevated",IF(D30&gt;=-0.3,"Severe","Critical"))))</f>
        <v/>
      </c>
      <c r="F30" s="37" t="str">
        <f aca="false">IF(E30="","",IF(E30="Normal","5-15%",IF(E30="Elevated","15%",IF(E30="Severe","20%","25%"))))</f>
        <v/>
      </c>
      <c r="G30" s="37" t="str">
        <f aca="false">IF(E30="","",IF(E30="Normal","Standard (score &gt;=65)",IF(E30="Elevated","Restricted (score &gt;=80 only)","Suspended")))</f>
        <v/>
      </c>
      <c r="H30" s="78"/>
    </row>
    <row r="31" customFormat="false" ht="15" hidden="false" customHeight="true" outlineLevel="0" collapsed="false">
      <c r="A31" s="79"/>
      <c r="B31" s="97"/>
      <c r="C31" s="119" t="str">
        <f aca="false">IF(B31="","",MAX(C30,B31))</f>
        <v/>
      </c>
      <c r="D31" s="120" t="str">
        <f aca="false">IF(OR(B31="",C31=""),"",B31/C31-1)</f>
        <v/>
      </c>
      <c r="E31" s="63" t="str">
        <f aca="false">IF(D31="","",IF(D31&gt;=-0.1,"Normal",IF(D31&gt;=-0.2,"Elevated",IF(D31&gt;=-0.3,"Severe","Critical"))))</f>
        <v/>
      </c>
      <c r="F31" s="37" t="str">
        <f aca="false">IF(E31="","",IF(E31="Normal","5-15%",IF(E31="Elevated","15%",IF(E31="Severe","20%","25%"))))</f>
        <v/>
      </c>
      <c r="G31" s="37" t="str">
        <f aca="false">IF(E31="","",IF(E31="Normal","Standard (score &gt;=65)",IF(E31="Elevated","Restricted (score &gt;=80 only)","Suspended")))</f>
        <v/>
      </c>
      <c r="H31" s="78"/>
    </row>
    <row r="32" customFormat="false" ht="15" hidden="false" customHeight="true" outlineLevel="0" collapsed="false">
      <c r="A32" s="79"/>
      <c r="B32" s="97"/>
      <c r="C32" s="119" t="str">
        <f aca="false">IF(B32="","",MAX(C31,B32))</f>
        <v/>
      </c>
      <c r="D32" s="120" t="str">
        <f aca="false">IF(OR(B32="",C32=""),"",B32/C32-1)</f>
        <v/>
      </c>
      <c r="E32" s="63" t="str">
        <f aca="false">IF(D32="","",IF(D32&gt;=-0.1,"Normal",IF(D32&gt;=-0.2,"Elevated",IF(D32&gt;=-0.3,"Severe","Critical"))))</f>
        <v/>
      </c>
      <c r="F32" s="37" t="str">
        <f aca="false">IF(E32="","",IF(E32="Normal","5-15%",IF(E32="Elevated","15%",IF(E32="Severe","20%","25%"))))</f>
        <v/>
      </c>
      <c r="G32" s="37" t="str">
        <f aca="false">IF(E32="","",IF(E32="Normal","Standard (score &gt;=65)",IF(E32="Elevated","Restricted (score &gt;=80 only)","Suspended")))</f>
        <v/>
      </c>
      <c r="H32" s="78"/>
    </row>
    <row r="33" customFormat="false" ht="15" hidden="false" customHeight="true" outlineLevel="0" collapsed="false">
      <c r="A33" s="79"/>
      <c r="B33" s="97"/>
      <c r="C33" s="119" t="str">
        <f aca="false">IF(B33="","",MAX(C32,B33))</f>
        <v/>
      </c>
      <c r="D33" s="120" t="str">
        <f aca="false">IF(OR(B33="",C33=""),"",B33/C33-1)</f>
        <v/>
      </c>
      <c r="E33" s="63" t="str">
        <f aca="false">IF(D33="","",IF(D33&gt;=-0.1,"Normal",IF(D33&gt;=-0.2,"Elevated",IF(D33&gt;=-0.3,"Severe","Critical"))))</f>
        <v/>
      </c>
      <c r="F33" s="37" t="str">
        <f aca="false">IF(E33="","",IF(E33="Normal","5-15%",IF(E33="Elevated","15%",IF(E33="Severe","20%","25%"))))</f>
        <v/>
      </c>
      <c r="G33" s="37" t="str">
        <f aca="false">IF(E33="","",IF(E33="Normal","Standard (score &gt;=65)",IF(E33="Elevated","Restricted (score &gt;=80 only)","Suspended")))</f>
        <v/>
      </c>
      <c r="H33" s="78"/>
    </row>
    <row r="34" customFormat="false" ht="15" hidden="false" customHeight="true" outlineLevel="0" collapsed="false">
      <c r="A34" s="79"/>
      <c r="B34" s="97"/>
      <c r="C34" s="119" t="str">
        <f aca="false">IF(B34="","",MAX(C33,B34))</f>
        <v/>
      </c>
      <c r="D34" s="120" t="str">
        <f aca="false">IF(OR(B34="",C34=""),"",B34/C34-1)</f>
        <v/>
      </c>
      <c r="E34" s="63" t="str">
        <f aca="false">IF(D34="","",IF(D34&gt;=-0.1,"Normal",IF(D34&gt;=-0.2,"Elevated",IF(D34&gt;=-0.3,"Severe","Critical"))))</f>
        <v/>
      </c>
      <c r="F34" s="37" t="str">
        <f aca="false">IF(E34="","",IF(E34="Normal","5-15%",IF(E34="Elevated","15%",IF(E34="Severe","20%","25%"))))</f>
        <v/>
      </c>
      <c r="G34" s="37" t="str">
        <f aca="false">IF(E34="","",IF(E34="Normal","Standard (score &gt;=65)",IF(E34="Elevated","Restricted (score &gt;=80 only)","Suspended")))</f>
        <v/>
      </c>
      <c r="H34" s="78"/>
    </row>
    <row r="35" customFormat="false" ht="15" hidden="false" customHeight="true" outlineLevel="0" collapsed="false">
      <c r="A35" s="79"/>
      <c r="B35" s="97"/>
      <c r="C35" s="119" t="str">
        <f aca="false">IF(B35="","",MAX(C34,B35))</f>
        <v/>
      </c>
      <c r="D35" s="120" t="str">
        <f aca="false">IF(OR(B35="",C35=""),"",B35/C35-1)</f>
        <v/>
      </c>
      <c r="E35" s="63" t="str">
        <f aca="false">IF(D35="","",IF(D35&gt;=-0.1,"Normal",IF(D35&gt;=-0.2,"Elevated",IF(D35&gt;=-0.3,"Severe","Critical"))))</f>
        <v/>
      </c>
      <c r="F35" s="37" t="str">
        <f aca="false">IF(E35="","",IF(E35="Normal","5-15%",IF(E35="Elevated","15%",IF(E35="Severe","20%","25%"))))</f>
        <v/>
      </c>
      <c r="G35" s="37" t="str">
        <f aca="false">IF(E35="","",IF(E35="Normal","Standard (score &gt;=65)",IF(E35="Elevated","Restricted (score &gt;=80 only)","Suspended")))</f>
        <v/>
      </c>
      <c r="H35" s="78"/>
    </row>
    <row r="36" customFormat="false" ht="15" hidden="false" customHeight="true" outlineLevel="0" collapsed="false">
      <c r="A36" s="79"/>
      <c r="B36" s="97"/>
      <c r="C36" s="119" t="str">
        <f aca="false">IF(B36="","",MAX(C35,B36))</f>
        <v/>
      </c>
      <c r="D36" s="120" t="str">
        <f aca="false">IF(OR(B36="",C36=""),"",B36/C36-1)</f>
        <v/>
      </c>
      <c r="E36" s="63" t="str">
        <f aca="false">IF(D36="","",IF(D36&gt;=-0.1,"Normal",IF(D36&gt;=-0.2,"Elevated",IF(D36&gt;=-0.3,"Severe","Critical"))))</f>
        <v/>
      </c>
      <c r="F36" s="37" t="str">
        <f aca="false">IF(E36="","",IF(E36="Normal","5-15%",IF(E36="Elevated","15%",IF(E36="Severe","20%","25%"))))</f>
        <v/>
      </c>
      <c r="G36" s="37" t="str">
        <f aca="false">IF(E36="","",IF(E36="Normal","Standard (score &gt;=65)",IF(E36="Elevated","Restricted (score &gt;=80 only)","Suspended")))</f>
        <v/>
      </c>
      <c r="H36" s="78"/>
    </row>
    <row r="37" customFormat="false" ht="15" hidden="false" customHeight="true" outlineLevel="0" collapsed="false">
      <c r="A37" s="79"/>
      <c r="B37" s="97"/>
      <c r="C37" s="119" t="str">
        <f aca="false">IF(B37="","",MAX(C36,B37))</f>
        <v/>
      </c>
      <c r="D37" s="120" t="str">
        <f aca="false">IF(OR(B37="",C37=""),"",B37/C37-1)</f>
        <v/>
      </c>
      <c r="E37" s="63" t="str">
        <f aca="false">IF(D37="","",IF(D37&gt;=-0.1,"Normal",IF(D37&gt;=-0.2,"Elevated",IF(D37&gt;=-0.3,"Severe","Critical"))))</f>
        <v/>
      </c>
      <c r="F37" s="37" t="str">
        <f aca="false">IF(E37="","",IF(E37="Normal","5-15%",IF(E37="Elevated","15%",IF(E37="Severe","20%","25%"))))</f>
        <v/>
      </c>
      <c r="G37" s="37" t="str">
        <f aca="false">IF(E37="","",IF(E37="Normal","Standard (score &gt;=65)",IF(E37="Elevated","Restricted (score &gt;=80 only)","Suspended")))</f>
        <v/>
      </c>
      <c r="H37" s="78"/>
    </row>
    <row r="38" customFormat="false" ht="15" hidden="false" customHeight="true" outlineLevel="0" collapsed="false">
      <c r="A38" s="79"/>
      <c r="B38" s="97"/>
      <c r="C38" s="119" t="str">
        <f aca="false">IF(B38="","",MAX(C37,B38))</f>
        <v/>
      </c>
      <c r="D38" s="120" t="str">
        <f aca="false">IF(OR(B38="",C38=""),"",B38/C38-1)</f>
        <v/>
      </c>
      <c r="E38" s="63" t="str">
        <f aca="false">IF(D38="","",IF(D38&gt;=-0.1,"Normal",IF(D38&gt;=-0.2,"Elevated",IF(D38&gt;=-0.3,"Severe","Critical"))))</f>
        <v/>
      </c>
      <c r="F38" s="37" t="str">
        <f aca="false">IF(E38="","",IF(E38="Normal","5-15%",IF(E38="Elevated","15%",IF(E38="Severe","20%","25%"))))</f>
        <v/>
      </c>
      <c r="G38" s="37" t="str">
        <f aca="false">IF(E38="","",IF(E38="Normal","Standard (score &gt;=65)",IF(E38="Elevated","Restricted (score &gt;=80 only)","Suspended")))</f>
        <v/>
      </c>
      <c r="H38" s="78"/>
    </row>
    <row r="39" customFormat="false" ht="15" hidden="false" customHeight="true" outlineLevel="0" collapsed="false">
      <c r="A39" s="79"/>
      <c r="B39" s="97"/>
      <c r="C39" s="119" t="str">
        <f aca="false">IF(B39="","",MAX(C38,B39))</f>
        <v/>
      </c>
      <c r="D39" s="120" t="str">
        <f aca="false">IF(OR(B39="",C39=""),"",B39/C39-1)</f>
        <v/>
      </c>
      <c r="E39" s="63" t="str">
        <f aca="false">IF(D39="","",IF(D39&gt;=-0.1,"Normal",IF(D39&gt;=-0.2,"Elevated",IF(D39&gt;=-0.3,"Severe","Critical"))))</f>
        <v/>
      </c>
      <c r="F39" s="37" t="str">
        <f aca="false">IF(E39="","",IF(E39="Normal","5-15%",IF(E39="Elevated","15%",IF(E39="Severe","20%","25%"))))</f>
        <v/>
      </c>
      <c r="G39" s="37" t="str">
        <f aca="false">IF(E39="","",IF(E39="Normal","Standard (score &gt;=65)",IF(E39="Elevated","Restricted (score &gt;=80 only)","Suspended")))</f>
        <v/>
      </c>
      <c r="H39" s="78"/>
    </row>
    <row r="40" customFormat="false" ht="15" hidden="false" customHeight="true" outlineLevel="0" collapsed="false">
      <c r="A40" s="79"/>
      <c r="B40" s="97"/>
      <c r="C40" s="119" t="str">
        <f aca="false">IF(B40="","",MAX(C39,B40))</f>
        <v/>
      </c>
      <c r="D40" s="120" t="str">
        <f aca="false">IF(OR(B40="",C40=""),"",B40/C40-1)</f>
        <v/>
      </c>
      <c r="E40" s="63" t="str">
        <f aca="false">IF(D40="","",IF(D40&gt;=-0.1,"Normal",IF(D40&gt;=-0.2,"Elevated",IF(D40&gt;=-0.3,"Severe","Critical"))))</f>
        <v/>
      </c>
      <c r="F40" s="37" t="str">
        <f aca="false">IF(E40="","",IF(E40="Normal","5-15%",IF(E40="Elevated","15%",IF(E40="Severe","20%","25%"))))</f>
        <v/>
      </c>
      <c r="G40" s="37" t="str">
        <f aca="false">IF(E40="","",IF(E40="Normal","Standard (score &gt;=65)",IF(E40="Elevated","Restricted (score &gt;=80 only)","Suspended")))</f>
        <v/>
      </c>
      <c r="H40" s="78"/>
    </row>
    <row r="41" customFormat="false" ht="15" hidden="false" customHeight="true" outlineLevel="0" collapsed="false">
      <c r="A41" s="79"/>
      <c r="B41" s="97"/>
      <c r="C41" s="119" t="str">
        <f aca="false">IF(B41="","",MAX(C40,B41))</f>
        <v/>
      </c>
      <c r="D41" s="120" t="str">
        <f aca="false">IF(OR(B41="",C41=""),"",B41/C41-1)</f>
        <v/>
      </c>
      <c r="E41" s="63" t="str">
        <f aca="false">IF(D41="","",IF(D41&gt;=-0.1,"Normal",IF(D41&gt;=-0.2,"Elevated",IF(D41&gt;=-0.3,"Severe","Critical"))))</f>
        <v/>
      </c>
      <c r="F41" s="37" t="str">
        <f aca="false">IF(E41="","",IF(E41="Normal","5-15%",IF(E41="Elevated","15%",IF(E41="Severe","20%","25%"))))</f>
        <v/>
      </c>
      <c r="G41" s="37" t="str">
        <f aca="false">IF(E41="","",IF(E41="Normal","Standard (score &gt;=65)",IF(E41="Elevated","Restricted (score &gt;=80 only)","Suspended")))</f>
        <v/>
      </c>
      <c r="H41" s="78"/>
    </row>
    <row r="42" customFormat="false" ht="15" hidden="false" customHeight="true" outlineLevel="0" collapsed="false">
      <c r="A42" s="79"/>
      <c r="B42" s="97"/>
      <c r="C42" s="119" t="str">
        <f aca="false">IF(B42="","",MAX(C41,B42))</f>
        <v/>
      </c>
      <c r="D42" s="120" t="str">
        <f aca="false">IF(OR(B42="",C42=""),"",B42/C42-1)</f>
        <v/>
      </c>
      <c r="E42" s="63" t="str">
        <f aca="false">IF(D42="","",IF(D42&gt;=-0.1,"Normal",IF(D42&gt;=-0.2,"Elevated",IF(D42&gt;=-0.3,"Severe","Critical"))))</f>
        <v/>
      </c>
      <c r="F42" s="37" t="str">
        <f aca="false">IF(E42="","",IF(E42="Normal","5-15%",IF(E42="Elevated","15%",IF(E42="Severe","20%","25%"))))</f>
        <v/>
      </c>
      <c r="G42" s="37" t="str">
        <f aca="false">IF(E42="","",IF(E42="Normal","Standard (score &gt;=65)",IF(E42="Elevated","Restricted (score &gt;=80 only)","Suspended")))</f>
        <v/>
      </c>
      <c r="H42" s="78"/>
    </row>
  </sheetData>
  <mergeCells count="1">
    <mergeCell ref="A1:H1"/>
  </mergeCells>
  <conditionalFormatting sqref="E3:E42">
    <cfRule type="cellIs" priority="2" operator="equal" aboveAverage="0" equalAverage="0" bottom="0" percent="0" rank="0" text="" dxfId="13">
      <formula>"Normal"</formula>
    </cfRule>
    <cfRule type="cellIs" priority="3" operator="equal" aboveAverage="0" equalAverage="0" bottom="0" percent="0" rank="0" text="" dxfId="22">
      <formula>"Elevated"</formula>
    </cfRule>
    <cfRule type="cellIs" priority="4" operator="equal" aboveAverage="0" equalAverage="0" bottom="0" percent="0" rank="0" text="" dxfId="16">
      <formula>"Severe"</formula>
    </cfRule>
    <cfRule type="cellIs" priority="5" operator="equal" aboveAverage="0" equalAverage="0" bottom="0" percent="0" rank="0" text="" dxfId="0">
      <formula>"Critical"</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E32" activeCellId="0" sqref="E32"/>
    </sheetView>
  </sheetViews>
  <sheetFormatPr defaultColWidth="8.66796875" defaultRowHeight="15" customHeight="false" zeroHeight="false" outlineLevelRow="0" outlineLevelCol="0"/>
  <cols>
    <col collapsed="false" customWidth="true" hidden="false" outlineLevel="0" max="1" min="1" style="1" width="9"/>
    <col collapsed="false" customWidth="true" hidden="false" outlineLevel="0" max="2" min="2" style="1" width="16"/>
    <col collapsed="false" customWidth="true" hidden="false" outlineLevel="0" max="3" min="3" style="1" width="13"/>
    <col collapsed="false" customWidth="true" hidden="false" outlineLevel="0" max="4" min="4" style="1" width="12"/>
    <col collapsed="false" customWidth="true" hidden="false" outlineLevel="0" max="6" min="5" style="1" width="8"/>
    <col collapsed="false" customWidth="true" hidden="false" outlineLevel="0" max="9" min="7" style="1" width="12"/>
    <col collapsed="false" customWidth="true" hidden="false" outlineLevel="0" max="10" min="10" style="1" width="10"/>
    <col collapsed="false" customWidth="true" hidden="false" outlineLevel="0" max="11" min="11" style="1" width="20"/>
    <col collapsed="false" customWidth="true" hidden="false" outlineLevel="0" max="12" min="12" style="1" width="30"/>
  </cols>
  <sheetData>
    <row r="1" customFormat="false" ht="21" hidden="false" customHeight="true" outlineLevel="0" collapsed="false">
      <c r="A1" s="121" t="s">
        <v>454</v>
      </c>
      <c r="B1" s="121"/>
      <c r="C1" s="121"/>
      <c r="D1" s="121"/>
      <c r="E1" s="121"/>
      <c r="F1" s="121"/>
      <c r="G1" s="121"/>
      <c r="H1" s="121"/>
      <c r="I1" s="121"/>
      <c r="J1" s="121"/>
      <c r="K1" s="121"/>
      <c r="L1" s="121"/>
      <c r="M1" s="121"/>
    </row>
    <row r="2" customFormat="false" ht="45.75" hidden="false" customHeight="true" outlineLevel="0" collapsed="false">
      <c r="A2" s="32" t="s">
        <v>82</v>
      </c>
      <c r="B2" s="32" t="s">
        <v>274</v>
      </c>
      <c r="C2" s="32" t="s">
        <v>455</v>
      </c>
      <c r="D2" s="32" t="s">
        <v>456</v>
      </c>
      <c r="E2" s="32" t="s">
        <v>457</v>
      </c>
      <c r="F2" s="32" t="s">
        <v>458</v>
      </c>
      <c r="G2" s="32" t="s">
        <v>459</v>
      </c>
      <c r="H2" s="32" t="s">
        <v>460</v>
      </c>
      <c r="I2" s="32" t="s">
        <v>461</v>
      </c>
      <c r="J2" s="32" t="s">
        <v>462</v>
      </c>
      <c r="K2" s="32" t="s">
        <v>463</v>
      </c>
      <c r="L2" s="32" t="s">
        <v>464</v>
      </c>
    </row>
    <row r="3" customFormat="false" ht="15" hidden="false" customHeight="true" outlineLevel="0" collapsed="false">
      <c r="A3" s="85"/>
      <c r="B3" s="85"/>
      <c r="C3" s="85"/>
      <c r="D3" s="122"/>
      <c r="E3" s="85"/>
      <c r="F3" s="85"/>
      <c r="G3" s="122"/>
      <c r="H3" s="85"/>
      <c r="I3" s="104" t="str">
        <f aca="false">IF(D3="","",D3+90)</f>
        <v/>
      </c>
      <c r="J3" s="123" t="str">
        <f aca="true">IF(I3="","",I3-TODAY())</f>
        <v/>
      </c>
      <c r="K3" s="86" t="str">
        <f aca="false">IF(OR(C3="",F3=""),"",IF(AND(C3="Exit Review",H3="N"),"NO CREDIBLE PLAN — SELL WITHIN 30 DAYS",IF(AND(C3="Probationary Hold",F3&gt;=65),"RECOVERED — REMOVE FROM WATCH LIST",IF(AND(C3="Exit Review",F3&gt;=50),"RECOVERED — MOVE TO PROBATIONARY HOLD",IF(J3&lt;0,"DEADLINE PASSED — SELL WITHIN 30 DAYS",IF(J3&lt;=14,"DEADLINE APPROACHING","ON TRACK"))))))</f>
        <v/>
      </c>
      <c r="L3" s="85"/>
    </row>
    <row r="4" customFormat="false" ht="15" hidden="false" customHeight="true" outlineLevel="0" collapsed="false">
      <c r="A4" s="85"/>
      <c r="B4" s="85"/>
      <c r="C4" s="85"/>
      <c r="D4" s="122"/>
      <c r="E4" s="85"/>
      <c r="F4" s="85"/>
      <c r="G4" s="122"/>
      <c r="H4" s="85"/>
      <c r="I4" s="104" t="str">
        <f aca="false">IF(D4="","",D4+90)</f>
        <v/>
      </c>
      <c r="J4" s="123" t="str">
        <f aca="true">IF(I4="","",I4-TODAY())</f>
        <v/>
      </c>
      <c r="K4" s="86" t="str">
        <f aca="false">IF(OR(C4="",F4=""),"",IF(AND(C4="Exit Review",H4="N"),"NO CREDIBLE PLAN — SELL WITHIN 30 DAYS",IF(AND(C4="Probationary Hold",F4&gt;=65),"RECOVERED — REMOVE FROM WATCH LIST",IF(AND(C4="Exit Review",F4&gt;=50),"RECOVERED — MOVE TO PROBATIONARY HOLD",IF(J4&lt;0,"DEADLINE PASSED — SELL WITHIN 30 DAYS",IF(J4&lt;=14,"DEADLINE APPROACHING","ON TRACK"))))))</f>
        <v/>
      </c>
      <c r="L4" s="85"/>
    </row>
    <row r="5" customFormat="false" ht="15" hidden="false" customHeight="true" outlineLevel="0" collapsed="false">
      <c r="A5" s="85"/>
      <c r="B5" s="85"/>
      <c r="C5" s="85"/>
      <c r="D5" s="122"/>
      <c r="E5" s="85"/>
      <c r="F5" s="85"/>
      <c r="G5" s="122"/>
      <c r="H5" s="85"/>
      <c r="I5" s="104" t="str">
        <f aca="false">IF(D5="","",D5+90)</f>
        <v/>
      </c>
      <c r="J5" s="123" t="str">
        <f aca="true">IF(I5="","",I5-TODAY())</f>
        <v/>
      </c>
      <c r="K5" s="86" t="str">
        <f aca="false">IF(OR(C5="",F5=""),"",IF(AND(C5="Exit Review",H5="N"),"NO CREDIBLE PLAN — SELL WITHIN 30 DAYS",IF(AND(C5="Probationary Hold",F5&gt;=65),"RECOVERED — REMOVE FROM WATCH LIST",IF(AND(C5="Exit Review",F5&gt;=50),"RECOVERED — MOVE TO PROBATIONARY HOLD",IF(J5&lt;0,"DEADLINE PASSED — SELL WITHIN 30 DAYS",IF(J5&lt;=14,"DEADLINE APPROACHING","ON TRACK"))))))</f>
        <v/>
      </c>
      <c r="L5" s="85"/>
    </row>
    <row r="6" customFormat="false" ht="15" hidden="false" customHeight="true" outlineLevel="0" collapsed="false">
      <c r="A6" s="85"/>
      <c r="B6" s="85"/>
      <c r="C6" s="85"/>
      <c r="D6" s="122"/>
      <c r="E6" s="85"/>
      <c r="F6" s="85"/>
      <c r="G6" s="122"/>
      <c r="H6" s="85"/>
      <c r="I6" s="104" t="str">
        <f aca="false">IF(D6="","",D6+90)</f>
        <v/>
      </c>
      <c r="J6" s="123" t="str">
        <f aca="true">IF(I6="","",I6-TODAY())</f>
        <v/>
      </c>
      <c r="K6" s="86" t="str">
        <f aca="false">IF(OR(C6="",F6=""),"",IF(AND(C6="Exit Review",H6="N"),"NO CREDIBLE PLAN — SELL WITHIN 30 DAYS",IF(AND(C6="Probationary Hold",F6&gt;=65),"RECOVERED — REMOVE FROM WATCH LIST",IF(AND(C6="Exit Review",F6&gt;=50),"RECOVERED — MOVE TO PROBATIONARY HOLD",IF(J6&lt;0,"DEADLINE PASSED — SELL WITHIN 30 DAYS",IF(J6&lt;=14,"DEADLINE APPROACHING","ON TRACK"))))))</f>
        <v/>
      </c>
      <c r="L6" s="85"/>
    </row>
    <row r="7" customFormat="false" ht="15" hidden="false" customHeight="true" outlineLevel="0" collapsed="false">
      <c r="A7" s="85"/>
      <c r="B7" s="85"/>
      <c r="C7" s="85"/>
      <c r="D7" s="122"/>
      <c r="E7" s="85"/>
      <c r="F7" s="85"/>
      <c r="G7" s="122"/>
      <c r="H7" s="85"/>
      <c r="I7" s="104" t="str">
        <f aca="false">IF(D7="","",D7+90)</f>
        <v/>
      </c>
      <c r="J7" s="123" t="str">
        <f aca="true">IF(I7="","",I7-TODAY())</f>
        <v/>
      </c>
      <c r="K7" s="86" t="str">
        <f aca="false">IF(OR(C7="",F7=""),"",IF(AND(C7="Exit Review",H7="N"),"NO CREDIBLE PLAN — SELL WITHIN 30 DAYS",IF(AND(C7="Probationary Hold",F7&gt;=65),"RECOVERED — REMOVE FROM WATCH LIST",IF(AND(C7="Exit Review",F7&gt;=50),"RECOVERED — MOVE TO PROBATIONARY HOLD",IF(J7&lt;0,"DEADLINE PASSED — SELL WITHIN 30 DAYS",IF(J7&lt;=14,"DEADLINE APPROACHING","ON TRACK"))))))</f>
        <v/>
      </c>
      <c r="L7" s="85"/>
    </row>
    <row r="8" customFormat="false" ht="15" hidden="false" customHeight="true" outlineLevel="0" collapsed="false">
      <c r="A8" s="85"/>
      <c r="B8" s="85"/>
      <c r="C8" s="85"/>
      <c r="D8" s="122"/>
      <c r="E8" s="85"/>
      <c r="F8" s="85"/>
      <c r="G8" s="122"/>
      <c r="H8" s="85"/>
      <c r="I8" s="104" t="str">
        <f aca="false">IF(D8="","",D8+90)</f>
        <v/>
      </c>
      <c r="J8" s="123" t="str">
        <f aca="true">IF(I8="","",I8-TODAY())</f>
        <v/>
      </c>
      <c r="K8" s="86" t="str">
        <f aca="false">IF(OR(C8="",F8=""),"",IF(AND(C8="Exit Review",H8="N"),"NO CREDIBLE PLAN — SELL WITHIN 30 DAYS",IF(AND(C8="Probationary Hold",F8&gt;=65),"RECOVERED — REMOVE FROM WATCH LIST",IF(AND(C8="Exit Review",F8&gt;=50),"RECOVERED — MOVE TO PROBATIONARY HOLD",IF(J8&lt;0,"DEADLINE PASSED — SELL WITHIN 30 DAYS",IF(J8&lt;=14,"DEADLINE APPROACHING","ON TRACK"))))))</f>
        <v/>
      </c>
      <c r="L8" s="85"/>
    </row>
    <row r="9" customFormat="false" ht="15" hidden="false" customHeight="true" outlineLevel="0" collapsed="false">
      <c r="A9" s="85"/>
      <c r="B9" s="85"/>
      <c r="C9" s="85"/>
      <c r="D9" s="122"/>
      <c r="E9" s="85"/>
      <c r="F9" s="85"/>
      <c r="G9" s="122"/>
      <c r="H9" s="85"/>
      <c r="I9" s="104" t="str">
        <f aca="false">IF(D9="","",D9+90)</f>
        <v/>
      </c>
      <c r="J9" s="123" t="str">
        <f aca="true">IF(I9="","",I9-TODAY())</f>
        <v/>
      </c>
      <c r="K9" s="86" t="str">
        <f aca="false">IF(OR(C9="",F9=""),"",IF(AND(C9="Exit Review",H9="N"),"NO CREDIBLE PLAN — SELL WITHIN 30 DAYS",IF(AND(C9="Probationary Hold",F9&gt;=65),"RECOVERED — REMOVE FROM WATCH LIST",IF(AND(C9="Exit Review",F9&gt;=50),"RECOVERED — MOVE TO PROBATIONARY HOLD",IF(J9&lt;0,"DEADLINE PASSED — SELL WITHIN 30 DAYS",IF(J9&lt;=14,"DEADLINE APPROACHING","ON TRACK"))))))</f>
        <v/>
      </c>
      <c r="L9" s="85"/>
    </row>
    <row r="10" customFormat="false" ht="15" hidden="false" customHeight="true" outlineLevel="0" collapsed="false">
      <c r="A10" s="85"/>
      <c r="B10" s="85"/>
      <c r="C10" s="85"/>
      <c r="D10" s="122"/>
      <c r="E10" s="85"/>
      <c r="F10" s="85"/>
      <c r="G10" s="122"/>
      <c r="H10" s="85"/>
      <c r="I10" s="104" t="str">
        <f aca="false">IF(D10="","",D10+90)</f>
        <v/>
      </c>
      <c r="J10" s="123" t="str">
        <f aca="true">IF(I10="","",I10-TODAY())</f>
        <v/>
      </c>
      <c r="K10" s="86" t="str">
        <f aca="false">IF(OR(C10="",F10=""),"",IF(AND(C10="Exit Review",H10="N"),"NO CREDIBLE PLAN — SELL WITHIN 30 DAYS",IF(AND(C10="Probationary Hold",F10&gt;=65),"RECOVERED — REMOVE FROM WATCH LIST",IF(AND(C10="Exit Review",F10&gt;=50),"RECOVERED — MOVE TO PROBATIONARY HOLD",IF(J10&lt;0,"DEADLINE PASSED — SELL WITHIN 30 DAYS",IF(J10&lt;=14,"DEADLINE APPROACHING","ON TRACK"))))))</f>
        <v/>
      </c>
      <c r="L10" s="85"/>
    </row>
    <row r="11" customFormat="false" ht="15" hidden="false" customHeight="true" outlineLevel="0" collapsed="false">
      <c r="A11" s="85"/>
      <c r="B11" s="85"/>
      <c r="C11" s="85"/>
      <c r="D11" s="122"/>
      <c r="E11" s="85"/>
      <c r="F11" s="85"/>
      <c r="G11" s="122"/>
      <c r="H11" s="85"/>
      <c r="I11" s="104" t="str">
        <f aca="false">IF(D11="","",D11+90)</f>
        <v/>
      </c>
      <c r="J11" s="123" t="str">
        <f aca="true">IF(I11="","",I11-TODAY())</f>
        <v/>
      </c>
      <c r="K11" s="86" t="str">
        <f aca="false">IF(OR(C11="",F11=""),"",IF(AND(C11="Exit Review",H11="N"),"NO CREDIBLE PLAN — SELL WITHIN 30 DAYS",IF(AND(C11="Probationary Hold",F11&gt;=65),"RECOVERED — REMOVE FROM WATCH LIST",IF(AND(C11="Exit Review",F11&gt;=50),"RECOVERED — MOVE TO PROBATIONARY HOLD",IF(J11&lt;0,"DEADLINE PASSED — SELL WITHIN 30 DAYS",IF(J11&lt;=14,"DEADLINE APPROACHING","ON TRACK"))))))</f>
        <v/>
      </c>
      <c r="L11" s="85"/>
    </row>
    <row r="12" customFormat="false" ht="15" hidden="false" customHeight="true" outlineLevel="0" collapsed="false">
      <c r="A12" s="85"/>
      <c r="B12" s="85"/>
      <c r="C12" s="85"/>
      <c r="D12" s="122"/>
      <c r="E12" s="85"/>
      <c r="F12" s="85"/>
      <c r="G12" s="122"/>
      <c r="H12" s="85"/>
      <c r="I12" s="104" t="str">
        <f aca="false">IF(D12="","",D12+90)</f>
        <v/>
      </c>
      <c r="J12" s="123" t="str">
        <f aca="true">IF(I12="","",I12-TODAY())</f>
        <v/>
      </c>
      <c r="K12" s="86" t="str">
        <f aca="false">IF(OR(C12="",F12=""),"",IF(AND(C12="Exit Review",H12="N"),"NO CREDIBLE PLAN — SELL WITHIN 30 DAYS",IF(AND(C12="Probationary Hold",F12&gt;=65),"RECOVERED — REMOVE FROM WATCH LIST",IF(AND(C12="Exit Review",F12&gt;=50),"RECOVERED — MOVE TO PROBATIONARY HOLD",IF(J12&lt;0,"DEADLINE PASSED — SELL WITHIN 30 DAYS",IF(J12&lt;=14,"DEADLINE APPROACHING","ON TRACK"))))))</f>
        <v/>
      </c>
      <c r="L12" s="85"/>
    </row>
    <row r="13" customFormat="false" ht="15" hidden="false" customHeight="true" outlineLevel="0" collapsed="false">
      <c r="A13" s="85"/>
      <c r="B13" s="85"/>
      <c r="C13" s="85"/>
      <c r="D13" s="122"/>
      <c r="E13" s="85"/>
      <c r="F13" s="85"/>
      <c r="G13" s="122"/>
      <c r="H13" s="85"/>
      <c r="I13" s="104" t="str">
        <f aca="false">IF(D13="","",D13+90)</f>
        <v/>
      </c>
      <c r="J13" s="123" t="str">
        <f aca="true">IF(I13="","",I13-TODAY())</f>
        <v/>
      </c>
      <c r="K13" s="86" t="str">
        <f aca="false">IF(OR(C13="",F13=""),"",IF(AND(C13="Exit Review",H13="N"),"NO CREDIBLE PLAN — SELL WITHIN 30 DAYS",IF(AND(C13="Probationary Hold",F13&gt;=65),"RECOVERED — REMOVE FROM WATCH LIST",IF(AND(C13="Exit Review",F13&gt;=50),"RECOVERED — MOVE TO PROBATIONARY HOLD",IF(J13&lt;0,"DEADLINE PASSED — SELL WITHIN 30 DAYS",IF(J13&lt;=14,"DEADLINE APPROACHING","ON TRACK"))))))</f>
        <v/>
      </c>
      <c r="L13" s="85"/>
    </row>
    <row r="14" customFormat="false" ht="15" hidden="false" customHeight="true" outlineLevel="0" collapsed="false">
      <c r="A14" s="85"/>
      <c r="B14" s="85"/>
      <c r="C14" s="85"/>
      <c r="D14" s="122"/>
      <c r="E14" s="85"/>
      <c r="F14" s="85"/>
      <c r="G14" s="122"/>
      <c r="H14" s="85"/>
      <c r="I14" s="104" t="str">
        <f aca="false">IF(D14="","",D14+90)</f>
        <v/>
      </c>
      <c r="J14" s="123" t="str">
        <f aca="true">IF(I14="","",I14-TODAY())</f>
        <v/>
      </c>
      <c r="K14" s="86" t="str">
        <f aca="false">IF(OR(C14="",F14=""),"",IF(AND(C14="Exit Review",H14="N"),"NO CREDIBLE PLAN — SELL WITHIN 30 DAYS",IF(AND(C14="Probationary Hold",F14&gt;=65),"RECOVERED — REMOVE FROM WATCH LIST",IF(AND(C14="Exit Review",F14&gt;=50),"RECOVERED — MOVE TO PROBATIONARY HOLD",IF(J14&lt;0,"DEADLINE PASSED — SELL WITHIN 30 DAYS",IF(J14&lt;=14,"DEADLINE APPROACHING","ON TRACK"))))))</f>
        <v/>
      </c>
      <c r="L14" s="85"/>
    </row>
    <row r="15" customFormat="false" ht="15" hidden="false" customHeight="true" outlineLevel="0" collapsed="false">
      <c r="A15" s="85"/>
      <c r="B15" s="85"/>
      <c r="C15" s="85"/>
      <c r="D15" s="122"/>
      <c r="E15" s="85"/>
      <c r="F15" s="85"/>
      <c r="G15" s="122"/>
      <c r="H15" s="85"/>
      <c r="I15" s="104" t="str">
        <f aca="false">IF(D15="","",D15+90)</f>
        <v/>
      </c>
      <c r="J15" s="123" t="str">
        <f aca="true">IF(I15="","",I15-TODAY())</f>
        <v/>
      </c>
      <c r="K15" s="86" t="str">
        <f aca="false">IF(OR(C15="",F15=""),"",IF(AND(C15="Exit Review",H15="N"),"NO CREDIBLE PLAN — SELL WITHIN 30 DAYS",IF(AND(C15="Probationary Hold",F15&gt;=65),"RECOVERED — REMOVE FROM WATCH LIST",IF(AND(C15="Exit Review",F15&gt;=50),"RECOVERED — MOVE TO PROBATIONARY HOLD",IF(J15&lt;0,"DEADLINE PASSED — SELL WITHIN 30 DAYS",IF(J15&lt;=14,"DEADLINE APPROACHING","ON TRACK"))))))</f>
        <v/>
      </c>
      <c r="L15" s="85"/>
    </row>
    <row r="16" customFormat="false" ht="15" hidden="false" customHeight="true" outlineLevel="0" collapsed="false">
      <c r="A16" s="85"/>
      <c r="B16" s="85"/>
      <c r="C16" s="85"/>
      <c r="D16" s="122"/>
      <c r="E16" s="85"/>
      <c r="F16" s="85"/>
      <c r="G16" s="122"/>
      <c r="H16" s="85"/>
      <c r="I16" s="104" t="str">
        <f aca="false">IF(D16="","",D16+90)</f>
        <v/>
      </c>
      <c r="J16" s="123" t="str">
        <f aca="true">IF(I16="","",I16-TODAY())</f>
        <v/>
      </c>
      <c r="K16" s="86" t="str">
        <f aca="false">IF(OR(C16="",F16=""),"",IF(AND(C16="Exit Review",H16="N"),"NO CREDIBLE PLAN — SELL WITHIN 30 DAYS",IF(AND(C16="Probationary Hold",F16&gt;=65),"RECOVERED — REMOVE FROM WATCH LIST",IF(AND(C16="Exit Review",F16&gt;=50),"RECOVERED — MOVE TO PROBATIONARY HOLD",IF(J16&lt;0,"DEADLINE PASSED — SELL WITHIN 30 DAYS",IF(J16&lt;=14,"DEADLINE APPROACHING","ON TRACK"))))))</f>
        <v/>
      </c>
      <c r="L16" s="85"/>
    </row>
    <row r="17" customFormat="false" ht="15" hidden="false" customHeight="true" outlineLevel="0" collapsed="false">
      <c r="A17" s="85"/>
      <c r="B17" s="85"/>
      <c r="C17" s="85"/>
      <c r="D17" s="122"/>
      <c r="E17" s="85"/>
      <c r="F17" s="85"/>
      <c r="G17" s="122"/>
      <c r="H17" s="85"/>
      <c r="I17" s="104" t="str">
        <f aca="false">IF(D17="","",D17+90)</f>
        <v/>
      </c>
      <c r="J17" s="123" t="str">
        <f aca="true">IF(I17="","",I17-TODAY())</f>
        <v/>
      </c>
      <c r="K17" s="86" t="str">
        <f aca="false">IF(OR(C17="",F17=""),"",IF(AND(C17="Exit Review",H17="N"),"NO CREDIBLE PLAN — SELL WITHIN 30 DAYS",IF(AND(C17="Probationary Hold",F17&gt;=65),"RECOVERED — REMOVE FROM WATCH LIST",IF(AND(C17="Exit Review",F17&gt;=50),"RECOVERED — MOVE TO PROBATIONARY HOLD",IF(J17&lt;0,"DEADLINE PASSED — SELL WITHIN 30 DAYS",IF(J17&lt;=14,"DEADLINE APPROACHING","ON TRACK"))))))</f>
        <v/>
      </c>
      <c r="L17" s="85"/>
    </row>
    <row r="18" customFormat="false" ht="15" hidden="false" customHeight="true" outlineLevel="0" collapsed="false">
      <c r="A18" s="85"/>
      <c r="B18" s="85"/>
      <c r="C18" s="85"/>
      <c r="D18" s="122"/>
      <c r="E18" s="85"/>
      <c r="F18" s="85"/>
      <c r="G18" s="122"/>
      <c r="H18" s="85"/>
      <c r="I18" s="104" t="str">
        <f aca="false">IF(D18="","",D18+90)</f>
        <v/>
      </c>
      <c r="J18" s="123" t="str">
        <f aca="true">IF(I18="","",I18-TODAY())</f>
        <v/>
      </c>
      <c r="K18" s="86" t="str">
        <f aca="false">IF(OR(C18="",F18=""),"",IF(AND(C18="Exit Review",H18="N"),"NO CREDIBLE PLAN — SELL WITHIN 30 DAYS",IF(AND(C18="Probationary Hold",F18&gt;=65),"RECOVERED — REMOVE FROM WATCH LIST",IF(AND(C18="Exit Review",F18&gt;=50),"RECOVERED — MOVE TO PROBATIONARY HOLD",IF(J18&lt;0,"DEADLINE PASSED — SELL WITHIN 30 DAYS",IF(J18&lt;=14,"DEADLINE APPROACHING","ON TRACK"))))))</f>
        <v/>
      </c>
      <c r="L18" s="85"/>
    </row>
    <row r="19" customFormat="false" ht="15" hidden="false" customHeight="true" outlineLevel="0" collapsed="false">
      <c r="A19" s="85"/>
      <c r="B19" s="85"/>
      <c r="C19" s="85"/>
      <c r="D19" s="122"/>
      <c r="E19" s="85"/>
      <c r="F19" s="85"/>
      <c r="G19" s="122"/>
      <c r="H19" s="85"/>
      <c r="I19" s="104" t="str">
        <f aca="false">IF(D19="","",D19+90)</f>
        <v/>
      </c>
      <c r="J19" s="123" t="str">
        <f aca="true">IF(I19="","",I19-TODAY())</f>
        <v/>
      </c>
      <c r="K19" s="86" t="str">
        <f aca="false">IF(OR(C19="",F19=""),"",IF(AND(C19="Exit Review",H19="N"),"NO CREDIBLE PLAN — SELL WITHIN 30 DAYS",IF(AND(C19="Probationary Hold",F19&gt;=65),"RECOVERED — REMOVE FROM WATCH LIST",IF(AND(C19="Exit Review",F19&gt;=50),"RECOVERED — MOVE TO PROBATIONARY HOLD",IF(J19&lt;0,"DEADLINE PASSED — SELL WITHIN 30 DAYS",IF(J19&lt;=14,"DEADLINE APPROACHING","ON TRACK"))))))</f>
        <v/>
      </c>
      <c r="L19" s="85"/>
    </row>
    <row r="20" customFormat="false" ht="15" hidden="false" customHeight="true" outlineLevel="0" collapsed="false">
      <c r="A20" s="85"/>
      <c r="B20" s="85"/>
      <c r="C20" s="85"/>
      <c r="D20" s="122"/>
      <c r="E20" s="85"/>
      <c r="F20" s="85"/>
      <c r="G20" s="122"/>
      <c r="H20" s="85"/>
      <c r="I20" s="104" t="str">
        <f aca="false">IF(D20="","",D20+90)</f>
        <v/>
      </c>
      <c r="J20" s="123" t="str">
        <f aca="true">IF(I20="","",I20-TODAY())</f>
        <v/>
      </c>
      <c r="K20" s="86" t="str">
        <f aca="false">IF(OR(C20="",F20=""),"",IF(AND(C20="Exit Review",H20="N"),"NO CREDIBLE PLAN — SELL WITHIN 30 DAYS",IF(AND(C20="Probationary Hold",F20&gt;=65),"RECOVERED — REMOVE FROM WATCH LIST",IF(AND(C20="Exit Review",F20&gt;=50),"RECOVERED — MOVE TO PROBATIONARY HOLD",IF(J20&lt;0,"DEADLINE PASSED — SELL WITHIN 30 DAYS",IF(J20&lt;=14,"DEADLINE APPROACHING","ON TRACK"))))))</f>
        <v/>
      </c>
      <c r="L20" s="85"/>
    </row>
    <row r="21" customFormat="false" ht="15" hidden="false" customHeight="true" outlineLevel="0" collapsed="false">
      <c r="A21" s="85"/>
      <c r="B21" s="85"/>
      <c r="C21" s="85"/>
      <c r="D21" s="122"/>
      <c r="E21" s="85"/>
      <c r="F21" s="85"/>
      <c r="G21" s="122"/>
      <c r="H21" s="85"/>
      <c r="I21" s="104" t="str">
        <f aca="false">IF(D21="","",D21+90)</f>
        <v/>
      </c>
      <c r="J21" s="123" t="str">
        <f aca="true">IF(I21="","",I21-TODAY())</f>
        <v/>
      </c>
      <c r="K21" s="86" t="str">
        <f aca="false">IF(OR(C21="",F21=""),"",IF(AND(C21="Exit Review",H21="N"),"NO CREDIBLE PLAN — SELL WITHIN 30 DAYS",IF(AND(C21="Probationary Hold",F21&gt;=65),"RECOVERED — REMOVE FROM WATCH LIST",IF(AND(C21="Exit Review",F21&gt;=50),"RECOVERED — MOVE TO PROBATIONARY HOLD",IF(J21&lt;0,"DEADLINE PASSED — SELL WITHIN 30 DAYS",IF(J21&lt;=14,"DEADLINE APPROACHING","ON TRACK"))))))</f>
        <v/>
      </c>
      <c r="L21" s="85"/>
    </row>
    <row r="22" customFormat="false" ht="15" hidden="false" customHeight="true" outlineLevel="0" collapsed="false">
      <c r="A22" s="85"/>
      <c r="B22" s="85"/>
      <c r="C22" s="85"/>
      <c r="D22" s="122"/>
      <c r="E22" s="85"/>
      <c r="F22" s="85"/>
      <c r="G22" s="122"/>
      <c r="H22" s="85"/>
      <c r="I22" s="104" t="str">
        <f aca="false">IF(D22="","",D22+90)</f>
        <v/>
      </c>
      <c r="J22" s="123" t="str">
        <f aca="true">IF(I22="","",I22-TODAY())</f>
        <v/>
      </c>
      <c r="K22" s="86" t="str">
        <f aca="false">IF(OR(C22="",F22=""),"",IF(AND(C22="Exit Review",H22="N"),"NO CREDIBLE PLAN — SELL WITHIN 30 DAYS",IF(AND(C22="Probationary Hold",F22&gt;=65),"RECOVERED — REMOVE FROM WATCH LIST",IF(AND(C22="Exit Review",F22&gt;=50),"RECOVERED — MOVE TO PROBATIONARY HOLD",IF(J22&lt;0,"DEADLINE PASSED — SELL WITHIN 30 DAYS",IF(J22&lt;=14,"DEADLINE APPROACHING","ON TRACK"))))))</f>
        <v/>
      </c>
      <c r="L22" s="85"/>
    </row>
  </sheetData>
  <mergeCells count="1">
    <mergeCell ref="A1:M1"/>
  </mergeCells>
  <conditionalFormatting sqref="K3:K22">
    <cfRule type="expression" priority="2" aboveAverage="0" equalAverage="0" bottom="0" percent="0" rank="0" text="" dxfId="13">
      <formula>ISNUMBER(SEARCH("RECOVERED",K3))</formula>
    </cfRule>
    <cfRule type="expression" priority="3" aboveAverage="0" equalAverage="0" bottom="0" percent="0" rank="0" text="" dxfId="13">
      <formula>ISNUMBER(SEARCH("ON TRACK",K3))</formula>
    </cfRule>
    <cfRule type="expression" priority="4" aboveAverage="0" equalAverage="0" bottom="0" percent="0" rank="0" text="" dxfId="15">
      <formula>ISNUMBER(SEARCH("DEADLINE APPROACHING",K3))</formula>
    </cfRule>
    <cfRule type="expression" priority="5" aboveAverage="0" equalAverage="0" bottom="0" percent="0" rank="0" text="" dxfId="0">
      <formula>ISNUMBER(SEARCH("SELL WITHIN 30 DAYS",K3))</formula>
    </cfRule>
  </conditionalFormatting>
  <dataValidations count="2">
    <dataValidation allowBlank="true" errorStyle="stop" operator="between" showDropDown="false" showErrorMessage="false" showInputMessage="false" sqref="C3:C22" type="list">
      <formula1>"Probationary Hold,Exit Review"</formula1>
      <formula2>0</formula2>
    </dataValidation>
    <dataValidation allowBlank="true" errorStyle="stop" operator="between" showDropDown="false" showErrorMessage="false" showInputMessage="false" sqref="H3:H22"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1" min="3" style="1" width="9.52"/>
  </cols>
  <sheetData>
    <row r="1" customFormat="false" ht="25.5" hidden="false" customHeight="true" outlineLevel="0" collapsed="false">
      <c r="A1" s="101" t="s">
        <v>465</v>
      </c>
      <c r="B1" s="101"/>
      <c r="C1" s="101"/>
      <c r="D1" s="101"/>
      <c r="E1" s="101"/>
      <c r="F1" s="101"/>
      <c r="G1" s="101"/>
      <c r="H1" s="101"/>
      <c r="I1" s="101"/>
      <c r="J1" s="101"/>
      <c r="K1" s="101"/>
      <c r="L1" s="101"/>
      <c r="M1" s="101"/>
      <c r="N1" s="101"/>
      <c r="O1" s="101"/>
      <c r="P1" s="101"/>
      <c r="Q1" s="101"/>
      <c r="R1" s="101"/>
      <c r="S1" s="101"/>
      <c r="T1" s="101"/>
    </row>
    <row r="2" customFormat="false" ht="15.75" hidden="false" customHeight="true" outlineLevel="0" collapsed="false">
      <c r="D2" s="124" t="s">
        <v>466</v>
      </c>
      <c r="E2" s="124"/>
      <c r="F2" s="124"/>
      <c r="G2" s="124"/>
      <c r="H2" s="124"/>
      <c r="I2" s="125" t="s">
        <v>467</v>
      </c>
      <c r="J2" s="125"/>
      <c r="K2" s="125"/>
      <c r="L2" s="125"/>
      <c r="M2" s="125"/>
      <c r="N2" s="126" t="s">
        <v>468</v>
      </c>
      <c r="O2" s="126"/>
      <c r="P2" s="126"/>
      <c r="Q2" s="126"/>
      <c r="R2" s="126"/>
      <c r="S2" s="127" t="s">
        <v>469</v>
      </c>
      <c r="T2" s="127"/>
      <c r="U2" s="127"/>
    </row>
    <row r="3" customFormat="false" ht="42.75" hidden="false" customHeight="true" outlineLevel="0" collapsed="false">
      <c r="A3" s="75" t="s">
        <v>82</v>
      </c>
      <c r="B3" s="75" t="s">
        <v>274</v>
      </c>
      <c r="C3" s="75" t="s">
        <v>470</v>
      </c>
      <c r="D3" s="75" t="s">
        <v>471</v>
      </c>
      <c r="E3" s="75" t="s">
        <v>472</v>
      </c>
      <c r="F3" s="75" t="s">
        <v>473</v>
      </c>
      <c r="G3" s="75" t="s">
        <v>474</v>
      </c>
      <c r="H3" s="75" t="s">
        <v>475</v>
      </c>
      <c r="I3" s="75" t="s">
        <v>471</v>
      </c>
      <c r="J3" s="75" t="s">
        <v>472</v>
      </c>
      <c r="K3" s="75" t="s">
        <v>473</v>
      </c>
      <c r="L3" s="75" t="s">
        <v>474</v>
      </c>
      <c r="M3" s="75" t="s">
        <v>475</v>
      </c>
      <c r="N3" s="75" t="s">
        <v>471</v>
      </c>
      <c r="O3" s="75" t="s">
        <v>472</v>
      </c>
      <c r="P3" s="75" t="s">
        <v>473</v>
      </c>
      <c r="Q3" s="75" t="s">
        <v>474</v>
      </c>
      <c r="R3" s="75" t="s">
        <v>475</v>
      </c>
      <c r="S3" s="75" t="s">
        <v>476</v>
      </c>
      <c r="T3" s="75" t="s">
        <v>477</v>
      </c>
      <c r="U3" s="75" t="s">
        <v>478</v>
      </c>
    </row>
    <row r="4" customFormat="false" ht="15" hidden="false" customHeight="true" outlineLevel="0" collapsed="false">
      <c r="A4" s="34"/>
      <c r="B4" s="35"/>
      <c r="C4" s="38"/>
      <c r="D4" s="38"/>
      <c r="E4" s="91"/>
      <c r="F4" s="38"/>
      <c r="G4" s="39" t="str">
        <f aca="false">IF(OR(C4="",D4="",E4="",F4=""),"",IFERROR(((D4*E4+F4)/C4)^(1/5)-1,"n/a"))</f>
        <v/>
      </c>
      <c r="H4" s="35"/>
      <c r="I4" s="38"/>
      <c r="J4" s="91"/>
      <c r="K4" s="38"/>
      <c r="L4" s="39" t="str">
        <f aca="false">IF(OR(C4="",I4="",J4="",K4=""),"",IFERROR(((I4*J4+K4)/C4)^(1/5)-1,"n/a"))</f>
        <v/>
      </c>
      <c r="M4" s="35"/>
      <c r="N4" s="38"/>
      <c r="O4" s="91"/>
      <c r="P4" s="38"/>
      <c r="Q4" s="39" t="str">
        <f aca="false">IF(OR(C4="",N4="",O4="",P4=""),"",IFERROR(((N4*O4+P4)/C4)^(1/5)-1,"n/a"))</f>
        <v/>
      </c>
      <c r="R4" s="35"/>
      <c r="S4" s="43" t="str">
        <f aca="false">IF(G4="","",IF(G4&gt;0.1,"PASS","FAIL"))</f>
        <v/>
      </c>
      <c r="T4" s="43" t="str">
        <f aca="false">IF(L4="","",IF(L4&gt;=0,"PASS","FAIL"))</f>
        <v/>
      </c>
      <c r="U4" s="43" t="str">
        <f aca="false">IF(COUNTA(H4,M4,R4)=0,"",IF((COUNTIF(H4,"Likely")+COUNTIF(M4,"Likely")+COUNTIF(R4,"Likely"))=1,"OK","CHECK TAGS"))</f>
        <v/>
      </c>
    </row>
    <row r="5" customFormat="false" ht="15" hidden="false" customHeight="true" outlineLevel="0" collapsed="false">
      <c r="A5" s="34"/>
      <c r="B5" s="35"/>
      <c r="C5" s="38"/>
      <c r="D5" s="38"/>
      <c r="E5" s="91"/>
      <c r="F5" s="38"/>
      <c r="G5" s="39" t="str">
        <f aca="false">IF(OR(C5="",D5="",E5="",F5=""),"",IFERROR(((D5*E5+F5)/C5)^(1/5)-1,"n/a"))</f>
        <v/>
      </c>
      <c r="H5" s="35"/>
      <c r="I5" s="38"/>
      <c r="J5" s="91"/>
      <c r="K5" s="38"/>
      <c r="L5" s="39" t="str">
        <f aca="false">IF(OR(C5="",I5="",J5="",K5=""),"",IFERROR(((I5*J5+K5)/C5)^(1/5)-1,"n/a"))</f>
        <v/>
      </c>
      <c r="M5" s="35"/>
      <c r="N5" s="38"/>
      <c r="O5" s="91"/>
      <c r="P5" s="38"/>
      <c r="Q5" s="39" t="str">
        <f aca="false">IF(OR(C5="",N5="",O5="",P5=""),"",IFERROR(((N5*O5+P5)/C5)^(1/5)-1,"n/a"))</f>
        <v/>
      </c>
      <c r="R5" s="35"/>
      <c r="S5" s="43" t="str">
        <f aca="false">IF(G5="","",IF(G5&gt;0.1,"PASS","FAIL"))</f>
        <v/>
      </c>
      <c r="T5" s="43" t="str">
        <f aca="false">IF(L5="","",IF(L5&gt;=0,"PASS","FAIL"))</f>
        <v/>
      </c>
      <c r="U5" s="43" t="str">
        <f aca="false">IF(COUNTA(H5,M5,R5)=0,"",IF((COUNTIF(H5,"Likely")+COUNTIF(M5,"Likely")+COUNTIF(R5,"Likely"))=1,"OK","CHECK TAGS"))</f>
        <v/>
      </c>
    </row>
    <row r="6" customFormat="false" ht="15" hidden="false" customHeight="true" outlineLevel="0" collapsed="false">
      <c r="A6" s="34"/>
      <c r="B6" s="35"/>
      <c r="C6" s="38"/>
      <c r="D6" s="38"/>
      <c r="E6" s="91"/>
      <c r="F6" s="38"/>
      <c r="G6" s="39" t="str">
        <f aca="false">IF(OR(C6="",D6="",E6="",F6=""),"",IFERROR(((D6*E6+F6)/C6)^(1/5)-1,"n/a"))</f>
        <v/>
      </c>
      <c r="H6" s="35"/>
      <c r="I6" s="38"/>
      <c r="J6" s="91"/>
      <c r="K6" s="38"/>
      <c r="L6" s="39" t="str">
        <f aca="false">IF(OR(C6="",I6="",J6="",K6=""),"",IFERROR(((I6*J6+K6)/C6)^(1/5)-1,"n/a"))</f>
        <v/>
      </c>
      <c r="M6" s="35"/>
      <c r="N6" s="38"/>
      <c r="O6" s="91"/>
      <c r="P6" s="38"/>
      <c r="Q6" s="39" t="str">
        <f aca="false">IF(OR(C6="",N6="",O6="",P6=""),"",IFERROR(((N6*O6+P6)/C6)^(1/5)-1,"n/a"))</f>
        <v/>
      </c>
      <c r="R6" s="35"/>
      <c r="S6" s="43" t="str">
        <f aca="false">IF(G6="","",IF(G6&gt;0.1,"PASS","FAIL"))</f>
        <v/>
      </c>
      <c r="T6" s="43" t="str">
        <f aca="false">IF(L6="","",IF(L6&gt;=0,"PASS","FAIL"))</f>
        <v/>
      </c>
      <c r="U6" s="43" t="str">
        <f aca="false">IF(COUNTA(H6,M6,R6)=0,"",IF((COUNTIF(H6,"Likely")+COUNTIF(M6,"Likely")+COUNTIF(R6,"Likely"))=1,"OK","CHECK TAGS"))</f>
        <v/>
      </c>
    </row>
    <row r="7" customFormat="false" ht="15" hidden="false" customHeight="true" outlineLevel="0" collapsed="false">
      <c r="A7" s="34"/>
      <c r="B7" s="35"/>
      <c r="C7" s="38"/>
      <c r="D7" s="38"/>
      <c r="E7" s="91"/>
      <c r="F7" s="38"/>
      <c r="G7" s="39" t="str">
        <f aca="false">IF(OR(C7="",D7="",E7="",F7=""),"",IFERROR(((D7*E7+F7)/C7)^(1/5)-1,"n/a"))</f>
        <v/>
      </c>
      <c r="H7" s="35"/>
      <c r="I7" s="38"/>
      <c r="J7" s="91"/>
      <c r="K7" s="38"/>
      <c r="L7" s="39" t="str">
        <f aca="false">IF(OR(C7="",I7="",J7="",K7=""),"",IFERROR(((I7*J7+K7)/C7)^(1/5)-1,"n/a"))</f>
        <v/>
      </c>
      <c r="M7" s="35"/>
      <c r="N7" s="38"/>
      <c r="O7" s="91"/>
      <c r="P7" s="38"/>
      <c r="Q7" s="39" t="str">
        <f aca="false">IF(OR(C7="",N7="",O7="",P7=""),"",IFERROR(((N7*O7+P7)/C7)^(1/5)-1,"n/a"))</f>
        <v/>
      </c>
      <c r="R7" s="35"/>
      <c r="S7" s="43" t="str">
        <f aca="false">IF(G7="","",IF(G7&gt;0.1,"PASS","FAIL"))</f>
        <v/>
      </c>
      <c r="T7" s="43" t="str">
        <f aca="false">IF(L7="","",IF(L7&gt;=0,"PASS","FAIL"))</f>
        <v/>
      </c>
      <c r="U7" s="43" t="str">
        <f aca="false">IF(COUNTA(H7,M7,R7)=0,"",IF((COUNTIF(H7,"Likely")+COUNTIF(M7,"Likely")+COUNTIF(R7,"Likely"))=1,"OK","CHECK TAGS"))</f>
        <v/>
      </c>
    </row>
    <row r="8" customFormat="false" ht="15" hidden="false" customHeight="true" outlineLevel="0" collapsed="false">
      <c r="A8" s="34"/>
      <c r="B8" s="35"/>
      <c r="C8" s="38"/>
      <c r="D8" s="38"/>
      <c r="E8" s="91"/>
      <c r="F8" s="38"/>
      <c r="G8" s="39" t="str">
        <f aca="false">IF(OR(C8="",D8="",E8="",F8=""),"",IFERROR(((D8*E8+F8)/C8)^(1/5)-1,"n/a"))</f>
        <v/>
      </c>
      <c r="H8" s="35"/>
      <c r="I8" s="38"/>
      <c r="J8" s="91"/>
      <c r="K8" s="38"/>
      <c r="L8" s="39" t="str">
        <f aca="false">IF(OR(C8="",I8="",J8="",K8=""),"",IFERROR(((I8*J8+K8)/C8)^(1/5)-1,"n/a"))</f>
        <v/>
      </c>
      <c r="M8" s="35"/>
      <c r="N8" s="38"/>
      <c r="O8" s="91"/>
      <c r="P8" s="38"/>
      <c r="Q8" s="39" t="str">
        <f aca="false">IF(OR(C8="",N8="",O8="",P8=""),"",IFERROR(((N8*O8+P8)/C8)^(1/5)-1,"n/a"))</f>
        <v/>
      </c>
      <c r="R8" s="35"/>
      <c r="S8" s="43" t="str">
        <f aca="false">IF(G8="","",IF(G8&gt;0.1,"PASS","FAIL"))</f>
        <v/>
      </c>
      <c r="T8" s="43" t="str">
        <f aca="false">IF(L8="","",IF(L8&gt;=0,"PASS","FAIL"))</f>
        <v/>
      </c>
      <c r="U8" s="43" t="str">
        <f aca="false">IF(COUNTA(H8,M8,R8)=0,"",IF((COUNTIF(H8,"Likely")+COUNTIF(M8,"Likely")+COUNTIF(R8,"Likely"))=1,"OK","CHECK TAGS"))</f>
        <v/>
      </c>
    </row>
    <row r="9" customFormat="false" ht="15" hidden="false" customHeight="true" outlineLevel="0" collapsed="false">
      <c r="A9" s="34"/>
      <c r="B9" s="35"/>
      <c r="C9" s="38"/>
      <c r="D9" s="38"/>
      <c r="E9" s="91"/>
      <c r="F9" s="38"/>
      <c r="G9" s="39" t="str">
        <f aca="false">IF(OR(C9="",D9="",E9="",F9=""),"",IFERROR(((D9*E9+F9)/C9)^(1/5)-1,"n/a"))</f>
        <v/>
      </c>
      <c r="H9" s="35"/>
      <c r="I9" s="38"/>
      <c r="J9" s="91"/>
      <c r="K9" s="38"/>
      <c r="L9" s="39" t="str">
        <f aca="false">IF(OR(C9="",I9="",J9="",K9=""),"",IFERROR(((I9*J9+K9)/C9)^(1/5)-1,"n/a"))</f>
        <v/>
      </c>
      <c r="M9" s="35"/>
      <c r="N9" s="38"/>
      <c r="O9" s="91"/>
      <c r="P9" s="38"/>
      <c r="Q9" s="39" t="str">
        <f aca="false">IF(OR(C9="",N9="",O9="",P9=""),"",IFERROR(((N9*O9+P9)/C9)^(1/5)-1,"n/a"))</f>
        <v/>
      </c>
      <c r="R9" s="35"/>
      <c r="S9" s="43" t="str">
        <f aca="false">IF(G9="","",IF(G9&gt;0.1,"PASS","FAIL"))</f>
        <v/>
      </c>
      <c r="T9" s="43" t="str">
        <f aca="false">IF(L9="","",IF(L9&gt;=0,"PASS","FAIL"))</f>
        <v/>
      </c>
      <c r="U9" s="43" t="str">
        <f aca="false">IF(COUNTA(H9,M9,R9)=0,"",IF((COUNTIF(H9,"Likely")+COUNTIF(M9,"Likely")+COUNTIF(R9,"Likely"))=1,"OK","CHECK TAGS"))</f>
        <v/>
      </c>
    </row>
    <row r="10" customFormat="false" ht="15" hidden="false" customHeight="true" outlineLevel="0" collapsed="false">
      <c r="A10" s="34"/>
      <c r="B10" s="35"/>
      <c r="C10" s="38"/>
      <c r="D10" s="38"/>
      <c r="E10" s="91"/>
      <c r="F10" s="38"/>
      <c r="G10" s="39" t="str">
        <f aca="false">IF(OR(C10="",D10="",E10="",F10=""),"",IFERROR(((D10*E10+F10)/C10)^(1/5)-1,"n/a"))</f>
        <v/>
      </c>
      <c r="H10" s="35"/>
      <c r="I10" s="38"/>
      <c r="J10" s="91"/>
      <c r="K10" s="38"/>
      <c r="L10" s="39" t="str">
        <f aca="false">IF(OR(C10="",I10="",J10="",K10=""),"",IFERROR(((I10*J10+K10)/C10)^(1/5)-1,"n/a"))</f>
        <v/>
      </c>
      <c r="M10" s="35"/>
      <c r="N10" s="38"/>
      <c r="O10" s="91"/>
      <c r="P10" s="38"/>
      <c r="Q10" s="39" t="str">
        <f aca="false">IF(OR(C10="",N10="",O10="",P10=""),"",IFERROR(((N10*O10+P10)/C10)^(1/5)-1,"n/a"))</f>
        <v/>
      </c>
      <c r="R10" s="35"/>
      <c r="S10" s="43" t="str">
        <f aca="false">IF(G10="","",IF(G10&gt;0.1,"PASS","FAIL"))</f>
        <v/>
      </c>
      <c r="T10" s="43" t="str">
        <f aca="false">IF(L10="","",IF(L10&gt;=0,"PASS","FAIL"))</f>
        <v/>
      </c>
      <c r="U10" s="43" t="str">
        <f aca="false">IF(COUNTA(H10,M10,R10)=0,"",IF((COUNTIF(H10,"Likely")+COUNTIF(M10,"Likely")+COUNTIF(R10,"Likely"))=1,"OK","CHECK TAGS"))</f>
        <v/>
      </c>
    </row>
    <row r="11" customFormat="false" ht="15" hidden="false" customHeight="true" outlineLevel="0" collapsed="false">
      <c r="A11" s="34"/>
      <c r="B11" s="35"/>
      <c r="C11" s="38"/>
      <c r="D11" s="38"/>
      <c r="E11" s="91"/>
      <c r="F11" s="38"/>
      <c r="G11" s="39" t="str">
        <f aca="false">IF(OR(C11="",D11="",E11="",F11=""),"",IFERROR(((D11*E11+F11)/C11)^(1/5)-1,"n/a"))</f>
        <v/>
      </c>
      <c r="H11" s="35"/>
      <c r="I11" s="38"/>
      <c r="J11" s="91"/>
      <c r="K11" s="38"/>
      <c r="L11" s="39" t="str">
        <f aca="false">IF(OR(C11="",I11="",J11="",K11=""),"",IFERROR(((I11*J11+K11)/C11)^(1/5)-1,"n/a"))</f>
        <v/>
      </c>
      <c r="M11" s="35"/>
      <c r="N11" s="38"/>
      <c r="O11" s="91"/>
      <c r="P11" s="38"/>
      <c r="Q11" s="39" t="str">
        <f aca="false">IF(OR(C11="",N11="",O11="",P11=""),"",IFERROR(((N11*O11+P11)/C11)^(1/5)-1,"n/a"))</f>
        <v/>
      </c>
      <c r="R11" s="35"/>
      <c r="S11" s="43" t="str">
        <f aca="false">IF(G11="","",IF(G11&gt;0.1,"PASS","FAIL"))</f>
        <v/>
      </c>
      <c r="T11" s="43" t="str">
        <f aca="false">IF(L11="","",IF(L11&gt;=0,"PASS","FAIL"))</f>
        <v/>
      </c>
      <c r="U11" s="43" t="str">
        <f aca="false">IF(COUNTA(H11,M11,R11)=0,"",IF((COUNTIF(H11,"Likely")+COUNTIF(M11,"Likely")+COUNTIF(R11,"Likely"))=1,"OK","CHECK TAGS"))</f>
        <v/>
      </c>
    </row>
    <row r="12" customFormat="false" ht="15" hidden="false" customHeight="true" outlineLevel="0" collapsed="false">
      <c r="A12" s="34"/>
      <c r="B12" s="35"/>
      <c r="C12" s="38"/>
      <c r="D12" s="38"/>
      <c r="E12" s="91"/>
      <c r="F12" s="38"/>
      <c r="G12" s="39" t="str">
        <f aca="false">IF(OR(C12="",D12="",E12="",F12=""),"",IFERROR(((D12*E12+F12)/C12)^(1/5)-1,"n/a"))</f>
        <v/>
      </c>
      <c r="H12" s="35"/>
      <c r="I12" s="38"/>
      <c r="J12" s="91"/>
      <c r="K12" s="38"/>
      <c r="L12" s="39" t="str">
        <f aca="false">IF(OR(C12="",I12="",J12="",K12=""),"",IFERROR(((I12*J12+K12)/C12)^(1/5)-1,"n/a"))</f>
        <v/>
      </c>
      <c r="M12" s="35"/>
      <c r="N12" s="38"/>
      <c r="O12" s="91"/>
      <c r="P12" s="38"/>
      <c r="Q12" s="39" t="str">
        <f aca="false">IF(OR(C12="",N12="",O12="",P12=""),"",IFERROR(((N12*O12+P12)/C12)^(1/5)-1,"n/a"))</f>
        <v/>
      </c>
      <c r="R12" s="35"/>
      <c r="S12" s="43" t="str">
        <f aca="false">IF(G12="","",IF(G12&gt;0.1,"PASS","FAIL"))</f>
        <v/>
      </c>
      <c r="T12" s="43" t="str">
        <f aca="false">IF(L12="","",IF(L12&gt;=0,"PASS","FAIL"))</f>
        <v/>
      </c>
      <c r="U12" s="43" t="str">
        <f aca="false">IF(COUNTA(H12,M12,R12)=0,"",IF((COUNTIF(H12,"Likely")+COUNTIF(M12,"Likely")+COUNTIF(R12,"Likely"))=1,"OK","CHECK TAGS"))</f>
        <v/>
      </c>
    </row>
    <row r="13" customFormat="false" ht="15" hidden="false" customHeight="true" outlineLevel="0" collapsed="false">
      <c r="A13" s="34"/>
      <c r="B13" s="35"/>
      <c r="C13" s="38"/>
      <c r="D13" s="38"/>
      <c r="E13" s="91"/>
      <c r="F13" s="38"/>
      <c r="G13" s="39" t="str">
        <f aca="false">IF(OR(C13="",D13="",E13="",F13=""),"",IFERROR(((D13*E13+F13)/C13)^(1/5)-1,"n/a"))</f>
        <v/>
      </c>
      <c r="H13" s="35"/>
      <c r="I13" s="38"/>
      <c r="J13" s="91"/>
      <c r="K13" s="38"/>
      <c r="L13" s="39" t="str">
        <f aca="false">IF(OR(C13="",I13="",J13="",K13=""),"",IFERROR(((I13*J13+K13)/C13)^(1/5)-1,"n/a"))</f>
        <v/>
      </c>
      <c r="M13" s="35"/>
      <c r="N13" s="38"/>
      <c r="O13" s="91"/>
      <c r="P13" s="38"/>
      <c r="Q13" s="39" t="str">
        <f aca="false">IF(OR(C13="",N13="",O13="",P13=""),"",IFERROR(((N13*O13+P13)/C13)^(1/5)-1,"n/a"))</f>
        <v/>
      </c>
      <c r="R13" s="35"/>
      <c r="S13" s="43" t="str">
        <f aca="false">IF(G13="","",IF(G13&gt;0.1,"PASS","FAIL"))</f>
        <v/>
      </c>
      <c r="T13" s="43" t="str">
        <f aca="false">IF(L13="","",IF(L13&gt;=0,"PASS","FAIL"))</f>
        <v/>
      </c>
      <c r="U13" s="43" t="str">
        <f aca="false">IF(COUNTA(H13,M13,R13)=0,"",IF((COUNTIF(H13,"Likely")+COUNTIF(M13,"Likely")+COUNTIF(R13,"Likely"))=1,"OK","CHECK TAGS"))</f>
        <v/>
      </c>
    </row>
    <row r="14" customFormat="false" ht="15" hidden="false" customHeight="true" outlineLevel="0" collapsed="false">
      <c r="A14" s="34"/>
      <c r="B14" s="35"/>
      <c r="C14" s="38"/>
      <c r="D14" s="38"/>
      <c r="E14" s="91"/>
      <c r="F14" s="38"/>
      <c r="G14" s="39" t="str">
        <f aca="false">IF(OR(C14="",D14="",E14="",F14=""),"",IFERROR(((D14*E14+F14)/C14)^(1/5)-1,"n/a"))</f>
        <v/>
      </c>
      <c r="H14" s="35"/>
      <c r="I14" s="38"/>
      <c r="J14" s="91"/>
      <c r="K14" s="38"/>
      <c r="L14" s="39" t="str">
        <f aca="false">IF(OR(C14="",I14="",J14="",K14=""),"",IFERROR(((I14*J14+K14)/C14)^(1/5)-1,"n/a"))</f>
        <v/>
      </c>
      <c r="M14" s="35"/>
      <c r="N14" s="38"/>
      <c r="O14" s="91"/>
      <c r="P14" s="38"/>
      <c r="Q14" s="39" t="str">
        <f aca="false">IF(OR(C14="",N14="",O14="",P14=""),"",IFERROR(((N14*O14+P14)/C14)^(1/5)-1,"n/a"))</f>
        <v/>
      </c>
      <c r="R14" s="35"/>
      <c r="S14" s="43" t="str">
        <f aca="false">IF(G14="","",IF(G14&gt;0.1,"PASS","FAIL"))</f>
        <v/>
      </c>
      <c r="T14" s="43" t="str">
        <f aca="false">IF(L14="","",IF(L14&gt;=0,"PASS","FAIL"))</f>
        <v/>
      </c>
      <c r="U14" s="43" t="str">
        <f aca="false">IF(COUNTA(H14,M14,R14)=0,"",IF((COUNTIF(H14,"Likely")+COUNTIF(M14,"Likely")+COUNTIF(R14,"Likely"))=1,"OK","CHECK TAGS"))</f>
        <v/>
      </c>
    </row>
    <row r="15" customFormat="false" ht="15" hidden="false" customHeight="true" outlineLevel="0" collapsed="false">
      <c r="A15" s="34"/>
      <c r="B15" s="35"/>
      <c r="C15" s="38"/>
      <c r="D15" s="38"/>
      <c r="E15" s="91"/>
      <c r="F15" s="38"/>
      <c r="G15" s="39" t="str">
        <f aca="false">IF(OR(C15="",D15="",E15="",F15=""),"",IFERROR(((D15*E15+F15)/C15)^(1/5)-1,"n/a"))</f>
        <v/>
      </c>
      <c r="H15" s="35"/>
      <c r="I15" s="38"/>
      <c r="J15" s="91"/>
      <c r="K15" s="38"/>
      <c r="L15" s="39" t="str">
        <f aca="false">IF(OR(C15="",I15="",J15="",K15=""),"",IFERROR(((I15*J15+K15)/C15)^(1/5)-1,"n/a"))</f>
        <v/>
      </c>
      <c r="M15" s="35"/>
      <c r="N15" s="38"/>
      <c r="O15" s="91"/>
      <c r="P15" s="38"/>
      <c r="Q15" s="39" t="str">
        <f aca="false">IF(OR(C15="",N15="",O15="",P15=""),"",IFERROR(((N15*O15+P15)/C15)^(1/5)-1,"n/a"))</f>
        <v/>
      </c>
      <c r="R15" s="35"/>
      <c r="S15" s="43" t="str">
        <f aca="false">IF(G15="","",IF(G15&gt;0.1,"PASS","FAIL"))</f>
        <v/>
      </c>
      <c r="T15" s="43" t="str">
        <f aca="false">IF(L15="","",IF(L15&gt;=0,"PASS","FAIL"))</f>
        <v/>
      </c>
      <c r="U15" s="43" t="str">
        <f aca="false">IF(COUNTA(H15,M15,R15)=0,"",IF((COUNTIF(H15,"Likely")+COUNTIF(M15,"Likely")+COUNTIF(R15,"Likely"))=1,"OK","CHECK TAGS"))</f>
        <v/>
      </c>
    </row>
    <row r="16" customFormat="false" ht="15" hidden="false" customHeight="true" outlineLevel="0" collapsed="false">
      <c r="A16" s="34"/>
      <c r="B16" s="35"/>
      <c r="C16" s="38"/>
      <c r="D16" s="38"/>
      <c r="E16" s="91"/>
      <c r="F16" s="38"/>
      <c r="G16" s="39" t="str">
        <f aca="false">IF(OR(C16="",D16="",E16="",F16=""),"",IFERROR(((D16*E16+F16)/C16)^(1/5)-1,"n/a"))</f>
        <v/>
      </c>
      <c r="H16" s="35"/>
      <c r="I16" s="38"/>
      <c r="J16" s="91"/>
      <c r="K16" s="38"/>
      <c r="L16" s="39" t="str">
        <f aca="false">IF(OR(C16="",I16="",J16="",K16=""),"",IFERROR(((I16*J16+K16)/C16)^(1/5)-1,"n/a"))</f>
        <v/>
      </c>
      <c r="M16" s="35"/>
      <c r="N16" s="38"/>
      <c r="O16" s="91"/>
      <c r="P16" s="38"/>
      <c r="Q16" s="39" t="str">
        <f aca="false">IF(OR(C16="",N16="",O16="",P16=""),"",IFERROR(((N16*O16+P16)/C16)^(1/5)-1,"n/a"))</f>
        <v/>
      </c>
      <c r="R16" s="35"/>
      <c r="S16" s="43" t="str">
        <f aca="false">IF(G16="","",IF(G16&gt;0.1,"PASS","FAIL"))</f>
        <v/>
      </c>
      <c r="T16" s="43" t="str">
        <f aca="false">IF(L16="","",IF(L16&gt;=0,"PASS","FAIL"))</f>
        <v/>
      </c>
      <c r="U16" s="43" t="str">
        <f aca="false">IF(COUNTA(H16,M16,R16)=0,"",IF((COUNTIF(H16,"Likely")+COUNTIF(M16,"Likely")+COUNTIF(R16,"Likely"))=1,"OK","CHECK TAGS"))</f>
        <v/>
      </c>
    </row>
    <row r="17" customFormat="false" ht="15" hidden="false" customHeight="true" outlineLevel="0" collapsed="false">
      <c r="A17" s="34"/>
      <c r="B17" s="35"/>
      <c r="C17" s="38"/>
      <c r="D17" s="38"/>
      <c r="E17" s="91"/>
      <c r="F17" s="38"/>
      <c r="G17" s="39" t="str">
        <f aca="false">IF(OR(C17="",D17="",E17="",F17=""),"",IFERROR(((D17*E17+F17)/C17)^(1/5)-1,"n/a"))</f>
        <v/>
      </c>
      <c r="H17" s="35"/>
      <c r="I17" s="38"/>
      <c r="J17" s="91"/>
      <c r="K17" s="38"/>
      <c r="L17" s="39" t="str">
        <f aca="false">IF(OR(C17="",I17="",J17="",K17=""),"",IFERROR(((I17*J17+K17)/C17)^(1/5)-1,"n/a"))</f>
        <v/>
      </c>
      <c r="M17" s="35"/>
      <c r="N17" s="38"/>
      <c r="O17" s="91"/>
      <c r="P17" s="38"/>
      <c r="Q17" s="39" t="str">
        <f aca="false">IF(OR(C17="",N17="",O17="",P17=""),"",IFERROR(((N17*O17+P17)/C17)^(1/5)-1,"n/a"))</f>
        <v/>
      </c>
      <c r="R17" s="35"/>
      <c r="S17" s="43" t="str">
        <f aca="false">IF(G17="","",IF(G17&gt;0.1,"PASS","FAIL"))</f>
        <v/>
      </c>
      <c r="T17" s="43" t="str">
        <f aca="false">IF(L17="","",IF(L17&gt;=0,"PASS","FAIL"))</f>
        <v/>
      </c>
      <c r="U17" s="43" t="str">
        <f aca="false">IF(COUNTA(H17,M17,R17)=0,"",IF((COUNTIF(H17,"Likely")+COUNTIF(M17,"Likely")+COUNTIF(R17,"Likely"))=1,"OK","CHECK TAGS"))</f>
        <v/>
      </c>
    </row>
    <row r="18" customFormat="false" ht="15" hidden="false" customHeight="true" outlineLevel="0" collapsed="false">
      <c r="A18" s="34"/>
      <c r="B18" s="35"/>
      <c r="C18" s="38"/>
      <c r="D18" s="38"/>
      <c r="E18" s="91"/>
      <c r="F18" s="38"/>
      <c r="G18" s="39" t="str">
        <f aca="false">IF(OR(C18="",D18="",E18="",F18=""),"",IFERROR(((D18*E18+F18)/C18)^(1/5)-1,"n/a"))</f>
        <v/>
      </c>
      <c r="H18" s="35"/>
      <c r="I18" s="38"/>
      <c r="J18" s="91"/>
      <c r="K18" s="38"/>
      <c r="L18" s="39" t="str">
        <f aca="false">IF(OR(C18="",I18="",J18="",K18=""),"",IFERROR(((I18*J18+K18)/C18)^(1/5)-1,"n/a"))</f>
        <v/>
      </c>
      <c r="M18" s="35"/>
      <c r="N18" s="38"/>
      <c r="O18" s="91"/>
      <c r="P18" s="38"/>
      <c r="Q18" s="39" t="str">
        <f aca="false">IF(OR(C18="",N18="",O18="",P18=""),"",IFERROR(((N18*O18+P18)/C18)^(1/5)-1,"n/a"))</f>
        <v/>
      </c>
      <c r="R18" s="35"/>
      <c r="S18" s="43" t="str">
        <f aca="false">IF(G18="","",IF(G18&gt;0.1,"PASS","FAIL"))</f>
        <v/>
      </c>
      <c r="T18" s="43" t="str">
        <f aca="false">IF(L18="","",IF(L18&gt;=0,"PASS","FAIL"))</f>
        <v/>
      </c>
      <c r="U18" s="43" t="str">
        <f aca="false">IF(COUNTA(H18,M18,R18)=0,"",IF((COUNTIF(H18,"Likely")+COUNTIF(M18,"Likely")+COUNTIF(R18,"Likely"))=1,"OK","CHECK TAGS"))</f>
        <v/>
      </c>
    </row>
    <row r="19" customFormat="false" ht="15" hidden="false" customHeight="true" outlineLevel="0" collapsed="false">
      <c r="A19" s="34"/>
      <c r="B19" s="35"/>
      <c r="C19" s="38"/>
      <c r="D19" s="38"/>
      <c r="E19" s="91"/>
      <c r="F19" s="38"/>
      <c r="G19" s="39" t="str">
        <f aca="false">IF(OR(C19="",D19="",E19="",F19=""),"",IFERROR(((D19*E19+F19)/C19)^(1/5)-1,"n/a"))</f>
        <v/>
      </c>
      <c r="H19" s="35"/>
      <c r="I19" s="38"/>
      <c r="J19" s="91"/>
      <c r="K19" s="38"/>
      <c r="L19" s="39" t="str">
        <f aca="false">IF(OR(C19="",I19="",J19="",K19=""),"",IFERROR(((I19*J19+K19)/C19)^(1/5)-1,"n/a"))</f>
        <v/>
      </c>
      <c r="M19" s="35"/>
      <c r="N19" s="38"/>
      <c r="O19" s="91"/>
      <c r="P19" s="38"/>
      <c r="Q19" s="39" t="str">
        <f aca="false">IF(OR(C19="",N19="",O19="",P19=""),"",IFERROR(((N19*O19+P19)/C19)^(1/5)-1,"n/a"))</f>
        <v/>
      </c>
      <c r="R19" s="35"/>
      <c r="S19" s="43" t="str">
        <f aca="false">IF(G19="","",IF(G19&gt;0.1,"PASS","FAIL"))</f>
        <v/>
      </c>
      <c r="T19" s="43" t="str">
        <f aca="false">IF(L19="","",IF(L19&gt;=0,"PASS","FAIL"))</f>
        <v/>
      </c>
      <c r="U19" s="43" t="str">
        <f aca="false">IF(COUNTA(H19,M19,R19)=0,"",IF((COUNTIF(H19,"Likely")+COUNTIF(M19,"Likely")+COUNTIF(R19,"Likely"))=1,"OK","CHECK TAGS"))</f>
        <v/>
      </c>
    </row>
    <row r="20" customFormat="false" ht="15" hidden="false" customHeight="true" outlineLevel="0" collapsed="false">
      <c r="A20" s="34" t="s">
        <v>228</v>
      </c>
      <c r="B20" s="35" t="s">
        <v>479</v>
      </c>
      <c r="C20" s="38" t="n">
        <v>967.17</v>
      </c>
      <c r="D20" s="38" t="n">
        <v>23.11</v>
      </c>
      <c r="E20" s="91" t="n">
        <v>61.48</v>
      </c>
      <c r="F20" s="38" t="n">
        <v>32</v>
      </c>
      <c r="G20" s="39" t="n">
        <f aca="false">IF(OR(C20="",D20="",E20="",F20=""),"",IFERROR(((D20*E20+F20)/C20)^(1/5)-1,"n/a"))</f>
        <v>0.0847777537329333</v>
      </c>
      <c r="H20" s="35" t="s">
        <v>480</v>
      </c>
      <c r="I20" s="38" t="n">
        <v>19.14</v>
      </c>
      <c r="J20" s="91" t="n">
        <v>50</v>
      </c>
      <c r="K20" s="38" t="n">
        <v>28</v>
      </c>
      <c r="L20" s="39" t="n">
        <f aca="false">IF(OR(C20="",I20="",J20="",K20=""),"",IFERROR(((I20*J20+K20)/C20)^(1/5)-1,"n/a"))</f>
        <v>0.00366015400817998</v>
      </c>
      <c r="M20" s="35" t="s">
        <v>480</v>
      </c>
      <c r="N20" s="38" t="n">
        <v>26.51</v>
      </c>
      <c r="O20" s="91" t="n">
        <v>61.48</v>
      </c>
      <c r="P20" s="38" t="n">
        <v>35</v>
      </c>
      <c r="Q20" s="39" t="n">
        <f aca="false">IF(OR(C20="",N20="",O20="",P20=""),"",IFERROR(((N20*O20+P20)/C20)^(1/5)-1,"n/a"))</f>
        <v>0.114740206784953</v>
      </c>
      <c r="R20" s="35" t="s">
        <v>481</v>
      </c>
      <c r="S20" s="43" t="str">
        <f aca="false">IF(G20="","",IF(G20&gt;0.1,"PASS","FAIL"))</f>
        <v>FAIL</v>
      </c>
      <c r="T20" s="43" t="str">
        <f aca="false">IF(L20="","",IF(L20&gt;=0,"PASS","FAIL"))</f>
        <v>PASS</v>
      </c>
      <c r="U20" s="43" t="str">
        <f aca="false">IF(COUNTA(H20,M20,R20)=0,"",IF((COUNTIF(H20,"Likely")+COUNTIF(M20,"Likely")+COUNTIF(R20,"Likely"))=1,"OK","CHECK TAGS"))</f>
        <v>OK</v>
      </c>
    </row>
    <row r="21" customFormat="false" ht="15" hidden="false" customHeight="true" outlineLevel="0" collapsed="false">
      <c r="A21" s="34" t="s">
        <v>119</v>
      </c>
      <c r="B21" s="35" t="s">
        <v>120</v>
      </c>
      <c r="C21" s="38" t="n">
        <v>380.63</v>
      </c>
      <c r="D21" s="38" t="n">
        <v>17.84</v>
      </c>
      <c r="E21" s="91" t="n">
        <v>34.36</v>
      </c>
      <c r="F21" s="38" t="n">
        <v>16</v>
      </c>
      <c r="G21" s="39" t="n">
        <f aca="false">IF(OR(C21="",D21="",E21="",F21=""),"",IFERROR(((D21*E21+F21)/C21)^(1/5)-1,"n/a"))</f>
        <v>0.105673995986338</v>
      </c>
      <c r="H21" s="35" t="s">
        <v>481</v>
      </c>
      <c r="I21" s="38" t="n">
        <v>14.14</v>
      </c>
      <c r="J21" s="91" t="n">
        <v>28</v>
      </c>
      <c r="K21" s="38" t="n">
        <v>14</v>
      </c>
      <c r="L21" s="39" t="n">
        <f aca="false">IF(OR(C21="",I21="",J21="",K21=""),"",IFERROR(((I21*J21+K21)/C21)^(1/5)-1,"n/a"))</f>
        <v>0.0149373117952127</v>
      </c>
      <c r="M21" s="35" t="s">
        <v>480</v>
      </c>
      <c r="N21" s="38" t="n">
        <v>21.33</v>
      </c>
      <c r="O21" s="91" t="n">
        <v>38</v>
      </c>
      <c r="P21" s="38" t="n">
        <v>18</v>
      </c>
      <c r="Q21" s="39" t="n">
        <f aca="false">IF(OR(C21="",N21="",O21="",P21=""),"",IFERROR(((N21*O21+P21)/C21)^(1/5)-1,"n/a"))</f>
        <v>0.168320757920451</v>
      </c>
      <c r="R21" s="35" t="s">
        <v>480</v>
      </c>
      <c r="S21" s="43" t="str">
        <f aca="false">IF(G21="","",IF(G21&gt;0.1,"PASS","FAIL"))</f>
        <v>PASS</v>
      </c>
      <c r="T21" s="43" t="str">
        <f aca="false">IF(L21="","",IF(L21&gt;=0,"PASS","FAIL"))</f>
        <v>PASS</v>
      </c>
      <c r="U21" s="43" t="str">
        <f aca="false">IF(COUNTA(H21,M21,R21)=0,"",IF((COUNTIF(H21,"Likely")+COUNTIF(M21,"Likely")+COUNTIF(R21,"Likely"))=1,"OK","CHECK TAGS"))</f>
        <v>OK</v>
      </c>
    </row>
    <row r="22" customFormat="false" ht="15" hidden="false" customHeight="true" outlineLevel="0" collapsed="false">
      <c r="A22" s="34"/>
      <c r="B22" s="35"/>
      <c r="C22" s="38"/>
      <c r="D22" s="38"/>
      <c r="E22" s="91"/>
      <c r="F22" s="38"/>
      <c r="G22" s="39" t="str">
        <f aca="false">IF(OR(C22="",D22="",E22="",F22=""),"",IFERROR(((D22*E22+F22)/C22)^(1/5)-1,"n/a"))</f>
        <v/>
      </c>
      <c r="H22" s="35"/>
      <c r="I22" s="38"/>
      <c r="J22" s="91"/>
      <c r="K22" s="38"/>
      <c r="L22" s="39" t="str">
        <f aca="false">IF(OR(C22="",I22="",J22="",K22=""),"",IFERROR(((I22*J22+K22)/C22)^(1/5)-1,"n/a"))</f>
        <v/>
      </c>
      <c r="M22" s="35"/>
      <c r="N22" s="38"/>
      <c r="O22" s="91"/>
      <c r="P22" s="38"/>
      <c r="Q22" s="39" t="str">
        <f aca="false">IF(OR(C22="",N22="",O22="",P22=""),"",IFERROR(((N22*O22+P22)/C22)^(1/5)-1,"n/a"))</f>
        <v/>
      </c>
      <c r="R22" s="35"/>
      <c r="S22" s="43" t="str">
        <f aca="false">IF(G22="","",IF(G22&gt;0.1,"PASS","FAIL"))</f>
        <v/>
      </c>
      <c r="T22" s="43" t="str">
        <f aca="false">IF(L22="","",IF(L22&gt;=0,"PASS","FAIL"))</f>
        <v/>
      </c>
      <c r="U22" s="43" t="str">
        <f aca="false">IF(COUNTA(H22,M22,R22)=0,"",IF((COUNTIF(H22,"Likely")+COUNTIF(M22,"Likely")+COUNTIF(R22,"Likely"))=1,"OK","CHECK TAGS"))</f>
        <v/>
      </c>
    </row>
    <row r="23" customFormat="false" ht="15" hidden="false" customHeight="true" outlineLevel="0" collapsed="false">
      <c r="A23" s="34"/>
      <c r="B23" s="35"/>
      <c r="C23" s="38"/>
      <c r="D23" s="38"/>
      <c r="E23" s="91"/>
      <c r="F23" s="38"/>
      <c r="G23" s="39" t="str">
        <f aca="false">IF(OR(C23="",D23="",E23="",F23=""),"",IFERROR(((D23*E23+F23)/C23)^(1/5)-1,"n/a"))</f>
        <v/>
      </c>
      <c r="H23" s="35"/>
      <c r="I23" s="38"/>
      <c r="J23" s="91"/>
      <c r="K23" s="38"/>
      <c r="L23" s="39" t="str">
        <f aca="false">IF(OR(C23="",I23="",J23="",K23=""),"",IFERROR(((I23*J23+K23)/C23)^(1/5)-1,"n/a"))</f>
        <v/>
      </c>
      <c r="M23" s="35"/>
      <c r="N23" s="38"/>
      <c r="O23" s="91"/>
      <c r="P23" s="38"/>
      <c r="Q23" s="39" t="str">
        <f aca="false">IF(OR(C23="",N23="",O23="",P23=""),"",IFERROR(((N23*O23+P23)/C23)^(1/5)-1,"n/a"))</f>
        <v/>
      </c>
      <c r="R23" s="35"/>
      <c r="S23" s="43" t="str">
        <f aca="false">IF(G23="","",IF(G23&gt;0.1,"PASS","FAIL"))</f>
        <v/>
      </c>
      <c r="T23" s="43" t="str">
        <f aca="false">IF(L23="","",IF(L23&gt;=0,"PASS","FAIL"))</f>
        <v/>
      </c>
      <c r="U23" s="43" t="str">
        <f aca="false">IF(COUNTA(H23,M23,R23)=0,"",IF((COUNTIF(H23,"Likely")+COUNTIF(M23,"Likely")+COUNTIF(R23,"Likely"))=1,"OK","CHECK TAGS"))</f>
        <v/>
      </c>
    </row>
    <row r="24" customFormat="false" ht="15" hidden="false" customHeight="true" outlineLevel="0" collapsed="false">
      <c r="A24" s="128"/>
      <c r="B24" s="128"/>
      <c r="C24" s="129"/>
      <c r="D24" s="129"/>
      <c r="E24" s="130"/>
      <c r="F24" s="129"/>
      <c r="G24" s="131" t="str">
        <f aca="false">IF(OR(C24="",D24="",E24="",F24=""),"",IFERROR(((D24*E24+F24)/C24)^(1/5)-1,"n/a"))</f>
        <v/>
      </c>
      <c r="H24" s="128"/>
      <c r="I24" s="129"/>
      <c r="J24" s="130"/>
      <c r="K24" s="129"/>
      <c r="L24" s="131" t="str">
        <f aca="false">IF(OR(C24="",I24="",J24="",K24=""),"",IFERROR(((I24*J24+K24)/C24)^(1/5)-1,"n/a"))</f>
        <v/>
      </c>
      <c r="M24" s="128"/>
      <c r="N24" s="129"/>
      <c r="O24" s="130"/>
      <c r="P24" s="129"/>
      <c r="Q24" s="131" t="str">
        <f aca="false">IF(OR(C24="",N24="",O24="",P24=""),"",IFERROR(((N24*O24+P24)/C24)^(1/5)-1,"n/a"))</f>
        <v/>
      </c>
      <c r="R24" s="128"/>
      <c r="S24" s="1" t="str">
        <f aca="false">IF(G24="","",IF(G24&gt;0.1,"PASS","FAIL"))</f>
        <v/>
      </c>
      <c r="T24" s="1" t="str">
        <f aca="false">IF(L24="","",IF(L24&gt;=0,"PASS","FAIL"))</f>
        <v/>
      </c>
      <c r="U24" s="1" t="str">
        <f aca="false">IF(COUNTA(H24,M24,R24)=0,"",IF((COUNTIF(H24,"Likely")+COUNTIF(M24,"Likely")+COUNTIF(R24,"Likely"))=1,"OK","CHECK TAGS"))</f>
        <v/>
      </c>
    </row>
    <row r="25" customFormat="false" ht="15" hidden="false" customHeight="true" outlineLevel="0" collapsed="false">
      <c r="A25" s="128"/>
      <c r="B25" s="128"/>
      <c r="C25" s="129"/>
      <c r="D25" s="129"/>
      <c r="E25" s="130"/>
      <c r="F25" s="129"/>
      <c r="G25" s="131" t="str">
        <f aca="false">IF(OR(C25="",D25="",E25="",F25=""),"",IFERROR(((D25*E25+F25)/C25)^(1/5)-1,"n/a"))</f>
        <v/>
      </c>
      <c r="H25" s="128"/>
      <c r="I25" s="129"/>
      <c r="J25" s="130"/>
      <c r="K25" s="129"/>
      <c r="L25" s="131" t="str">
        <f aca="false">IF(OR(C25="",I25="",J25="",K25=""),"",IFERROR(((I25*J25+K25)/C25)^(1/5)-1,"n/a"))</f>
        <v/>
      </c>
      <c r="M25" s="128"/>
      <c r="N25" s="129"/>
      <c r="O25" s="130"/>
      <c r="P25" s="129"/>
      <c r="Q25" s="131" t="str">
        <f aca="false">IF(OR(C25="",N25="",O25="",P25=""),"",IFERROR(((N25*O25+P25)/C25)^(1/5)-1,"n/a"))</f>
        <v/>
      </c>
      <c r="R25" s="128"/>
      <c r="S25" s="1" t="str">
        <f aca="false">IF(G25="","",IF(G25&gt;0.1,"PASS","FAIL"))</f>
        <v/>
      </c>
      <c r="T25" s="1" t="str">
        <f aca="false">IF(L25="","",IF(L25&gt;=0,"PASS","FAIL"))</f>
        <v/>
      </c>
      <c r="U25" s="1" t="str">
        <f aca="false">IF(COUNTA(H25,M25,R25)=0,"",IF((COUNTIF(H25,"Likely")+COUNTIF(M25,"Likely")+COUNTIF(R25,"Likely"))=1,"OK","CHECK TAGS"))</f>
        <v/>
      </c>
    </row>
    <row r="26" customFormat="false" ht="15" hidden="false" customHeight="true" outlineLevel="0" collapsed="false">
      <c r="A26" s="128"/>
      <c r="B26" s="128"/>
      <c r="C26" s="129"/>
      <c r="D26" s="129"/>
      <c r="E26" s="130"/>
      <c r="F26" s="129"/>
      <c r="G26" s="131" t="str">
        <f aca="false">IF(OR(C26="",D26="",E26="",F26=""),"",IFERROR(((D26*E26+F26)/C26)^(1/5)-1,"n/a"))</f>
        <v/>
      </c>
      <c r="H26" s="128"/>
      <c r="I26" s="129"/>
      <c r="J26" s="130"/>
      <c r="K26" s="129"/>
      <c r="L26" s="131" t="str">
        <f aca="false">IF(OR(C26="",I26="",J26="",K26=""),"",IFERROR(((I26*J26+K26)/C26)^(1/5)-1,"n/a"))</f>
        <v/>
      </c>
      <c r="M26" s="128"/>
      <c r="N26" s="129"/>
      <c r="O26" s="130"/>
      <c r="P26" s="129"/>
      <c r="Q26" s="131" t="str">
        <f aca="false">IF(OR(C26="",N26="",O26="",P26=""),"",IFERROR(((N26*O26+P26)/C26)^(1/5)-1,"n/a"))</f>
        <v/>
      </c>
      <c r="R26" s="128"/>
      <c r="S26" s="1" t="str">
        <f aca="false">IF(G26="","",IF(G26&gt;0.1,"PASS","FAIL"))</f>
        <v/>
      </c>
      <c r="T26" s="1" t="str">
        <f aca="false">IF(L26="","",IF(L26&gt;=0,"PASS","FAIL"))</f>
        <v/>
      </c>
      <c r="U26" s="1" t="str">
        <f aca="false">IF(COUNTA(H26,M26,R26)=0,"",IF((COUNTIF(H26,"Likely")+COUNTIF(M26,"Likely")+COUNTIF(R26,"Likely"))=1,"OK","CHECK TAGS"))</f>
        <v/>
      </c>
    </row>
    <row r="27" customFormat="false" ht="15" hidden="false" customHeight="true" outlineLevel="0" collapsed="false">
      <c r="A27" s="128"/>
      <c r="B27" s="128"/>
      <c r="C27" s="129"/>
      <c r="D27" s="129"/>
      <c r="E27" s="130"/>
      <c r="F27" s="129"/>
      <c r="G27" s="131" t="str">
        <f aca="false">IF(OR(C27="",D27="",E27="",F27=""),"",IFERROR(((D27*E27+F27)/C27)^(1/5)-1,"n/a"))</f>
        <v/>
      </c>
      <c r="H27" s="128"/>
      <c r="I27" s="129"/>
      <c r="J27" s="130"/>
      <c r="K27" s="129"/>
      <c r="L27" s="131" t="str">
        <f aca="false">IF(OR(C27="",I27="",J27="",K27=""),"",IFERROR(((I27*J27+K27)/C27)^(1/5)-1,"n/a"))</f>
        <v/>
      </c>
      <c r="M27" s="128"/>
      <c r="N27" s="129"/>
      <c r="O27" s="130"/>
      <c r="P27" s="129"/>
      <c r="Q27" s="131" t="str">
        <f aca="false">IF(OR(C27="",N27="",O27="",P27=""),"",IFERROR(((N27*O27+P27)/C27)^(1/5)-1,"n/a"))</f>
        <v/>
      </c>
      <c r="R27" s="128"/>
      <c r="S27" s="1" t="str">
        <f aca="false">IF(G27="","",IF(G27&gt;0.1,"PASS","FAIL"))</f>
        <v/>
      </c>
      <c r="T27" s="1" t="str">
        <f aca="false">IF(L27="","",IF(L27&gt;=0,"PASS","FAIL"))</f>
        <v/>
      </c>
      <c r="U27" s="1" t="str">
        <f aca="false">IF(COUNTA(H27,M27,R27)=0,"",IF((COUNTIF(H27,"Likely")+COUNTIF(M27,"Likely")+COUNTIF(R27,"Likely"))=1,"OK","CHECK TAGS"))</f>
        <v/>
      </c>
    </row>
    <row r="28" customFormat="false" ht="15" hidden="false" customHeight="true" outlineLevel="0" collapsed="false">
      <c r="A28" s="128"/>
      <c r="B28" s="128"/>
      <c r="C28" s="129"/>
      <c r="D28" s="129"/>
      <c r="E28" s="130"/>
      <c r="F28" s="129"/>
      <c r="G28" s="131" t="str">
        <f aca="false">IF(OR(C28="",D28="",E28="",F28=""),"",IFERROR(((D28*E28+F28)/C28)^(1/5)-1,"n/a"))</f>
        <v/>
      </c>
      <c r="H28" s="128"/>
      <c r="I28" s="129"/>
      <c r="J28" s="130"/>
      <c r="K28" s="129"/>
      <c r="L28" s="131" t="str">
        <f aca="false">IF(OR(C28="",I28="",J28="",K28=""),"",IFERROR(((I28*J28+K28)/C28)^(1/5)-1,"n/a"))</f>
        <v/>
      </c>
      <c r="M28" s="128"/>
      <c r="N28" s="129"/>
      <c r="O28" s="130"/>
      <c r="P28" s="129"/>
      <c r="Q28" s="131" t="str">
        <f aca="false">IF(OR(C28="",N28="",O28="",P28=""),"",IFERROR(((N28*O28+P28)/C28)^(1/5)-1,"n/a"))</f>
        <v/>
      </c>
      <c r="R28" s="128"/>
      <c r="S28" s="1" t="str">
        <f aca="false">IF(G28="","",IF(G28&gt;0.1,"PASS","FAIL"))</f>
        <v/>
      </c>
      <c r="T28" s="1" t="str">
        <f aca="false">IF(L28="","",IF(L28&gt;=0,"PASS","FAIL"))</f>
        <v/>
      </c>
      <c r="U28" s="1" t="str">
        <f aca="false">IF(COUNTA(H28,M28,R28)=0,"",IF((COUNTIF(H28,"Likely")+COUNTIF(M28,"Likely")+COUNTIF(R28,"Likely"))=1,"OK","CHECK TAGS"))</f>
        <v/>
      </c>
    </row>
    <row r="29" customFormat="false" ht="15" hidden="false" customHeight="true" outlineLevel="0" collapsed="false">
      <c r="A29" s="128"/>
      <c r="B29" s="128"/>
      <c r="C29" s="129"/>
      <c r="D29" s="129"/>
      <c r="E29" s="130"/>
      <c r="F29" s="129"/>
      <c r="G29" s="131" t="str">
        <f aca="false">IF(OR(C29="",D29="",E29="",F29=""),"",IFERROR(((D29*E29+F29)/C29)^(1/5)-1,"n/a"))</f>
        <v/>
      </c>
      <c r="H29" s="128"/>
      <c r="I29" s="129"/>
      <c r="J29" s="130"/>
      <c r="K29" s="129"/>
      <c r="L29" s="131" t="str">
        <f aca="false">IF(OR(C29="",I29="",J29="",K29=""),"",IFERROR(((I29*J29+K29)/C29)^(1/5)-1,"n/a"))</f>
        <v/>
      </c>
      <c r="M29" s="128"/>
      <c r="N29" s="129"/>
      <c r="O29" s="130"/>
      <c r="P29" s="129"/>
      <c r="Q29" s="131" t="str">
        <f aca="false">IF(OR(C29="",N29="",O29="",P29=""),"",IFERROR(((N29*O29+P29)/C29)^(1/5)-1,"n/a"))</f>
        <v/>
      </c>
      <c r="R29" s="128"/>
      <c r="S29" s="1" t="str">
        <f aca="false">IF(G29="","",IF(G29&gt;0.1,"PASS","FAIL"))</f>
        <v/>
      </c>
      <c r="T29" s="1" t="str">
        <f aca="false">IF(L29="","",IF(L29&gt;=0,"PASS","FAIL"))</f>
        <v/>
      </c>
      <c r="U29" s="1" t="str">
        <f aca="false">IF(COUNTA(H29,M29,R29)=0,"",IF((COUNTIF(H29,"Likely")+COUNTIF(M29,"Likely")+COUNTIF(R29,"Likely"))=1,"OK","CHECK TAGS"))</f>
        <v/>
      </c>
    </row>
    <row r="30" customFormat="false" ht="15" hidden="false" customHeight="true" outlineLevel="0" collapsed="false">
      <c r="A30" s="128"/>
      <c r="B30" s="128"/>
      <c r="C30" s="129"/>
      <c r="D30" s="129"/>
      <c r="E30" s="130"/>
      <c r="F30" s="129"/>
      <c r="G30" s="131" t="str">
        <f aca="false">IF(OR(C30="",D30="",E30="",F30=""),"",IFERROR(((D30*E30+F30)/C30)^(1/5)-1,"n/a"))</f>
        <v/>
      </c>
      <c r="H30" s="128"/>
      <c r="I30" s="129"/>
      <c r="J30" s="130"/>
      <c r="K30" s="129"/>
      <c r="L30" s="131" t="str">
        <f aca="false">IF(OR(C30="",I30="",J30="",K30=""),"",IFERROR(((I30*J30+K30)/C30)^(1/5)-1,"n/a"))</f>
        <v/>
      </c>
      <c r="M30" s="128"/>
      <c r="N30" s="129"/>
      <c r="O30" s="130"/>
      <c r="P30" s="129"/>
      <c r="Q30" s="131" t="str">
        <f aca="false">IF(OR(C30="",N30="",O30="",P30=""),"",IFERROR(((N30*O30+P30)/C30)^(1/5)-1,"n/a"))</f>
        <v/>
      </c>
      <c r="R30" s="128"/>
      <c r="S30" s="1" t="str">
        <f aca="false">IF(G30="","",IF(G30&gt;0.1,"PASS","FAIL"))</f>
        <v/>
      </c>
      <c r="T30" s="1" t="str">
        <f aca="false">IF(L30="","",IF(L30&gt;=0,"PASS","FAIL"))</f>
        <v/>
      </c>
      <c r="U30" s="1" t="str">
        <f aca="false">IF(COUNTA(H30,M30,R30)=0,"",IF((COUNTIF(H30,"Likely")+COUNTIF(M30,"Likely")+COUNTIF(R30,"Likely"))=1,"OK","CHECK TAGS"))</f>
        <v/>
      </c>
    </row>
    <row r="31" customFormat="false" ht="15" hidden="false" customHeight="true" outlineLevel="0" collapsed="false">
      <c r="A31" s="128"/>
      <c r="B31" s="128"/>
      <c r="C31" s="129"/>
      <c r="D31" s="129"/>
      <c r="E31" s="130"/>
      <c r="F31" s="129"/>
      <c r="G31" s="131" t="str">
        <f aca="false">IF(OR(C31="",D31="",E31="",F31=""),"",IFERROR(((D31*E31+F31)/C31)^(1/5)-1,"n/a"))</f>
        <v/>
      </c>
      <c r="H31" s="128"/>
      <c r="I31" s="129"/>
      <c r="J31" s="130"/>
      <c r="K31" s="129"/>
      <c r="L31" s="131" t="str">
        <f aca="false">IF(OR(C31="",I31="",J31="",K31=""),"",IFERROR(((I31*J31+K31)/C31)^(1/5)-1,"n/a"))</f>
        <v/>
      </c>
      <c r="M31" s="128"/>
      <c r="N31" s="129"/>
      <c r="O31" s="130"/>
      <c r="P31" s="129"/>
      <c r="Q31" s="131" t="str">
        <f aca="false">IF(OR(C31="",N31="",O31="",P31=""),"",IFERROR(((N31*O31+P31)/C31)^(1/5)-1,"n/a"))</f>
        <v/>
      </c>
      <c r="R31" s="128"/>
      <c r="S31" s="1" t="str">
        <f aca="false">IF(G31="","",IF(G31&gt;0.1,"PASS","FAIL"))</f>
        <v/>
      </c>
      <c r="T31" s="1" t="str">
        <f aca="false">IF(L31="","",IF(L31&gt;=0,"PASS","FAIL"))</f>
        <v/>
      </c>
      <c r="U31" s="1" t="str">
        <f aca="false">IF(COUNTA(H31,M31,R31)=0,"",IF((COUNTIF(H31,"Likely")+COUNTIF(M31,"Likely")+COUNTIF(R31,"Likely"))=1,"OK","CHECK TAGS"))</f>
        <v/>
      </c>
    </row>
    <row r="32" customFormat="false" ht="15" hidden="false" customHeight="true" outlineLevel="0" collapsed="false">
      <c r="A32" s="128"/>
      <c r="B32" s="128"/>
      <c r="C32" s="129"/>
      <c r="D32" s="129"/>
      <c r="E32" s="130"/>
      <c r="F32" s="129"/>
      <c r="G32" s="131" t="str">
        <f aca="false">IF(OR(C32="",D32="",E32="",F32=""),"",IFERROR(((D32*E32+F32)/C32)^(1/5)-1,"n/a"))</f>
        <v/>
      </c>
      <c r="H32" s="128"/>
      <c r="I32" s="129"/>
      <c r="J32" s="130"/>
      <c r="K32" s="129"/>
      <c r="L32" s="131" t="str">
        <f aca="false">IF(OR(C32="",I32="",J32="",K32=""),"",IFERROR(((I32*J32+K32)/C32)^(1/5)-1,"n/a"))</f>
        <v/>
      </c>
      <c r="M32" s="128"/>
      <c r="N32" s="129"/>
      <c r="O32" s="130"/>
      <c r="P32" s="129"/>
      <c r="Q32" s="131" t="str">
        <f aca="false">IF(OR(C32="",N32="",O32="",P32=""),"",IFERROR(((N32*O32+P32)/C32)^(1/5)-1,"n/a"))</f>
        <v/>
      </c>
      <c r="R32" s="128"/>
      <c r="S32" s="1" t="str">
        <f aca="false">IF(G32="","",IF(G32&gt;0.1,"PASS","FAIL"))</f>
        <v/>
      </c>
      <c r="T32" s="1" t="str">
        <f aca="false">IF(L32="","",IF(L32&gt;=0,"PASS","FAIL"))</f>
        <v/>
      </c>
      <c r="U32" s="1" t="str">
        <f aca="false">IF(COUNTA(H32,M32,R32)=0,"",IF((COUNTIF(H32,"Likely")+COUNTIF(M32,"Likely")+COUNTIF(R32,"Likely"))=1,"OK","CHECK TAGS"))</f>
        <v/>
      </c>
    </row>
    <row r="33" customFormat="false" ht="15" hidden="false" customHeight="true" outlineLevel="0" collapsed="false">
      <c r="A33" s="128"/>
      <c r="B33" s="128"/>
      <c r="C33" s="129"/>
      <c r="D33" s="129"/>
      <c r="E33" s="130"/>
      <c r="F33" s="129"/>
      <c r="G33" s="131" t="str">
        <f aca="false">IF(OR(C33="",D33="",E33="",F33=""),"",IFERROR(((D33*E33+F33)/C33)^(1/5)-1,"n/a"))</f>
        <v/>
      </c>
      <c r="H33" s="128"/>
      <c r="I33" s="129"/>
      <c r="J33" s="130"/>
      <c r="K33" s="129"/>
      <c r="L33" s="131" t="str">
        <f aca="false">IF(OR(C33="",I33="",J33="",K33=""),"",IFERROR(((I33*J33+K33)/C33)^(1/5)-1,"n/a"))</f>
        <v/>
      </c>
      <c r="M33" s="128"/>
      <c r="N33" s="129"/>
      <c r="O33" s="130"/>
      <c r="P33" s="129"/>
      <c r="Q33" s="131" t="str">
        <f aca="false">IF(OR(C33="",N33="",O33="",P33=""),"",IFERROR(((N33*O33+P33)/C33)^(1/5)-1,"n/a"))</f>
        <v/>
      </c>
      <c r="R33" s="128"/>
      <c r="S33" s="1" t="str">
        <f aca="false">IF(G33="","",IF(G33&gt;0.1,"PASS","FAIL"))</f>
        <v/>
      </c>
      <c r="T33" s="1" t="str">
        <f aca="false">IF(L33="","",IF(L33&gt;=0,"PASS","FAIL"))</f>
        <v/>
      </c>
      <c r="U33" s="1" t="str">
        <f aca="false">IF(COUNTA(H33,M33,R33)=0,"",IF((COUNTIF(H33,"Likely")+COUNTIF(M33,"Likely")+COUNTIF(R33,"Likely"))=1,"OK","CHECK TAGS"))</f>
        <v/>
      </c>
    </row>
    <row r="34" customFormat="false" ht="15" hidden="false" customHeight="true" outlineLevel="0" collapsed="false">
      <c r="A34" s="128"/>
      <c r="B34" s="128"/>
      <c r="C34" s="129"/>
      <c r="D34" s="129"/>
      <c r="E34" s="130"/>
      <c r="F34" s="129"/>
      <c r="G34" s="131" t="str">
        <f aca="false">IF(OR(C34="",D34="",E34="",F34=""),"",IFERROR(((D34*E34+F34)/C34)^(1/5)-1,"n/a"))</f>
        <v/>
      </c>
      <c r="H34" s="128"/>
      <c r="I34" s="129"/>
      <c r="J34" s="130"/>
      <c r="K34" s="129"/>
      <c r="L34" s="131" t="str">
        <f aca="false">IF(OR(C34="",I34="",J34="",K34=""),"",IFERROR(((I34*J34+K34)/C34)^(1/5)-1,"n/a"))</f>
        <v/>
      </c>
      <c r="M34" s="128"/>
      <c r="N34" s="129"/>
      <c r="O34" s="130"/>
      <c r="P34" s="129"/>
      <c r="Q34" s="131" t="str">
        <f aca="false">IF(OR(C34="",N34="",O34="",P34=""),"",IFERROR(((N34*O34+P34)/C34)^(1/5)-1,"n/a"))</f>
        <v/>
      </c>
      <c r="R34" s="128"/>
      <c r="S34" s="1" t="str">
        <f aca="false">IF(G34="","",IF(G34&gt;0.1,"PASS","FAIL"))</f>
        <v/>
      </c>
      <c r="T34" s="1" t="str">
        <f aca="false">IF(L34="","",IF(L34&gt;=0,"PASS","FAIL"))</f>
        <v/>
      </c>
      <c r="U34" s="1" t="str">
        <f aca="false">IF(COUNTA(H34,M34,R34)=0,"",IF((COUNTIF(H34,"Likely")+COUNTIF(M34,"Likely")+COUNTIF(R34,"Likely"))=1,"OK","CHECK TAGS"))</f>
        <v/>
      </c>
    </row>
    <row r="35" customFormat="false" ht="15" hidden="false" customHeight="true" outlineLevel="0" collapsed="false">
      <c r="A35" s="128"/>
      <c r="B35" s="128"/>
      <c r="C35" s="129"/>
      <c r="D35" s="129"/>
      <c r="E35" s="130"/>
      <c r="F35" s="129"/>
      <c r="G35" s="131" t="str">
        <f aca="false">IF(OR(C35="",D35="",E35="",F35=""),"",IFERROR(((D35*E35+F35)/C35)^(1/5)-1,"n/a"))</f>
        <v/>
      </c>
      <c r="H35" s="128"/>
      <c r="I35" s="129"/>
      <c r="J35" s="130"/>
      <c r="K35" s="129"/>
      <c r="L35" s="131" t="str">
        <f aca="false">IF(OR(C35="",I35="",J35="",K35=""),"",IFERROR(((I35*J35+K35)/C35)^(1/5)-1,"n/a"))</f>
        <v/>
      </c>
      <c r="M35" s="128"/>
      <c r="N35" s="129"/>
      <c r="O35" s="130"/>
      <c r="P35" s="129"/>
      <c r="Q35" s="131" t="str">
        <f aca="false">IF(OR(C35="",N35="",O35="",P35=""),"",IFERROR(((N35*O35+P35)/C35)^(1/5)-1,"n/a"))</f>
        <v/>
      </c>
      <c r="R35" s="128"/>
      <c r="S35" s="1" t="str">
        <f aca="false">IF(G35="","",IF(G35&gt;0.1,"PASS","FAIL"))</f>
        <v/>
      </c>
      <c r="T35" s="1" t="str">
        <f aca="false">IF(L35="","",IF(L35&gt;=0,"PASS","FAIL"))</f>
        <v/>
      </c>
      <c r="U35" s="1" t="str">
        <f aca="false">IF(COUNTA(H35,M35,R35)=0,"",IF((COUNTIF(H35,"Likely")+COUNTIF(M35,"Likely")+COUNTIF(R35,"Likely"))=1,"OK","CHECK TAGS"))</f>
        <v/>
      </c>
    </row>
    <row r="36" customFormat="false" ht="15" hidden="false" customHeight="true" outlineLevel="0" collapsed="false">
      <c r="A36" s="128"/>
      <c r="B36" s="128"/>
      <c r="C36" s="129"/>
      <c r="D36" s="129"/>
      <c r="E36" s="130"/>
      <c r="F36" s="129"/>
      <c r="G36" s="131" t="str">
        <f aca="false">IF(OR(C36="",D36="",E36="",F36=""),"",IFERROR(((D36*E36+F36)/C36)^(1/5)-1,"n/a"))</f>
        <v/>
      </c>
      <c r="H36" s="128"/>
      <c r="I36" s="129"/>
      <c r="J36" s="130"/>
      <c r="K36" s="129"/>
      <c r="L36" s="131" t="str">
        <f aca="false">IF(OR(C36="",I36="",J36="",K36=""),"",IFERROR(((I36*J36+K36)/C36)^(1/5)-1,"n/a"))</f>
        <v/>
      </c>
      <c r="M36" s="128"/>
      <c r="N36" s="129"/>
      <c r="O36" s="130"/>
      <c r="P36" s="129"/>
      <c r="Q36" s="131" t="str">
        <f aca="false">IF(OR(C36="",N36="",O36="",P36=""),"",IFERROR(((N36*O36+P36)/C36)^(1/5)-1,"n/a"))</f>
        <v/>
      </c>
      <c r="R36" s="128"/>
      <c r="S36" s="1" t="str">
        <f aca="false">IF(G36="","",IF(G36&gt;0.1,"PASS","FAIL"))</f>
        <v/>
      </c>
      <c r="T36" s="1" t="str">
        <f aca="false">IF(L36="","",IF(L36&gt;=0,"PASS","FAIL"))</f>
        <v/>
      </c>
      <c r="U36" s="1" t="str">
        <f aca="false">IF(COUNTA(H36,M36,R36)=0,"",IF((COUNTIF(H36,"Likely")+COUNTIF(M36,"Likely")+COUNTIF(R36,"Likely"))=1,"OK","CHECK TAGS"))</f>
        <v/>
      </c>
    </row>
    <row r="37" customFormat="false" ht="15" hidden="false" customHeight="true" outlineLevel="0" collapsed="false">
      <c r="A37" s="128"/>
      <c r="B37" s="128"/>
      <c r="C37" s="129"/>
      <c r="D37" s="129"/>
      <c r="E37" s="130"/>
      <c r="F37" s="129"/>
      <c r="G37" s="131" t="str">
        <f aca="false">IF(OR(C37="",D37="",E37="",F37=""),"",IFERROR(((D37*E37+F37)/C37)^(1/5)-1,"n/a"))</f>
        <v/>
      </c>
      <c r="H37" s="128"/>
      <c r="I37" s="129"/>
      <c r="J37" s="130"/>
      <c r="K37" s="129"/>
      <c r="L37" s="131" t="str">
        <f aca="false">IF(OR(C37="",I37="",J37="",K37=""),"",IFERROR(((I37*J37+K37)/C37)^(1/5)-1,"n/a"))</f>
        <v/>
      </c>
      <c r="M37" s="128"/>
      <c r="N37" s="129"/>
      <c r="O37" s="130"/>
      <c r="P37" s="129"/>
      <c r="Q37" s="131" t="str">
        <f aca="false">IF(OR(C37="",N37="",O37="",P37=""),"",IFERROR(((N37*O37+P37)/C37)^(1/5)-1,"n/a"))</f>
        <v/>
      </c>
      <c r="R37" s="128"/>
      <c r="S37" s="1" t="str">
        <f aca="false">IF(G37="","",IF(G37&gt;0.1,"PASS","FAIL"))</f>
        <v/>
      </c>
      <c r="T37" s="1" t="str">
        <f aca="false">IF(L37="","",IF(L37&gt;=0,"PASS","FAIL"))</f>
        <v/>
      </c>
      <c r="U37" s="1" t="str">
        <f aca="false">IF(COUNTA(H37,M37,R37)=0,"",IF((COUNTIF(H37,"Likely")+COUNTIF(M37,"Likely")+COUNTIF(R37,"Likely"))=1,"OK","CHECK TAGS"))</f>
        <v/>
      </c>
    </row>
    <row r="38" customFormat="false" ht="15" hidden="false" customHeight="true" outlineLevel="0" collapsed="false">
      <c r="A38" s="128"/>
      <c r="B38" s="128"/>
      <c r="C38" s="129"/>
      <c r="D38" s="129"/>
      <c r="E38" s="130"/>
      <c r="F38" s="129"/>
      <c r="G38" s="131" t="str">
        <f aca="false">IF(OR(C38="",D38="",E38="",F38=""),"",IFERROR(((D38*E38+F38)/C38)^(1/5)-1,"n/a"))</f>
        <v/>
      </c>
      <c r="H38" s="128"/>
      <c r="I38" s="129"/>
      <c r="J38" s="130"/>
      <c r="K38" s="129"/>
      <c r="L38" s="131" t="str">
        <f aca="false">IF(OR(C38="",I38="",J38="",K38=""),"",IFERROR(((I38*J38+K38)/C38)^(1/5)-1,"n/a"))</f>
        <v/>
      </c>
      <c r="M38" s="128"/>
      <c r="N38" s="129"/>
      <c r="O38" s="130"/>
      <c r="P38" s="129"/>
      <c r="Q38" s="131" t="str">
        <f aca="false">IF(OR(C38="",N38="",O38="",P38=""),"",IFERROR(((N38*O38+P38)/C38)^(1/5)-1,"n/a"))</f>
        <v/>
      </c>
      <c r="R38" s="128"/>
      <c r="S38" s="1" t="str">
        <f aca="false">IF(G38="","",IF(G38&gt;0.1,"PASS","FAIL"))</f>
        <v/>
      </c>
      <c r="T38" s="1" t="str">
        <f aca="false">IF(L38="","",IF(L38&gt;=0,"PASS","FAIL"))</f>
        <v/>
      </c>
      <c r="U38" s="1" t="str">
        <f aca="false">IF(COUNTA(H38,M38,R38)=0,"",IF((COUNTIF(H38,"Likely")+COUNTIF(M38,"Likely")+COUNTIF(R38,"Likely"))=1,"OK","CHECK TAGS"))</f>
        <v/>
      </c>
    </row>
    <row r="39" customFormat="false" ht="15" hidden="false" customHeight="true" outlineLevel="0" collapsed="false">
      <c r="A39" s="128"/>
      <c r="B39" s="128"/>
      <c r="C39" s="129"/>
      <c r="D39" s="129"/>
      <c r="E39" s="130"/>
      <c r="F39" s="129"/>
      <c r="G39" s="131" t="str">
        <f aca="false">IF(OR(C39="",D39="",E39="",F39=""),"",IFERROR(((D39*E39+F39)/C39)^(1/5)-1,"n/a"))</f>
        <v/>
      </c>
      <c r="H39" s="128"/>
      <c r="I39" s="129"/>
      <c r="J39" s="130"/>
      <c r="K39" s="129"/>
      <c r="L39" s="131" t="str">
        <f aca="false">IF(OR(C39="",I39="",J39="",K39=""),"",IFERROR(((I39*J39+K39)/C39)^(1/5)-1,"n/a"))</f>
        <v/>
      </c>
      <c r="M39" s="128"/>
      <c r="N39" s="129"/>
      <c r="O39" s="130"/>
      <c r="P39" s="129"/>
      <c r="Q39" s="131" t="str">
        <f aca="false">IF(OR(C39="",N39="",O39="",P39=""),"",IFERROR(((N39*O39+P39)/C39)^(1/5)-1,"n/a"))</f>
        <v/>
      </c>
      <c r="R39" s="128"/>
      <c r="S39" s="1" t="str">
        <f aca="false">IF(G39="","",IF(G39&gt;0.1,"PASS","FAIL"))</f>
        <v/>
      </c>
      <c r="T39" s="1" t="str">
        <f aca="false">IF(L39="","",IF(L39&gt;=0,"PASS","FAIL"))</f>
        <v/>
      </c>
      <c r="U39" s="1" t="str">
        <f aca="false">IF(COUNTA(H39,M39,R39)=0,"",IF((COUNTIF(H39,"Likely")+COUNTIF(M39,"Likely")+COUNTIF(R39,"Likely"))=1,"OK","CHECK TAGS"))</f>
        <v/>
      </c>
    </row>
    <row r="40" customFormat="false" ht="15" hidden="false" customHeight="true" outlineLevel="0" collapsed="false">
      <c r="A40" s="128"/>
      <c r="B40" s="128"/>
      <c r="C40" s="129"/>
      <c r="D40" s="129"/>
      <c r="E40" s="130"/>
      <c r="F40" s="129"/>
      <c r="G40" s="131" t="str">
        <f aca="false">IF(OR(C40="",D40="",E40="",F40=""),"",IFERROR(((D40*E40+F40)/C40)^(1/5)-1,"n/a"))</f>
        <v/>
      </c>
      <c r="H40" s="128"/>
      <c r="I40" s="129"/>
      <c r="J40" s="130"/>
      <c r="K40" s="129"/>
      <c r="L40" s="131" t="str">
        <f aca="false">IF(OR(C40="",I40="",J40="",K40=""),"",IFERROR(((I40*J40+K40)/C40)^(1/5)-1,"n/a"))</f>
        <v/>
      </c>
      <c r="M40" s="128"/>
      <c r="N40" s="129"/>
      <c r="O40" s="130"/>
      <c r="P40" s="129"/>
      <c r="Q40" s="131" t="str">
        <f aca="false">IF(OR(C40="",N40="",O40="",P40=""),"",IFERROR(((N40*O40+P40)/C40)^(1/5)-1,"n/a"))</f>
        <v/>
      </c>
      <c r="R40" s="128"/>
      <c r="S40" s="1" t="str">
        <f aca="false">IF(G40="","",IF(G40&gt;0.1,"PASS","FAIL"))</f>
        <v/>
      </c>
      <c r="T40" s="1" t="str">
        <f aca="false">IF(L40="","",IF(L40&gt;=0,"PASS","FAIL"))</f>
        <v/>
      </c>
      <c r="U40" s="1" t="str">
        <f aca="false">IF(COUNTA(H40,M40,R40)=0,"",IF((COUNTIF(H40,"Likely")+COUNTIF(M40,"Likely")+COUNTIF(R40,"Likely"))=1,"OK","CHECK TAGS"))</f>
        <v/>
      </c>
    </row>
    <row r="41" customFormat="false" ht="15" hidden="false" customHeight="true" outlineLevel="0" collapsed="false">
      <c r="A41" s="128"/>
      <c r="B41" s="128"/>
      <c r="C41" s="129"/>
      <c r="D41" s="129"/>
      <c r="E41" s="130"/>
      <c r="F41" s="129"/>
      <c r="G41" s="131" t="str">
        <f aca="false">IF(OR(C41="",D41="",E41="",F41=""),"",IFERROR(((D41*E41+F41)/C41)^(1/5)-1,"n/a"))</f>
        <v/>
      </c>
      <c r="H41" s="128"/>
      <c r="I41" s="129"/>
      <c r="J41" s="130"/>
      <c r="K41" s="129"/>
      <c r="L41" s="131" t="str">
        <f aca="false">IF(OR(C41="",I41="",J41="",K41=""),"",IFERROR(((I41*J41+K41)/C41)^(1/5)-1,"n/a"))</f>
        <v/>
      </c>
      <c r="M41" s="128"/>
      <c r="N41" s="129"/>
      <c r="O41" s="130"/>
      <c r="P41" s="129"/>
      <c r="Q41" s="131" t="str">
        <f aca="false">IF(OR(C41="",N41="",O41="",P41=""),"",IFERROR(((N41*O41+P41)/C41)^(1/5)-1,"n/a"))</f>
        <v/>
      </c>
      <c r="R41" s="128"/>
      <c r="S41" s="1" t="str">
        <f aca="false">IF(G41="","",IF(G41&gt;0.1,"PASS","FAIL"))</f>
        <v/>
      </c>
      <c r="T41" s="1" t="str">
        <f aca="false">IF(L41="","",IF(L41&gt;=0,"PASS","FAIL"))</f>
        <v/>
      </c>
      <c r="U41" s="1" t="str">
        <f aca="false">IF(COUNTA(H41,M41,R41)=0,"",IF((COUNTIF(H41,"Likely")+COUNTIF(M41,"Likely")+COUNTIF(R41,"Likely"))=1,"OK","CHECK TAGS"))</f>
        <v/>
      </c>
    </row>
    <row r="42" customFormat="false" ht="15" hidden="false" customHeight="true" outlineLevel="0" collapsed="false">
      <c r="A42" s="128"/>
      <c r="B42" s="128"/>
      <c r="C42" s="129"/>
      <c r="D42" s="129"/>
      <c r="E42" s="130"/>
      <c r="F42" s="129"/>
      <c r="G42" s="131" t="str">
        <f aca="false">IF(OR(C42="",D42="",E42="",F42=""),"",IFERROR(((D42*E42+F42)/C42)^(1/5)-1,"n/a"))</f>
        <v/>
      </c>
      <c r="H42" s="128"/>
      <c r="I42" s="129"/>
      <c r="J42" s="130"/>
      <c r="K42" s="129"/>
      <c r="L42" s="131" t="str">
        <f aca="false">IF(OR(C42="",I42="",J42="",K42=""),"",IFERROR(((I42*J42+K42)/C42)^(1/5)-1,"n/a"))</f>
        <v/>
      </c>
      <c r="M42" s="128"/>
      <c r="N42" s="129"/>
      <c r="O42" s="130"/>
      <c r="P42" s="129"/>
      <c r="Q42" s="131" t="str">
        <f aca="false">IF(OR(C42="",N42="",O42="",P42=""),"",IFERROR(((N42*O42+P42)/C42)^(1/5)-1,"n/a"))</f>
        <v/>
      </c>
      <c r="R42" s="128"/>
      <c r="S42" s="1" t="str">
        <f aca="false">IF(G42="","",IF(G42&gt;0.1,"PASS","FAIL"))</f>
        <v/>
      </c>
      <c r="T42" s="1" t="str">
        <f aca="false">IF(L42="","",IF(L42&gt;=0,"PASS","FAIL"))</f>
        <v/>
      </c>
      <c r="U42" s="1" t="str">
        <f aca="false">IF(COUNTA(H42,M42,R42)=0,"",IF((COUNTIF(H42,"Likely")+COUNTIF(M42,"Likely")+COUNTIF(R42,"Likely"))=1,"OK","CHECK TAGS"))</f>
        <v/>
      </c>
    </row>
    <row r="43" customFormat="false" ht="15" hidden="false" customHeight="true" outlineLevel="0" collapsed="false">
      <c r="A43" s="128"/>
      <c r="B43" s="128"/>
      <c r="C43" s="129"/>
      <c r="D43" s="129"/>
      <c r="E43" s="130"/>
      <c r="F43" s="129"/>
      <c r="G43" s="131" t="str">
        <f aca="false">IF(OR(C43="",D43="",E43="",F43=""),"",IFERROR(((D43*E43+F43)/C43)^(1/5)-1,"n/a"))</f>
        <v/>
      </c>
      <c r="H43" s="128"/>
      <c r="I43" s="129"/>
      <c r="J43" s="130"/>
      <c r="K43" s="129"/>
      <c r="L43" s="131" t="str">
        <f aca="false">IF(OR(C43="",I43="",J43="",K43=""),"",IFERROR(((I43*J43+K43)/C43)^(1/5)-1,"n/a"))</f>
        <v/>
      </c>
      <c r="M43" s="128"/>
      <c r="N43" s="129"/>
      <c r="O43" s="130"/>
      <c r="P43" s="129"/>
      <c r="Q43" s="131" t="str">
        <f aca="false">IF(OR(C43="",N43="",O43="",P43=""),"",IFERROR(((N43*O43+P43)/C43)^(1/5)-1,"n/a"))</f>
        <v/>
      </c>
      <c r="R43" s="128"/>
      <c r="S43" s="1" t="str">
        <f aca="false">IF(G43="","",IF(G43&gt;0.1,"PASS","FAIL"))</f>
        <v/>
      </c>
      <c r="T43" s="1" t="str">
        <f aca="false">IF(L43="","",IF(L43&gt;=0,"PASS","FAIL"))</f>
        <v/>
      </c>
      <c r="U43" s="1" t="str">
        <f aca="false">IF(COUNTA(H43,M43,R43)=0,"",IF((COUNTIF(H43,"Likely")+COUNTIF(M43,"Likely")+COUNTIF(R43,"Likely"))=1,"OK","CHECK TAGS"))</f>
        <v/>
      </c>
    </row>
    <row r="44" customFormat="false" ht="15" hidden="false" customHeight="true" outlineLevel="0" collapsed="false">
      <c r="A44" s="128"/>
      <c r="B44" s="128"/>
      <c r="C44" s="129"/>
      <c r="D44" s="129"/>
      <c r="E44" s="130"/>
      <c r="F44" s="129"/>
      <c r="G44" s="131" t="str">
        <f aca="false">IF(OR(C44="",D44="",E44="",F44=""),"",IFERROR(((D44*E44+F44)/C44)^(1/5)-1,"n/a"))</f>
        <v/>
      </c>
      <c r="H44" s="128"/>
      <c r="I44" s="129"/>
      <c r="J44" s="130"/>
      <c r="K44" s="129"/>
      <c r="L44" s="131" t="str">
        <f aca="false">IF(OR(C44="",I44="",J44="",K44=""),"",IFERROR(((I44*J44+K44)/C44)^(1/5)-1,"n/a"))</f>
        <v/>
      </c>
      <c r="M44" s="128"/>
      <c r="N44" s="129"/>
      <c r="O44" s="130"/>
      <c r="P44" s="129"/>
      <c r="Q44" s="131" t="str">
        <f aca="false">IF(OR(C44="",N44="",O44="",P44=""),"",IFERROR(((N44*O44+P44)/C44)^(1/5)-1,"n/a"))</f>
        <v/>
      </c>
      <c r="R44" s="128"/>
      <c r="S44" s="1" t="str">
        <f aca="false">IF(G44="","",IF(G44&gt;0.1,"PASS","FAIL"))</f>
        <v/>
      </c>
      <c r="T44" s="1" t="str">
        <f aca="false">IF(L44="","",IF(L44&gt;=0,"PASS","FAIL"))</f>
        <v/>
      </c>
      <c r="U44" s="1" t="str">
        <f aca="false">IF(COUNTA(H44,M44,R44)=0,"",IF((COUNTIF(H44,"Likely")+COUNTIF(M44,"Likely")+COUNTIF(R44,"Likely"))=1,"OK","CHECK TAGS"))</f>
        <v/>
      </c>
    </row>
    <row r="45" customFormat="false" ht="15" hidden="false" customHeight="true" outlineLevel="0" collapsed="false">
      <c r="A45" s="128"/>
      <c r="B45" s="128"/>
      <c r="C45" s="129"/>
      <c r="D45" s="129"/>
      <c r="E45" s="130"/>
      <c r="F45" s="129"/>
      <c r="G45" s="131" t="str">
        <f aca="false">IF(OR(C45="",D45="",E45="",F45=""),"",IFERROR(((D45*E45+F45)/C45)^(1/5)-1,"n/a"))</f>
        <v/>
      </c>
      <c r="H45" s="128"/>
      <c r="I45" s="129"/>
      <c r="J45" s="130"/>
      <c r="K45" s="129"/>
      <c r="L45" s="131" t="str">
        <f aca="false">IF(OR(C45="",I45="",J45="",K45=""),"",IFERROR(((I45*J45+K45)/C45)^(1/5)-1,"n/a"))</f>
        <v/>
      </c>
      <c r="M45" s="128"/>
      <c r="N45" s="129"/>
      <c r="O45" s="130"/>
      <c r="P45" s="129"/>
      <c r="Q45" s="131" t="str">
        <f aca="false">IF(OR(C45="",N45="",O45="",P45=""),"",IFERROR(((N45*O45+P45)/C45)^(1/5)-1,"n/a"))</f>
        <v/>
      </c>
      <c r="R45" s="128"/>
      <c r="S45" s="1" t="str">
        <f aca="false">IF(G45="","",IF(G45&gt;0.1,"PASS","FAIL"))</f>
        <v/>
      </c>
      <c r="T45" s="1" t="str">
        <f aca="false">IF(L45="","",IF(L45&gt;=0,"PASS","FAIL"))</f>
        <v/>
      </c>
      <c r="U45" s="1" t="str">
        <f aca="false">IF(COUNTA(H45,M45,R45)=0,"",IF((COUNTIF(H45,"Likely")+COUNTIF(M45,"Likely")+COUNTIF(R45,"Likely"))=1,"OK","CHECK TAGS"))</f>
        <v/>
      </c>
    </row>
    <row r="46" customFormat="false" ht="15" hidden="false" customHeight="true" outlineLevel="0" collapsed="false">
      <c r="A46" s="128"/>
      <c r="B46" s="128"/>
      <c r="C46" s="129"/>
      <c r="D46" s="129"/>
      <c r="E46" s="130"/>
      <c r="F46" s="129"/>
      <c r="G46" s="131" t="str">
        <f aca="false">IF(OR(C46="",D46="",E46="",F46=""),"",IFERROR(((D46*E46+F46)/C46)^(1/5)-1,"n/a"))</f>
        <v/>
      </c>
      <c r="H46" s="128"/>
      <c r="I46" s="129"/>
      <c r="J46" s="130"/>
      <c r="K46" s="129"/>
      <c r="L46" s="131" t="str">
        <f aca="false">IF(OR(C46="",I46="",J46="",K46=""),"",IFERROR(((I46*J46+K46)/C46)^(1/5)-1,"n/a"))</f>
        <v/>
      </c>
      <c r="M46" s="128"/>
      <c r="N46" s="129"/>
      <c r="O46" s="130"/>
      <c r="P46" s="129"/>
      <c r="Q46" s="131" t="str">
        <f aca="false">IF(OR(C46="",N46="",O46="",P46=""),"",IFERROR(((N46*O46+P46)/C46)^(1/5)-1,"n/a"))</f>
        <v/>
      </c>
      <c r="R46" s="128"/>
      <c r="S46" s="1" t="str">
        <f aca="false">IF(G46="","",IF(G46&gt;0.1,"PASS","FAIL"))</f>
        <v/>
      </c>
      <c r="T46" s="1" t="str">
        <f aca="false">IF(L46="","",IF(L46&gt;=0,"PASS","FAIL"))</f>
        <v/>
      </c>
      <c r="U46" s="1" t="str">
        <f aca="false">IF(COUNTA(H46,M46,R46)=0,"",IF((COUNTIF(H46,"Likely")+COUNTIF(M46,"Likely")+COUNTIF(R46,"Likely"))=1,"OK","CHECK TAGS"))</f>
        <v/>
      </c>
    </row>
    <row r="47" customFormat="false" ht="15" hidden="false" customHeight="true" outlineLevel="0" collapsed="false">
      <c r="A47" s="128"/>
      <c r="B47" s="128"/>
      <c r="C47" s="129"/>
      <c r="D47" s="129"/>
      <c r="E47" s="130"/>
      <c r="F47" s="129"/>
      <c r="G47" s="131" t="str">
        <f aca="false">IF(OR(C47="",D47="",E47="",F47=""),"",IFERROR(((D47*E47+F47)/C47)^(1/5)-1,"n/a"))</f>
        <v/>
      </c>
      <c r="H47" s="128"/>
      <c r="I47" s="129"/>
      <c r="J47" s="130"/>
      <c r="K47" s="129"/>
      <c r="L47" s="131" t="str">
        <f aca="false">IF(OR(C47="",I47="",J47="",K47=""),"",IFERROR(((I47*J47+K47)/C47)^(1/5)-1,"n/a"))</f>
        <v/>
      </c>
      <c r="M47" s="128"/>
      <c r="N47" s="129"/>
      <c r="O47" s="130"/>
      <c r="P47" s="129"/>
      <c r="Q47" s="131" t="str">
        <f aca="false">IF(OR(C47="",N47="",O47="",P47=""),"",IFERROR(((N47*O47+P47)/C47)^(1/5)-1,"n/a"))</f>
        <v/>
      </c>
      <c r="R47" s="128"/>
      <c r="S47" s="1" t="str">
        <f aca="false">IF(G47="","",IF(G47&gt;0.1,"PASS","FAIL"))</f>
        <v/>
      </c>
      <c r="T47" s="1" t="str">
        <f aca="false">IF(L47="","",IF(L47&gt;=0,"PASS","FAIL"))</f>
        <v/>
      </c>
      <c r="U47" s="1" t="str">
        <f aca="false">IF(COUNTA(H47,M47,R47)=0,"",IF((COUNTIF(H47,"Likely")+COUNTIF(M47,"Likely")+COUNTIF(R47,"Likely"))=1,"OK","CHECK TAGS"))</f>
        <v/>
      </c>
    </row>
    <row r="48" customFormat="false" ht="15" hidden="false" customHeight="true" outlineLevel="0" collapsed="false">
      <c r="A48" s="128"/>
      <c r="B48" s="128"/>
      <c r="C48" s="129"/>
      <c r="D48" s="129"/>
      <c r="E48" s="130"/>
      <c r="F48" s="129"/>
      <c r="G48" s="131" t="str">
        <f aca="false">IF(OR(C48="",D48="",E48="",F48=""),"",IFERROR(((D48*E48+F48)/C48)^(1/5)-1,"n/a"))</f>
        <v/>
      </c>
      <c r="H48" s="128"/>
      <c r="I48" s="129"/>
      <c r="J48" s="130"/>
      <c r="K48" s="129"/>
      <c r="L48" s="131" t="str">
        <f aca="false">IF(OR(C48="",I48="",J48="",K48=""),"",IFERROR(((I48*J48+K48)/C48)^(1/5)-1,"n/a"))</f>
        <v/>
      </c>
      <c r="M48" s="128"/>
      <c r="N48" s="129"/>
      <c r="O48" s="130"/>
      <c r="P48" s="129"/>
      <c r="Q48" s="131" t="str">
        <f aca="false">IF(OR(C48="",N48="",O48="",P48=""),"",IFERROR(((N48*O48+P48)/C48)^(1/5)-1,"n/a"))</f>
        <v/>
      </c>
      <c r="R48" s="128"/>
      <c r="S48" s="1" t="str">
        <f aca="false">IF(G48="","",IF(G48&gt;0.1,"PASS","FAIL"))</f>
        <v/>
      </c>
      <c r="T48" s="1" t="str">
        <f aca="false">IF(L48="","",IF(L48&gt;=0,"PASS","FAIL"))</f>
        <v/>
      </c>
      <c r="U48" s="1" t="str">
        <f aca="false">IF(COUNTA(H48,M48,R48)=0,"",IF((COUNTIF(H48,"Likely")+COUNTIF(M48,"Likely")+COUNTIF(R48,"Likely"))=1,"OK","CHECK TAGS"))</f>
        <v/>
      </c>
    </row>
    <row r="49" customFormat="false" ht="15" hidden="false" customHeight="true" outlineLevel="0" collapsed="false">
      <c r="A49" s="128"/>
      <c r="B49" s="128"/>
      <c r="C49" s="129"/>
      <c r="D49" s="129"/>
      <c r="E49" s="130"/>
      <c r="F49" s="129"/>
      <c r="G49" s="131" t="str">
        <f aca="false">IF(OR(C49="",D49="",E49="",F49=""),"",IFERROR(((D49*E49+F49)/C49)^(1/5)-1,"n/a"))</f>
        <v/>
      </c>
      <c r="H49" s="128"/>
      <c r="I49" s="129"/>
      <c r="J49" s="130"/>
      <c r="K49" s="129"/>
      <c r="L49" s="131" t="str">
        <f aca="false">IF(OR(C49="",I49="",J49="",K49=""),"",IFERROR(((I49*J49+K49)/C49)^(1/5)-1,"n/a"))</f>
        <v/>
      </c>
      <c r="M49" s="128"/>
      <c r="N49" s="129"/>
      <c r="O49" s="130"/>
      <c r="P49" s="129"/>
      <c r="Q49" s="131" t="str">
        <f aca="false">IF(OR(C49="",N49="",O49="",P49=""),"",IFERROR(((N49*O49+P49)/C49)^(1/5)-1,"n/a"))</f>
        <v/>
      </c>
      <c r="R49" s="128"/>
      <c r="S49" s="1" t="str">
        <f aca="false">IF(G49="","",IF(G49&gt;0.1,"PASS","FAIL"))</f>
        <v/>
      </c>
      <c r="T49" s="1" t="str">
        <f aca="false">IF(L49="","",IF(L49&gt;=0,"PASS","FAIL"))</f>
        <v/>
      </c>
      <c r="U49" s="1" t="str">
        <f aca="false">IF(COUNTA(H49,M49,R49)=0,"",IF((COUNTIF(H49,"Likely")+COUNTIF(M49,"Likely")+COUNTIF(R49,"Likely"))=1,"OK","CHECK TAGS"))</f>
        <v/>
      </c>
    </row>
    <row r="50" customFormat="false" ht="15" hidden="false" customHeight="true" outlineLevel="0" collapsed="false">
      <c r="A50" s="128"/>
      <c r="B50" s="128"/>
      <c r="C50" s="129"/>
      <c r="D50" s="129"/>
      <c r="E50" s="130"/>
      <c r="F50" s="129"/>
      <c r="G50" s="131" t="str">
        <f aca="false">IF(OR(C50="",D50="",E50="",F50=""),"",IFERROR(((D50*E50+F50)/C50)^(1/5)-1,"n/a"))</f>
        <v/>
      </c>
      <c r="H50" s="128"/>
      <c r="I50" s="129"/>
      <c r="J50" s="130"/>
      <c r="K50" s="129"/>
      <c r="L50" s="131" t="str">
        <f aca="false">IF(OR(C50="",I50="",J50="",K50=""),"",IFERROR(((I50*J50+K50)/C50)^(1/5)-1,"n/a"))</f>
        <v/>
      </c>
      <c r="M50" s="128"/>
      <c r="N50" s="129"/>
      <c r="O50" s="130"/>
      <c r="P50" s="129"/>
      <c r="Q50" s="131" t="str">
        <f aca="false">IF(OR(C50="",N50="",O50="",P50=""),"",IFERROR(((N50*O50+P50)/C50)^(1/5)-1,"n/a"))</f>
        <v/>
      </c>
      <c r="R50" s="128"/>
      <c r="S50" s="1" t="str">
        <f aca="false">IF(G50="","",IF(G50&gt;0.1,"PASS","FAIL"))</f>
        <v/>
      </c>
      <c r="T50" s="1" t="str">
        <f aca="false">IF(L50="","",IF(L50&gt;=0,"PASS","FAIL"))</f>
        <v/>
      </c>
      <c r="U50" s="1" t="str">
        <f aca="false">IF(COUNTA(H50,M50,R50)=0,"",IF((COUNTIF(H50,"Likely")+COUNTIF(M50,"Likely")+COUNTIF(R50,"Likely"))=1,"OK","CHECK TAGS"))</f>
        <v/>
      </c>
    </row>
  </sheetData>
  <mergeCells count="5">
    <mergeCell ref="A1:T1"/>
    <mergeCell ref="D2:H2"/>
    <mergeCell ref="I2:M2"/>
    <mergeCell ref="N2:R2"/>
    <mergeCell ref="S2:U2"/>
  </mergeCells>
  <conditionalFormatting sqref="S4:T50">
    <cfRule type="cellIs" priority="2" operator="equal" aboveAverage="0" equalAverage="0" bottom="0" percent="0" rank="0" text="" dxfId="13">
      <formula>"PASS"</formula>
    </cfRule>
    <cfRule type="cellIs" priority="3" operator="equal" aboveAverage="0" equalAverage="0" bottom="0" percent="0" rank="0" text="" dxfId="0">
      <formula>"FAIL"</formula>
    </cfRule>
  </conditionalFormatting>
  <conditionalFormatting sqref="U4:U50">
    <cfRule type="cellIs" priority="4" operator="equal" aboveAverage="0" equalAverage="0" bottom="0" percent="0" rank="0" text="" dxfId="13">
      <formula>"OK"</formula>
    </cfRule>
    <cfRule type="cellIs" priority="5" operator="equal" aboveAverage="0" equalAverage="0" bottom="0" percent="0" rank="0" text="" dxfId="0">
      <formula>"CHECK TAGS"</formula>
    </cfRule>
  </conditionalFormatting>
  <dataValidations count="1">
    <dataValidation allowBlank="true" errorStyle="stop" operator="between" showDropDown="false" showErrorMessage="false" showInputMessage="false" sqref="H4:H23 M4:M23 R4:R23" type="list">
      <formula1>"Likely,Possible,Unlikely"</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A2" activeCellId="0" sqref="A2"/>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5" min="3" style="1" width="9"/>
    <col collapsed="false" customWidth="true" hidden="false" outlineLevel="0" max="26" min="26" style="1" width="16"/>
    <col collapsed="false" customWidth="true" hidden="false" outlineLevel="0" max="27" min="27" style="1" width="9"/>
    <col collapsed="false" customWidth="true" hidden="false" outlineLevel="0" max="28" min="28" style="1" width="20"/>
  </cols>
  <sheetData>
    <row r="1" customFormat="false" ht="30" hidden="false" customHeight="true" outlineLevel="0" collapsed="false">
      <c r="A1" s="31" t="s">
        <v>482</v>
      </c>
      <c r="B1" s="31"/>
      <c r="C1" s="31"/>
      <c r="D1" s="31"/>
      <c r="E1" s="31"/>
      <c r="F1" s="31"/>
      <c r="G1" s="31"/>
      <c r="H1" s="31"/>
      <c r="I1" s="31"/>
      <c r="J1" s="31"/>
      <c r="K1" s="31"/>
      <c r="L1" s="31"/>
      <c r="M1" s="31"/>
      <c r="N1" s="31"/>
      <c r="O1" s="31"/>
      <c r="P1" s="31"/>
      <c r="Q1" s="31"/>
      <c r="R1" s="31"/>
      <c r="S1" s="31"/>
      <c r="T1" s="31"/>
      <c r="U1" s="31"/>
      <c r="V1" s="31"/>
    </row>
    <row r="2" customFormat="false" ht="25.5" hidden="false" customHeight="true" outlineLevel="0" collapsed="false">
      <c r="E2" s="132" t="s">
        <v>483</v>
      </c>
      <c r="F2" s="132"/>
      <c r="G2" s="132"/>
      <c r="H2" s="132"/>
      <c r="I2" s="132"/>
      <c r="J2" s="132"/>
      <c r="K2" s="132"/>
      <c r="L2" s="132"/>
      <c r="M2" s="132"/>
      <c r="N2" s="132"/>
      <c r="O2" s="132"/>
      <c r="P2" s="132"/>
      <c r="Q2" s="132"/>
      <c r="R2" s="132"/>
      <c r="S2" s="132"/>
      <c r="T2" s="133" t="s">
        <v>484</v>
      </c>
      <c r="U2" s="133"/>
      <c r="V2" s="133"/>
      <c r="W2" s="133"/>
      <c r="X2" s="133"/>
      <c r="Y2" s="133"/>
      <c r="Z2" s="133"/>
    </row>
    <row r="3" customFormat="false" ht="54" hidden="false" customHeight="true" outlineLevel="0" collapsed="false">
      <c r="A3" s="89" t="s">
        <v>82</v>
      </c>
      <c r="B3" s="89" t="s">
        <v>274</v>
      </c>
      <c r="C3" s="89" t="s">
        <v>485</v>
      </c>
      <c r="D3" s="89" t="s">
        <v>486</v>
      </c>
      <c r="E3" s="89" t="s">
        <v>487</v>
      </c>
      <c r="F3" s="89" t="s">
        <v>488</v>
      </c>
      <c r="G3" s="89" t="s">
        <v>489</v>
      </c>
      <c r="H3" s="89" t="s">
        <v>490</v>
      </c>
      <c r="I3" s="89" t="s">
        <v>491</v>
      </c>
      <c r="J3" s="89" t="s">
        <v>489</v>
      </c>
      <c r="K3" s="89" t="s">
        <v>492</v>
      </c>
      <c r="L3" s="89" t="s">
        <v>493</v>
      </c>
      <c r="M3" s="89" t="s">
        <v>489</v>
      </c>
      <c r="N3" s="89" t="s">
        <v>494</v>
      </c>
      <c r="O3" s="89" t="s">
        <v>495</v>
      </c>
      <c r="P3" s="89" t="s">
        <v>489</v>
      </c>
      <c r="Q3" s="89" t="s">
        <v>496</v>
      </c>
      <c r="R3" s="89" t="s">
        <v>497</v>
      </c>
      <c r="S3" s="89" t="s">
        <v>489</v>
      </c>
      <c r="T3" s="89" t="s">
        <v>498</v>
      </c>
      <c r="U3" s="89" t="s">
        <v>499</v>
      </c>
      <c r="V3" s="89" t="s">
        <v>500</v>
      </c>
      <c r="W3" s="89" t="s">
        <v>501</v>
      </c>
      <c r="X3" s="89" t="s">
        <v>502</v>
      </c>
      <c r="Y3" s="89" t="s">
        <v>503</v>
      </c>
      <c r="Z3" s="89" t="s">
        <v>504</v>
      </c>
      <c r="AA3" s="89" t="s">
        <v>505</v>
      </c>
      <c r="AB3" s="89" t="s">
        <v>463</v>
      </c>
    </row>
    <row r="4" customFormat="false" ht="15" hidden="false" customHeight="true" outlineLevel="0" collapsed="false">
      <c r="A4" s="82"/>
      <c r="B4" s="82"/>
      <c r="C4" s="134"/>
      <c r="D4" s="134"/>
      <c r="E4" s="82"/>
      <c r="F4" s="82"/>
      <c r="G4" s="135" t="str">
        <f aca="false">IF(OR(E4="",F4=""),"",IF(AND(E4&lt;=2,F4&lt;=2),"TRIGGER","OK"))</f>
        <v/>
      </c>
      <c r="H4" s="82"/>
      <c r="I4" s="82"/>
      <c r="J4" s="135" t="str">
        <f aca="false">IF(OR(H4="",I4=""),"",IF(AND(H4&lt;=2,I4&lt;=2),"TRIGGER","OK"))</f>
        <v/>
      </c>
      <c r="K4" s="82"/>
      <c r="L4" s="82"/>
      <c r="M4" s="135" t="str">
        <f aca="false">IF(OR(K4="",L4=""),"",IF(AND(K4&lt;=2,L4&lt;=2),"TRIGGER","OK"))</f>
        <v/>
      </c>
      <c r="N4" s="82"/>
      <c r="O4" s="82"/>
      <c r="P4" s="135" t="str">
        <f aca="false">IF(OR(N4="",O4=""),"",IF(AND(N4&lt;=2,O4&lt;=2),"TRIGGER","OK"))</f>
        <v/>
      </c>
      <c r="Q4" s="82"/>
      <c r="R4" s="82"/>
      <c r="S4" s="135" t="str">
        <f aca="false">IF(OR(Q4="",R4=""),"",IF(AND(Q4&lt;=2,R4&lt;=2),"TRIGGER","OK"))</f>
        <v/>
      </c>
      <c r="T4" s="136"/>
      <c r="U4" s="136"/>
      <c r="V4" s="134"/>
      <c r="W4" s="134"/>
      <c r="X4" s="82"/>
      <c r="Y4" s="82"/>
      <c r="Z4" s="135" t="str">
        <f aca="false">IF(TRIM(IF(AND(T4&lt;&gt;"",T4&gt;6),"Debt/FCF&gt;6x; ","")&amp;IF(AND(U4&lt;&gt;"",V4&lt;&gt;"",U4&gt;50,V4&lt;0.15),"P/FCF&gt;50x+low growth; ","")&amp;IF(AND(W4&lt;&gt;"",W4&lt;0.07),"Implied return&lt;7%; ","")&amp;IF(AND(C4&lt;&gt;"",D4&lt;&gt;"",C4&gt;D4),"Position&gt;max; ","")&amp;IF(AND(X4&lt;&gt;"",Y4&lt;&gt;"",X4&lt;&gt;Y4,OR(Y4="Strong Buy",Y4="Buy")),"Tier downgraded; ",""))="","OK",TRIM(IF(AND(T4&lt;&gt;"",T4&gt;6),"Debt/FCF&gt;6x; ","")&amp;IF(AND(U4&lt;&gt;"",V4&lt;&gt;"",U4&gt;50,V4&lt;0.15),"P/FCF&gt;50x+low growth; ","")&amp;IF(AND(W4&lt;&gt;"",W4&lt;0.07),"Implied return&lt;7%; ","")&amp;IF(AND(C4&lt;&gt;"",D4&lt;&gt;"",C4&gt;D4),"Position&gt;max; ","")&amp;IF(AND(X4&lt;&gt;"",Y4&lt;&gt;"",X4&lt;&gt;Y4,OR(Y4="Strong Buy",Y4="Buy")),"Tier downgraded; ","")))</f>
        <v>OK</v>
      </c>
      <c r="AA4" s="82"/>
      <c r="AB4" s="83" t="str">
        <f aca="false">IF(COUNTA(G4,J4,M4,P4,S4)=0,"",IF(AA4="Y","Hold Through applies — monitor only",IF(OR((COUNTIF(G4,"TRIGGER")+COUNTIF(J4,"TRIGGER")+COUNTIF(M4,"TRIGGER")+COUNTIF(P4,"TRIGGER")+COUNTIF(S4,"TRIGGER"))&gt;0,Z4&lt;&gt;"OK"),"ACTION REQUIRED WITHIN 30 DAYS","OK — no active trigger")))</f>
        <v>OK — no active trigger</v>
      </c>
    </row>
    <row r="5" customFormat="false" ht="15" hidden="false" customHeight="true" outlineLevel="0" collapsed="false">
      <c r="A5" s="82"/>
      <c r="B5" s="82"/>
      <c r="C5" s="134"/>
      <c r="D5" s="134"/>
      <c r="E5" s="82"/>
      <c r="F5" s="82"/>
      <c r="G5" s="135" t="str">
        <f aca="false">IF(OR(E5="",F5=""),"",IF(AND(E5&lt;=2,F5&lt;=2),"TRIGGER","OK"))</f>
        <v/>
      </c>
      <c r="H5" s="82"/>
      <c r="I5" s="82"/>
      <c r="J5" s="135" t="str">
        <f aca="false">IF(OR(H5="",I5=""),"",IF(AND(H5&lt;=2,I5&lt;=2),"TRIGGER","OK"))</f>
        <v/>
      </c>
      <c r="K5" s="82"/>
      <c r="L5" s="82"/>
      <c r="M5" s="135" t="str">
        <f aca="false">IF(OR(K5="",L5=""),"",IF(AND(K5&lt;=2,L5&lt;=2),"TRIGGER","OK"))</f>
        <v/>
      </c>
      <c r="N5" s="82"/>
      <c r="O5" s="82"/>
      <c r="P5" s="135" t="str">
        <f aca="false">IF(OR(N5="",O5=""),"",IF(AND(N5&lt;=2,O5&lt;=2),"TRIGGER","OK"))</f>
        <v/>
      </c>
      <c r="Q5" s="82"/>
      <c r="R5" s="82"/>
      <c r="S5" s="135" t="str">
        <f aca="false">IF(OR(Q5="",R5=""),"",IF(AND(Q5&lt;=2,R5&lt;=2),"TRIGGER","OK"))</f>
        <v/>
      </c>
      <c r="T5" s="136"/>
      <c r="U5" s="136"/>
      <c r="V5" s="134"/>
      <c r="W5" s="134"/>
      <c r="X5" s="82"/>
      <c r="Y5" s="82"/>
      <c r="Z5" s="135" t="str">
        <f aca="false">IF(TRIM(IF(AND(T5&lt;&gt;"",T5&gt;6),"Debt/FCF&gt;6x; ","")&amp;IF(AND(U5&lt;&gt;"",V5&lt;&gt;"",U5&gt;50,V5&lt;0.15),"P/FCF&gt;50x+low growth; ","")&amp;IF(AND(W5&lt;&gt;"",W5&lt;0.07),"Implied return&lt;7%; ","")&amp;IF(AND(C5&lt;&gt;"",D5&lt;&gt;"",C5&gt;D5),"Position&gt;max; ","")&amp;IF(AND(X5&lt;&gt;"",Y5&lt;&gt;"",X5&lt;&gt;Y5,OR(Y5="Strong Buy",Y5="Buy")),"Tier downgraded; ",""))="","OK",TRIM(IF(AND(T5&lt;&gt;"",T5&gt;6),"Debt/FCF&gt;6x; ","")&amp;IF(AND(U5&lt;&gt;"",V5&lt;&gt;"",U5&gt;50,V5&lt;0.15),"P/FCF&gt;50x+low growth; ","")&amp;IF(AND(W5&lt;&gt;"",W5&lt;0.07),"Implied return&lt;7%; ","")&amp;IF(AND(C5&lt;&gt;"",D5&lt;&gt;"",C5&gt;D5),"Position&gt;max; ","")&amp;IF(AND(X5&lt;&gt;"",Y5&lt;&gt;"",X5&lt;&gt;Y5,OR(Y5="Strong Buy",Y5="Buy")),"Tier downgraded; ","")))</f>
        <v>OK</v>
      </c>
      <c r="AA5" s="82"/>
      <c r="AB5" s="83" t="str">
        <f aca="false">IF(COUNTA(G5,J5,M5,P5,S5)=0,"",IF(AA5="Y","Hold Through applies — monitor only",IF(OR((COUNTIF(G5,"TRIGGER")+COUNTIF(J5,"TRIGGER")+COUNTIF(M5,"TRIGGER")+COUNTIF(P5,"TRIGGER")+COUNTIF(S5,"TRIGGER"))&gt;0,Z5&lt;&gt;"OK"),"ACTION REQUIRED WITHIN 30 DAYS","OK — no active trigger")))</f>
        <v>OK — no active trigger</v>
      </c>
    </row>
    <row r="6" customFormat="false" ht="15" hidden="false" customHeight="true" outlineLevel="0" collapsed="false">
      <c r="A6" s="82"/>
      <c r="B6" s="82"/>
      <c r="C6" s="134"/>
      <c r="D6" s="134"/>
      <c r="E6" s="82"/>
      <c r="F6" s="82"/>
      <c r="G6" s="135" t="str">
        <f aca="false">IF(OR(E6="",F6=""),"",IF(AND(E6&lt;=2,F6&lt;=2),"TRIGGER","OK"))</f>
        <v/>
      </c>
      <c r="H6" s="82"/>
      <c r="I6" s="82"/>
      <c r="J6" s="135" t="str">
        <f aca="false">IF(OR(H6="",I6=""),"",IF(AND(H6&lt;=2,I6&lt;=2),"TRIGGER","OK"))</f>
        <v/>
      </c>
      <c r="K6" s="82"/>
      <c r="L6" s="82"/>
      <c r="M6" s="135" t="str">
        <f aca="false">IF(OR(K6="",L6=""),"",IF(AND(K6&lt;=2,L6&lt;=2),"TRIGGER","OK"))</f>
        <v/>
      </c>
      <c r="N6" s="82"/>
      <c r="O6" s="82"/>
      <c r="P6" s="135" t="str">
        <f aca="false">IF(OR(N6="",O6=""),"",IF(AND(N6&lt;=2,O6&lt;=2),"TRIGGER","OK"))</f>
        <v/>
      </c>
      <c r="Q6" s="82"/>
      <c r="R6" s="82"/>
      <c r="S6" s="135" t="str">
        <f aca="false">IF(OR(Q6="",R6=""),"",IF(AND(Q6&lt;=2,R6&lt;=2),"TRIGGER","OK"))</f>
        <v/>
      </c>
      <c r="T6" s="136"/>
      <c r="U6" s="136"/>
      <c r="V6" s="134"/>
      <c r="W6" s="134"/>
      <c r="X6" s="82"/>
      <c r="Y6" s="82"/>
      <c r="Z6" s="135" t="str">
        <f aca="false">IF(TRIM(IF(AND(T6&lt;&gt;"",T6&gt;6),"Debt/FCF&gt;6x; ","")&amp;IF(AND(U6&lt;&gt;"",V6&lt;&gt;"",U6&gt;50,V6&lt;0.15),"P/FCF&gt;50x+low growth; ","")&amp;IF(AND(W6&lt;&gt;"",W6&lt;0.07),"Implied return&lt;7%; ","")&amp;IF(AND(C6&lt;&gt;"",D6&lt;&gt;"",C6&gt;D6),"Position&gt;max; ","")&amp;IF(AND(X6&lt;&gt;"",Y6&lt;&gt;"",X6&lt;&gt;Y6,OR(Y6="Strong Buy",Y6="Buy")),"Tier downgraded; ",""))="","OK",TRIM(IF(AND(T6&lt;&gt;"",T6&gt;6),"Debt/FCF&gt;6x; ","")&amp;IF(AND(U6&lt;&gt;"",V6&lt;&gt;"",U6&gt;50,V6&lt;0.15),"P/FCF&gt;50x+low growth; ","")&amp;IF(AND(W6&lt;&gt;"",W6&lt;0.07),"Implied return&lt;7%; ","")&amp;IF(AND(C6&lt;&gt;"",D6&lt;&gt;"",C6&gt;D6),"Position&gt;max; ","")&amp;IF(AND(X6&lt;&gt;"",Y6&lt;&gt;"",X6&lt;&gt;Y6,OR(Y6="Strong Buy",Y6="Buy")),"Tier downgraded; ","")))</f>
        <v>OK</v>
      </c>
      <c r="AA6" s="82"/>
      <c r="AB6" s="83" t="str">
        <f aca="false">IF(COUNTA(G6,J6,M6,P6,S6)=0,"",IF(AA6="Y","Hold Through applies — monitor only",IF(OR((COUNTIF(G6,"TRIGGER")+COUNTIF(J6,"TRIGGER")+COUNTIF(M6,"TRIGGER")+COUNTIF(P6,"TRIGGER")+COUNTIF(S6,"TRIGGER"))&gt;0,Z6&lt;&gt;"OK"),"ACTION REQUIRED WITHIN 30 DAYS","OK — no active trigger")))</f>
        <v>OK — no active trigger</v>
      </c>
    </row>
    <row r="7" customFormat="false" ht="15" hidden="false" customHeight="true" outlineLevel="0" collapsed="false">
      <c r="A7" s="82"/>
      <c r="B7" s="82"/>
      <c r="C7" s="134"/>
      <c r="D7" s="134"/>
      <c r="E7" s="82"/>
      <c r="F7" s="82"/>
      <c r="G7" s="135" t="str">
        <f aca="false">IF(OR(E7="",F7=""),"",IF(AND(E7&lt;=2,F7&lt;=2),"TRIGGER","OK"))</f>
        <v/>
      </c>
      <c r="H7" s="82"/>
      <c r="I7" s="82"/>
      <c r="J7" s="135" t="str">
        <f aca="false">IF(OR(H7="",I7=""),"",IF(AND(H7&lt;=2,I7&lt;=2),"TRIGGER","OK"))</f>
        <v/>
      </c>
      <c r="K7" s="82"/>
      <c r="L7" s="82"/>
      <c r="M7" s="135" t="str">
        <f aca="false">IF(OR(K7="",L7=""),"",IF(AND(K7&lt;=2,L7&lt;=2),"TRIGGER","OK"))</f>
        <v/>
      </c>
      <c r="N7" s="82"/>
      <c r="O7" s="82"/>
      <c r="P7" s="135" t="str">
        <f aca="false">IF(OR(N7="",O7=""),"",IF(AND(N7&lt;=2,O7&lt;=2),"TRIGGER","OK"))</f>
        <v/>
      </c>
      <c r="Q7" s="82"/>
      <c r="R7" s="82"/>
      <c r="S7" s="135" t="str">
        <f aca="false">IF(OR(Q7="",R7=""),"",IF(AND(Q7&lt;=2,R7&lt;=2),"TRIGGER","OK"))</f>
        <v/>
      </c>
      <c r="T7" s="136"/>
      <c r="U7" s="136"/>
      <c r="V7" s="134"/>
      <c r="W7" s="134"/>
      <c r="X7" s="82"/>
      <c r="Y7" s="82"/>
      <c r="Z7" s="135" t="str">
        <f aca="false">IF(TRIM(IF(AND(T7&lt;&gt;"",T7&gt;6),"Debt/FCF&gt;6x; ","")&amp;IF(AND(U7&lt;&gt;"",V7&lt;&gt;"",U7&gt;50,V7&lt;0.15),"P/FCF&gt;50x+low growth; ","")&amp;IF(AND(W7&lt;&gt;"",W7&lt;0.07),"Implied return&lt;7%; ","")&amp;IF(AND(C7&lt;&gt;"",D7&lt;&gt;"",C7&gt;D7),"Position&gt;max; ","")&amp;IF(AND(X7&lt;&gt;"",Y7&lt;&gt;"",X7&lt;&gt;Y7,OR(Y7="Strong Buy",Y7="Buy")),"Tier downgraded; ",""))="","OK",TRIM(IF(AND(T7&lt;&gt;"",T7&gt;6),"Debt/FCF&gt;6x; ","")&amp;IF(AND(U7&lt;&gt;"",V7&lt;&gt;"",U7&gt;50,V7&lt;0.15),"P/FCF&gt;50x+low growth; ","")&amp;IF(AND(W7&lt;&gt;"",W7&lt;0.07),"Implied return&lt;7%; ","")&amp;IF(AND(C7&lt;&gt;"",D7&lt;&gt;"",C7&gt;D7),"Position&gt;max; ","")&amp;IF(AND(X7&lt;&gt;"",Y7&lt;&gt;"",X7&lt;&gt;Y7,OR(Y7="Strong Buy",Y7="Buy")),"Tier downgraded; ","")))</f>
        <v>OK</v>
      </c>
      <c r="AA7" s="82"/>
      <c r="AB7" s="83" t="str">
        <f aca="false">IF(COUNTA(G7,J7,M7,P7,S7)=0,"",IF(AA7="Y","Hold Through applies — monitor only",IF(OR((COUNTIF(G7,"TRIGGER")+COUNTIF(J7,"TRIGGER")+COUNTIF(M7,"TRIGGER")+COUNTIF(P7,"TRIGGER")+COUNTIF(S7,"TRIGGER"))&gt;0,Z7&lt;&gt;"OK"),"ACTION REQUIRED WITHIN 30 DAYS","OK — no active trigger")))</f>
        <v>OK — no active trigger</v>
      </c>
    </row>
    <row r="8" customFormat="false" ht="15" hidden="false" customHeight="true" outlineLevel="0" collapsed="false">
      <c r="A8" s="82"/>
      <c r="B8" s="82"/>
      <c r="C8" s="134"/>
      <c r="D8" s="134"/>
      <c r="E8" s="82"/>
      <c r="F8" s="82"/>
      <c r="G8" s="135" t="str">
        <f aca="false">IF(OR(E8="",F8=""),"",IF(AND(E8&lt;=2,F8&lt;=2),"TRIGGER","OK"))</f>
        <v/>
      </c>
      <c r="H8" s="82"/>
      <c r="I8" s="82"/>
      <c r="J8" s="135" t="str">
        <f aca="false">IF(OR(H8="",I8=""),"",IF(AND(H8&lt;=2,I8&lt;=2),"TRIGGER","OK"))</f>
        <v/>
      </c>
      <c r="K8" s="82"/>
      <c r="L8" s="82"/>
      <c r="M8" s="135" t="str">
        <f aca="false">IF(OR(K8="",L8=""),"",IF(AND(K8&lt;=2,L8&lt;=2),"TRIGGER","OK"))</f>
        <v/>
      </c>
      <c r="N8" s="82"/>
      <c r="O8" s="82"/>
      <c r="P8" s="135" t="str">
        <f aca="false">IF(OR(N8="",O8=""),"",IF(AND(N8&lt;=2,O8&lt;=2),"TRIGGER","OK"))</f>
        <v/>
      </c>
      <c r="Q8" s="82"/>
      <c r="R8" s="82"/>
      <c r="S8" s="135" t="str">
        <f aca="false">IF(OR(Q8="",R8=""),"",IF(AND(Q8&lt;=2,R8&lt;=2),"TRIGGER","OK"))</f>
        <v/>
      </c>
      <c r="T8" s="136"/>
      <c r="U8" s="136"/>
      <c r="V8" s="134"/>
      <c r="W8" s="134"/>
      <c r="X8" s="82"/>
      <c r="Y8" s="82"/>
      <c r="Z8" s="135" t="str">
        <f aca="false">IF(TRIM(IF(AND(T8&lt;&gt;"",T8&gt;6),"Debt/FCF&gt;6x; ","")&amp;IF(AND(U8&lt;&gt;"",V8&lt;&gt;"",U8&gt;50,V8&lt;0.15),"P/FCF&gt;50x+low growth; ","")&amp;IF(AND(W8&lt;&gt;"",W8&lt;0.07),"Implied return&lt;7%; ","")&amp;IF(AND(C8&lt;&gt;"",D8&lt;&gt;"",C8&gt;D8),"Position&gt;max; ","")&amp;IF(AND(X8&lt;&gt;"",Y8&lt;&gt;"",X8&lt;&gt;Y8,OR(Y8="Strong Buy",Y8="Buy")),"Tier downgraded; ",""))="","OK",TRIM(IF(AND(T8&lt;&gt;"",T8&gt;6),"Debt/FCF&gt;6x; ","")&amp;IF(AND(U8&lt;&gt;"",V8&lt;&gt;"",U8&gt;50,V8&lt;0.15),"P/FCF&gt;50x+low growth; ","")&amp;IF(AND(W8&lt;&gt;"",W8&lt;0.07),"Implied return&lt;7%; ","")&amp;IF(AND(C8&lt;&gt;"",D8&lt;&gt;"",C8&gt;D8),"Position&gt;max; ","")&amp;IF(AND(X8&lt;&gt;"",Y8&lt;&gt;"",X8&lt;&gt;Y8,OR(Y8="Strong Buy",Y8="Buy")),"Tier downgraded; ","")))</f>
        <v>OK</v>
      </c>
      <c r="AA8" s="82"/>
      <c r="AB8" s="83" t="str">
        <f aca="false">IF(COUNTA(G8,J8,M8,P8,S8)=0,"",IF(AA8="Y","Hold Through applies — monitor only",IF(OR((COUNTIF(G8,"TRIGGER")+COUNTIF(J8,"TRIGGER")+COUNTIF(M8,"TRIGGER")+COUNTIF(P8,"TRIGGER")+COUNTIF(S8,"TRIGGER"))&gt;0,Z8&lt;&gt;"OK"),"ACTION REQUIRED WITHIN 30 DAYS","OK — no active trigger")))</f>
        <v>OK — no active trigger</v>
      </c>
    </row>
    <row r="9" customFormat="false" ht="15" hidden="false" customHeight="true" outlineLevel="0" collapsed="false">
      <c r="A9" s="82"/>
      <c r="B9" s="82"/>
      <c r="C9" s="134"/>
      <c r="D9" s="134"/>
      <c r="E9" s="82"/>
      <c r="F9" s="82"/>
      <c r="G9" s="135" t="str">
        <f aca="false">IF(OR(E9="",F9=""),"",IF(AND(E9&lt;=2,F9&lt;=2),"TRIGGER","OK"))</f>
        <v/>
      </c>
      <c r="H9" s="82"/>
      <c r="I9" s="82"/>
      <c r="J9" s="135" t="str">
        <f aca="false">IF(OR(H9="",I9=""),"",IF(AND(H9&lt;=2,I9&lt;=2),"TRIGGER","OK"))</f>
        <v/>
      </c>
      <c r="K9" s="82"/>
      <c r="L9" s="82"/>
      <c r="M9" s="135" t="str">
        <f aca="false">IF(OR(K9="",L9=""),"",IF(AND(K9&lt;=2,L9&lt;=2),"TRIGGER","OK"))</f>
        <v/>
      </c>
      <c r="N9" s="82"/>
      <c r="O9" s="82"/>
      <c r="P9" s="135" t="str">
        <f aca="false">IF(OR(N9="",O9=""),"",IF(AND(N9&lt;=2,O9&lt;=2),"TRIGGER","OK"))</f>
        <v/>
      </c>
      <c r="Q9" s="82"/>
      <c r="R9" s="82"/>
      <c r="S9" s="135" t="str">
        <f aca="false">IF(OR(Q9="",R9=""),"",IF(AND(Q9&lt;=2,R9&lt;=2),"TRIGGER","OK"))</f>
        <v/>
      </c>
      <c r="T9" s="136"/>
      <c r="U9" s="136"/>
      <c r="V9" s="134"/>
      <c r="W9" s="134"/>
      <c r="X9" s="82"/>
      <c r="Y9" s="82"/>
      <c r="Z9" s="135" t="str">
        <f aca="false">IF(TRIM(IF(AND(T9&lt;&gt;"",T9&gt;6),"Debt/FCF&gt;6x; ","")&amp;IF(AND(U9&lt;&gt;"",V9&lt;&gt;"",U9&gt;50,V9&lt;0.15),"P/FCF&gt;50x+low growth; ","")&amp;IF(AND(W9&lt;&gt;"",W9&lt;0.07),"Implied return&lt;7%; ","")&amp;IF(AND(C9&lt;&gt;"",D9&lt;&gt;"",C9&gt;D9),"Position&gt;max; ","")&amp;IF(AND(X9&lt;&gt;"",Y9&lt;&gt;"",X9&lt;&gt;Y9,OR(Y9="Strong Buy",Y9="Buy")),"Tier downgraded; ",""))="","OK",TRIM(IF(AND(T9&lt;&gt;"",T9&gt;6),"Debt/FCF&gt;6x; ","")&amp;IF(AND(U9&lt;&gt;"",V9&lt;&gt;"",U9&gt;50,V9&lt;0.15),"P/FCF&gt;50x+low growth; ","")&amp;IF(AND(W9&lt;&gt;"",W9&lt;0.07),"Implied return&lt;7%; ","")&amp;IF(AND(C9&lt;&gt;"",D9&lt;&gt;"",C9&gt;D9),"Position&gt;max; ","")&amp;IF(AND(X9&lt;&gt;"",Y9&lt;&gt;"",X9&lt;&gt;Y9,OR(Y9="Strong Buy",Y9="Buy")),"Tier downgraded; ","")))</f>
        <v>OK</v>
      </c>
      <c r="AA9" s="82"/>
      <c r="AB9" s="83" t="str">
        <f aca="false">IF(COUNTA(G9,J9,M9,P9,S9)=0,"",IF(AA9="Y","Hold Through applies — monitor only",IF(OR((COUNTIF(G9,"TRIGGER")+COUNTIF(J9,"TRIGGER")+COUNTIF(M9,"TRIGGER")+COUNTIF(P9,"TRIGGER")+COUNTIF(S9,"TRIGGER"))&gt;0,Z9&lt;&gt;"OK"),"ACTION REQUIRED WITHIN 30 DAYS","OK — no active trigger")))</f>
        <v>OK — no active trigger</v>
      </c>
    </row>
    <row r="10" customFormat="false" ht="15" hidden="false" customHeight="true" outlineLevel="0" collapsed="false">
      <c r="A10" s="82"/>
      <c r="B10" s="82"/>
      <c r="C10" s="134"/>
      <c r="D10" s="134"/>
      <c r="E10" s="82"/>
      <c r="F10" s="82"/>
      <c r="G10" s="135" t="str">
        <f aca="false">IF(OR(E10="",F10=""),"",IF(AND(E10&lt;=2,F10&lt;=2),"TRIGGER","OK"))</f>
        <v/>
      </c>
      <c r="H10" s="82"/>
      <c r="I10" s="82"/>
      <c r="J10" s="135" t="str">
        <f aca="false">IF(OR(H10="",I10=""),"",IF(AND(H10&lt;=2,I10&lt;=2),"TRIGGER","OK"))</f>
        <v/>
      </c>
      <c r="K10" s="82"/>
      <c r="L10" s="82"/>
      <c r="M10" s="135" t="str">
        <f aca="false">IF(OR(K10="",L10=""),"",IF(AND(K10&lt;=2,L10&lt;=2),"TRIGGER","OK"))</f>
        <v/>
      </c>
      <c r="N10" s="82"/>
      <c r="O10" s="82"/>
      <c r="P10" s="135" t="str">
        <f aca="false">IF(OR(N10="",O10=""),"",IF(AND(N10&lt;=2,O10&lt;=2),"TRIGGER","OK"))</f>
        <v/>
      </c>
      <c r="Q10" s="82"/>
      <c r="R10" s="82"/>
      <c r="S10" s="135" t="str">
        <f aca="false">IF(OR(Q10="",R10=""),"",IF(AND(Q10&lt;=2,R10&lt;=2),"TRIGGER","OK"))</f>
        <v/>
      </c>
      <c r="T10" s="136"/>
      <c r="U10" s="136"/>
      <c r="V10" s="134"/>
      <c r="W10" s="134"/>
      <c r="X10" s="82"/>
      <c r="Y10" s="82"/>
      <c r="Z10" s="135" t="str">
        <f aca="false">IF(TRIM(IF(AND(T10&lt;&gt;"",T10&gt;6),"Debt/FCF&gt;6x; ","")&amp;IF(AND(U10&lt;&gt;"",V10&lt;&gt;"",U10&gt;50,V10&lt;0.15),"P/FCF&gt;50x+low growth; ","")&amp;IF(AND(W10&lt;&gt;"",W10&lt;0.07),"Implied return&lt;7%; ","")&amp;IF(AND(C10&lt;&gt;"",D10&lt;&gt;"",C10&gt;D10),"Position&gt;max; ","")&amp;IF(AND(X10&lt;&gt;"",Y10&lt;&gt;"",X10&lt;&gt;Y10,OR(Y10="Strong Buy",Y10="Buy")),"Tier downgraded; ",""))="","OK",TRIM(IF(AND(T10&lt;&gt;"",T10&gt;6),"Debt/FCF&gt;6x; ","")&amp;IF(AND(U10&lt;&gt;"",V10&lt;&gt;"",U10&gt;50,V10&lt;0.15),"P/FCF&gt;50x+low growth; ","")&amp;IF(AND(W10&lt;&gt;"",W10&lt;0.07),"Implied return&lt;7%; ","")&amp;IF(AND(C10&lt;&gt;"",D10&lt;&gt;"",C10&gt;D10),"Position&gt;max; ","")&amp;IF(AND(X10&lt;&gt;"",Y10&lt;&gt;"",X10&lt;&gt;Y10,OR(Y10="Strong Buy",Y10="Buy")),"Tier downgraded; ","")))</f>
        <v>OK</v>
      </c>
      <c r="AA10" s="82"/>
      <c r="AB10" s="83" t="str">
        <f aca="false">IF(COUNTA(G10,J10,M10,P10,S10)=0,"",IF(AA10="Y","Hold Through applies — monitor only",IF(OR((COUNTIF(G10,"TRIGGER")+COUNTIF(J10,"TRIGGER")+COUNTIF(M10,"TRIGGER")+COUNTIF(P10,"TRIGGER")+COUNTIF(S10,"TRIGGER"))&gt;0,Z10&lt;&gt;"OK"),"ACTION REQUIRED WITHIN 30 DAYS","OK — no active trigger")))</f>
        <v>OK — no active trigger</v>
      </c>
    </row>
    <row r="11" customFormat="false" ht="15" hidden="false" customHeight="true" outlineLevel="0" collapsed="false">
      <c r="A11" s="82"/>
      <c r="B11" s="82"/>
      <c r="C11" s="134"/>
      <c r="D11" s="134"/>
      <c r="E11" s="82"/>
      <c r="F11" s="82"/>
      <c r="G11" s="135" t="str">
        <f aca="false">IF(OR(E11="",F11=""),"",IF(AND(E11&lt;=2,F11&lt;=2),"TRIGGER","OK"))</f>
        <v/>
      </c>
      <c r="H11" s="82"/>
      <c r="I11" s="82"/>
      <c r="J11" s="135" t="str">
        <f aca="false">IF(OR(H11="",I11=""),"",IF(AND(H11&lt;=2,I11&lt;=2),"TRIGGER","OK"))</f>
        <v/>
      </c>
      <c r="K11" s="82"/>
      <c r="L11" s="82"/>
      <c r="M11" s="135" t="str">
        <f aca="false">IF(OR(K11="",L11=""),"",IF(AND(K11&lt;=2,L11&lt;=2),"TRIGGER","OK"))</f>
        <v/>
      </c>
      <c r="N11" s="82"/>
      <c r="O11" s="82"/>
      <c r="P11" s="135" t="str">
        <f aca="false">IF(OR(N11="",O11=""),"",IF(AND(N11&lt;=2,O11&lt;=2),"TRIGGER","OK"))</f>
        <v/>
      </c>
      <c r="Q11" s="82"/>
      <c r="R11" s="82"/>
      <c r="S11" s="135" t="str">
        <f aca="false">IF(OR(Q11="",R11=""),"",IF(AND(Q11&lt;=2,R11&lt;=2),"TRIGGER","OK"))</f>
        <v/>
      </c>
      <c r="T11" s="136"/>
      <c r="U11" s="136"/>
      <c r="V11" s="134"/>
      <c r="W11" s="134"/>
      <c r="X11" s="82"/>
      <c r="Y11" s="82"/>
      <c r="Z11" s="135" t="str">
        <f aca="false">IF(TRIM(IF(AND(T11&lt;&gt;"",T11&gt;6),"Debt/FCF&gt;6x; ","")&amp;IF(AND(U11&lt;&gt;"",V11&lt;&gt;"",U11&gt;50,V11&lt;0.15),"P/FCF&gt;50x+low growth; ","")&amp;IF(AND(W11&lt;&gt;"",W11&lt;0.07),"Implied return&lt;7%; ","")&amp;IF(AND(C11&lt;&gt;"",D11&lt;&gt;"",C11&gt;D11),"Position&gt;max; ","")&amp;IF(AND(X11&lt;&gt;"",Y11&lt;&gt;"",X11&lt;&gt;Y11,OR(Y11="Strong Buy",Y11="Buy")),"Tier downgraded; ",""))="","OK",TRIM(IF(AND(T11&lt;&gt;"",T11&gt;6),"Debt/FCF&gt;6x; ","")&amp;IF(AND(U11&lt;&gt;"",V11&lt;&gt;"",U11&gt;50,V11&lt;0.15),"P/FCF&gt;50x+low growth; ","")&amp;IF(AND(W11&lt;&gt;"",W11&lt;0.07),"Implied return&lt;7%; ","")&amp;IF(AND(C11&lt;&gt;"",D11&lt;&gt;"",C11&gt;D11),"Position&gt;max; ","")&amp;IF(AND(X11&lt;&gt;"",Y11&lt;&gt;"",X11&lt;&gt;Y11,OR(Y11="Strong Buy",Y11="Buy")),"Tier downgraded; ","")))</f>
        <v>OK</v>
      </c>
      <c r="AA11" s="82"/>
      <c r="AB11" s="83" t="str">
        <f aca="false">IF(COUNTA(G11,J11,M11,P11,S11)=0,"",IF(AA11="Y","Hold Through applies — monitor only",IF(OR((COUNTIF(G11,"TRIGGER")+COUNTIF(J11,"TRIGGER")+COUNTIF(M11,"TRIGGER")+COUNTIF(P11,"TRIGGER")+COUNTIF(S11,"TRIGGER"))&gt;0,Z11&lt;&gt;"OK"),"ACTION REQUIRED WITHIN 30 DAYS","OK — no active trigger")))</f>
        <v>OK — no active trigger</v>
      </c>
    </row>
    <row r="12" customFormat="false" ht="15" hidden="false" customHeight="true" outlineLevel="0" collapsed="false">
      <c r="A12" s="82"/>
      <c r="B12" s="82"/>
      <c r="C12" s="134"/>
      <c r="D12" s="134"/>
      <c r="E12" s="82"/>
      <c r="F12" s="82"/>
      <c r="G12" s="135" t="str">
        <f aca="false">IF(OR(E12="",F12=""),"",IF(AND(E12&lt;=2,F12&lt;=2),"TRIGGER","OK"))</f>
        <v/>
      </c>
      <c r="H12" s="82"/>
      <c r="I12" s="82"/>
      <c r="J12" s="135" t="str">
        <f aca="false">IF(OR(H12="",I12=""),"",IF(AND(H12&lt;=2,I12&lt;=2),"TRIGGER","OK"))</f>
        <v/>
      </c>
      <c r="K12" s="82"/>
      <c r="L12" s="82"/>
      <c r="M12" s="135" t="str">
        <f aca="false">IF(OR(K12="",L12=""),"",IF(AND(K12&lt;=2,L12&lt;=2),"TRIGGER","OK"))</f>
        <v/>
      </c>
      <c r="N12" s="82"/>
      <c r="O12" s="82"/>
      <c r="P12" s="135" t="str">
        <f aca="false">IF(OR(N12="",O12=""),"",IF(AND(N12&lt;=2,O12&lt;=2),"TRIGGER","OK"))</f>
        <v/>
      </c>
      <c r="Q12" s="82"/>
      <c r="R12" s="82"/>
      <c r="S12" s="135" t="str">
        <f aca="false">IF(OR(Q12="",R12=""),"",IF(AND(Q12&lt;=2,R12&lt;=2),"TRIGGER","OK"))</f>
        <v/>
      </c>
      <c r="T12" s="136"/>
      <c r="U12" s="136"/>
      <c r="V12" s="134"/>
      <c r="W12" s="134"/>
      <c r="X12" s="82"/>
      <c r="Y12" s="82"/>
      <c r="Z12" s="135" t="str">
        <f aca="false">IF(TRIM(IF(AND(T12&lt;&gt;"",T12&gt;6),"Debt/FCF&gt;6x; ","")&amp;IF(AND(U12&lt;&gt;"",V12&lt;&gt;"",U12&gt;50,V12&lt;0.15),"P/FCF&gt;50x+low growth; ","")&amp;IF(AND(W12&lt;&gt;"",W12&lt;0.07),"Implied return&lt;7%; ","")&amp;IF(AND(C12&lt;&gt;"",D12&lt;&gt;"",C12&gt;D12),"Position&gt;max; ","")&amp;IF(AND(X12&lt;&gt;"",Y12&lt;&gt;"",X12&lt;&gt;Y12,OR(Y12="Strong Buy",Y12="Buy")),"Tier downgraded; ",""))="","OK",TRIM(IF(AND(T12&lt;&gt;"",T12&gt;6),"Debt/FCF&gt;6x; ","")&amp;IF(AND(U12&lt;&gt;"",V12&lt;&gt;"",U12&gt;50,V12&lt;0.15),"P/FCF&gt;50x+low growth; ","")&amp;IF(AND(W12&lt;&gt;"",W12&lt;0.07),"Implied return&lt;7%; ","")&amp;IF(AND(C12&lt;&gt;"",D12&lt;&gt;"",C12&gt;D12),"Position&gt;max; ","")&amp;IF(AND(X12&lt;&gt;"",Y12&lt;&gt;"",X12&lt;&gt;Y12,OR(Y12="Strong Buy",Y12="Buy")),"Tier downgraded; ","")))</f>
        <v>OK</v>
      </c>
      <c r="AA12" s="82"/>
      <c r="AB12" s="83" t="str">
        <f aca="false">IF(COUNTA(G12,J12,M12,P12,S12)=0,"",IF(AA12="Y","Hold Through applies — monitor only",IF(OR((COUNTIF(G12,"TRIGGER")+COUNTIF(J12,"TRIGGER")+COUNTIF(M12,"TRIGGER")+COUNTIF(P12,"TRIGGER")+COUNTIF(S12,"TRIGGER"))&gt;0,Z12&lt;&gt;"OK"),"ACTION REQUIRED WITHIN 30 DAYS","OK — no active trigger")))</f>
        <v>OK — no active trigger</v>
      </c>
    </row>
    <row r="13" customFormat="false" ht="15" hidden="false" customHeight="true" outlineLevel="0" collapsed="false">
      <c r="A13" s="82"/>
      <c r="B13" s="82"/>
      <c r="C13" s="134"/>
      <c r="D13" s="134"/>
      <c r="E13" s="82"/>
      <c r="F13" s="82"/>
      <c r="G13" s="135" t="str">
        <f aca="false">IF(OR(E13="",F13=""),"",IF(AND(E13&lt;=2,F13&lt;=2),"TRIGGER","OK"))</f>
        <v/>
      </c>
      <c r="H13" s="82"/>
      <c r="I13" s="82"/>
      <c r="J13" s="135" t="str">
        <f aca="false">IF(OR(H13="",I13=""),"",IF(AND(H13&lt;=2,I13&lt;=2),"TRIGGER","OK"))</f>
        <v/>
      </c>
      <c r="K13" s="82"/>
      <c r="L13" s="82"/>
      <c r="M13" s="135" t="str">
        <f aca="false">IF(OR(K13="",L13=""),"",IF(AND(K13&lt;=2,L13&lt;=2),"TRIGGER","OK"))</f>
        <v/>
      </c>
      <c r="N13" s="82"/>
      <c r="O13" s="82"/>
      <c r="P13" s="135" t="str">
        <f aca="false">IF(OR(N13="",O13=""),"",IF(AND(N13&lt;=2,O13&lt;=2),"TRIGGER","OK"))</f>
        <v/>
      </c>
      <c r="Q13" s="82"/>
      <c r="R13" s="82"/>
      <c r="S13" s="135" t="str">
        <f aca="false">IF(OR(Q13="",R13=""),"",IF(AND(Q13&lt;=2,R13&lt;=2),"TRIGGER","OK"))</f>
        <v/>
      </c>
      <c r="T13" s="136"/>
      <c r="U13" s="136"/>
      <c r="V13" s="134"/>
      <c r="W13" s="134"/>
      <c r="X13" s="82"/>
      <c r="Y13" s="82"/>
      <c r="Z13" s="135" t="str">
        <f aca="false">IF(TRIM(IF(AND(T13&lt;&gt;"",T13&gt;6),"Debt/FCF&gt;6x; ","")&amp;IF(AND(U13&lt;&gt;"",V13&lt;&gt;"",U13&gt;50,V13&lt;0.15),"P/FCF&gt;50x+low growth; ","")&amp;IF(AND(W13&lt;&gt;"",W13&lt;0.07),"Implied return&lt;7%; ","")&amp;IF(AND(C13&lt;&gt;"",D13&lt;&gt;"",C13&gt;D13),"Position&gt;max; ","")&amp;IF(AND(X13&lt;&gt;"",Y13&lt;&gt;"",X13&lt;&gt;Y13,OR(Y13="Strong Buy",Y13="Buy")),"Tier downgraded; ",""))="","OK",TRIM(IF(AND(T13&lt;&gt;"",T13&gt;6),"Debt/FCF&gt;6x; ","")&amp;IF(AND(U13&lt;&gt;"",V13&lt;&gt;"",U13&gt;50,V13&lt;0.15),"P/FCF&gt;50x+low growth; ","")&amp;IF(AND(W13&lt;&gt;"",W13&lt;0.07),"Implied return&lt;7%; ","")&amp;IF(AND(C13&lt;&gt;"",D13&lt;&gt;"",C13&gt;D13),"Position&gt;max; ","")&amp;IF(AND(X13&lt;&gt;"",Y13&lt;&gt;"",X13&lt;&gt;Y13,OR(Y13="Strong Buy",Y13="Buy")),"Tier downgraded; ","")))</f>
        <v>OK</v>
      </c>
      <c r="AA13" s="82"/>
      <c r="AB13" s="83" t="str">
        <f aca="false">IF(COUNTA(G13,J13,M13,P13,S13)=0,"",IF(AA13="Y","Hold Through applies — monitor only",IF(OR((COUNTIF(G13,"TRIGGER")+COUNTIF(J13,"TRIGGER")+COUNTIF(M13,"TRIGGER")+COUNTIF(P13,"TRIGGER")+COUNTIF(S13,"TRIGGER"))&gt;0,Z13&lt;&gt;"OK"),"ACTION REQUIRED WITHIN 30 DAYS","OK — no active trigger")))</f>
        <v>OK — no active trigger</v>
      </c>
    </row>
    <row r="14" customFormat="false" ht="15" hidden="false" customHeight="true" outlineLevel="0" collapsed="false">
      <c r="A14" s="82"/>
      <c r="B14" s="82"/>
      <c r="C14" s="134"/>
      <c r="D14" s="134"/>
      <c r="E14" s="82"/>
      <c r="F14" s="82"/>
      <c r="G14" s="135" t="str">
        <f aca="false">IF(OR(E14="",F14=""),"",IF(AND(E14&lt;=2,F14&lt;=2),"TRIGGER","OK"))</f>
        <v/>
      </c>
      <c r="H14" s="82"/>
      <c r="I14" s="82"/>
      <c r="J14" s="135" t="str">
        <f aca="false">IF(OR(H14="",I14=""),"",IF(AND(H14&lt;=2,I14&lt;=2),"TRIGGER","OK"))</f>
        <v/>
      </c>
      <c r="K14" s="82"/>
      <c r="L14" s="82"/>
      <c r="M14" s="135" t="str">
        <f aca="false">IF(OR(K14="",L14=""),"",IF(AND(K14&lt;=2,L14&lt;=2),"TRIGGER","OK"))</f>
        <v/>
      </c>
      <c r="N14" s="82"/>
      <c r="O14" s="82"/>
      <c r="P14" s="135" t="str">
        <f aca="false">IF(OR(N14="",O14=""),"",IF(AND(N14&lt;=2,O14&lt;=2),"TRIGGER","OK"))</f>
        <v/>
      </c>
      <c r="Q14" s="82"/>
      <c r="R14" s="82"/>
      <c r="S14" s="135" t="str">
        <f aca="false">IF(OR(Q14="",R14=""),"",IF(AND(Q14&lt;=2,R14&lt;=2),"TRIGGER","OK"))</f>
        <v/>
      </c>
      <c r="T14" s="136"/>
      <c r="U14" s="136"/>
      <c r="V14" s="134"/>
      <c r="W14" s="134"/>
      <c r="X14" s="82"/>
      <c r="Y14" s="82"/>
      <c r="Z14" s="135" t="str">
        <f aca="false">IF(TRIM(IF(AND(T14&lt;&gt;"",T14&gt;6),"Debt/FCF&gt;6x; ","")&amp;IF(AND(U14&lt;&gt;"",V14&lt;&gt;"",U14&gt;50,V14&lt;0.15),"P/FCF&gt;50x+low growth; ","")&amp;IF(AND(W14&lt;&gt;"",W14&lt;0.07),"Implied return&lt;7%; ","")&amp;IF(AND(C14&lt;&gt;"",D14&lt;&gt;"",C14&gt;D14),"Position&gt;max; ","")&amp;IF(AND(X14&lt;&gt;"",Y14&lt;&gt;"",X14&lt;&gt;Y14,OR(Y14="Strong Buy",Y14="Buy")),"Tier downgraded; ",""))="","OK",TRIM(IF(AND(T14&lt;&gt;"",T14&gt;6),"Debt/FCF&gt;6x; ","")&amp;IF(AND(U14&lt;&gt;"",V14&lt;&gt;"",U14&gt;50,V14&lt;0.15),"P/FCF&gt;50x+low growth; ","")&amp;IF(AND(W14&lt;&gt;"",W14&lt;0.07),"Implied return&lt;7%; ","")&amp;IF(AND(C14&lt;&gt;"",D14&lt;&gt;"",C14&gt;D14),"Position&gt;max; ","")&amp;IF(AND(X14&lt;&gt;"",Y14&lt;&gt;"",X14&lt;&gt;Y14,OR(Y14="Strong Buy",Y14="Buy")),"Tier downgraded; ","")))</f>
        <v>OK</v>
      </c>
      <c r="AA14" s="82"/>
      <c r="AB14" s="83" t="str">
        <f aca="false">IF(COUNTA(G14,J14,M14,P14,S14)=0,"",IF(AA14="Y","Hold Through applies — monitor only",IF(OR((COUNTIF(G14,"TRIGGER")+COUNTIF(J14,"TRIGGER")+COUNTIF(M14,"TRIGGER")+COUNTIF(P14,"TRIGGER")+COUNTIF(S14,"TRIGGER"))&gt;0,Z14&lt;&gt;"OK"),"ACTION REQUIRED WITHIN 30 DAYS","OK — no active trigger")))</f>
        <v>OK — no active trigger</v>
      </c>
    </row>
    <row r="15" customFormat="false" ht="15" hidden="false" customHeight="true" outlineLevel="0" collapsed="false">
      <c r="A15" s="82"/>
      <c r="B15" s="82"/>
      <c r="C15" s="134"/>
      <c r="D15" s="134"/>
      <c r="E15" s="82"/>
      <c r="F15" s="82"/>
      <c r="G15" s="135" t="str">
        <f aca="false">IF(OR(E15="",F15=""),"",IF(AND(E15&lt;=2,F15&lt;=2),"TRIGGER","OK"))</f>
        <v/>
      </c>
      <c r="H15" s="82"/>
      <c r="I15" s="82"/>
      <c r="J15" s="135" t="str">
        <f aca="false">IF(OR(H15="",I15=""),"",IF(AND(H15&lt;=2,I15&lt;=2),"TRIGGER","OK"))</f>
        <v/>
      </c>
      <c r="K15" s="82"/>
      <c r="L15" s="82"/>
      <c r="M15" s="135" t="str">
        <f aca="false">IF(OR(K15="",L15=""),"",IF(AND(K15&lt;=2,L15&lt;=2),"TRIGGER","OK"))</f>
        <v/>
      </c>
      <c r="N15" s="82"/>
      <c r="O15" s="82"/>
      <c r="P15" s="135" t="str">
        <f aca="false">IF(OR(N15="",O15=""),"",IF(AND(N15&lt;=2,O15&lt;=2),"TRIGGER","OK"))</f>
        <v/>
      </c>
      <c r="Q15" s="82"/>
      <c r="R15" s="82"/>
      <c r="S15" s="135" t="str">
        <f aca="false">IF(OR(Q15="",R15=""),"",IF(AND(Q15&lt;=2,R15&lt;=2),"TRIGGER","OK"))</f>
        <v/>
      </c>
      <c r="T15" s="136"/>
      <c r="U15" s="136"/>
      <c r="V15" s="134"/>
      <c r="W15" s="134"/>
      <c r="X15" s="82"/>
      <c r="Y15" s="82"/>
      <c r="Z15" s="135" t="str">
        <f aca="false">IF(TRIM(IF(AND(T15&lt;&gt;"",T15&gt;6),"Debt/FCF&gt;6x; ","")&amp;IF(AND(U15&lt;&gt;"",V15&lt;&gt;"",U15&gt;50,V15&lt;0.15),"P/FCF&gt;50x+low growth; ","")&amp;IF(AND(W15&lt;&gt;"",W15&lt;0.07),"Implied return&lt;7%; ","")&amp;IF(AND(C15&lt;&gt;"",D15&lt;&gt;"",C15&gt;D15),"Position&gt;max; ","")&amp;IF(AND(X15&lt;&gt;"",Y15&lt;&gt;"",X15&lt;&gt;Y15,OR(Y15="Strong Buy",Y15="Buy")),"Tier downgraded; ",""))="","OK",TRIM(IF(AND(T15&lt;&gt;"",T15&gt;6),"Debt/FCF&gt;6x; ","")&amp;IF(AND(U15&lt;&gt;"",V15&lt;&gt;"",U15&gt;50,V15&lt;0.15),"P/FCF&gt;50x+low growth; ","")&amp;IF(AND(W15&lt;&gt;"",W15&lt;0.07),"Implied return&lt;7%; ","")&amp;IF(AND(C15&lt;&gt;"",D15&lt;&gt;"",C15&gt;D15),"Position&gt;max; ","")&amp;IF(AND(X15&lt;&gt;"",Y15&lt;&gt;"",X15&lt;&gt;Y15,OR(Y15="Strong Buy",Y15="Buy")),"Tier downgraded; ","")))</f>
        <v>OK</v>
      </c>
      <c r="AA15" s="82"/>
      <c r="AB15" s="83" t="str">
        <f aca="false">IF(COUNTA(G15,J15,M15,P15,S15)=0,"",IF(AA15="Y","Hold Through applies — monitor only",IF(OR((COUNTIF(G15,"TRIGGER")+COUNTIF(J15,"TRIGGER")+COUNTIF(M15,"TRIGGER")+COUNTIF(P15,"TRIGGER")+COUNTIF(S15,"TRIGGER"))&gt;0,Z15&lt;&gt;"OK"),"ACTION REQUIRED WITHIN 30 DAYS","OK — no active trigger")))</f>
        <v>OK — no active trigger</v>
      </c>
    </row>
    <row r="16" customFormat="false" ht="15" hidden="false" customHeight="true" outlineLevel="0" collapsed="false">
      <c r="A16" s="82"/>
      <c r="B16" s="82"/>
      <c r="C16" s="134"/>
      <c r="D16" s="134"/>
      <c r="E16" s="82"/>
      <c r="F16" s="82"/>
      <c r="G16" s="135" t="str">
        <f aca="false">IF(OR(E16="",F16=""),"",IF(AND(E16&lt;=2,F16&lt;=2),"TRIGGER","OK"))</f>
        <v/>
      </c>
      <c r="H16" s="82"/>
      <c r="I16" s="82"/>
      <c r="J16" s="135" t="str">
        <f aca="false">IF(OR(H16="",I16=""),"",IF(AND(H16&lt;=2,I16&lt;=2),"TRIGGER","OK"))</f>
        <v/>
      </c>
      <c r="K16" s="82"/>
      <c r="L16" s="82"/>
      <c r="M16" s="135" t="str">
        <f aca="false">IF(OR(K16="",L16=""),"",IF(AND(K16&lt;=2,L16&lt;=2),"TRIGGER","OK"))</f>
        <v/>
      </c>
      <c r="N16" s="82"/>
      <c r="O16" s="82"/>
      <c r="P16" s="135" t="str">
        <f aca="false">IF(OR(N16="",O16=""),"",IF(AND(N16&lt;=2,O16&lt;=2),"TRIGGER","OK"))</f>
        <v/>
      </c>
      <c r="Q16" s="82"/>
      <c r="R16" s="82"/>
      <c r="S16" s="135" t="str">
        <f aca="false">IF(OR(Q16="",R16=""),"",IF(AND(Q16&lt;=2,R16&lt;=2),"TRIGGER","OK"))</f>
        <v/>
      </c>
      <c r="T16" s="136"/>
      <c r="U16" s="136"/>
      <c r="V16" s="134"/>
      <c r="W16" s="134"/>
      <c r="X16" s="82"/>
      <c r="Y16" s="82"/>
      <c r="Z16" s="135" t="str">
        <f aca="false">IF(TRIM(IF(AND(T16&lt;&gt;"",T16&gt;6),"Debt/FCF&gt;6x; ","")&amp;IF(AND(U16&lt;&gt;"",V16&lt;&gt;"",U16&gt;50,V16&lt;0.15),"P/FCF&gt;50x+low growth; ","")&amp;IF(AND(W16&lt;&gt;"",W16&lt;0.07),"Implied return&lt;7%; ","")&amp;IF(AND(C16&lt;&gt;"",D16&lt;&gt;"",C16&gt;D16),"Position&gt;max; ","")&amp;IF(AND(X16&lt;&gt;"",Y16&lt;&gt;"",X16&lt;&gt;Y16,OR(Y16="Strong Buy",Y16="Buy")),"Tier downgraded; ",""))="","OK",TRIM(IF(AND(T16&lt;&gt;"",T16&gt;6),"Debt/FCF&gt;6x; ","")&amp;IF(AND(U16&lt;&gt;"",V16&lt;&gt;"",U16&gt;50,V16&lt;0.15),"P/FCF&gt;50x+low growth; ","")&amp;IF(AND(W16&lt;&gt;"",W16&lt;0.07),"Implied return&lt;7%; ","")&amp;IF(AND(C16&lt;&gt;"",D16&lt;&gt;"",C16&gt;D16),"Position&gt;max; ","")&amp;IF(AND(X16&lt;&gt;"",Y16&lt;&gt;"",X16&lt;&gt;Y16,OR(Y16="Strong Buy",Y16="Buy")),"Tier downgraded; ","")))</f>
        <v>OK</v>
      </c>
      <c r="AA16" s="82"/>
      <c r="AB16" s="83" t="str">
        <f aca="false">IF(COUNTA(G16,J16,M16,P16,S16)=0,"",IF(AA16="Y","Hold Through applies — monitor only",IF(OR((COUNTIF(G16,"TRIGGER")+COUNTIF(J16,"TRIGGER")+COUNTIF(M16,"TRIGGER")+COUNTIF(P16,"TRIGGER")+COUNTIF(S16,"TRIGGER"))&gt;0,Z16&lt;&gt;"OK"),"ACTION REQUIRED WITHIN 30 DAYS","OK — no active trigger")))</f>
        <v>OK — no active trigger</v>
      </c>
    </row>
    <row r="17" customFormat="false" ht="15" hidden="false" customHeight="true" outlineLevel="0" collapsed="false">
      <c r="A17" s="82"/>
      <c r="B17" s="82"/>
      <c r="C17" s="134"/>
      <c r="D17" s="134"/>
      <c r="E17" s="82"/>
      <c r="F17" s="82"/>
      <c r="G17" s="135" t="str">
        <f aca="false">IF(OR(E17="",F17=""),"",IF(AND(E17&lt;=2,F17&lt;=2),"TRIGGER","OK"))</f>
        <v/>
      </c>
      <c r="H17" s="82"/>
      <c r="I17" s="82"/>
      <c r="J17" s="135" t="str">
        <f aca="false">IF(OR(H17="",I17=""),"",IF(AND(H17&lt;=2,I17&lt;=2),"TRIGGER","OK"))</f>
        <v/>
      </c>
      <c r="K17" s="82"/>
      <c r="L17" s="82"/>
      <c r="M17" s="135" t="str">
        <f aca="false">IF(OR(K17="",L17=""),"",IF(AND(K17&lt;=2,L17&lt;=2),"TRIGGER","OK"))</f>
        <v/>
      </c>
      <c r="N17" s="82"/>
      <c r="O17" s="82"/>
      <c r="P17" s="135" t="str">
        <f aca="false">IF(OR(N17="",O17=""),"",IF(AND(N17&lt;=2,O17&lt;=2),"TRIGGER","OK"))</f>
        <v/>
      </c>
      <c r="Q17" s="82"/>
      <c r="R17" s="82"/>
      <c r="S17" s="135" t="str">
        <f aca="false">IF(OR(Q17="",R17=""),"",IF(AND(Q17&lt;=2,R17&lt;=2),"TRIGGER","OK"))</f>
        <v/>
      </c>
      <c r="T17" s="136"/>
      <c r="U17" s="136"/>
      <c r="V17" s="134"/>
      <c r="W17" s="134"/>
      <c r="X17" s="82"/>
      <c r="Y17" s="82"/>
      <c r="Z17" s="135" t="str">
        <f aca="false">IF(TRIM(IF(AND(T17&lt;&gt;"",T17&gt;6),"Debt/FCF&gt;6x; ","")&amp;IF(AND(U17&lt;&gt;"",V17&lt;&gt;"",U17&gt;50,V17&lt;0.15),"P/FCF&gt;50x+low growth; ","")&amp;IF(AND(W17&lt;&gt;"",W17&lt;0.07),"Implied return&lt;7%; ","")&amp;IF(AND(C17&lt;&gt;"",D17&lt;&gt;"",C17&gt;D17),"Position&gt;max; ","")&amp;IF(AND(X17&lt;&gt;"",Y17&lt;&gt;"",X17&lt;&gt;Y17,OR(Y17="Strong Buy",Y17="Buy")),"Tier downgraded; ",""))="","OK",TRIM(IF(AND(T17&lt;&gt;"",T17&gt;6),"Debt/FCF&gt;6x; ","")&amp;IF(AND(U17&lt;&gt;"",V17&lt;&gt;"",U17&gt;50,V17&lt;0.15),"P/FCF&gt;50x+low growth; ","")&amp;IF(AND(W17&lt;&gt;"",W17&lt;0.07),"Implied return&lt;7%; ","")&amp;IF(AND(C17&lt;&gt;"",D17&lt;&gt;"",C17&gt;D17),"Position&gt;max; ","")&amp;IF(AND(X17&lt;&gt;"",Y17&lt;&gt;"",X17&lt;&gt;Y17,OR(Y17="Strong Buy",Y17="Buy")),"Tier downgraded; ","")))</f>
        <v>OK</v>
      </c>
      <c r="AA17" s="82"/>
      <c r="AB17" s="83" t="str">
        <f aca="false">IF(COUNTA(G17,J17,M17,P17,S17)=0,"",IF(AA17="Y","Hold Through applies — monitor only",IF(OR((COUNTIF(G17,"TRIGGER")+COUNTIF(J17,"TRIGGER")+COUNTIF(M17,"TRIGGER")+COUNTIF(P17,"TRIGGER")+COUNTIF(S17,"TRIGGER"))&gt;0,Z17&lt;&gt;"OK"),"ACTION REQUIRED WITHIN 30 DAYS","OK — no active trigger")))</f>
        <v>OK — no active trigger</v>
      </c>
    </row>
    <row r="18" customFormat="false" ht="15" hidden="false" customHeight="true" outlineLevel="0" collapsed="false">
      <c r="A18" s="82"/>
      <c r="B18" s="82"/>
      <c r="C18" s="134"/>
      <c r="D18" s="134"/>
      <c r="E18" s="82"/>
      <c r="F18" s="82"/>
      <c r="G18" s="135" t="str">
        <f aca="false">IF(OR(E18="",F18=""),"",IF(AND(E18&lt;=2,F18&lt;=2),"TRIGGER","OK"))</f>
        <v/>
      </c>
      <c r="H18" s="82"/>
      <c r="I18" s="82"/>
      <c r="J18" s="135" t="str">
        <f aca="false">IF(OR(H18="",I18=""),"",IF(AND(H18&lt;=2,I18&lt;=2),"TRIGGER","OK"))</f>
        <v/>
      </c>
      <c r="K18" s="82"/>
      <c r="L18" s="82"/>
      <c r="M18" s="135" t="str">
        <f aca="false">IF(OR(K18="",L18=""),"",IF(AND(K18&lt;=2,L18&lt;=2),"TRIGGER","OK"))</f>
        <v/>
      </c>
      <c r="N18" s="82"/>
      <c r="O18" s="82"/>
      <c r="P18" s="135" t="str">
        <f aca="false">IF(OR(N18="",O18=""),"",IF(AND(N18&lt;=2,O18&lt;=2),"TRIGGER","OK"))</f>
        <v/>
      </c>
      <c r="Q18" s="82"/>
      <c r="R18" s="82"/>
      <c r="S18" s="135" t="str">
        <f aca="false">IF(OR(Q18="",R18=""),"",IF(AND(Q18&lt;=2,R18&lt;=2),"TRIGGER","OK"))</f>
        <v/>
      </c>
      <c r="T18" s="136"/>
      <c r="U18" s="136"/>
      <c r="V18" s="134"/>
      <c r="W18" s="134"/>
      <c r="X18" s="82"/>
      <c r="Y18" s="82"/>
      <c r="Z18" s="135" t="str">
        <f aca="false">IF(TRIM(IF(AND(T18&lt;&gt;"",T18&gt;6),"Debt/FCF&gt;6x; ","")&amp;IF(AND(U18&lt;&gt;"",V18&lt;&gt;"",U18&gt;50,V18&lt;0.15),"P/FCF&gt;50x+low growth; ","")&amp;IF(AND(W18&lt;&gt;"",W18&lt;0.07),"Implied return&lt;7%; ","")&amp;IF(AND(C18&lt;&gt;"",D18&lt;&gt;"",C18&gt;D18),"Position&gt;max; ","")&amp;IF(AND(X18&lt;&gt;"",Y18&lt;&gt;"",X18&lt;&gt;Y18,OR(Y18="Strong Buy",Y18="Buy")),"Tier downgraded; ",""))="","OK",TRIM(IF(AND(T18&lt;&gt;"",T18&gt;6),"Debt/FCF&gt;6x; ","")&amp;IF(AND(U18&lt;&gt;"",V18&lt;&gt;"",U18&gt;50,V18&lt;0.15),"P/FCF&gt;50x+low growth; ","")&amp;IF(AND(W18&lt;&gt;"",W18&lt;0.07),"Implied return&lt;7%; ","")&amp;IF(AND(C18&lt;&gt;"",D18&lt;&gt;"",C18&gt;D18),"Position&gt;max; ","")&amp;IF(AND(X18&lt;&gt;"",Y18&lt;&gt;"",X18&lt;&gt;Y18,OR(Y18="Strong Buy",Y18="Buy")),"Tier downgraded; ","")))</f>
        <v>OK</v>
      </c>
      <c r="AA18" s="82"/>
      <c r="AB18" s="83" t="str">
        <f aca="false">IF(COUNTA(G18,J18,M18,P18,S18)=0,"",IF(AA18="Y","Hold Through applies — monitor only",IF(OR((COUNTIF(G18,"TRIGGER")+COUNTIF(J18,"TRIGGER")+COUNTIF(M18,"TRIGGER")+COUNTIF(P18,"TRIGGER")+COUNTIF(S18,"TRIGGER"))&gt;0,Z18&lt;&gt;"OK"),"ACTION REQUIRED WITHIN 30 DAYS","OK — no active trigger")))</f>
        <v>OK — no active trigger</v>
      </c>
    </row>
    <row r="19" customFormat="false" ht="15" hidden="false" customHeight="true" outlineLevel="0" collapsed="false">
      <c r="A19" s="82"/>
      <c r="B19" s="82"/>
      <c r="C19" s="134"/>
      <c r="D19" s="134"/>
      <c r="E19" s="82"/>
      <c r="F19" s="82"/>
      <c r="G19" s="135" t="str">
        <f aca="false">IF(OR(E19="",F19=""),"",IF(AND(E19&lt;=2,F19&lt;=2),"TRIGGER","OK"))</f>
        <v/>
      </c>
      <c r="H19" s="82"/>
      <c r="I19" s="82"/>
      <c r="J19" s="135" t="str">
        <f aca="false">IF(OR(H19="",I19=""),"",IF(AND(H19&lt;=2,I19&lt;=2),"TRIGGER","OK"))</f>
        <v/>
      </c>
      <c r="K19" s="82"/>
      <c r="L19" s="82"/>
      <c r="M19" s="135" t="str">
        <f aca="false">IF(OR(K19="",L19=""),"",IF(AND(K19&lt;=2,L19&lt;=2),"TRIGGER","OK"))</f>
        <v/>
      </c>
      <c r="N19" s="82"/>
      <c r="O19" s="82"/>
      <c r="P19" s="135" t="str">
        <f aca="false">IF(OR(N19="",O19=""),"",IF(AND(N19&lt;=2,O19&lt;=2),"TRIGGER","OK"))</f>
        <v/>
      </c>
      <c r="Q19" s="82"/>
      <c r="R19" s="82"/>
      <c r="S19" s="135" t="str">
        <f aca="false">IF(OR(Q19="",R19=""),"",IF(AND(Q19&lt;=2,R19&lt;=2),"TRIGGER","OK"))</f>
        <v/>
      </c>
      <c r="T19" s="136"/>
      <c r="U19" s="136"/>
      <c r="V19" s="134"/>
      <c r="W19" s="134"/>
      <c r="X19" s="82"/>
      <c r="Y19" s="82"/>
      <c r="Z19" s="135" t="str">
        <f aca="false">IF(TRIM(IF(AND(T19&lt;&gt;"",T19&gt;6),"Debt/FCF&gt;6x; ","")&amp;IF(AND(U19&lt;&gt;"",V19&lt;&gt;"",U19&gt;50,V19&lt;0.15),"P/FCF&gt;50x+low growth; ","")&amp;IF(AND(W19&lt;&gt;"",W19&lt;0.07),"Implied return&lt;7%; ","")&amp;IF(AND(C19&lt;&gt;"",D19&lt;&gt;"",C19&gt;D19),"Position&gt;max; ","")&amp;IF(AND(X19&lt;&gt;"",Y19&lt;&gt;"",X19&lt;&gt;Y19,OR(Y19="Strong Buy",Y19="Buy")),"Tier downgraded; ",""))="","OK",TRIM(IF(AND(T19&lt;&gt;"",T19&gt;6),"Debt/FCF&gt;6x; ","")&amp;IF(AND(U19&lt;&gt;"",V19&lt;&gt;"",U19&gt;50,V19&lt;0.15),"P/FCF&gt;50x+low growth; ","")&amp;IF(AND(W19&lt;&gt;"",W19&lt;0.07),"Implied return&lt;7%; ","")&amp;IF(AND(C19&lt;&gt;"",D19&lt;&gt;"",C19&gt;D19),"Position&gt;max; ","")&amp;IF(AND(X19&lt;&gt;"",Y19&lt;&gt;"",X19&lt;&gt;Y19,OR(Y19="Strong Buy",Y19="Buy")),"Tier downgraded; ","")))</f>
        <v>OK</v>
      </c>
      <c r="AA19" s="82"/>
      <c r="AB19" s="83" t="str">
        <f aca="false">IF(COUNTA(G19,J19,M19,P19,S19)=0,"",IF(AA19="Y","Hold Through applies — monitor only",IF(OR((COUNTIF(G19,"TRIGGER")+COUNTIF(J19,"TRIGGER")+COUNTIF(M19,"TRIGGER")+COUNTIF(P19,"TRIGGER")+COUNTIF(S19,"TRIGGER"))&gt;0,Z19&lt;&gt;"OK"),"ACTION REQUIRED WITHIN 30 DAYS","OK — no active trigger")))</f>
        <v>OK — no active trigger</v>
      </c>
    </row>
    <row r="20" customFormat="false" ht="15" hidden="false" customHeight="true" outlineLevel="0" collapsed="false">
      <c r="A20" s="82"/>
      <c r="B20" s="82"/>
      <c r="C20" s="134"/>
      <c r="D20" s="134"/>
      <c r="E20" s="82"/>
      <c r="F20" s="82"/>
      <c r="G20" s="135" t="str">
        <f aca="false">IF(OR(E20="",F20=""),"",IF(AND(E20&lt;=2,F20&lt;=2),"TRIGGER","OK"))</f>
        <v/>
      </c>
      <c r="H20" s="82"/>
      <c r="I20" s="82"/>
      <c r="J20" s="135" t="str">
        <f aca="false">IF(OR(H20="",I20=""),"",IF(AND(H20&lt;=2,I20&lt;=2),"TRIGGER","OK"))</f>
        <v/>
      </c>
      <c r="K20" s="82"/>
      <c r="L20" s="82"/>
      <c r="M20" s="135" t="str">
        <f aca="false">IF(OR(K20="",L20=""),"",IF(AND(K20&lt;=2,L20&lt;=2),"TRIGGER","OK"))</f>
        <v/>
      </c>
      <c r="N20" s="82"/>
      <c r="O20" s="82"/>
      <c r="P20" s="135" t="str">
        <f aca="false">IF(OR(N20="",O20=""),"",IF(AND(N20&lt;=2,O20&lt;=2),"TRIGGER","OK"))</f>
        <v/>
      </c>
      <c r="Q20" s="82"/>
      <c r="R20" s="82"/>
      <c r="S20" s="135" t="str">
        <f aca="false">IF(OR(Q20="",R20=""),"",IF(AND(Q20&lt;=2,R20&lt;=2),"TRIGGER","OK"))</f>
        <v/>
      </c>
      <c r="T20" s="136"/>
      <c r="U20" s="136"/>
      <c r="V20" s="134"/>
      <c r="W20" s="134"/>
      <c r="X20" s="82"/>
      <c r="Y20" s="82"/>
      <c r="Z20" s="135" t="str">
        <f aca="false">IF(TRIM(IF(AND(T20&lt;&gt;"",T20&gt;6),"Debt/FCF&gt;6x; ","")&amp;IF(AND(U20&lt;&gt;"",V20&lt;&gt;"",U20&gt;50,V20&lt;0.15),"P/FCF&gt;50x+low growth; ","")&amp;IF(AND(W20&lt;&gt;"",W20&lt;0.07),"Implied return&lt;7%; ","")&amp;IF(AND(C20&lt;&gt;"",D20&lt;&gt;"",C20&gt;D20),"Position&gt;max; ","")&amp;IF(AND(X20&lt;&gt;"",Y20&lt;&gt;"",X20&lt;&gt;Y20,OR(Y20="Strong Buy",Y20="Buy")),"Tier downgraded; ",""))="","OK",TRIM(IF(AND(T20&lt;&gt;"",T20&gt;6),"Debt/FCF&gt;6x; ","")&amp;IF(AND(U20&lt;&gt;"",V20&lt;&gt;"",U20&gt;50,V20&lt;0.15),"P/FCF&gt;50x+low growth; ","")&amp;IF(AND(W20&lt;&gt;"",W20&lt;0.07),"Implied return&lt;7%; ","")&amp;IF(AND(C20&lt;&gt;"",D20&lt;&gt;"",C20&gt;D20),"Position&gt;max; ","")&amp;IF(AND(X20&lt;&gt;"",Y20&lt;&gt;"",X20&lt;&gt;Y20,OR(Y20="Strong Buy",Y20="Buy")),"Tier downgraded; ","")))</f>
        <v>OK</v>
      </c>
      <c r="AA20" s="82"/>
      <c r="AB20" s="83" t="str">
        <f aca="false">IF(COUNTA(G20,J20,M20,P20,S20)=0,"",IF(AA20="Y","Hold Through applies — monitor only",IF(OR((COUNTIF(G20,"TRIGGER")+COUNTIF(J20,"TRIGGER")+COUNTIF(M20,"TRIGGER")+COUNTIF(P20,"TRIGGER")+COUNTIF(S20,"TRIGGER"))&gt;0,Z20&lt;&gt;"OK"),"ACTION REQUIRED WITHIN 30 DAYS","OK — no active trigger")))</f>
        <v>OK — no active trigger</v>
      </c>
    </row>
    <row r="21" customFormat="false" ht="15" hidden="false" customHeight="true" outlineLevel="0" collapsed="false">
      <c r="A21" s="82"/>
      <c r="B21" s="82"/>
      <c r="C21" s="134"/>
      <c r="D21" s="134"/>
      <c r="E21" s="82"/>
      <c r="F21" s="82"/>
      <c r="G21" s="135" t="str">
        <f aca="false">IF(OR(E21="",F21=""),"",IF(AND(E21&lt;=2,F21&lt;=2),"TRIGGER","OK"))</f>
        <v/>
      </c>
      <c r="H21" s="82"/>
      <c r="I21" s="82"/>
      <c r="J21" s="135" t="str">
        <f aca="false">IF(OR(H21="",I21=""),"",IF(AND(H21&lt;=2,I21&lt;=2),"TRIGGER","OK"))</f>
        <v/>
      </c>
      <c r="K21" s="82"/>
      <c r="L21" s="82"/>
      <c r="M21" s="135" t="str">
        <f aca="false">IF(OR(K21="",L21=""),"",IF(AND(K21&lt;=2,L21&lt;=2),"TRIGGER","OK"))</f>
        <v/>
      </c>
      <c r="N21" s="82"/>
      <c r="O21" s="82"/>
      <c r="P21" s="135" t="str">
        <f aca="false">IF(OR(N21="",O21=""),"",IF(AND(N21&lt;=2,O21&lt;=2),"TRIGGER","OK"))</f>
        <v/>
      </c>
      <c r="Q21" s="82"/>
      <c r="R21" s="82"/>
      <c r="S21" s="135" t="str">
        <f aca="false">IF(OR(Q21="",R21=""),"",IF(AND(Q21&lt;=2,R21&lt;=2),"TRIGGER","OK"))</f>
        <v/>
      </c>
      <c r="T21" s="136"/>
      <c r="U21" s="136"/>
      <c r="V21" s="134"/>
      <c r="W21" s="134"/>
      <c r="X21" s="82"/>
      <c r="Y21" s="82"/>
      <c r="Z21" s="135" t="str">
        <f aca="false">IF(TRIM(IF(AND(T21&lt;&gt;"",T21&gt;6),"Debt/FCF&gt;6x; ","")&amp;IF(AND(U21&lt;&gt;"",V21&lt;&gt;"",U21&gt;50,V21&lt;0.15),"P/FCF&gt;50x+low growth; ","")&amp;IF(AND(W21&lt;&gt;"",W21&lt;0.07),"Implied return&lt;7%; ","")&amp;IF(AND(C21&lt;&gt;"",D21&lt;&gt;"",C21&gt;D21),"Position&gt;max; ","")&amp;IF(AND(X21&lt;&gt;"",Y21&lt;&gt;"",X21&lt;&gt;Y21,OR(Y21="Strong Buy",Y21="Buy")),"Tier downgraded; ",""))="","OK",TRIM(IF(AND(T21&lt;&gt;"",T21&gt;6),"Debt/FCF&gt;6x; ","")&amp;IF(AND(U21&lt;&gt;"",V21&lt;&gt;"",U21&gt;50,V21&lt;0.15),"P/FCF&gt;50x+low growth; ","")&amp;IF(AND(W21&lt;&gt;"",W21&lt;0.07),"Implied return&lt;7%; ","")&amp;IF(AND(C21&lt;&gt;"",D21&lt;&gt;"",C21&gt;D21),"Position&gt;max; ","")&amp;IF(AND(X21&lt;&gt;"",Y21&lt;&gt;"",X21&lt;&gt;Y21,OR(Y21="Strong Buy",Y21="Buy")),"Tier downgraded; ","")))</f>
        <v>OK</v>
      </c>
      <c r="AA21" s="82"/>
      <c r="AB21" s="83" t="str">
        <f aca="false">IF(COUNTA(G21,J21,M21,P21,S21)=0,"",IF(AA21="Y","Hold Through applies — monitor only",IF(OR((COUNTIF(G21,"TRIGGER")+COUNTIF(J21,"TRIGGER")+COUNTIF(M21,"TRIGGER")+COUNTIF(P21,"TRIGGER")+COUNTIF(S21,"TRIGGER"))&gt;0,Z21&lt;&gt;"OK"),"ACTION REQUIRED WITHIN 30 DAYS","OK — no active trigger")))</f>
        <v>OK — no active trigger</v>
      </c>
    </row>
    <row r="22" customFormat="false" ht="15" hidden="false" customHeight="true" outlineLevel="0" collapsed="false">
      <c r="A22" s="82"/>
      <c r="B22" s="82"/>
      <c r="C22" s="134"/>
      <c r="D22" s="134"/>
      <c r="E22" s="82"/>
      <c r="F22" s="82"/>
      <c r="G22" s="135" t="str">
        <f aca="false">IF(OR(E22="",F22=""),"",IF(AND(E22&lt;=2,F22&lt;=2),"TRIGGER","OK"))</f>
        <v/>
      </c>
      <c r="H22" s="82"/>
      <c r="I22" s="82"/>
      <c r="J22" s="135" t="str">
        <f aca="false">IF(OR(H22="",I22=""),"",IF(AND(H22&lt;=2,I22&lt;=2),"TRIGGER","OK"))</f>
        <v/>
      </c>
      <c r="K22" s="82"/>
      <c r="L22" s="82"/>
      <c r="M22" s="135" t="str">
        <f aca="false">IF(OR(K22="",L22=""),"",IF(AND(K22&lt;=2,L22&lt;=2),"TRIGGER","OK"))</f>
        <v/>
      </c>
      <c r="N22" s="82"/>
      <c r="O22" s="82"/>
      <c r="P22" s="135" t="str">
        <f aca="false">IF(OR(N22="",O22=""),"",IF(AND(N22&lt;=2,O22&lt;=2),"TRIGGER","OK"))</f>
        <v/>
      </c>
      <c r="Q22" s="82"/>
      <c r="R22" s="82"/>
      <c r="S22" s="135" t="str">
        <f aca="false">IF(OR(Q22="",R22=""),"",IF(AND(Q22&lt;=2,R22&lt;=2),"TRIGGER","OK"))</f>
        <v/>
      </c>
      <c r="T22" s="136"/>
      <c r="U22" s="136"/>
      <c r="V22" s="134"/>
      <c r="W22" s="134"/>
      <c r="X22" s="82"/>
      <c r="Y22" s="82"/>
      <c r="Z22" s="135" t="str">
        <f aca="false">IF(TRIM(IF(AND(T22&lt;&gt;"",T22&gt;6),"Debt/FCF&gt;6x; ","")&amp;IF(AND(U22&lt;&gt;"",V22&lt;&gt;"",U22&gt;50,V22&lt;0.15),"P/FCF&gt;50x+low growth; ","")&amp;IF(AND(W22&lt;&gt;"",W22&lt;0.07),"Implied return&lt;7%; ","")&amp;IF(AND(C22&lt;&gt;"",D22&lt;&gt;"",C22&gt;D22),"Position&gt;max; ","")&amp;IF(AND(X22&lt;&gt;"",Y22&lt;&gt;"",X22&lt;&gt;Y22,OR(Y22="Strong Buy",Y22="Buy")),"Tier downgraded; ",""))="","OK",TRIM(IF(AND(T22&lt;&gt;"",T22&gt;6),"Debt/FCF&gt;6x; ","")&amp;IF(AND(U22&lt;&gt;"",V22&lt;&gt;"",U22&gt;50,V22&lt;0.15),"P/FCF&gt;50x+low growth; ","")&amp;IF(AND(W22&lt;&gt;"",W22&lt;0.07),"Implied return&lt;7%; ","")&amp;IF(AND(C22&lt;&gt;"",D22&lt;&gt;"",C22&gt;D22),"Position&gt;max; ","")&amp;IF(AND(X22&lt;&gt;"",Y22&lt;&gt;"",X22&lt;&gt;Y22,OR(Y22="Strong Buy",Y22="Buy")),"Tier downgraded; ","")))</f>
        <v>OK</v>
      </c>
      <c r="AA22" s="82"/>
      <c r="AB22" s="83" t="str">
        <f aca="false">IF(COUNTA(G22,J22,M22,P22,S22)=0,"",IF(AA22="Y","Hold Through applies — monitor only",IF(OR((COUNTIF(G22,"TRIGGER")+COUNTIF(J22,"TRIGGER")+COUNTIF(M22,"TRIGGER")+COUNTIF(P22,"TRIGGER")+COUNTIF(S22,"TRIGGER"))&gt;0,Z22&lt;&gt;"OK"),"ACTION REQUIRED WITHIN 30 DAYS","OK — no active trigger")))</f>
        <v>OK — no active trigger</v>
      </c>
    </row>
    <row r="23" customFormat="false" ht="15" hidden="false" customHeight="true" outlineLevel="0" collapsed="false">
      <c r="A23" s="82"/>
      <c r="B23" s="82"/>
      <c r="C23" s="134"/>
      <c r="D23" s="134"/>
      <c r="E23" s="82"/>
      <c r="F23" s="82"/>
      <c r="G23" s="135" t="str">
        <f aca="false">IF(OR(E23="",F23=""),"",IF(AND(E23&lt;=2,F23&lt;=2),"TRIGGER","OK"))</f>
        <v/>
      </c>
      <c r="H23" s="82"/>
      <c r="I23" s="82"/>
      <c r="J23" s="135" t="str">
        <f aca="false">IF(OR(H23="",I23=""),"",IF(AND(H23&lt;=2,I23&lt;=2),"TRIGGER","OK"))</f>
        <v/>
      </c>
      <c r="K23" s="82"/>
      <c r="L23" s="82"/>
      <c r="M23" s="135" t="str">
        <f aca="false">IF(OR(K23="",L23=""),"",IF(AND(K23&lt;=2,L23&lt;=2),"TRIGGER","OK"))</f>
        <v/>
      </c>
      <c r="N23" s="82"/>
      <c r="O23" s="82"/>
      <c r="P23" s="135" t="str">
        <f aca="false">IF(OR(N23="",O23=""),"",IF(AND(N23&lt;=2,O23&lt;=2),"TRIGGER","OK"))</f>
        <v/>
      </c>
      <c r="Q23" s="82"/>
      <c r="R23" s="82"/>
      <c r="S23" s="135" t="str">
        <f aca="false">IF(OR(Q23="",R23=""),"",IF(AND(Q23&lt;=2,R23&lt;=2),"TRIGGER","OK"))</f>
        <v/>
      </c>
      <c r="T23" s="136"/>
      <c r="U23" s="136"/>
      <c r="V23" s="134"/>
      <c r="W23" s="134"/>
      <c r="X23" s="82"/>
      <c r="Y23" s="82"/>
      <c r="Z23" s="135" t="str">
        <f aca="false">IF(TRIM(IF(AND(T23&lt;&gt;"",T23&gt;6),"Debt/FCF&gt;6x; ","")&amp;IF(AND(U23&lt;&gt;"",V23&lt;&gt;"",U23&gt;50,V23&lt;0.15),"P/FCF&gt;50x+low growth; ","")&amp;IF(AND(W23&lt;&gt;"",W23&lt;0.07),"Implied return&lt;7%; ","")&amp;IF(AND(C23&lt;&gt;"",D23&lt;&gt;"",C23&gt;D23),"Position&gt;max; ","")&amp;IF(AND(X23&lt;&gt;"",Y23&lt;&gt;"",X23&lt;&gt;Y23,OR(Y23="Strong Buy",Y23="Buy")),"Tier downgraded; ",""))="","OK",TRIM(IF(AND(T23&lt;&gt;"",T23&gt;6),"Debt/FCF&gt;6x; ","")&amp;IF(AND(U23&lt;&gt;"",V23&lt;&gt;"",U23&gt;50,V23&lt;0.15),"P/FCF&gt;50x+low growth; ","")&amp;IF(AND(W23&lt;&gt;"",W23&lt;0.07),"Implied return&lt;7%; ","")&amp;IF(AND(C23&lt;&gt;"",D23&lt;&gt;"",C23&gt;D23),"Position&gt;max; ","")&amp;IF(AND(X23&lt;&gt;"",Y23&lt;&gt;"",X23&lt;&gt;Y23,OR(Y23="Strong Buy",Y23="Buy")),"Tier downgraded; ","")))</f>
        <v>OK</v>
      </c>
      <c r="AA23" s="82"/>
      <c r="AB23" s="83" t="str">
        <f aca="false">IF(COUNTA(G23,J23,M23,P23,S23)=0,"",IF(AA23="Y","Hold Through applies — monitor only",IF(OR((COUNTIF(G23,"TRIGGER")+COUNTIF(J23,"TRIGGER")+COUNTIF(M23,"TRIGGER")+COUNTIF(P23,"TRIGGER")+COUNTIF(S23,"TRIGGER"))&gt;0,Z23&lt;&gt;"OK"),"ACTION REQUIRED WITHIN 30 DAYS","OK — no active trigger")))</f>
        <v>OK — no active trigger</v>
      </c>
    </row>
  </sheetData>
  <mergeCells count="3">
    <mergeCell ref="A1:V1"/>
    <mergeCell ref="E2:S2"/>
    <mergeCell ref="T2:Z2"/>
  </mergeCells>
  <conditionalFormatting sqref="G4:G23">
    <cfRule type="cellIs" priority="2" operator="equal" aboveAverage="0" equalAverage="0" bottom="0" percent="0" rank="0" text="" dxfId="0">
      <formula>"TRIGGER"</formula>
    </cfRule>
    <cfRule type="cellIs" priority="3" operator="equal" aboveAverage="0" equalAverage="0" bottom="0" percent="0" rank="0" text="" dxfId="17">
      <formula>"OK"</formula>
    </cfRule>
  </conditionalFormatting>
  <conditionalFormatting sqref="J4:J23">
    <cfRule type="cellIs" priority="4" operator="equal" aboveAverage="0" equalAverage="0" bottom="0" percent="0" rank="0" text="" dxfId="0">
      <formula>"TRIGGER"</formula>
    </cfRule>
    <cfRule type="cellIs" priority="5" operator="equal" aboveAverage="0" equalAverage="0" bottom="0" percent="0" rank="0" text="" dxfId="17">
      <formula>"OK"</formula>
    </cfRule>
  </conditionalFormatting>
  <conditionalFormatting sqref="M4:M23">
    <cfRule type="cellIs" priority="6" operator="equal" aboveAverage="0" equalAverage="0" bottom="0" percent="0" rank="0" text="" dxfId="0">
      <formula>"TRIGGER"</formula>
    </cfRule>
    <cfRule type="cellIs" priority="7" operator="equal" aboveAverage="0" equalAverage="0" bottom="0" percent="0" rank="0" text="" dxfId="17">
      <formula>"OK"</formula>
    </cfRule>
  </conditionalFormatting>
  <conditionalFormatting sqref="P4:P23">
    <cfRule type="cellIs" priority="8" operator="equal" aboveAverage="0" equalAverage="0" bottom="0" percent="0" rank="0" text="" dxfId="0">
      <formula>"TRIGGER"</formula>
    </cfRule>
    <cfRule type="cellIs" priority="9" operator="equal" aboveAverage="0" equalAverage="0" bottom="0" percent="0" rank="0" text="" dxfId="17">
      <formula>"OK"</formula>
    </cfRule>
  </conditionalFormatting>
  <conditionalFormatting sqref="S4:S23">
    <cfRule type="cellIs" priority="10" operator="equal" aboveAverage="0" equalAverage="0" bottom="0" percent="0" rank="0" text="" dxfId="0">
      <formula>"TRIGGER"</formula>
    </cfRule>
    <cfRule type="cellIs" priority="11" operator="equal" aboveAverage="0" equalAverage="0" bottom="0" percent="0" rank="0" text="" dxfId="17">
      <formula>"OK"</formula>
    </cfRule>
  </conditionalFormatting>
  <conditionalFormatting sqref="Z4:Z23">
    <cfRule type="expression" priority="12" aboveAverage="0" equalAverage="0" bottom="0" percent="0" rank="0" text="" dxfId="0">
      <formula>Z4&lt;&gt;"OK"</formula>
    </cfRule>
  </conditionalFormatting>
  <conditionalFormatting sqref="AB4:AB23">
    <cfRule type="expression" priority="13" aboveAverage="0" equalAverage="0" bottom="0" percent="0" rank="0" text="" dxfId="0">
      <formula>ISNUMBER(SEARCH("ACTION REQUIRED",AB4))</formula>
    </cfRule>
    <cfRule type="expression" priority="14" aboveAverage="0" equalAverage="0" bottom="0" percent="0" rank="0" text="" dxfId="13">
      <formula>ISNUMBER(SEARCH("OK",AB4))</formula>
    </cfRule>
    <cfRule type="expression" priority="15" aboveAverage="0" equalAverage="0" bottom="0" percent="0" rank="0" text="" dxfId="15">
      <formula>ISNUMBER(SEARCH("Hold Through",AB4))</formula>
    </cfRule>
  </conditionalFormatting>
  <dataValidations count="2">
    <dataValidation allowBlank="true" errorStyle="stop" operator="between" showDropDown="false" showErrorMessage="false" showInputMessage="false" sqref="AA4:AA23" type="list">
      <formula1>"Y,N"</formula1>
      <formula2>0</formula2>
    </dataValidation>
    <dataValidation allowBlank="true" errorStyle="stop" operator="between" showDropDown="false" showErrorMessage="false" showInputMessage="false" sqref="X4:Y23" type="list">
      <formula1>"Strong Buy,Buy,Watch List,Avoid,Pass"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5" topLeftCell="A16" activePane="bottomLeft" state="frozen"/>
      <selection pane="topLeft" activeCell="A1" activeCellId="0" sqref="A1"/>
      <selection pane="bottomLeft" activeCell="G15" activeCellId="0" sqref="G15"/>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3" min="3" style="1" width="11"/>
    <col collapsed="false" customWidth="true" hidden="false" outlineLevel="0" max="4" min="4" style="1" width="9"/>
    <col collapsed="false" customWidth="true" hidden="false" outlineLevel="0" max="5" min="5" style="1" width="8"/>
    <col collapsed="false" customWidth="true" hidden="false" outlineLevel="0" max="6" min="6" style="1" width="9.67"/>
    <col collapsed="false" customWidth="true" hidden="false" outlineLevel="0" max="7" min="7" style="1" width="12"/>
    <col collapsed="false" customWidth="true" hidden="false" outlineLevel="0" max="8" min="8" style="1" width="10"/>
    <col collapsed="false" customWidth="true" hidden="false" outlineLevel="0" max="10" min="9" style="1" width="11"/>
    <col collapsed="false" customWidth="true" hidden="false" outlineLevel="0" max="11" min="11" style="1" width="9"/>
    <col collapsed="false" customWidth="true" hidden="false" outlineLevel="0" max="12" min="12" style="1" width="20"/>
    <col collapsed="false" customWidth="true" hidden="false" outlineLevel="0" max="14" min="13" style="1" width="11"/>
    <col collapsed="false" customWidth="true" hidden="false" outlineLevel="0" max="16" min="15" style="1" width="12"/>
    <col collapsed="false" customWidth="true" hidden="false" outlineLevel="0" max="17" min="17" style="1" width="11"/>
  </cols>
  <sheetData>
    <row r="1" customFormat="false" ht="37.5" hidden="false" customHeight="true" outlineLevel="0" collapsed="false">
      <c r="A1" s="121" t="s">
        <v>506</v>
      </c>
      <c r="B1" s="121"/>
      <c r="C1" s="121"/>
      <c r="D1" s="121"/>
      <c r="E1" s="121"/>
      <c r="F1" s="121"/>
      <c r="G1" s="121"/>
      <c r="H1" s="121"/>
      <c r="I1" s="121"/>
      <c r="J1" s="121"/>
      <c r="K1" s="121"/>
      <c r="L1" s="121"/>
      <c r="M1" s="121"/>
      <c r="N1" s="121"/>
      <c r="O1" s="121"/>
      <c r="P1" s="121"/>
      <c r="Q1" s="121"/>
    </row>
    <row r="2" customFormat="false" ht="42.75" hidden="false" customHeight="true" outlineLevel="0" collapsed="false">
      <c r="A2" s="32" t="s">
        <v>82</v>
      </c>
      <c r="B2" s="32" t="s">
        <v>274</v>
      </c>
      <c r="C2" s="32" t="s">
        <v>507</v>
      </c>
      <c r="D2" s="32" t="s">
        <v>508</v>
      </c>
      <c r="E2" s="32" t="s">
        <v>457</v>
      </c>
      <c r="F2" s="32" t="s">
        <v>509</v>
      </c>
      <c r="G2" s="32" t="s">
        <v>510</v>
      </c>
      <c r="H2" s="32" t="s">
        <v>511</v>
      </c>
      <c r="I2" s="32" t="s">
        <v>512</v>
      </c>
      <c r="J2" s="32" t="s">
        <v>513</v>
      </c>
      <c r="K2" s="32" t="s">
        <v>514</v>
      </c>
      <c r="L2" s="32" t="s">
        <v>515</v>
      </c>
      <c r="M2" s="32" t="s">
        <v>516</v>
      </c>
      <c r="N2" s="32" t="s">
        <v>517</v>
      </c>
      <c r="O2" s="32" t="s">
        <v>518</v>
      </c>
      <c r="P2" s="32" t="s">
        <v>519</v>
      </c>
      <c r="Q2" s="32" t="s">
        <v>520</v>
      </c>
    </row>
    <row r="3" customFormat="false" ht="15" hidden="false" customHeight="true" outlineLevel="0" collapsed="false">
      <c r="A3" s="137" t="s">
        <v>96</v>
      </c>
      <c r="B3" s="82" t="s">
        <v>97</v>
      </c>
      <c r="C3" s="138" t="n">
        <v>46241</v>
      </c>
      <c r="D3" s="139" t="n">
        <v>266.38</v>
      </c>
      <c r="E3" s="82" t="n">
        <v>85.8</v>
      </c>
      <c r="F3" s="82" t="s">
        <v>323</v>
      </c>
      <c r="G3" s="82" t="s">
        <v>521</v>
      </c>
      <c r="H3" s="139" t="n">
        <v>773.26</v>
      </c>
      <c r="I3" s="82" t="s">
        <v>522</v>
      </c>
      <c r="J3" s="138"/>
      <c r="K3" s="139"/>
      <c r="L3" s="82"/>
      <c r="M3" s="139" t="n">
        <v>259.32</v>
      </c>
      <c r="N3" s="139" t="n">
        <v>765.04</v>
      </c>
      <c r="O3" s="140" t="n">
        <f aca="false">IF(OR(D3="",M3=""),"",M3/D3-1)</f>
        <v>-0.026503491253097</v>
      </c>
      <c r="P3" s="141" t="n">
        <f aca="false">IF(OR(H3="",N3=""),"",N3/H3-1)</f>
        <v>-0.0106303183922614</v>
      </c>
      <c r="Q3" s="140" t="n">
        <f aca="false">IF(OR(O3="",P3=""),"",O3-P3)</f>
        <v>-0.0158731728608357</v>
      </c>
    </row>
    <row r="4" customFormat="false" ht="15" hidden="false" customHeight="true" outlineLevel="0" collapsed="false">
      <c r="A4" s="137" t="s">
        <v>162</v>
      </c>
      <c r="B4" s="82" t="s">
        <v>163</v>
      </c>
      <c r="C4" s="138" t="n">
        <v>46241</v>
      </c>
      <c r="D4" s="139" t="n">
        <v>488.77</v>
      </c>
      <c r="E4" s="82" t="n">
        <v>75.6</v>
      </c>
      <c r="F4" s="82" t="s">
        <v>323</v>
      </c>
      <c r="G4" s="82" t="s">
        <v>523</v>
      </c>
      <c r="H4" s="139" t="n">
        <v>773.26</v>
      </c>
      <c r="I4" s="82" t="s">
        <v>522</v>
      </c>
      <c r="J4" s="138"/>
      <c r="K4" s="139"/>
      <c r="L4" s="82"/>
      <c r="M4" s="139" t="n">
        <v>478.7</v>
      </c>
      <c r="N4" s="139" t="n">
        <v>765.04</v>
      </c>
      <c r="O4" s="140" t="n">
        <f aca="false">IF(OR(D4="",M4=""),"",M4/D4-1)</f>
        <v>-0.0206027374838881</v>
      </c>
      <c r="P4" s="141" t="n">
        <f aca="false">IF(OR(H4="",N4=""),"",N4/H4-1)</f>
        <v>-0.0106303183922614</v>
      </c>
      <c r="Q4" s="140" t="n">
        <f aca="false">IF(OR(O4="",P4=""),"",O4-P4)</f>
        <v>-0.00997241909162672</v>
      </c>
    </row>
    <row r="5" customFormat="false" ht="15" hidden="false" customHeight="true" outlineLevel="0" collapsed="false">
      <c r="A5" s="137" t="s">
        <v>165</v>
      </c>
      <c r="B5" s="82" t="s">
        <v>331</v>
      </c>
      <c r="C5" s="138" t="n">
        <v>46241</v>
      </c>
      <c r="D5" s="139" t="n">
        <v>139.92</v>
      </c>
      <c r="E5" s="82" t="n">
        <v>82</v>
      </c>
      <c r="F5" s="82" t="s">
        <v>323</v>
      </c>
      <c r="G5" s="82" t="s">
        <v>521</v>
      </c>
      <c r="H5" s="139" t="n">
        <v>773.26</v>
      </c>
      <c r="I5" s="82" t="s">
        <v>522</v>
      </c>
      <c r="J5" s="138"/>
      <c r="K5" s="139"/>
      <c r="L5" s="82"/>
      <c r="M5" s="139" t="n">
        <v>139.06</v>
      </c>
      <c r="N5" s="139" t="n">
        <v>765.04</v>
      </c>
      <c r="O5" s="140" t="n">
        <f aca="false">IF(OR(D5="",M5=""),"",M5/D5-1)</f>
        <v>-0.00614636935391644</v>
      </c>
      <c r="P5" s="141" t="n">
        <f aca="false">IF(OR(H5="",N5=""),"",N5/H5-1)</f>
        <v>-0.0106303183922614</v>
      </c>
      <c r="Q5" s="140" t="n">
        <f aca="false">IF(OR(O5="",P5=""),"",O5-P5)</f>
        <v>0.00448394903834493</v>
      </c>
    </row>
    <row r="6" customFormat="false" ht="15" hidden="false" customHeight="true" outlineLevel="0" collapsed="false">
      <c r="A6" s="137" t="s">
        <v>119</v>
      </c>
      <c r="B6" s="82" t="s">
        <v>120</v>
      </c>
      <c r="C6" s="138" t="n">
        <v>46273</v>
      </c>
      <c r="D6" s="139" t="n">
        <v>368.97</v>
      </c>
      <c r="E6" s="82" t="n">
        <v>86.4</v>
      </c>
      <c r="F6" s="82"/>
      <c r="G6" s="82" t="s">
        <v>521</v>
      </c>
      <c r="H6" s="139" t="n">
        <v>767.53</v>
      </c>
      <c r="I6" s="82" t="s">
        <v>522</v>
      </c>
      <c r="J6" s="138"/>
      <c r="K6" s="139"/>
      <c r="L6" s="82"/>
      <c r="M6" s="139" t="n">
        <v>367.68</v>
      </c>
      <c r="N6" s="139" t="n">
        <v>767.53</v>
      </c>
      <c r="O6" s="140" t="n">
        <f aca="false">IF(OR(D6="",M6=""),"",M6/D6-1)</f>
        <v>-0.00349621920481347</v>
      </c>
      <c r="P6" s="141" t="n">
        <f aca="false">IF(OR(H6="",N6=""),"",N6/H6-1)</f>
        <v>0</v>
      </c>
      <c r="Q6" s="140" t="n">
        <f aca="false">IF(OR(O6="",P6=""),"",O6-P6)</f>
        <v>-0.00349621920481347</v>
      </c>
    </row>
    <row r="7" customFormat="false" ht="15" hidden="false" customHeight="true" outlineLevel="0" collapsed="false">
      <c r="A7" s="137"/>
      <c r="B7" s="82"/>
      <c r="C7" s="138"/>
      <c r="D7" s="139"/>
      <c r="E7" s="82"/>
      <c r="F7" s="82"/>
      <c r="G7" s="82"/>
      <c r="H7" s="139"/>
      <c r="I7" s="82"/>
      <c r="J7" s="138"/>
      <c r="K7" s="139"/>
      <c r="L7" s="82"/>
      <c r="M7" s="139"/>
      <c r="N7" s="139"/>
      <c r="O7" s="140" t="str">
        <f aca="false">IF(OR(D7="",M7=""),"",M7/D7-1)</f>
        <v/>
      </c>
      <c r="P7" s="141" t="str">
        <f aca="false">IF(OR(H7="",N7=""),"",N7/H7-1)</f>
        <v/>
      </c>
      <c r="Q7" s="140" t="str">
        <f aca="false">IF(OR(O7="",P7=""),"",O7-P7)</f>
        <v/>
      </c>
    </row>
    <row r="8" customFormat="false" ht="15" hidden="false" customHeight="true" outlineLevel="0" collapsed="false">
      <c r="A8" s="137"/>
      <c r="B8" s="82"/>
      <c r="C8" s="138"/>
      <c r="D8" s="139"/>
      <c r="E8" s="82"/>
      <c r="F8" s="82"/>
      <c r="G8" s="82"/>
      <c r="H8" s="139"/>
      <c r="I8" s="82"/>
      <c r="J8" s="138"/>
      <c r="K8" s="139"/>
      <c r="L8" s="82"/>
      <c r="M8" s="139"/>
      <c r="N8" s="139"/>
      <c r="O8" s="140" t="str">
        <f aca="false">IF(OR(D8="",M8=""),"",M8/D8-1)</f>
        <v/>
      </c>
      <c r="P8" s="141" t="str">
        <f aca="false">IF(OR(H8="",N8=""),"",N8/H8-1)</f>
        <v/>
      </c>
      <c r="Q8" s="140" t="str">
        <f aca="false">IF(OR(O8="",P8=""),"",O8-P8)</f>
        <v/>
      </c>
    </row>
    <row r="9" customFormat="false" ht="15" hidden="false" customHeight="true" outlineLevel="0" collapsed="false">
      <c r="A9" s="137"/>
      <c r="B9" s="82"/>
      <c r="C9" s="138"/>
      <c r="D9" s="139"/>
      <c r="E9" s="82"/>
      <c r="F9" s="82"/>
      <c r="G9" s="82"/>
      <c r="H9" s="139"/>
      <c r="I9" s="82"/>
      <c r="J9" s="138"/>
      <c r="K9" s="139"/>
      <c r="L9" s="82"/>
      <c r="M9" s="139"/>
      <c r="N9" s="139"/>
      <c r="O9" s="140" t="str">
        <f aca="false">IF(OR(D9="",M9=""),"",M9/D9-1)</f>
        <v/>
      </c>
      <c r="P9" s="141" t="str">
        <f aca="false">IF(OR(H9="",N9=""),"",N9/H9-1)</f>
        <v/>
      </c>
      <c r="Q9" s="140" t="str">
        <f aca="false">IF(OR(O9="",P9=""),"",O9-P9)</f>
        <v/>
      </c>
    </row>
    <row r="10" customFormat="false" ht="15" hidden="false" customHeight="true" outlineLevel="0" collapsed="false">
      <c r="A10" s="137"/>
      <c r="B10" s="82"/>
      <c r="C10" s="138"/>
      <c r="D10" s="139"/>
      <c r="E10" s="82"/>
      <c r="F10" s="82"/>
      <c r="G10" s="82"/>
      <c r="H10" s="139"/>
      <c r="I10" s="82"/>
      <c r="J10" s="138"/>
      <c r="K10" s="139"/>
      <c r="L10" s="82"/>
      <c r="M10" s="139"/>
      <c r="N10" s="139"/>
      <c r="O10" s="140" t="str">
        <f aca="false">IF(OR(D10="",M10=""),"",M10/D10-1)</f>
        <v/>
      </c>
      <c r="P10" s="141" t="str">
        <f aca="false">IF(OR(H10="",N10=""),"",N10/H10-1)</f>
        <v/>
      </c>
      <c r="Q10" s="140" t="str">
        <f aca="false">IF(OR(O10="",P10=""),"",O10-P10)</f>
        <v/>
      </c>
    </row>
    <row r="11" customFormat="false" ht="15" hidden="false" customHeight="true" outlineLevel="0" collapsed="false">
      <c r="A11" s="137"/>
      <c r="B11" s="82"/>
      <c r="C11" s="138"/>
      <c r="D11" s="139"/>
      <c r="E11" s="82"/>
      <c r="F11" s="82"/>
      <c r="G11" s="82"/>
      <c r="H11" s="139"/>
      <c r="I11" s="82"/>
      <c r="J11" s="138"/>
      <c r="K11" s="139"/>
      <c r="L11" s="82"/>
      <c r="M11" s="139"/>
      <c r="N11" s="139"/>
      <c r="O11" s="140" t="str">
        <f aca="false">IF(OR(D11="",M11=""),"",M11/D11-1)</f>
        <v/>
      </c>
      <c r="P11" s="141" t="str">
        <f aca="false">IF(OR(H11="",N11=""),"",N11/H11-1)</f>
        <v/>
      </c>
      <c r="Q11" s="140" t="str">
        <f aca="false">IF(OR(O11="",P11=""),"",O11-P11)</f>
        <v/>
      </c>
    </row>
    <row r="12" customFormat="false" ht="15" hidden="false" customHeight="true" outlineLevel="0" collapsed="false">
      <c r="A12" s="137"/>
      <c r="B12" s="82"/>
      <c r="C12" s="138"/>
      <c r="D12" s="139"/>
      <c r="E12" s="82"/>
      <c r="F12" s="82"/>
      <c r="G12" s="82"/>
      <c r="H12" s="139"/>
      <c r="I12" s="82"/>
      <c r="J12" s="138"/>
      <c r="K12" s="139"/>
      <c r="L12" s="82"/>
      <c r="M12" s="139"/>
      <c r="N12" s="139"/>
      <c r="O12" s="140" t="str">
        <f aca="false">IF(OR(D12="",M12=""),"",M12/D12-1)</f>
        <v/>
      </c>
      <c r="P12" s="141" t="str">
        <f aca="false">IF(OR(H12="",N12=""),"",N12/H12-1)</f>
        <v/>
      </c>
      <c r="Q12" s="140" t="str">
        <f aca="false">IF(OR(O12="",P12=""),"",O12-P12)</f>
        <v/>
      </c>
    </row>
    <row r="13" customFormat="false" ht="15" hidden="false" customHeight="true" outlineLevel="0" collapsed="false">
      <c r="A13" s="137"/>
      <c r="B13" s="82"/>
      <c r="C13" s="138"/>
      <c r="D13" s="139"/>
      <c r="E13" s="82"/>
      <c r="F13" s="82"/>
      <c r="G13" s="82"/>
      <c r="H13" s="139"/>
      <c r="I13" s="82"/>
      <c r="J13" s="138"/>
      <c r="K13" s="139"/>
      <c r="L13" s="82"/>
      <c r="M13" s="139"/>
      <c r="N13" s="139"/>
      <c r="O13" s="140" t="str">
        <f aca="false">IF(OR(D13="",M13=""),"",M13/D13-1)</f>
        <v/>
      </c>
      <c r="P13" s="141" t="str">
        <f aca="false">IF(OR(H13="",N13=""),"",N13/H13-1)</f>
        <v/>
      </c>
      <c r="Q13" s="140" t="str">
        <f aca="false">IF(OR(O13="",P13=""),"",O13-P13)</f>
        <v/>
      </c>
    </row>
    <row r="14" customFormat="false" ht="15" hidden="false" customHeight="true" outlineLevel="0" collapsed="false">
      <c r="A14" s="137"/>
      <c r="B14" s="82"/>
      <c r="C14" s="138"/>
      <c r="D14" s="139"/>
      <c r="E14" s="82"/>
      <c r="F14" s="82"/>
      <c r="G14" s="82"/>
      <c r="H14" s="139"/>
      <c r="I14" s="82"/>
      <c r="J14" s="138"/>
      <c r="K14" s="139"/>
      <c r="L14" s="82"/>
      <c r="M14" s="139"/>
      <c r="N14" s="139"/>
      <c r="O14" s="140" t="str">
        <f aca="false">IF(OR(D14="",M14=""),"",M14/D14-1)</f>
        <v/>
      </c>
      <c r="P14" s="141" t="str">
        <f aca="false">IF(OR(H14="",N14=""),"",N14/H14-1)</f>
        <v/>
      </c>
      <c r="Q14" s="140" t="str">
        <f aca="false">IF(OR(O14="",P14=""),"",O14-P14)</f>
        <v/>
      </c>
    </row>
    <row r="15" customFormat="false" ht="15" hidden="false" customHeight="true" outlineLevel="0" collapsed="false">
      <c r="A15" s="137"/>
      <c r="B15" s="82"/>
      <c r="C15" s="138"/>
      <c r="D15" s="139"/>
      <c r="E15" s="82"/>
      <c r="F15" s="82"/>
      <c r="G15" s="82"/>
      <c r="H15" s="139"/>
      <c r="I15" s="82"/>
      <c r="J15" s="138"/>
      <c r="K15" s="139"/>
      <c r="L15" s="82"/>
      <c r="M15" s="139"/>
      <c r="N15" s="139"/>
      <c r="O15" s="140" t="str">
        <f aca="false">IF(OR(D15="",M15=""),"",M15/D15-1)</f>
        <v/>
      </c>
      <c r="P15" s="141" t="str">
        <f aca="false">IF(OR(H15="",N15=""),"",N15/H15-1)</f>
        <v/>
      </c>
      <c r="Q15" s="140" t="str">
        <f aca="false">IF(OR(O15="",P15=""),"",O15-P15)</f>
        <v/>
      </c>
    </row>
    <row r="16" customFormat="false" ht="15" hidden="false" customHeight="true" outlineLevel="0" collapsed="false">
      <c r="A16" s="137"/>
      <c r="B16" s="82"/>
      <c r="C16" s="138"/>
      <c r="D16" s="139"/>
      <c r="E16" s="82"/>
      <c r="F16" s="82"/>
      <c r="G16" s="82"/>
      <c r="H16" s="139"/>
      <c r="I16" s="82"/>
      <c r="J16" s="138"/>
      <c r="K16" s="139"/>
      <c r="L16" s="82"/>
      <c r="M16" s="139"/>
      <c r="N16" s="139"/>
      <c r="O16" s="140" t="str">
        <f aca="false">IF(OR(D16="",M16=""),"",M16/D16-1)</f>
        <v/>
      </c>
      <c r="P16" s="141" t="str">
        <f aca="false">IF(OR(H16="",N16=""),"",N16/H16-1)</f>
        <v/>
      </c>
      <c r="Q16" s="140" t="str">
        <f aca="false">IF(OR(O16="",P16=""),"",O16-P16)</f>
        <v/>
      </c>
    </row>
    <row r="17" customFormat="false" ht="15" hidden="false" customHeight="true" outlineLevel="0" collapsed="false">
      <c r="A17" s="137"/>
      <c r="B17" s="82"/>
      <c r="C17" s="138"/>
      <c r="D17" s="139"/>
      <c r="E17" s="82"/>
      <c r="F17" s="82"/>
      <c r="G17" s="82"/>
      <c r="H17" s="139"/>
      <c r="I17" s="82"/>
      <c r="J17" s="138"/>
      <c r="K17" s="139"/>
      <c r="L17" s="82"/>
      <c r="M17" s="139"/>
      <c r="N17" s="139"/>
      <c r="O17" s="140" t="str">
        <f aca="false">IF(OR(D17="",M17=""),"",M17/D17-1)</f>
        <v/>
      </c>
      <c r="P17" s="141" t="str">
        <f aca="false">IF(OR(H17="",N17=""),"",N17/H17-1)</f>
        <v/>
      </c>
      <c r="Q17" s="140" t="str">
        <f aca="false">IF(OR(O17="",P17=""),"",O17-P17)</f>
        <v/>
      </c>
    </row>
    <row r="18" customFormat="false" ht="15" hidden="false" customHeight="true" outlineLevel="0" collapsed="false">
      <c r="A18" s="137"/>
      <c r="B18" s="82"/>
      <c r="C18" s="138"/>
      <c r="D18" s="139"/>
      <c r="E18" s="82"/>
      <c r="F18" s="82"/>
      <c r="G18" s="82"/>
      <c r="H18" s="139"/>
      <c r="I18" s="82"/>
      <c r="J18" s="138"/>
      <c r="K18" s="139"/>
      <c r="L18" s="82"/>
      <c r="M18" s="139"/>
      <c r="N18" s="139"/>
      <c r="O18" s="140" t="str">
        <f aca="false">IF(OR(D18="",M18=""),"",M18/D18-1)</f>
        <v/>
      </c>
      <c r="P18" s="141" t="str">
        <f aca="false">IF(OR(H18="",N18=""),"",N18/H18-1)</f>
        <v/>
      </c>
      <c r="Q18" s="140" t="str">
        <f aca="false">IF(OR(O18="",P18=""),"",O18-P18)</f>
        <v/>
      </c>
    </row>
    <row r="19" customFormat="false" ht="15" hidden="false" customHeight="true" outlineLevel="0" collapsed="false">
      <c r="A19" s="137"/>
      <c r="B19" s="82"/>
      <c r="C19" s="138"/>
      <c r="D19" s="139"/>
      <c r="E19" s="82"/>
      <c r="F19" s="82"/>
      <c r="G19" s="82"/>
      <c r="H19" s="139"/>
      <c r="I19" s="82"/>
      <c r="J19" s="138"/>
      <c r="K19" s="139"/>
      <c r="L19" s="82"/>
      <c r="M19" s="139"/>
      <c r="N19" s="139"/>
      <c r="O19" s="140" t="str">
        <f aca="false">IF(OR(D19="",M19=""),"",M19/D19-1)</f>
        <v/>
      </c>
      <c r="P19" s="141" t="str">
        <f aca="false">IF(OR(H19="",N19=""),"",N19/H19-1)</f>
        <v/>
      </c>
      <c r="Q19" s="140" t="str">
        <f aca="false">IF(OR(O19="",P19=""),"",O19-P19)</f>
        <v/>
      </c>
    </row>
    <row r="20" customFormat="false" ht="15" hidden="false" customHeight="true" outlineLevel="0" collapsed="false">
      <c r="A20" s="137"/>
      <c r="B20" s="82"/>
      <c r="C20" s="138"/>
      <c r="D20" s="139"/>
      <c r="E20" s="82"/>
      <c r="F20" s="82"/>
      <c r="G20" s="82"/>
      <c r="H20" s="139"/>
      <c r="I20" s="82"/>
      <c r="J20" s="138"/>
      <c r="K20" s="139"/>
      <c r="L20" s="82"/>
      <c r="M20" s="139"/>
      <c r="N20" s="139"/>
      <c r="O20" s="140" t="str">
        <f aca="false">IF(OR(D20="",M20=""),"",M20/D20-1)</f>
        <v/>
      </c>
      <c r="P20" s="141" t="str">
        <f aca="false">IF(OR(H20="",N20=""),"",N20/H20-1)</f>
        <v/>
      </c>
      <c r="Q20" s="140" t="str">
        <f aca="false">IF(OR(O20="",P20=""),"",O20-P20)</f>
        <v/>
      </c>
    </row>
    <row r="21" customFormat="false" ht="15" hidden="false" customHeight="true" outlineLevel="0" collapsed="false">
      <c r="A21" s="137"/>
      <c r="B21" s="82"/>
      <c r="C21" s="138"/>
      <c r="D21" s="139"/>
      <c r="E21" s="82"/>
      <c r="F21" s="82"/>
      <c r="G21" s="82"/>
      <c r="H21" s="139"/>
      <c r="I21" s="82"/>
      <c r="J21" s="138"/>
      <c r="K21" s="139"/>
      <c r="L21" s="82"/>
      <c r="M21" s="139"/>
      <c r="N21" s="139"/>
      <c r="O21" s="140" t="str">
        <f aca="false">IF(OR(D21="",M21=""),"",M21/D21-1)</f>
        <v/>
      </c>
      <c r="P21" s="141" t="str">
        <f aca="false">IF(OR(H21="",N21=""),"",N21/H21-1)</f>
        <v/>
      </c>
      <c r="Q21" s="140" t="str">
        <f aca="false">IF(OR(O21="",P21=""),"",O21-P21)</f>
        <v/>
      </c>
    </row>
    <row r="22" customFormat="false" ht="15" hidden="false" customHeight="true" outlineLevel="0" collapsed="false">
      <c r="A22" s="137"/>
      <c r="B22" s="82"/>
      <c r="C22" s="138"/>
      <c r="D22" s="139"/>
      <c r="E22" s="82"/>
      <c r="F22" s="82"/>
      <c r="G22" s="82"/>
      <c r="H22" s="139"/>
      <c r="I22" s="82"/>
      <c r="J22" s="138"/>
      <c r="K22" s="139"/>
      <c r="L22" s="82"/>
      <c r="M22" s="139"/>
      <c r="N22" s="139"/>
      <c r="O22" s="140" t="str">
        <f aca="false">IF(OR(D22="",M22=""),"",M22/D22-1)</f>
        <v/>
      </c>
      <c r="P22" s="141" t="str">
        <f aca="false">IF(OR(H22="",N22=""),"",N22/H22-1)</f>
        <v/>
      </c>
      <c r="Q22" s="140" t="str">
        <f aca="false">IF(OR(O22="",P22=""),"",O22-P22)</f>
        <v/>
      </c>
    </row>
    <row r="23" customFormat="false" ht="15" hidden="false" customHeight="true" outlineLevel="0" collapsed="false">
      <c r="A23" s="137"/>
      <c r="B23" s="82"/>
      <c r="C23" s="138"/>
      <c r="D23" s="139"/>
      <c r="E23" s="82"/>
      <c r="F23" s="82"/>
      <c r="G23" s="82"/>
      <c r="H23" s="139"/>
      <c r="I23" s="82"/>
      <c r="J23" s="138"/>
      <c r="K23" s="139"/>
      <c r="L23" s="82"/>
      <c r="M23" s="139"/>
      <c r="N23" s="139"/>
      <c r="O23" s="140" t="str">
        <f aca="false">IF(OR(D23="",M23=""),"",M23/D23-1)</f>
        <v/>
      </c>
      <c r="P23" s="141" t="str">
        <f aca="false">IF(OR(H23="",N23=""),"",N23/H23-1)</f>
        <v/>
      </c>
      <c r="Q23" s="140" t="str">
        <f aca="false">IF(OR(O23="",P23=""),"",O23-P23)</f>
        <v/>
      </c>
    </row>
    <row r="24" customFormat="false" ht="15" hidden="false" customHeight="true" outlineLevel="0" collapsed="false">
      <c r="A24" s="137"/>
      <c r="B24" s="82"/>
      <c r="C24" s="138"/>
      <c r="D24" s="139"/>
      <c r="E24" s="82"/>
      <c r="F24" s="82"/>
      <c r="G24" s="82"/>
      <c r="H24" s="139"/>
      <c r="I24" s="82"/>
      <c r="J24" s="138"/>
      <c r="K24" s="139"/>
      <c r="L24" s="82"/>
      <c r="M24" s="139"/>
      <c r="N24" s="139"/>
      <c r="O24" s="140" t="str">
        <f aca="false">IF(OR(D24="",M24=""),"",M24/D24-1)</f>
        <v/>
      </c>
      <c r="P24" s="141" t="str">
        <f aca="false">IF(OR(H24="",N24=""),"",N24/H24-1)</f>
        <v/>
      </c>
      <c r="Q24" s="140" t="str">
        <f aca="false">IF(OR(O24="",P24=""),"",O24-P24)</f>
        <v/>
      </c>
    </row>
    <row r="25" customFormat="false" ht="15" hidden="false" customHeight="true" outlineLevel="0" collapsed="false">
      <c r="A25" s="137"/>
      <c r="B25" s="82"/>
      <c r="C25" s="138"/>
      <c r="D25" s="139"/>
      <c r="E25" s="82"/>
      <c r="F25" s="82"/>
      <c r="G25" s="82"/>
      <c r="H25" s="139"/>
      <c r="I25" s="82"/>
      <c r="J25" s="138"/>
      <c r="K25" s="139"/>
      <c r="L25" s="82"/>
      <c r="M25" s="139"/>
      <c r="N25" s="139"/>
      <c r="O25" s="140" t="str">
        <f aca="false">IF(OR(D25="",M25=""),"",M25/D25-1)</f>
        <v/>
      </c>
      <c r="P25" s="141" t="str">
        <f aca="false">IF(OR(H25="",N25=""),"",N25/H25-1)</f>
        <v/>
      </c>
      <c r="Q25" s="140" t="str">
        <f aca="false">IF(OR(O25="",P25=""),"",O25-P25)</f>
        <v/>
      </c>
    </row>
    <row r="26" customFormat="false" ht="15" hidden="false" customHeight="true" outlineLevel="0" collapsed="false">
      <c r="A26" s="137"/>
      <c r="B26" s="82"/>
      <c r="C26" s="138"/>
      <c r="D26" s="139"/>
      <c r="E26" s="82"/>
      <c r="F26" s="82"/>
      <c r="G26" s="82"/>
      <c r="H26" s="139"/>
      <c r="I26" s="82"/>
      <c r="J26" s="138"/>
      <c r="K26" s="139"/>
      <c r="L26" s="82"/>
      <c r="M26" s="139"/>
      <c r="N26" s="139"/>
      <c r="O26" s="140" t="str">
        <f aca="false">IF(OR(D26="",M26=""),"",M26/D26-1)</f>
        <v/>
      </c>
      <c r="P26" s="141" t="str">
        <f aca="false">IF(OR(H26="",N26=""),"",N26/H26-1)</f>
        <v/>
      </c>
      <c r="Q26" s="140" t="str">
        <f aca="false">IF(OR(O26="",P26=""),"",O26-P26)</f>
        <v/>
      </c>
    </row>
    <row r="27" customFormat="false" ht="15" hidden="false" customHeight="true" outlineLevel="0" collapsed="false">
      <c r="A27" s="137"/>
      <c r="B27" s="82"/>
      <c r="C27" s="138"/>
      <c r="D27" s="139"/>
      <c r="E27" s="82"/>
      <c r="F27" s="82"/>
      <c r="G27" s="82"/>
      <c r="H27" s="139"/>
      <c r="I27" s="82"/>
      <c r="J27" s="138"/>
      <c r="K27" s="139"/>
      <c r="L27" s="82"/>
      <c r="M27" s="139"/>
      <c r="N27" s="139"/>
      <c r="O27" s="140" t="str">
        <f aca="false">IF(OR(D27="",M27=""),"",M27/D27-1)</f>
        <v/>
      </c>
      <c r="P27" s="141" t="str">
        <f aca="false">IF(OR(H27="",N27=""),"",N27/H27-1)</f>
        <v/>
      </c>
      <c r="Q27" s="140" t="str">
        <f aca="false">IF(OR(O27="",P27=""),"",O27-P27)</f>
        <v/>
      </c>
    </row>
    <row r="28" customFormat="false" ht="15" hidden="false" customHeight="true" outlineLevel="0" collapsed="false">
      <c r="A28" s="137"/>
      <c r="B28" s="82"/>
      <c r="C28" s="138"/>
      <c r="D28" s="139"/>
      <c r="E28" s="82"/>
      <c r="F28" s="82"/>
      <c r="G28" s="82"/>
      <c r="H28" s="139"/>
      <c r="I28" s="82"/>
      <c r="J28" s="138"/>
      <c r="K28" s="139"/>
      <c r="L28" s="82"/>
      <c r="M28" s="139"/>
      <c r="N28" s="139"/>
      <c r="O28" s="140" t="str">
        <f aca="false">IF(OR(D28="",M28=""),"",M28/D28-1)</f>
        <v/>
      </c>
      <c r="P28" s="141" t="str">
        <f aca="false">IF(OR(H28="",N28=""),"",N28/H28-1)</f>
        <v/>
      </c>
      <c r="Q28" s="140" t="str">
        <f aca="false">IF(OR(O28="",P28=""),"",O28-P28)</f>
        <v/>
      </c>
    </row>
    <row r="29" customFormat="false" ht="15" hidden="false" customHeight="true" outlineLevel="0" collapsed="false">
      <c r="A29" s="137"/>
      <c r="B29" s="82"/>
      <c r="C29" s="138"/>
      <c r="D29" s="139"/>
      <c r="E29" s="82"/>
      <c r="F29" s="82"/>
      <c r="G29" s="82"/>
      <c r="H29" s="139"/>
      <c r="I29" s="82"/>
      <c r="J29" s="138"/>
      <c r="K29" s="139"/>
      <c r="L29" s="82"/>
      <c r="M29" s="139"/>
      <c r="N29" s="139"/>
      <c r="O29" s="140" t="str">
        <f aca="false">IF(OR(D29="",M29=""),"",M29/D29-1)</f>
        <v/>
      </c>
      <c r="P29" s="141" t="str">
        <f aca="false">IF(OR(H29="",N29=""),"",N29/H29-1)</f>
        <v/>
      </c>
      <c r="Q29" s="140" t="str">
        <f aca="false">IF(OR(O29="",P29=""),"",O29-P29)</f>
        <v/>
      </c>
    </row>
    <row r="30" customFormat="false" ht="15" hidden="false" customHeight="true" outlineLevel="0" collapsed="false">
      <c r="A30" s="137"/>
      <c r="B30" s="82"/>
      <c r="C30" s="138"/>
      <c r="D30" s="139"/>
      <c r="E30" s="82"/>
      <c r="F30" s="82"/>
      <c r="G30" s="82"/>
      <c r="H30" s="139"/>
      <c r="I30" s="82"/>
      <c r="J30" s="138"/>
      <c r="K30" s="139"/>
      <c r="L30" s="82"/>
      <c r="M30" s="139"/>
      <c r="N30" s="139"/>
      <c r="O30" s="140" t="str">
        <f aca="false">IF(OR(D30="",M30=""),"",M30/D30-1)</f>
        <v/>
      </c>
      <c r="P30" s="141" t="str">
        <f aca="false">IF(OR(H30="",N30=""),"",N30/H30-1)</f>
        <v/>
      </c>
      <c r="Q30" s="140" t="str">
        <f aca="false">IF(OR(O30="",P30=""),"",O30-P30)</f>
        <v/>
      </c>
    </row>
    <row r="31" customFormat="false" ht="15" hidden="false" customHeight="true" outlineLevel="0" collapsed="false">
      <c r="A31" s="137"/>
      <c r="B31" s="82"/>
      <c r="C31" s="138"/>
      <c r="D31" s="139"/>
      <c r="E31" s="82"/>
      <c r="F31" s="82"/>
      <c r="G31" s="82"/>
      <c r="H31" s="139"/>
      <c r="I31" s="82"/>
      <c r="J31" s="138"/>
      <c r="K31" s="139"/>
      <c r="L31" s="82"/>
      <c r="M31" s="139"/>
      <c r="N31" s="139"/>
      <c r="O31" s="140" t="str">
        <f aca="false">IF(OR(D31="",M31=""),"",M31/D31-1)</f>
        <v/>
      </c>
      <c r="P31" s="141" t="str">
        <f aca="false">IF(OR(H31="",N31=""),"",N31/H31-1)</f>
        <v/>
      </c>
      <c r="Q31" s="140" t="str">
        <f aca="false">IF(OR(O31="",P31=""),"",O31-P31)</f>
        <v/>
      </c>
    </row>
    <row r="32" customFormat="false" ht="15" hidden="false" customHeight="true" outlineLevel="0" collapsed="false">
      <c r="A32" s="137"/>
      <c r="B32" s="82"/>
      <c r="C32" s="138"/>
      <c r="D32" s="139"/>
      <c r="E32" s="82"/>
      <c r="F32" s="82"/>
      <c r="G32" s="82"/>
      <c r="H32" s="139"/>
      <c r="I32" s="82"/>
      <c r="J32" s="138"/>
      <c r="K32" s="139"/>
      <c r="L32" s="82"/>
      <c r="M32" s="139"/>
      <c r="N32" s="139"/>
      <c r="O32" s="140" t="str">
        <f aca="false">IF(OR(D32="",M32=""),"",M32/D32-1)</f>
        <v/>
      </c>
      <c r="P32" s="141" t="str">
        <f aca="false">IF(OR(H32="",N32=""),"",N32/H32-1)</f>
        <v/>
      </c>
      <c r="Q32" s="140" t="str">
        <f aca="false">IF(OR(O32="",P32=""),"",O32-P32)</f>
        <v/>
      </c>
    </row>
    <row r="34" customFormat="false" ht="25.5" hidden="false" customHeight="true" outlineLevel="0" collapsed="false">
      <c r="A34" s="142" t="s">
        <v>524</v>
      </c>
      <c r="B34" s="142"/>
      <c r="C34" s="142"/>
      <c r="D34" s="142"/>
      <c r="E34" s="142"/>
      <c r="F34" s="142"/>
      <c r="G34" s="142"/>
      <c r="H34" s="142"/>
      <c r="I34" s="142"/>
      <c r="J34" s="142"/>
      <c r="K34" s="142"/>
      <c r="L34" s="142"/>
      <c r="M34" s="142"/>
      <c r="N34" s="142"/>
      <c r="O34" s="142"/>
      <c r="P34" s="142"/>
      <c r="Q34" s="142"/>
    </row>
  </sheetData>
  <mergeCells count="2">
    <mergeCell ref="A1:Q1"/>
    <mergeCell ref="A34:Q34"/>
  </mergeCells>
  <conditionalFormatting sqref="Q3:Q32">
    <cfRule type="cellIs" priority="2" operator="greaterThan" aboveAverage="0" equalAverage="0" bottom="0" percent="0" rank="0" text="" dxfId="13">
      <formula>0</formula>
    </cfRule>
    <cfRule type="cellIs" priority="3" operator="lessThan" aboveAverage="0" equalAverage="0" bottom="0" percent="0" rank="0" text="" dxfId="0">
      <formula>0</formula>
    </cfRule>
  </conditionalFormatting>
  <dataValidations count="2">
    <dataValidation allowBlank="true" errorStyle="stop" operator="between" showDropDown="false" showErrorMessage="false" showInputMessage="false" sqref="I3:I32" type="list">
      <formula1>"Held,Exited"</formula1>
      <formula2>0</formula2>
    </dataValidation>
    <dataValidation allowBlank="true" errorStyle="stop" operator="between" showDropDown="false" showErrorMessage="false" showInputMessage="false" sqref="G3:G32" type="list">
      <formula1>"Strong Buy,Buy"</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15" activePane="bottomLeft" state="frozen"/>
      <selection pane="topLeft" activeCell="A1" activeCellId="0" sqref="A1"/>
      <selection pane="bottomLeft" activeCell="B20" activeCellId="0" sqref="B20"/>
    </sheetView>
  </sheetViews>
  <sheetFormatPr defaultColWidth="8.66796875" defaultRowHeight="15" customHeight="false" zeroHeight="false" outlineLevelRow="0" outlineLevelCol="0"/>
  <cols>
    <col collapsed="false" customWidth="true" hidden="false" outlineLevel="0" max="1" min="1" style="143" width="13"/>
    <col collapsed="false" customWidth="true" hidden="false" outlineLevel="0" max="2" min="2" style="143" width="15.33"/>
    <col collapsed="false" customWidth="true" hidden="false" outlineLevel="0" max="3" min="3" style="1" width="111.51"/>
  </cols>
  <sheetData>
    <row r="1" customFormat="false" ht="27.75" hidden="false" customHeight="true" outlineLevel="0" collapsed="false">
      <c r="A1" s="94" t="s">
        <v>525</v>
      </c>
      <c r="B1" s="94"/>
      <c r="C1" s="94"/>
    </row>
    <row r="2" customFormat="false" ht="18" hidden="false" customHeight="true" outlineLevel="0" collapsed="false">
      <c r="A2" s="103" t="s">
        <v>446</v>
      </c>
      <c r="B2" s="103" t="s">
        <v>82</v>
      </c>
      <c r="C2" s="103" t="s">
        <v>205</v>
      </c>
    </row>
    <row r="3" customFormat="false" ht="15" hidden="false" customHeight="true" outlineLevel="0" collapsed="false">
      <c r="A3" s="79" t="n">
        <v>46241</v>
      </c>
      <c r="B3" s="78" t="s">
        <v>168</v>
      </c>
      <c r="C3" s="144" t="s">
        <v>526</v>
      </c>
    </row>
    <row r="4" customFormat="false" ht="15" hidden="false" customHeight="true" outlineLevel="0" collapsed="false">
      <c r="A4" s="79" t="n">
        <v>46241</v>
      </c>
      <c r="B4" s="78" t="s">
        <v>171</v>
      </c>
      <c r="C4" s="144" t="s">
        <v>527</v>
      </c>
    </row>
    <row r="5" customFormat="false" ht="15" hidden="false" customHeight="true" outlineLevel="0" collapsed="false">
      <c r="A5" s="79" t="n">
        <v>46241</v>
      </c>
      <c r="B5" s="78" t="s">
        <v>179</v>
      </c>
      <c r="C5" s="144" t="s">
        <v>528</v>
      </c>
    </row>
    <row r="6" customFormat="false" ht="27.75" hidden="false" customHeight="true" outlineLevel="0" collapsed="false">
      <c r="A6" s="79" t="n">
        <v>46241</v>
      </c>
      <c r="B6" s="78" t="s">
        <v>162</v>
      </c>
      <c r="C6" s="144" t="s">
        <v>529</v>
      </c>
    </row>
    <row r="7" customFormat="false" ht="30" hidden="false" customHeight="true" outlineLevel="0" collapsed="false">
      <c r="A7" s="79" t="n">
        <v>46241</v>
      </c>
      <c r="B7" s="78" t="s">
        <v>530</v>
      </c>
      <c r="C7" s="144" t="s">
        <v>531</v>
      </c>
    </row>
    <row r="8" customFormat="false" ht="28.5" hidden="false" customHeight="true" outlineLevel="0" collapsed="false">
      <c r="A8" s="79" t="n">
        <v>46241</v>
      </c>
      <c r="B8" s="78" t="s">
        <v>530</v>
      </c>
      <c r="C8" s="144" t="s">
        <v>532</v>
      </c>
    </row>
    <row r="9" customFormat="false" ht="30" hidden="false" customHeight="true" outlineLevel="0" collapsed="false">
      <c r="A9" s="79" t="n">
        <v>46241</v>
      </c>
      <c r="B9" s="78" t="s">
        <v>533</v>
      </c>
      <c r="C9" s="144" t="s">
        <v>534</v>
      </c>
    </row>
    <row r="10" customFormat="false" ht="28.5" hidden="false" customHeight="true" outlineLevel="0" collapsed="false">
      <c r="A10" s="79" t="n">
        <v>46241</v>
      </c>
      <c r="B10" s="78" t="s">
        <v>535</v>
      </c>
      <c r="C10" s="144" t="s">
        <v>536</v>
      </c>
    </row>
    <row r="11" customFormat="false" ht="28.5" hidden="false" customHeight="true" outlineLevel="0" collapsed="false">
      <c r="A11" s="79" t="n">
        <v>46241</v>
      </c>
      <c r="B11" s="78" t="s">
        <v>130</v>
      </c>
      <c r="C11" s="144" t="s">
        <v>537</v>
      </c>
    </row>
    <row r="12" customFormat="false" ht="75" hidden="false" customHeight="true" outlineLevel="0" collapsed="false">
      <c r="A12" s="79" t="n">
        <v>46273</v>
      </c>
      <c r="B12" s="78" t="s">
        <v>538</v>
      </c>
      <c r="C12" s="144" t="s">
        <v>539</v>
      </c>
    </row>
    <row r="13" customFormat="false" ht="60" hidden="false" customHeight="true" outlineLevel="0" collapsed="false">
      <c r="A13" s="79" t="n">
        <v>46295</v>
      </c>
      <c r="B13" s="78" t="s">
        <v>540</v>
      </c>
      <c r="C13" s="144" t="s">
        <v>541</v>
      </c>
    </row>
    <row r="14" customFormat="false" ht="57.75" hidden="false" customHeight="true" outlineLevel="0" collapsed="false">
      <c r="A14" s="79" t="n">
        <v>46302</v>
      </c>
      <c r="B14" s="78" t="s">
        <v>542</v>
      </c>
      <c r="C14" s="144" t="s">
        <v>543</v>
      </c>
    </row>
    <row r="15" customFormat="false" ht="61.5" hidden="false" customHeight="true" outlineLevel="0" collapsed="false">
      <c r="A15" s="79" t="n">
        <v>46320</v>
      </c>
      <c r="B15" s="78" t="s">
        <v>544</v>
      </c>
      <c r="C15" s="144" t="s">
        <v>545</v>
      </c>
    </row>
    <row r="16" customFormat="false" ht="30.75" hidden="false" customHeight="true" outlineLevel="0" collapsed="false">
      <c r="A16" s="79" t="n">
        <v>46335</v>
      </c>
      <c r="B16" s="78" t="s">
        <v>546</v>
      </c>
      <c r="C16" s="144" t="s">
        <v>547</v>
      </c>
    </row>
    <row r="17" customFormat="false" ht="30.75" hidden="false" customHeight="true" outlineLevel="0" collapsed="false">
      <c r="A17" s="79" t="n">
        <v>46387</v>
      </c>
      <c r="B17" s="78" t="s">
        <v>548</v>
      </c>
      <c r="C17" s="144" t="s">
        <v>549</v>
      </c>
    </row>
    <row r="18" customFormat="false" ht="43.5" hidden="false" customHeight="true" outlineLevel="0" collapsed="false">
      <c r="A18" s="79" t="n">
        <v>46412</v>
      </c>
      <c r="B18" s="78" t="s">
        <v>550</v>
      </c>
      <c r="C18" s="144" t="s">
        <v>551</v>
      </c>
    </row>
    <row r="19" customFormat="false" ht="100.5" hidden="false" customHeight="true" outlineLevel="0" collapsed="false">
      <c r="A19" s="79" t="n">
        <v>46252</v>
      </c>
      <c r="B19" s="145" t="s">
        <v>552</v>
      </c>
      <c r="C19" s="144" t="s">
        <v>553</v>
      </c>
    </row>
    <row r="20" customFormat="false" ht="75.75" hidden="false" customHeight="true" outlineLevel="0" collapsed="false">
      <c r="A20" s="79" t="n">
        <v>46258</v>
      </c>
      <c r="B20" s="145" t="s">
        <v>554</v>
      </c>
      <c r="C20" s="144" t="s">
        <v>555</v>
      </c>
    </row>
    <row r="21" customFormat="false" ht="15" hidden="false" customHeight="true" outlineLevel="0" collapsed="false">
      <c r="A21" s="79" t="n">
        <v>46260</v>
      </c>
      <c r="B21" s="78" t="s">
        <v>556</v>
      </c>
      <c r="C21" s="144" t="s">
        <v>557</v>
      </c>
    </row>
    <row r="22" customFormat="false" ht="15" hidden="false" customHeight="true" outlineLevel="0" collapsed="false">
      <c r="A22" s="79" t="n">
        <v>46272</v>
      </c>
      <c r="B22" s="78" t="s">
        <v>558</v>
      </c>
      <c r="C22" s="144" t="s">
        <v>559</v>
      </c>
    </row>
    <row r="23" customFormat="false" ht="15" hidden="false" customHeight="true" outlineLevel="0" collapsed="false">
      <c r="A23" s="79" t="n">
        <v>46302</v>
      </c>
      <c r="B23" s="78" t="s">
        <v>560</v>
      </c>
      <c r="C23" s="144" t="s">
        <v>561</v>
      </c>
    </row>
    <row r="24" customFormat="false" ht="15" hidden="false" customHeight="true" outlineLevel="0" collapsed="false">
      <c r="A24" s="79" t="n">
        <v>46310</v>
      </c>
      <c r="B24" s="78" t="s">
        <v>562</v>
      </c>
      <c r="C24" s="144" t="s">
        <v>561</v>
      </c>
    </row>
    <row r="25" customFormat="false" ht="15" hidden="false" customHeight="true" outlineLevel="0" collapsed="false">
      <c r="A25" s="79" t="n">
        <v>46335</v>
      </c>
      <c r="B25" s="78" t="s">
        <v>563</v>
      </c>
      <c r="C25" s="144" t="s">
        <v>561</v>
      </c>
    </row>
    <row r="26" customFormat="false" ht="15" hidden="false" customHeight="true" outlineLevel="0" collapsed="false">
      <c r="A26" s="79" t="n">
        <v>46342</v>
      </c>
      <c r="B26" s="78" t="s">
        <v>564</v>
      </c>
      <c r="C26" s="144" t="s">
        <v>561</v>
      </c>
    </row>
    <row r="27" customFormat="false" ht="15" hidden="false" customHeight="true" outlineLevel="0" collapsed="false">
      <c r="A27" s="79" t="n">
        <v>46363</v>
      </c>
      <c r="B27" s="78" t="s">
        <v>565</v>
      </c>
      <c r="C27" s="144" t="s">
        <v>561</v>
      </c>
    </row>
    <row r="28" customFormat="false" ht="15" hidden="false" customHeight="true" outlineLevel="0" collapsed="false">
      <c r="A28" s="79" t="n">
        <v>46371</v>
      </c>
      <c r="B28" s="78" t="s">
        <v>566</v>
      </c>
      <c r="C28" s="144" t="s">
        <v>561</v>
      </c>
    </row>
    <row r="29" customFormat="false" ht="15" hidden="false" customHeight="true" outlineLevel="0" collapsed="false">
      <c r="A29" s="79" t="n">
        <v>46394</v>
      </c>
      <c r="B29" s="78" t="s">
        <v>567</v>
      </c>
      <c r="C29" s="144" t="s">
        <v>561</v>
      </c>
    </row>
    <row r="30" customFormat="false" ht="15" hidden="false" customHeight="true" outlineLevel="0" collapsed="false">
      <c r="A30" s="79" t="n">
        <v>46402</v>
      </c>
      <c r="B30" s="78" t="s">
        <v>568</v>
      </c>
      <c r="C30" s="144" t="s">
        <v>561</v>
      </c>
    </row>
    <row r="31" customFormat="false" ht="15" hidden="false" customHeight="true" outlineLevel="0" collapsed="false">
      <c r="A31" s="79" t="n">
        <v>46426</v>
      </c>
      <c r="B31" s="78" t="s">
        <v>569</v>
      </c>
      <c r="C31" s="144" t="s">
        <v>561</v>
      </c>
    </row>
    <row r="32" customFormat="false" ht="15" hidden="false" customHeight="true" outlineLevel="0" collapsed="false">
      <c r="A32" s="79" t="n">
        <v>46434</v>
      </c>
      <c r="B32" s="78" t="s">
        <v>570</v>
      </c>
      <c r="C32" s="144" t="s">
        <v>561</v>
      </c>
    </row>
    <row r="33" customFormat="false" ht="15" hidden="false" customHeight="true" outlineLevel="0" collapsed="false">
      <c r="A33" s="79" t="n">
        <v>46454</v>
      </c>
      <c r="B33" s="78" t="s">
        <v>571</v>
      </c>
      <c r="C33" s="144" t="s">
        <v>561</v>
      </c>
    </row>
    <row r="34" customFormat="false" ht="15" hidden="false" customHeight="true" outlineLevel="0" collapsed="false">
      <c r="A34" s="79" t="n">
        <v>46461</v>
      </c>
      <c r="B34" s="78" t="s">
        <v>572</v>
      </c>
      <c r="C34" s="144" t="s">
        <v>573</v>
      </c>
    </row>
    <row r="35" customFormat="false" ht="15" hidden="false" customHeight="true" outlineLevel="0" collapsed="false">
      <c r="A35" s="79" t="n">
        <v>46273</v>
      </c>
      <c r="B35" s="78" t="s">
        <v>574</v>
      </c>
      <c r="C35" s="144" t="s">
        <v>575</v>
      </c>
    </row>
    <row r="36" customFormat="false" ht="15" hidden="false" customHeight="true" outlineLevel="0" collapsed="false">
      <c r="A36" s="79"/>
      <c r="B36" s="78"/>
      <c r="C36" s="144"/>
    </row>
    <row r="37" customFormat="false" ht="15" hidden="false" customHeight="true" outlineLevel="0" collapsed="false">
      <c r="A37" s="79"/>
      <c r="B37" s="78"/>
      <c r="C37" s="144"/>
    </row>
    <row r="38" customFormat="false" ht="15" hidden="false" customHeight="true" outlineLevel="0" collapsed="false">
      <c r="A38" s="79"/>
      <c r="B38" s="78"/>
      <c r="C38" s="144"/>
    </row>
    <row r="39" customFormat="false" ht="15" hidden="false" customHeight="true" outlineLevel="0" collapsed="false">
      <c r="A39" s="79"/>
      <c r="B39" s="78"/>
      <c r="C39" s="144"/>
    </row>
    <row r="40" customFormat="false" ht="15" hidden="false" customHeight="true" outlineLevel="0" collapsed="false">
      <c r="A40" s="79"/>
      <c r="B40" s="78"/>
      <c r="C40" s="144"/>
    </row>
    <row r="41" customFormat="false" ht="15" hidden="false" customHeight="true" outlineLevel="0" collapsed="false">
      <c r="A41" s="79"/>
      <c r="B41" s="78"/>
      <c r="C41" s="144"/>
    </row>
    <row r="42" customFormat="false" ht="15" hidden="false" customHeight="true" outlineLevel="0" collapsed="false">
      <c r="A42" s="79"/>
      <c r="B42" s="78"/>
      <c r="C42" s="144"/>
    </row>
    <row r="43" customFormat="false" ht="15" hidden="false" customHeight="true" outlineLevel="0" collapsed="false">
      <c r="A43" s="79"/>
      <c r="B43" s="78"/>
      <c r="C43" s="144"/>
    </row>
    <row r="44" customFormat="false" ht="15" hidden="false" customHeight="true" outlineLevel="0" collapsed="false">
      <c r="A44" s="79"/>
      <c r="B44" s="78"/>
      <c r="C44" s="144"/>
    </row>
    <row r="45" customFormat="false" ht="15" hidden="false" customHeight="true" outlineLevel="0" collapsed="false">
      <c r="A45" s="79"/>
      <c r="B45" s="78"/>
      <c r="C45" s="144"/>
    </row>
    <row r="46" customFormat="false" ht="15" hidden="false" customHeight="true" outlineLevel="0" collapsed="false">
      <c r="A46" s="79"/>
      <c r="B46" s="78"/>
      <c r="C46" s="144"/>
    </row>
    <row r="47" customFormat="false" ht="15" hidden="false" customHeight="true" outlineLevel="0" collapsed="false">
      <c r="A47" s="79"/>
      <c r="B47" s="78"/>
      <c r="C47" s="144"/>
    </row>
    <row r="48" customFormat="false" ht="15" hidden="false" customHeight="true" outlineLevel="0" collapsed="false">
      <c r="A48" s="79"/>
      <c r="B48" s="78"/>
      <c r="C48" s="144"/>
    </row>
    <row r="49" customFormat="false" ht="15" hidden="false" customHeight="true" outlineLevel="0" collapsed="false">
      <c r="A49" s="79"/>
      <c r="B49" s="78"/>
      <c r="C49" s="144"/>
    </row>
    <row r="50" customFormat="false" ht="15" hidden="false" customHeight="true" outlineLevel="0" collapsed="false">
      <c r="A50" s="79"/>
      <c r="B50" s="78"/>
      <c r="C50" s="144"/>
    </row>
    <row r="51" customFormat="false" ht="15" hidden="false" customHeight="true" outlineLevel="0" collapsed="false">
      <c r="A51" s="79"/>
      <c r="B51" s="78"/>
      <c r="C51" s="144"/>
    </row>
    <row r="52" customFormat="false" ht="15" hidden="false" customHeight="true" outlineLevel="0" collapsed="false">
      <c r="A52" s="79"/>
      <c r="B52" s="78"/>
      <c r="C52" s="144"/>
    </row>
    <row r="53" customFormat="false" ht="15" hidden="false" customHeight="true" outlineLevel="0" collapsed="false">
      <c r="A53" s="79"/>
      <c r="B53" s="78"/>
      <c r="C53" s="144"/>
    </row>
    <row r="54" customFormat="false" ht="15" hidden="false" customHeight="true" outlineLevel="0" collapsed="false">
      <c r="A54" s="79"/>
      <c r="B54" s="78"/>
      <c r="C54" s="144"/>
    </row>
    <row r="55" customFormat="false" ht="15" hidden="false" customHeight="true" outlineLevel="0" collapsed="false">
      <c r="A55" s="79"/>
      <c r="B55" s="78"/>
      <c r="C55" s="144"/>
    </row>
    <row r="56" customFormat="false" ht="15" hidden="false" customHeight="true" outlineLevel="0" collapsed="false">
      <c r="A56" s="79"/>
      <c r="B56" s="78"/>
      <c r="C56" s="144"/>
    </row>
    <row r="57" customFormat="false" ht="15" hidden="false" customHeight="true" outlineLevel="0" collapsed="false">
      <c r="A57" s="79"/>
      <c r="B57" s="78"/>
      <c r="C57" s="144"/>
    </row>
    <row r="58" customFormat="false" ht="15" hidden="false" customHeight="true" outlineLevel="0" collapsed="false">
      <c r="A58" s="79"/>
      <c r="B58" s="78"/>
      <c r="C58" s="144"/>
    </row>
    <row r="59" customFormat="false" ht="15" hidden="false" customHeight="true" outlineLevel="0" collapsed="false">
      <c r="A59" s="79"/>
      <c r="B59" s="78"/>
      <c r="C59" s="144"/>
    </row>
    <row r="60" customFormat="false" ht="15" hidden="false" customHeight="true" outlineLevel="0" collapsed="false">
      <c r="A60" s="79"/>
      <c r="B60" s="78"/>
      <c r="C60" s="144"/>
    </row>
    <row r="61" customFormat="false" ht="15" hidden="false" customHeight="true" outlineLevel="0" collapsed="false">
      <c r="A61" s="79"/>
      <c r="B61" s="78"/>
      <c r="C61" s="144"/>
    </row>
    <row r="62" customFormat="false" ht="15" hidden="false" customHeight="true" outlineLevel="0" collapsed="false">
      <c r="A62" s="79"/>
      <c r="B62" s="78"/>
      <c r="C62" s="144"/>
    </row>
    <row r="63" customFormat="false" ht="15" hidden="false" customHeight="true" outlineLevel="0" collapsed="false">
      <c r="A63" s="79"/>
      <c r="B63" s="78"/>
      <c r="C63" s="144"/>
    </row>
    <row r="64" customFormat="false" ht="15" hidden="false" customHeight="true" outlineLevel="0" collapsed="false">
      <c r="A64" s="79"/>
      <c r="B64" s="78"/>
      <c r="C64" s="144"/>
    </row>
    <row r="65" customFormat="false" ht="15" hidden="false" customHeight="true" outlineLevel="0" collapsed="false">
      <c r="A65" s="79"/>
      <c r="B65" s="78"/>
      <c r="C65" s="144"/>
    </row>
    <row r="66" customFormat="false" ht="15" hidden="false" customHeight="true" outlineLevel="0" collapsed="false">
      <c r="A66" s="79"/>
      <c r="B66" s="78"/>
      <c r="C66" s="144"/>
    </row>
    <row r="67" customFormat="false" ht="15" hidden="false" customHeight="true" outlineLevel="0" collapsed="false">
      <c r="A67" s="79"/>
      <c r="B67" s="78"/>
      <c r="C67" s="144"/>
    </row>
    <row r="68" customFormat="false" ht="15" hidden="false" customHeight="true" outlineLevel="0" collapsed="false">
      <c r="A68" s="79"/>
      <c r="B68" s="78"/>
      <c r="C68" s="144"/>
    </row>
    <row r="69" customFormat="false" ht="15" hidden="false" customHeight="true" outlineLevel="0" collapsed="false">
      <c r="A69" s="79"/>
      <c r="B69" s="78"/>
      <c r="C69" s="144"/>
    </row>
    <row r="70" customFormat="false" ht="15" hidden="false" customHeight="true" outlineLevel="0" collapsed="false">
      <c r="A70" s="79"/>
      <c r="B70" s="78"/>
      <c r="C70" s="144"/>
    </row>
    <row r="71" customFormat="false" ht="15" hidden="false" customHeight="true" outlineLevel="0" collapsed="false">
      <c r="A71" s="79"/>
      <c r="B71" s="78"/>
      <c r="C71" s="144"/>
    </row>
    <row r="72" customFormat="false" ht="15" hidden="false" customHeight="true" outlineLevel="0" collapsed="false">
      <c r="A72" s="79"/>
      <c r="B72" s="78"/>
      <c r="C72" s="144"/>
    </row>
    <row r="73" customFormat="false" ht="15" hidden="false" customHeight="true" outlineLevel="0" collapsed="false">
      <c r="A73" s="79"/>
      <c r="B73" s="78"/>
      <c r="C73" s="144"/>
    </row>
    <row r="74" customFormat="false" ht="15" hidden="false" customHeight="true" outlineLevel="0" collapsed="false">
      <c r="A74" s="79"/>
      <c r="B74" s="78"/>
      <c r="C74" s="144"/>
    </row>
    <row r="75" customFormat="false" ht="15" hidden="false" customHeight="true" outlineLevel="0" collapsed="false">
      <c r="A75" s="79"/>
      <c r="B75" s="78"/>
      <c r="C75" s="144"/>
    </row>
    <row r="76" customFormat="false" ht="15" hidden="false" customHeight="true" outlineLevel="0" collapsed="false">
      <c r="A76" s="79"/>
      <c r="B76" s="78"/>
      <c r="C76" s="144"/>
    </row>
    <row r="77" customFormat="false" ht="15" hidden="false" customHeight="true" outlineLevel="0" collapsed="false">
      <c r="A77" s="79"/>
      <c r="B77" s="78"/>
      <c r="C77" s="144"/>
    </row>
    <row r="78" customFormat="false" ht="15" hidden="false" customHeight="true" outlineLevel="0" collapsed="false">
      <c r="A78" s="79"/>
      <c r="B78" s="78"/>
      <c r="C78" s="144"/>
    </row>
    <row r="79" customFormat="false" ht="15" hidden="false" customHeight="true" outlineLevel="0" collapsed="false">
      <c r="A79" s="79"/>
      <c r="B79" s="78"/>
      <c r="C79" s="144"/>
    </row>
    <row r="80" customFormat="false" ht="15" hidden="false" customHeight="true" outlineLevel="0" collapsed="false">
      <c r="A80" s="79"/>
      <c r="B80" s="78"/>
      <c r="C80" s="144"/>
    </row>
    <row r="81" customFormat="false" ht="15" hidden="false" customHeight="true" outlineLevel="0" collapsed="false">
      <c r="A81" s="79"/>
      <c r="B81" s="78"/>
      <c r="C81" s="144"/>
    </row>
    <row r="82" customFormat="false" ht="15" hidden="false" customHeight="true" outlineLevel="0" collapsed="false">
      <c r="A82" s="79"/>
      <c r="B82" s="78"/>
      <c r="C82" s="144"/>
    </row>
    <row r="83" customFormat="false" ht="15" hidden="false" customHeight="true" outlineLevel="0" collapsed="false">
      <c r="A83" s="79"/>
      <c r="B83" s="78"/>
      <c r="C83" s="144"/>
    </row>
    <row r="84" customFormat="false" ht="15" hidden="false" customHeight="true" outlineLevel="0" collapsed="false">
      <c r="A84" s="79"/>
      <c r="B84" s="78"/>
      <c r="C84" s="144"/>
    </row>
    <row r="85" customFormat="false" ht="15" hidden="false" customHeight="true" outlineLevel="0" collapsed="false">
      <c r="A85" s="79"/>
      <c r="B85" s="78"/>
      <c r="C85" s="144"/>
    </row>
    <row r="86" customFormat="false" ht="15" hidden="false" customHeight="true" outlineLevel="0" collapsed="false">
      <c r="A86" s="79"/>
      <c r="B86" s="78"/>
      <c r="C86" s="144"/>
    </row>
    <row r="87" customFormat="false" ht="15" hidden="false" customHeight="true" outlineLevel="0" collapsed="false">
      <c r="A87" s="79"/>
      <c r="B87" s="78"/>
      <c r="C87" s="144"/>
    </row>
    <row r="88" customFormat="false" ht="15" hidden="false" customHeight="true" outlineLevel="0" collapsed="false">
      <c r="A88" s="79"/>
      <c r="B88" s="78"/>
      <c r="C88" s="144"/>
    </row>
    <row r="89" customFormat="false" ht="15" hidden="false" customHeight="true" outlineLevel="0" collapsed="false">
      <c r="A89" s="79"/>
      <c r="B89" s="78"/>
      <c r="C89" s="144"/>
    </row>
    <row r="90" customFormat="false" ht="15" hidden="false" customHeight="true" outlineLevel="0" collapsed="false">
      <c r="A90" s="79"/>
      <c r="B90" s="78"/>
      <c r="C90" s="144"/>
    </row>
    <row r="91" customFormat="false" ht="15" hidden="false" customHeight="true" outlineLevel="0" collapsed="false">
      <c r="A91" s="79"/>
      <c r="B91" s="78"/>
      <c r="C91" s="144"/>
    </row>
    <row r="92" customFormat="false" ht="15" hidden="false" customHeight="true" outlineLevel="0" collapsed="false">
      <c r="A92" s="79"/>
      <c r="B92" s="78"/>
      <c r="C92" s="144"/>
    </row>
    <row r="93" customFormat="false" ht="15" hidden="false" customHeight="true" outlineLevel="0" collapsed="false">
      <c r="A93" s="79"/>
      <c r="B93" s="78"/>
      <c r="C93" s="144"/>
    </row>
    <row r="94" customFormat="false" ht="15" hidden="false" customHeight="true" outlineLevel="0" collapsed="false">
      <c r="A94" s="79"/>
      <c r="B94" s="78"/>
      <c r="C94" s="144"/>
    </row>
    <row r="95" customFormat="false" ht="15" hidden="false" customHeight="true" outlineLevel="0" collapsed="false">
      <c r="A95" s="79"/>
      <c r="B95" s="78"/>
      <c r="C95" s="144"/>
    </row>
    <row r="96" customFormat="false" ht="15" hidden="false" customHeight="true" outlineLevel="0" collapsed="false">
      <c r="A96" s="79"/>
      <c r="B96" s="78"/>
      <c r="C96" s="144"/>
    </row>
    <row r="97" customFormat="false" ht="15" hidden="false" customHeight="true" outlineLevel="0" collapsed="false">
      <c r="A97" s="79"/>
      <c r="B97" s="78"/>
      <c r="C97" s="144"/>
    </row>
    <row r="98" customFormat="false" ht="15" hidden="false" customHeight="true" outlineLevel="0" collapsed="false">
      <c r="A98" s="79"/>
      <c r="B98" s="78"/>
      <c r="C98" s="144"/>
    </row>
    <row r="99" customFormat="false" ht="15" hidden="false" customHeight="true" outlineLevel="0" collapsed="false">
      <c r="A99" s="79"/>
      <c r="B99" s="78"/>
      <c r="C99" s="144"/>
    </row>
    <row r="100" customFormat="false" ht="15" hidden="false" customHeight="true" outlineLevel="0" collapsed="false">
      <c r="A100" s="79"/>
      <c r="B100" s="78"/>
      <c r="C100" s="144"/>
    </row>
    <row r="101" customFormat="false" ht="15" hidden="false" customHeight="true" outlineLevel="0" collapsed="false">
      <c r="A101" s="79"/>
      <c r="B101" s="78"/>
      <c r="C101" s="144"/>
    </row>
    <row r="102" customFormat="false" ht="15" hidden="false" customHeight="true" outlineLevel="0" collapsed="false">
      <c r="A102" s="79"/>
      <c r="B102" s="78"/>
      <c r="C102" s="144"/>
    </row>
    <row r="103" customFormat="false" ht="15" hidden="false" customHeight="true" outlineLevel="0" collapsed="false">
      <c r="A103" s="79"/>
      <c r="B103" s="78"/>
      <c r="C103" s="144"/>
    </row>
    <row r="104" customFormat="false" ht="15" hidden="false" customHeight="true" outlineLevel="0" collapsed="false">
      <c r="A104" s="79"/>
      <c r="B104" s="78"/>
      <c r="C104" s="144"/>
    </row>
    <row r="105" customFormat="false" ht="15" hidden="false" customHeight="true" outlineLevel="0" collapsed="false">
      <c r="A105" s="79"/>
      <c r="B105" s="78"/>
      <c r="C105" s="144"/>
    </row>
    <row r="106" customFormat="false" ht="15" hidden="false" customHeight="true" outlineLevel="0" collapsed="false">
      <c r="A106" s="79"/>
      <c r="B106" s="78"/>
      <c r="C106" s="144"/>
    </row>
    <row r="107" customFormat="false" ht="15" hidden="false" customHeight="true" outlineLevel="0" collapsed="false">
      <c r="A107" s="79"/>
      <c r="B107" s="78"/>
      <c r="C107" s="144"/>
    </row>
    <row r="108" customFormat="false" ht="15" hidden="false" customHeight="true" outlineLevel="0" collapsed="false">
      <c r="A108" s="79"/>
      <c r="B108" s="78"/>
      <c r="C108" s="144"/>
    </row>
    <row r="109" customFormat="false" ht="15" hidden="false" customHeight="true" outlineLevel="0" collapsed="false">
      <c r="A109" s="79"/>
      <c r="B109" s="78"/>
      <c r="C109" s="144"/>
    </row>
    <row r="110" customFormat="false" ht="15" hidden="false" customHeight="true" outlineLevel="0" collapsed="false">
      <c r="A110" s="79"/>
      <c r="B110" s="78"/>
      <c r="C110" s="144"/>
    </row>
    <row r="111" customFormat="false" ht="15" hidden="false" customHeight="true" outlineLevel="0" collapsed="false">
      <c r="A111" s="79"/>
      <c r="B111" s="78"/>
      <c r="C111" s="144"/>
    </row>
    <row r="112" customFormat="false" ht="15" hidden="false" customHeight="true" outlineLevel="0" collapsed="false">
      <c r="A112" s="79"/>
      <c r="B112" s="78"/>
      <c r="C112" s="144"/>
    </row>
    <row r="113" customFormat="false" ht="15" hidden="false" customHeight="true" outlineLevel="0" collapsed="false">
      <c r="A113" s="79"/>
      <c r="B113" s="78"/>
      <c r="C113" s="144"/>
    </row>
    <row r="114" customFormat="false" ht="15" hidden="false" customHeight="true" outlineLevel="0" collapsed="false">
      <c r="A114" s="79"/>
      <c r="B114" s="78"/>
      <c r="C114" s="144"/>
    </row>
    <row r="115" customFormat="false" ht="15" hidden="false" customHeight="true" outlineLevel="0" collapsed="false">
      <c r="A115" s="79"/>
      <c r="B115" s="78"/>
      <c r="C115" s="144"/>
    </row>
    <row r="116" customFormat="false" ht="15" hidden="false" customHeight="true" outlineLevel="0" collapsed="false">
      <c r="A116" s="79"/>
      <c r="B116" s="78"/>
      <c r="C116" s="144"/>
    </row>
    <row r="117" customFormat="false" ht="15" hidden="false" customHeight="true" outlineLevel="0" collapsed="false">
      <c r="A117" s="79"/>
      <c r="B117" s="78"/>
      <c r="C117" s="144"/>
    </row>
    <row r="118" customFormat="false" ht="15" hidden="false" customHeight="true" outlineLevel="0" collapsed="false">
      <c r="A118" s="79"/>
      <c r="B118" s="78"/>
      <c r="C118" s="144"/>
    </row>
    <row r="119" customFormat="false" ht="15" hidden="false" customHeight="true" outlineLevel="0" collapsed="false">
      <c r="A119" s="79"/>
      <c r="B119" s="78"/>
      <c r="C119" s="144"/>
    </row>
    <row r="120" customFormat="false" ht="15" hidden="false" customHeight="true" outlineLevel="0" collapsed="false">
      <c r="A120" s="79"/>
      <c r="B120" s="78"/>
      <c r="C120" s="144"/>
    </row>
    <row r="121" customFormat="false" ht="15" hidden="false" customHeight="true" outlineLevel="0" collapsed="false">
      <c r="A121" s="79"/>
      <c r="B121" s="78"/>
      <c r="C121" s="144"/>
    </row>
    <row r="122" customFormat="false" ht="15" hidden="false" customHeight="true" outlineLevel="0" collapsed="false">
      <c r="A122" s="79"/>
      <c r="B122" s="78"/>
      <c r="C122" s="144"/>
    </row>
    <row r="123" customFormat="false" ht="15" hidden="false" customHeight="true" outlineLevel="0" collapsed="false">
      <c r="A123" s="79"/>
      <c r="B123" s="78"/>
      <c r="C123" s="144"/>
    </row>
    <row r="124" customFormat="false" ht="15" hidden="false" customHeight="true" outlineLevel="0" collapsed="false">
      <c r="A124" s="79"/>
      <c r="B124" s="78"/>
      <c r="C124" s="144"/>
    </row>
    <row r="125" customFormat="false" ht="15" hidden="false" customHeight="true" outlineLevel="0" collapsed="false">
      <c r="A125" s="79"/>
      <c r="B125" s="78"/>
      <c r="C125" s="144"/>
    </row>
    <row r="126" customFormat="false" ht="15" hidden="false" customHeight="true" outlineLevel="0" collapsed="false">
      <c r="A126" s="79"/>
      <c r="B126" s="78"/>
      <c r="C126" s="144"/>
    </row>
    <row r="127" customFormat="false" ht="15" hidden="false" customHeight="true" outlineLevel="0" collapsed="false">
      <c r="A127" s="79"/>
      <c r="B127" s="78"/>
      <c r="C127" s="144"/>
    </row>
    <row r="128" customFormat="false" ht="15" hidden="false" customHeight="true" outlineLevel="0" collapsed="false">
      <c r="A128" s="79"/>
      <c r="B128" s="78"/>
      <c r="C128" s="144"/>
    </row>
    <row r="129" customFormat="false" ht="15" hidden="false" customHeight="true" outlineLevel="0" collapsed="false">
      <c r="A129" s="79"/>
      <c r="B129" s="78"/>
      <c r="C129" s="144"/>
    </row>
    <row r="130" customFormat="false" ht="15" hidden="false" customHeight="true" outlineLevel="0" collapsed="false">
      <c r="A130" s="79"/>
      <c r="B130" s="78"/>
      <c r="C130" s="144"/>
    </row>
    <row r="131" customFormat="false" ht="15" hidden="false" customHeight="true" outlineLevel="0" collapsed="false">
      <c r="A131" s="79"/>
      <c r="B131" s="78"/>
      <c r="C131" s="144"/>
    </row>
    <row r="132" customFormat="false" ht="15" hidden="false" customHeight="true" outlineLevel="0" collapsed="false">
      <c r="A132" s="79"/>
      <c r="B132" s="78"/>
      <c r="C132" s="144"/>
    </row>
    <row r="133" customFormat="false" ht="15" hidden="false" customHeight="true" outlineLevel="0" collapsed="false">
      <c r="A133" s="79"/>
      <c r="B133" s="78"/>
      <c r="C133" s="144"/>
    </row>
    <row r="134" customFormat="false" ht="15" hidden="false" customHeight="true" outlineLevel="0" collapsed="false">
      <c r="A134" s="79"/>
      <c r="B134" s="78"/>
      <c r="C134" s="144"/>
    </row>
    <row r="135" customFormat="false" ht="15" hidden="false" customHeight="true" outlineLevel="0" collapsed="false">
      <c r="A135" s="79"/>
      <c r="B135" s="78"/>
      <c r="C135" s="144"/>
    </row>
    <row r="136" customFormat="false" ht="15" hidden="false" customHeight="true" outlineLevel="0" collapsed="false">
      <c r="A136" s="79"/>
      <c r="B136" s="78"/>
      <c r="C136" s="144"/>
    </row>
    <row r="137" customFormat="false" ht="15" hidden="false" customHeight="true" outlineLevel="0" collapsed="false">
      <c r="A137" s="79"/>
      <c r="B137" s="78"/>
      <c r="C137" s="144"/>
    </row>
    <row r="138" customFormat="false" ht="15" hidden="false" customHeight="true" outlineLevel="0" collapsed="false">
      <c r="A138" s="79"/>
      <c r="B138" s="78"/>
      <c r="C138" s="144"/>
    </row>
    <row r="139" customFormat="false" ht="15" hidden="false" customHeight="true" outlineLevel="0" collapsed="false">
      <c r="A139" s="79"/>
      <c r="B139" s="78"/>
      <c r="C139" s="144"/>
    </row>
    <row r="140" customFormat="false" ht="15" hidden="false" customHeight="true" outlineLevel="0" collapsed="false">
      <c r="A140" s="79"/>
      <c r="B140" s="78"/>
      <c r="C140" s="144"/>
    </row>
    <row r="141" customFormat="false" ht="15" hidden="false" customHeight="true" outlineLevel="0" collapsed="false">
      <c r="A141" s="79"/>
      <c r="B141" s="78"/>
      <c r="C141" s="144"/>
    </row>
    <row r="142" customFormat="false" ht="15" hidden="false" customHeight="true" outlineLevel="0" collapsed="false">
      <c r="A142" s="79"/>
      <c r="B142" s="78"/>
      <c r="C142" s="144"/>
    </row>
    <row r="143" customFormat="false" ht="15" hidden="false" customHeight="true" outlineLevel="0" collapsed="false">
      <c r="A143" s="79"/>
      <c r="B143" s="78"/>
      <c r="C143" s="144"/>
    </row>
    <row r="144" customFormat="false" ht="15" hidden="false" customHeight="true" outlineLevel="0" collapsed="false">
      <c r="A144" s="79"/>
      <c r="B144" s="78"/>
      <c r="C144" s="144"/>
    </row>
    <row r="145" customFormat="false" ht="15" hidden="false" customHeight="true" outlineLevel="0" collapsed="false">
      <c r="A145" s="79"/>
      <c r="B145" s="78"/>
      <c r="C145" s="144"/>
    </row>
    <row r="146" customFormat="false" ht="15" hidden="false" customHeight="true" outlineLevel="0" collapsed="false">
      <c r="A146" s="79"/>
      <c r="B146" s="78"/>
      <c r="C146" s="144"/>
    </row>
    <row r="147" customFormat="false" ht="15" hidden="false" customHeight="true" outlineLevel="0" collapsed="false">
      <c r="A147" s="79"/>
      <c r="B147" s="78"/>
      <c r="C147" s="144"/>
    </row>
    <row r="148" customFormat="false" ht="15" hidden="false" customHeight="true" outlineLevel="0" collapsed="false">
      <c r="A148" s="79"/>
      <c r="B148" s="78"/>
      <c r="C148" s="144"/>
    </row>
    <row r="149" customFormat="false" ht="15" hidden="false" customHeight="true" outlineLevel="0" collapsed="false">
      <c r="A149" s="79"/>
      <c r="B149" s="78"/>
      <c r="C149" s="144"/>
    </row>
    <row r="150" customFormat="false" ht="15" hidden="false" customHeight="true" outlineLevel="0" collapsed="false">
      <c r="A150" s="79"/>
      <c r="B150" s="78"/>
      <c r="C150" s="144"/>
    </row>
    <row r="151" customFormat="false" ht="15" hidden="false" customHeight="true" outlineLevel="0" collapsed="false">
      <c r="A151" s="79"/>
      <c r="B151" s="78"/>
      <c r="C151" s="144"/>
    </row>
    <row r="152" customFormat="false" ht="15" hidden="false" customHeight="true" outlineLevel="0" collapsed="false">
      <c r="A152" s="79"/>
      <c r="B152" s="78"/>
      <c r="C152" s="144"/>
    </row>
    <row r="153" customFormat="false" ht="15" hidden="false" customHeight="true" outlineLevel="0" collapsed="false">
      <c r="A153" s="79"/>
      <c r="B153" s="78"/>
      <c r="C153" s="144"/>
    </row>
    <row r="154" customFormat="false" ht="15" hidden="false" customHeight="true" outlineLevel="0" collapsed="false">
      <c r="A154" s="79"/>
      <c r="B154" s="78"/>
      <c r="C154" s="144"/>
    </row>
    <row r="155" customFormat="false" ht="15" hidden="false" customHeight="true" outlineLevel="0" collapsed="false">
      <c r="A155" s="79"/>
      <c r="B155" s="78"/>
      <c r="C155" s="144"/>
    </row>
    <row r="156" customFormat="false" ht="15" hidden="false" customHeight="true" outlineLevel="0" collapsed="false">
      <c r="A156" s="79"/>
      <c r="B156" s="78"/>
      <c r="C156" s="144"/>
    </row>
    <row r="157" customFormat="false" ht="15" hidden="false" customHeight="true" outlineLevel="0" collapsed="false">
      <c r="A157" s="79"/>
      <c r="B157" s="78"/>
      <c r="C157" s="144"/>
    </row>
    <row r="158" customFormat="false" ht="15" hidden="false" customHeight="true" outlineLevel="0" collapsed="false">
      <c r="A158" s="79"/>
      <c r="B158" s="78"/>
      <c r="C158" s="144"/>
    </row>
    <row r="159" customFormat="false" ht="15" hidden="false" customHeight="true" outlineLevel="0" collapsed="false">
      <c r="A159" s="79"/>
      <c r="B159" s="78"/>
      <c r="C159" s="144"/>
    </row>
    <row r="160" customFormat="false" ht="15" hidden="false" customHeight="true" outlineLevel="0" collapsed="false">
      <c r="A160" s="79"/>
      <c r="B160" s="78"/>
      <c r="C160" s="144"/>
    </row>
    <row r="161" customFormat="false" ht="15" hidden="false" customHeight="true" outlineLevel="0" collapsed="false">
      <c r="A161" s="79"/>
      <c r="B161" s="78"/>
      <c r="C161" s="144"/>
    </row>
    <row r="162" customFormat="false" ht="15" hidden="false" customHeight="true" outlineLevel="0" collapsed="false">
      <c r="A162" s="79"/>
      <c r="B162" s="78"/>
      <c r="C162" s="144"/>
    </row>
    <row r="163" customFormat="false" ht="15" hidden="false" customHeight="true" outlineLevel="0" collapsed="false">
      <c r="A163" s="79"/>
      <c r="B163" s="78"/>
      <c r="C163" s="144"/>
    </row>
    <row r="164" customFormat="false" ht="15" hidden="false" customHeight="true" outlineLevel="0" collapsed="false">
      <c r="A164" s="79"/>
      <c r="B164" s="78"/>
      <c r="C164" s="144"/>
    </row>
    <row r="165" customFormat="false" ht="15" hidden="false" customHeight="true" outlineLevel="0" collapsed="false">
      <c r="A165" s="79"/>
      <c r="B165" s="78"/>
      <c r="C165" s="144"/>
    </row>
    <row r="166" customFormat="false" ht="15" hidden="false" customHeight="true" outlineLevel="0" collapsed="false">
      <c r="A166" s="79"/>
      <c r="B166" s="78"/>
      <c r="C166" s="144"/>
    </row>
    <row r="167" customFormat="false" ht="15" hidden="false" customHeight="true" outlineLevel="0" collapsed="false">
      <c r="A167" s="79"/>
      <c r="B167" s="78"/>
      <c r="C167" s="144"/>
    </row>
    <row r="168" customFormat="false" ht="15" hidden="false" customHeight="true" outlineLevel="0" collapsed="false">
      <c r="A168" s="79"/>
      <c r="B168" s="78"/>
      <c r="C168" s="144"/>
    </row>
    <row r="169" customFormat="false" ht="15" hidden="false" customHeight="true" outlineLevel="0" collapsed="false">
      <c r="A169" s="79"/>
      <c r="B169" s="78"/>
      <c r="C169" s="144"/>
    </row>
    <row r="170" customFormat="false" ht="15" hidden="false" customHeight="true" outlineLevel="0" collapsed="false">
      <c r="A170" s="79"/>
      <c r="B170" s="78"/>
      <c r="C170" s="144"/>
    </row>
    <row r="171" customFormat="false" ht="15" hidden="false" customHeight="true" outlineLevel="0" collapsed="false">
      <c r="A171" s="79"/>
      <c r="B171" s="78"/>
      <c r="C171" s="144"/>
    </row>
    <row r="172" customFormat="false" ht="15" hidden="false" customHeight="true" outlineLevel="0" collapsed="false">
      <c r="A172" s="79"/>
      <c r="B172" s="78"/>
      <c r="C172" s="144"/>
    </row>
    <row r="173" customFormat="false" ht="15" hidden="false" customHeight="true" outlineLevel="0" collapsed="false">
      <c r="A173" s="79"/>
      <c r="B173" s="78"/>
      <c r="C173" s="144"/>
    </row>
    <row r="174" customFormat="false" ht="15" hidden="false" customHeight="true" outlineLevel="0" collapsed="false">
      <c r="A174" s="79"/>
      <c r="B174" s="78"/>
      <c r="C174" s="144"/>
    </row>
    <row r="175" customFormat="false" ht="15" hidden="false" customHeight="true" outlineLevel="0" collapsed="false">
      <c r="A175" s="79"/>
      <c r="B175" s="78"/>
      <c r="C175" s="144"/>
    </row>
    <row r="176" customFormat="false" ht="15" hidden="false" customHeight="true" outlineLevel="0" collapsed="false">
      <c r="A176" s="79"/>
      <c r="B176" s="78"/>
      <c r="C176" s="144"/>
    </row>
    <row r="177" customFormat="false" ht="15" hidden="false" customHeight="true" outlineLevel="0" collapsed="false">
      <c r="A177" s="79"/>
      <c r="B177" s="78"/>
      <c r="C177" s="144"/>
    </row>
    <row r="178" customFormat="false" ht="15" hidden="false" customHeight="true" outlineLevel="0" collapsed="false">
      <c r="A178" s="79"/>
      <c r="B178" s="78"/>
      <c r="C178" s="144"/>
    </row>
    <row r="179" customFormat="false" ht="15" hidden="false" customHeight="true" outlineLevel="0" collapsed="false">
      <c r="A179" s="79"/>
      <c r="B179" s="78"/>
      <c r="C179" s="144"/>
    </row>
    <row r="180" customFormat="false" ht="15" hidden="false" customHeight="true" outlineLevel="0" collapsed="false">
      <c r="A180" s="79"/>
      <c r="B180" s="78"/>
      <c r="C180" s="144"/>
    </row>
    <row r="181" customFormat="false" ht="15" hidden="false" customHeight="true" outlineLevel="0" collapsed="false">
      <c r="A181" s="79"/>
      <c r="B181" s="78"/>
      <c r="C181" s="144"/>
    </row>
    <row r="182" customFormat="false" ht="15" hidden="false" customHeight="true" outlineLevel="0" collapsed="false">
      <c r="A182" s="79"/>
      <c r="B182" s="78"/>
      <c r="C182" s="144"/>
    </row>
    <row r="183" customFormat="false" ht="15" hidden="false" customHeight="true" outlineLevel="0" collapsed="false">
      <c r="A183" s="79"/>
      <c r="B183" s="78"/>
      <c r="C183" s="144"/>
    </row>
    <row r="184" customFormat="false" ht="15" hidden="false" customHeight="true" outlineLevel="0" collapsed="false">
      <c r="A184" s="79"/>
      <c r="B184" s="78"/>
      <c r="C184" s="144"/>
    </row>
    <row r="185" customFormat="false" ht="15" hidden="false" customHeight="true" outlineLevel="0" collapsed="false">
      <c r="A185" s="79"/>
      <c r="B185" s="78"/>
      <c r="C185" s="144"/>
    </row>
    <row r="186" customFormat="false" ht="15" hidden="false" customHeight="true" outlineLevel="0" collapsed="false">
      <c r="A186" s="79"/>
      <c r="B186" s="78"/>
      <c r="C186" s="144"/>
    </row>
    <row r="187" customFormat="false" ht="15" hidden="false" customHeight="true" outlineLevel="0" collapsed="false">
      <c r="A187" s="79"/>
      <c r="B187" s="78"/>
      <c r="C187" s="144"/>
    </row>
    <row r="188" customFormat="false" ht="15" hidden="false" customHeight="true" outlineLevel="0" collapsed="false">
      <c r="A188" s="79"/>
      <c r="B188" s="78"/>
      <c r="C188" s="144"/>
    </row>
    <row r="189" customFormat="false" ht="15" hidden="false" customHeight="true" outlineLevel="0" collapsed="false">
      <c r="A189" s="79"/>
      <c r="B189" s="78"/>
      <c r="C189" s="144"/>
    </row>
    <row r="190" customFormat="false" ht="15" hidden="false" customHeight="true" outlineLevel="0" collapsed="false">
      <c r="A190" s="79"/>
      <c r="B190" s="78"/>
      <c r="C190" s="144"/>
    </row>
    <row r="191" customFormat="false" ht="15" hidden="false" customHeight="true" outlineLevel="0" collapsed="false">
      <c r="A191" s="79"/>
      <c r="B191" s="78"/>
      <c r="C191" s="144"/>
    </row>
    <row r="192" customFormat="false" ht="15" hidden="false" customHeight="true" outlineLevel="0" collapsed="false">
      <c r="A192" s="79"/>
      <c r="B192" s="78"/>
      <c r="C192" s="144"/>
    </row>
    <row r="193" customFormat="false" ht="15" hidden="false" customHeight="true" outlineLevel="0" collapsed="false">
      <c r="A193" s="79"/>
      <c r="B193" s="78"/>
      <c r="C193" s="144"/>
    </row>
    <row r="194" customFormat="false" ht="15" hidden="false" customHeight="true" outlineLevel="0" collapsed="false">
      <c r="A194" s="79"/>
      <c r="B194" s="78"/>
      <c r="C194" s="144"/>
    </row>
    <row r="195" customFormat="false" ht="15" hidden="false" customHeight="true" outlineLevel="0" collapsed="false">
      <c r="A195" s="79"/>
      <c r="B195" s="78"/>
      <c r="C195" s="144"/>
    </row>
    <row r="196" customFormat="false" ht="15" hidden="false" customHeight="true" outlineLevel="0" collapsed="false">
      <c r="A196" s="79"/>
      <c r="B196" s="78"/>
      <c r="C196" s="144"/>
    </row>
    <row r="197" customFormat="false" ht="15" hidden="false" customHeight="true" outlineLevel="0" collapsed="false">
      <c r="A197" s="79"/>
      <c r="B197" s="78"/>
      <c r="C197" s="144"/>
    </row>
    <row r="198" customFormat="false" ht="15" hidden="false" customHeight="true" outlineLevel="0" collapsed="false">
      <c r="A198" s="79"/>
      <c r="B198" s="78"/>
      <c r="C198" s="144"/>
    </row>
    <row r="199" customFormat="false" ht="15" hidden="false" customHeight="true" outlineLevel="0" collapsed="false">
      <c r="A199" s="79"/>
      <c r="B199" s="78"/>
      <c r="C199" s="144"/>
    </row>
    <row r="200" customFormat="false" ht="15" hidden="false" customHeight="true" outlineLevel="0" collapsed="false">
      <c r="A200" s="79"/>
      <c r="B200" s="78"/>
      <c r="C200" s="144"/>
    </row>
    <row r="201" customFormat="false" ht="15" hidden="false" customHeight="true" outlineLevel="0" collapsed="false">
      <c r="A201" s="79"/>
      <c r="B201" s="78"/>
      <c r="C201" s="144"/>
    </row>
    <row r="202" customFormat="false" ht="15" hidden="false" customHeight="true" outlineLevel="0" collapsed="false">
      <c r="A202" s="79"/>
      <c r="B202" s="78"/>
      <c r="C202" s="144"/>
    </row>
    <row r="203" customFormat="false" ht="15" hidden="false" customHeight="true" outlineLevel="0" collapsed="false">
      <c r="A203" s="79"/>
      <c r="B203" s="78"/>
      <c r="C203" s="144"/>
    </row>
    <row r="204" customFormat="false" ht="15" hidden="false" customHeight="true" outlineLevel="0" collapsed="false">
      <c r="A204" s="79"/>
      <c r="B204" s="78"/>
      <c r="C204" s="144"/>
    </row>
    <row r="205" customFormat="false" ht="15" hidden="false" customHeight="true" outlineLevel="0" collapsed="false">
      <c r="A205" s="79"/>
      <c r="B205" s="78"/>
      <c r="C205" s="144"/>
    </row>
    <row r="206" customFormat="false" ht="15" hidden="false" customHeight="true" outlineLevel="0" collapsed="false">
      <c r="A206" s="79"/>
      <c r="B206" s="78"/>
      <c r="C206" s="144"/>
    </row>
    <row r="207" customFormat="false" ht="15" hidden="false" customHeight="true" outlineLevel="0" collapsed="false">
      <c r="A207" s="79"/>
      <c r="B207" s="78"/>
      <c r="C207" s="144"/>
    </row>
    <row r="208" customFormat="false" ht="15" hidden="false" customHeight="true" outlineLevel="0" collapsed="false">
      <c r="A208" s="79"/>
      <c r="B208" s="78"/>
      <c r="C208" s="144"/>
    </row>
    <row r="209" customFormat="false" ht="15" hidden="false" customHeight="true" outlineLevel="0" collapsed="false">
      <c r="A209" s="79"/>
      <c r="B209" s="78"/>
      <c r="C209" s="144"/>
    </row>
    <row r="210" customFormat="false" ht="15" hidden="false" customHeight="true" outlineLevel="0" collapsed="false">
      <c r="A210" s="79"/>
      <c r="B210" s="78"/>
      <c r="C210" s="144"/>
    </row>
    <row r="211" customFormat="false" ht="15" hidden="false" customHeight="true" outlineLevel="0" collapsed="false">
      <c r="A211" s="79"/>
      <c r="B211" s="78"/>
      <c r="C211" s="144"/>
    </row>
    <row r="212" customFormat="false" ht="15" hidden="false" customHeight="true" outlineLevel="0" collapsed="false">
      <c r="A212" s="79"/>
      <c r="B212" s="78"/>
      <c r="C212" s="144"/>
    </row>
    <row r="213" customFormat="false" ht="15" hidden="false" customHeight="true" outlineLevel="0" collapsed="false">
      <c r="A213" s="79"/>
      <c r="B213" s="78"/>
      <c r="C213" s="144"/>
    </row>
    <row r="214" customFormat="false" ht="15" hidden="false" customHeight="true" outlineLevel="0" collapsed="false">
      <c r="A214" s="79"/>
      <c r="B214" s="78"/>
      <c r="C214" s="144"/>
    </row>
    <row r="215" customFormat="false" ht="15" hidden="false" customHeight="true" outlineLevel="0" collapsed="false">
      <c r="A215" s="79"/>
      <c r="B215" s="78"/>
      <c r="C215" s="144"/>
    </row>
    <row r="216" customFormat="false" ht="15" hidden="false" customHeight="true" outlineLevel="0" collapsed="false">
      <c r="A216" s="79"/>
      <c r="B216" s="78"/>
      <c r="C216" s="144"/>
    </row>
    <row r="217" customFormat="false" ht="15" hidden="false" customHeight="true" outlineLevel="0" collapsed="false">
      <c r="A217" s="79"/>
      <c r="B217" s="78"/>
      <c r="C217" s="144"/>
    </row>
    <row r="218" customFormat="false" ht="15" hidden="false" customHeight="true" outlineLevel="0" collapsed="false">
      <c r="A218" s="79"/>
      <c r="B218" s="78"/>
      <c r="C218" s="144"/>
    </row>
    <row r="219" customFormat="false" ht="15" hidden="false" customHeight="true" outlineLevel="0" collapsed="false">
      <c r="A219" s="79"/>
      <c r="B219" s="78"/>
      <c r="C219" s="144"/>
    </row>
    <row r="220" customFormat="false" ht="15" hidden="false" customHeight="true" outlineLevel="0" collapsed="false">
      <c r="A220" s="79"/>
      <c r="B220" s="78"/>
      <c r="C220" s="144"/>
    </row>
    <row r="221" customFormat="false" ht="15" hidden="false" customHeight="true" outlineLevel="0" collapsed="false">
      <c r="A221" s="79"/>
      <c r="B221" s="78"/>
      <c r="C221" s="144"/>
    </row>
    <row r="222" customFormat="false" ht="15" hidden="false" customHeight="true" outlineLevel="0" collapsed="false">
      <c r="A222" s="79"/>
      <c r="B222" s="78"/>
      <c r="C222" s="144"/>
    </row>
    <row r="223" customFormat="false" ht="15" hidden="false" customHeight="true" outlineLevel="0" collapsed="false">
      <c r="A223" s="79"/>
      <c r="B223" s="78"/>
      <c r="C223" s="144"/>
    </row>
    <row r="224" customFormat="false" ht="15" hidden="false" customHeight="true" outlineLevel="0" collapsed="false">
      <c r="A224" s="79"/>
      <c r="B224" s="78"/>
      <c r="C224" s="144"/>
    </row>
    <row r="225" customFormat="false" ht="15" hidden="false" customHeight="true" outlineLevel="0" collapsed="false">
      <c r="A225" s="79"/>
      <c r="B225" s="78"/>
      <c r="C225" s="144"/>
    </row>
    <row r="226" customFormat="false" ht="15" hidden="false" customHeight="true" outlineLevel="0" collapsed="false">
      <c r="A226" s="79"/>
      <c r="B226" s="78"/>
      <c r="C226" s="144"/>
    </row>
    <row r="227" customFormat="false" ht="15" hidden="false" customHeight="true" outlineLevel="0" collapsed="false">
      <c r="A227" s="79"/>
      <c r="B227" s="78"/>
      <c r="C227" s="144"/>
    </row>
    <row r="228" customFormat="false" ht="15" hidden="false" customHeight="true" outlineLevel="0" collapsed="false">
      <c r="A228" s="79"/>
      <c r="B228" s="78"/>
      <c r="C228" s="144"/>
    </row>
    <row r="229" customFormat="false" ht="15" hidden="false" customHeight="true" outlineLevel="0" collapsed="false">
      <c r="A229" s="79"/>
      <c r="B229" s="78"/>
      <c r="C229" s="144"/>
    </row>
    <row r="230" customFormat="false" ht="15" hidden="false" customHeight="true" outlineLevel="0" collapsed="false">
      <c r="A230" s="79"/>
      <c r="B230" s="78"/>
      <c r="C230" s="144"/>
    </row>
    <row r="231" customFormat="false" ht="15" hidden="false" customHeight="true" outlineLevel="0" collapsed="false">
      <c r="A231" s="79"/>
      <c r="B231" s="78"/>
      <c r="C231" s="144"/>
    </row>
    <row r="232" customFormat="false" ht="15" hidden="false" customHeight="true" outlineLevel="0" collapsed="false">
      <c r="A232" s="79"/>
      <c r="B232" s="78"/>
      <c r="C232" s="144"/>
    </row>
    <row r="233" customFormat="false" ht="15" hidden="false" customHeight="true" outlineLevel="0" collapsed="false">
      <c r="A233" s="79"/>
      <c r="B233" s="78"/>
      <c r="C233" s="144"/>
    </row>
    <row r="234" customFormat="false" ht="15" hidden="false" customHeight="true" outlineLevel="0" collapsed="false">
      <c r="A234" s="79"/>
      <c r="B234" s="78"/>
      <c r="C234" s="144"/>
    </row>
    <row r="235" customFormat="false" ht="15" hidden="false" customHeight="true" outlineLevel="0" collapsed="false">
      <c r="A235" s="79"/>
      <c r="B235" s="78"/>
      <c r="C235" s="144"/>
    </row>
    <row r="236" customFormat="false" ht="15" hidden="false" customHeight="true" outlineLevel="0" collapsed="false">
      <c r="A236" s="79"/>
      <c r="B236" s="78"/>
      <c r="C236" s="144"/>
    </row>
    <row r="237" customFormat="false" ht="15" hidden="false" customHeight="true" outlineLevel="0" collapsed="false">
      <c r="A237" s="79"/>
      <c r="B237" s="78"/>
      <c r="C237" s="144"/>
    </row>
    <row r="238" customFormat="false" ht="15" hidden="false" customHeight="true" outlineLevel="0" collapsed="false">
      <c r="A238" s="79"/>
      <c r="B238" s="78"/>
      <c r="C238" s="144"/>
    </row>
    <row r="239" customFormat="false" ht="15" hidden="false" customHeight="true" outlineLevel="0" collapsed="false">
      <c r="A239" s="79"/>
      <c r="B239" s="78"/>
      <c r="C239" s="144"/>
    </row>
    <row r="240" customFormat="false" ht="15" hidden="false" customHeight="true" outlineLevel="0" collapsed="false">
      <c r="A240" s="79"/>
      <c r="B240" s="78"/>
      <c r="C240" s="144"/>
    </row>
    <row r="241" customFormat="false" ht="15" hidden="false" customHeight="true" outlineLevel="0" collapsed="false">
      <c r="A241" s="79"/>
      <c r="B241" s="78"/>
      <c r="C241" s="144"/>
    </row>
    <row r="242" customFormat="false" ht="15" hidden="false" customHeight="true" outlineLevel="0" collapsed="false">
      <c r="A242" s="79"/>
      <c r="B242" s="78"/>
      <c r="C242" s="144"/>
    </row>
    <row r="243" customFormat="false" ht="15" hidden="false" customHeight="true" outlineLevel="0" collapsed="false">
      <c r="A243" s="79"/>
      <c r="B243" s="78"/>
      <c r="C243" s="144"/>
    </row>
    <row r="244" customFormat="false" ht="15" hidden="false" customHeight="true" outlineLevel="0" collapsed="false">
      <c r="A244" s="79"/>
      <c r="B244" s="78"/>
      <c r="C244" s="144"/>
    </row>
    <row r="245" customFormat="false" ht="15" hidden="false" customHeight="true" outlineLevel="0" collapsed="false">
      <c r="A245" s="79"/>
      <c r="B245" s="78"/>
      <c r="C245" s="144"/>
    </row>
    <row r="246" customFormat="false" ht="15" hidden="false" customHeight="true" outlineLevel="0" collapsed="false">
      <c r="A246" s="79"/>
      <c r="B246" s="78"/>
      <c r="C246" s="144"/>
    </row>
    <row r="247" customFormat="false" ht="15" hidden="false" customHeight="true" outlineLevel="0" collapsed="false">
      <c r="A247" s="79"/>
      <c r="B247" s="78"/>
      <c r="C247" s="144"/>
    </row>
    <row r="248" customFormat="false" ht="15" hidden="false" customHeight="true" outlineLevel="0" collapsed="false">
      <c r="A248" s="79"/>
      <c r="B248" s="78"/>
      <c r="C248" s="144"/>
    </row>
    <row r="249" customFormat="false" ht="15" hidden="false" customHeight="true" outlineLevel="0" collapsed="false">
      <c r="A249" s="79"/>
      <c r="B249" s="78"/>
      <c r="C249" s="144"/>
    </row>
    <row r="250" customFormat="false" ht="15" hidden="false" customHeight="true" outlineLevel="0" collapsed="false">
      <c r="A250" s="79"/>
      <c r="B250" s="78"/>
      <c r="C250" s="144"/>
    </row>
    <row r="251" customFormat="false" ht="15" hidden="false" customHeight="true" outlineLevel="0" collapsed="false">
      <c r="A251" s="79"/>
      <c r="B251" s="78"/>
      <c r="C251" s="144"/>
    </row>
    <row r="252" customFormat="false" ht="15" hidden="false" customHeight="true" outlineLevel="0" collapsed="false">
      <c r="A252" s="79"/>
      <c r="B252" s="78"/>
      <c r="C252" s="144"/>
    </row>
    <row r="253" customFormat="false" ht="15" hidden="false" customHeight="true" outlineLevel="0" collapsed="false">
      <c r="A253" s="79"/>
      <c r="B253" s="78"/>
      <c r="C253" s="144"/>
    </row>
    <row r="254" customFormat="false" ht="15" hidden="false" customHeight="true" outlineLevel="0" collapsed="false">
      <c r="A254" s="79"/>
      <c r="B254" s="78"/>
      <c r="C254" s="144"/>
    </row>
    <row r="255" customFormat="false" ht="15" hidden="false" customHeight="true" outlineLevel="0" collapsed="false">
      <c r="A255" s="79"/>
      <c r="B255" s="78"/>
      <c r="C255" s="144"/>
    </row>
    <row r="256" customFormat="false" ht="15" hidden="false" customHeight="true" outlineLevel="0" collapsed="false">
      <c r="A256" s="79"/>
      <c r="B256" s="78"/>
      <c r="C256" s="144"/>
    </row>
    <row r="257" customFormat="false" ht="15" hidden="false" customHeight="true" outlineLevel="0" collapsed="false">
      <c r="A257" s="79"/>
      <c r="B257" s="78"/>
      <c r="C257" s="144"/>
    </row>
    <row r="258" customFormat="false" ht="15" hidden="false" customHeight="true" outlineLevel="0" collapsed="false">
      <c r="A258" s="79"/>
      <c r="B258" s="78"/>
      <c r="C258" s="144"/>
    </row>
    <row r="259" customFormat="false" ht="15" hidden="false" customHeight="true" outlineLevel="0" collapsed="false">
      <c r="A259" s="79"/>
      <c r="B259" s="78"/>
      <c r="C259" s="144"/>
    </row>
    <row r="260" customFormat="false" ht="15" hidden="false" customHeight="true" outlineLevel="0" collapsed="false">
      <c r="A260" s="79"/>
      <c r="B260" s="78"/>
      <c r="C260" s="144"/>
    </row>
    <row r="261" customFormat="false" ht="15" hidden="false" customHeight="true" outlineLevel="0" collapsed="false">
      <c r="A261" s="79"/>
      <c r="B261" s="78"/>
      <c r="C261" s="144"/>
    </row>
    <row r="262" customFormat="false" ht="15" hidden="false" customHeight="true" outlineLevel="0" collapsed="false">
      <c r="A262" s="79"/>
      <c r="B262" s="78"/>
      <c r="C262" s="144"/>
    </row>
    <row r="263" customFormat="false" ht="15" hidden="false" customHeight="true" outlineLevel="0" collapsed="false">
      <c r="A263" s="79"/>
      <c r="B263" s="78"/>
      <c r="C263" s="144"/>
    </row>
    <row r="264" customFormat="false" ht="15" hidden="false" customHeight="true" outlineLevel="0" collapsed="false">
      <c r="A264" s="79"/>
      <c r="B264" s="78"/>
      <c r="C264" s="144"/>
    </row>
    <row r="265" customFormat="false" ht="15" hidden="false" customHeight="true" outlineLevel="0" collapsed="false">
      <c r="A265" s="79"/>
      <c r="B265" s="78"/>
      <c r="C265" s="144"/>
    </row>
    <row r="266" customFormat="false" ht="15" hidden="false" customHeight="true" outlineLevel="0" collapsed="false">
      <c r="A266" s="79"/>
      <c r="B266" s="78"/>
      <c r="C266" s="144"/>
    </row>
    <row r="267" customFormat="false" ht="15" hidden="false" customHeight="true" outlineLevel="0" collapsed="false">
      <c r="A267" s="79"/>
      <c r="B267" s="78"/>
      <c r="C267" s="144"/>
    </row>
    <row r="268" customFormat="false" ht="15" hidden="false" customHeight="true" outlineLevel="0" collapsed="false">
      <c r="A268" s="79"/>
      <c r="B268" s="78"/>
      <c r="C268" s="144"/>
    </row>
    <row r="269" customFormat="false" ht="15" hidden="false" customHeight="true" outlineLevel="0" collapsed="false">
      <c r="A269" s="79"/>
      <c r="B269" s="78"/>
      <c r="C269" s="144"/>
    </row>
    <row r="270" customFormat="false" ht="15" hidden="false" customHeight="true" outlineLevel="0" collapsed="false">
      <c r="A270" s="79"/>
      <c r="B270" s="78"/>
      <c r="C270" s="144"/>
    </row>
    <row r="271" customFormat="false" ht="15" hidden="false" customHeight="true" outlineLevel="0" collapsed="false">
      <c r="A271" s="79"/>
      <c r="B271" s="78"/>
      <c r="C271" s="144"/>
    </row>
    <row r="272" customFormat="false" ht="15" hidden="false" customHeight="true" outlineLevel="0" collapsed="false">
      <c r="A272" s="79"/>
      <c r="B272" s="78"/>
      <c r="C272" s="144"/>
    </row>
    <row r="273" customFormat="false" ht="15" hidden="false" customHeight="true" outlineLevel="0" collapsed="false">
      <c r="A273" s="79"/>
      <c r="B273" s="78"/>
      <c r="C273" s="144"/>
    </row>
    <row r="274" customFormat="false" ht="15" hidden="false" customHeight="true" outlineLevel="0" collapsed="false">
      <c r="A274" s="79"/>
      <c r="B274" s="78"/>
      <c r="C274" s="144"/>
    </row>
    <row r="275" customFormat="false" ht="15" hidden="false" customHeight="true" outlineLevel="0" collapsed="false">
      <c r="A275" s="79"/>
      <c r="B275" s="78"/>
      <c r="C275" s="144"/>
    </row>
    <row r="276" customFormat="false" ht="15" hidden="false" customHeight="true" outlineLevel="0" collapsed="false">
      <c r="A276" s="79"/>
      <c r="B276" s="78"/>
      <c r="C276" s="144"/>
    </row>
    <row r="277" customFormat="false" ht="15" hidden="false" customHeight="true" outlineLevel="0" collapsed="false">
      <c r="A277" s="79"/>
      <c r="B277" s="78"/>
      <c r="C277" s="144"/>
    </row>
    <row r="278" customFormat="false" ht="15" hidden="false" customHeight="true" outlineLevel="0" collapsed="false">
      <c r="A278" s="79"/>
      <c r="B278" s="78"/>
      <c r="C278" s="144"/>
    </row>
    <row r="279" customFormat="false" ht="15" hidden="false" customHeight="true" outlineLevel="0" collapsed="false">
      <c r="A279" s="79"/>
      <c r="B279" s="78"/>
      <c r="C279" s="144"/>
    </row>
    <row r="280" customFormat="false" ht="15" hidden="false" customHeight="true" outlineLevel="0" collapsed="false">
      <c r="A280" s="79"/>
      <c r="B280" s="78"/>
      <c r="C280" s="144"/>
    </row>
    <row r="281" customFormat="false" ht="15" hidden="false" customHeight="true" outlineLevel="0" collapsed="false">
      <c r="A281" s="79"/>
      <c r="B281" s="78"/>
      <c r="C281" s="144"/>
    </row>
    <row r="282" customFormat="false" ht="15" hidden="false" customHeight="true" outlineLevel="0" collapsed="false">
      <c r="A282" s="79"/>
      <c r="B282" s="78"/>
      <c r="C282" s="144"/>
    </row>
    <row r="283" customFormat="false" ht="15" hidden="false" customHeight="true" outlineLevel="0" collapsed="false">
      <c r="A283" s="79"/>
      <c r="B283" s="78"/>
      <c r="C283" s="144"/>
    </row>
    <row r="284" customFormat="false" ht="15" hidden="false" customHeight="true" outlineLevel="0" collapsed="false">
      <c r="A284" s="79"/>
      <c r="B284" s="78"/>
      <c r="C284" s="144"/>
    </row>
    <row r="285" customFormat="false" ht="15" hidden="false" customHeight="true" outlineLevel="0" collapsed="false">
      <c r="A285" s="79"/>
      <c r="B285" s="78"/>
      <c r="C285" s="144"/>
    </row>
    <row r="286" customFormat="false" ht="15" hidden="false" customHeight="true" outlineLevel="0" collapsed="false">
      <c r="A286" s="79"/>
      <c r="B286" s="78"/>
      <c r="C286" s="144"/>
    </row>
    <row r="287" customFormat="false" ht="15" hidden="false" customHeight="true" outlineLevel="0" collapsed="false">
      <c r="A287" s="79"/>
      <c r="B287" s="78"/>
      <c r="C287" s="144"/>
    </row>
    <row r="288" customFormat="false" ht="15" hidden="false" customHeight="true" outlineLevel="0" collapsed="false">
      <c r="A288" s="79"/>
      <c r="B288" s="78"/>
      <c r="C288" s="144"/>
    </row>
    <row r="289" customFormat="false" ht="15" hidden="false" customHeight="true" outlineLevel="0" collapsed="false">
      <c r="A289" s="79"/>
      <c r="B289" s="78"/>
      <c r="C289" s="144"/>
    </row>
    <row r="290" customFormat="false" ht="15" hidden="false" customHeight="true" outlineLevel="0" collapsed="false">
      <c r="A290" s="79"/>
      <c r="B290" s="78"/>
      <c r="C290" s="144"/>
    </row>
    <row r="291" customFormat="false" ht="15" hidden="false" customHeight="true" outlineLevel="0" collapsed="false">
      <c r="A291" s="79"/>
      <c r="B291" s="78"/>
      <c r="C291" s="144"/>
    </row>
    <row r="292" customFormat="false" ht="15" hidden="false" customHeight="true" outlineLevel="0" collapsed="false">
      <c r="A292" s="79"/>
      <c r="B292" s="78"/>
      <c r="C292" s="144"/>
    </row>
    <row r="293" customFormat="false" ht="15" hidden="false" customHeight="true" outlineLevel="0" collapsed="false">
      <c r="A293" s="79"/>
      <c r="B293" s="78"/>
      <c r="C293" s="144"/>
    </row>
    <row r="294" customFormat="false" ht="15" hidden="false" customHeight="true" outlineLevel="0" collapsed="false">
      <c r="A294" s="79"/>
      <c r="B294" s="78"/>
      <c r="C294" s="144"/>
    </row>
    <row r="295" customFormat="false" ht="15" hidden="false" customHeight="true" outlineLevel="0" collapsed="false">
      <c r="A295" s="79"/>
      <c r="B295" s="78"/>
      <c r="C295" s="144"/>
    </row>
    <row r="296" customFormat="false" ht="15" hidden="false" customHeight="true" outlineLevel="0" collapsed="false">
      <c r="A296" s="79"/>
      <c r="B296" s="78"/>
      <c r="C296" s="144"/>
    </row>
    <row r="297" customFormat="false" ht="15" hidden="false" customHeight="true" outlineLevel="0" collapsed="false">
      <c r="A297" s="79"/>
      <c r="B297" s="78"/>
      <c r="C297" s="144"/>
    </row>
    <row r="298" customFormat="false" ht="15" hidden="false" customHeight="true" outlineLevel="0" collapsed="false">
      <c r="A298" s="79"/>
      <c r="B298" s="78"/>
      <c r="C298" s="144"/>
    </row>
    <row r="299" customFormat="false" ht="15" hidden="false" customHeight="true" outlineLevel="0" collapsed="false">
      <c r="A299" s="79"/>
      <c r="B299" s="78"/>
      <c r="C299" s="144"/>
    </row>
    <row r="300" customFormat="false" ht="15" hidden="false" customHeight="true" outlineLevel="0" collapsed="false">
      <c r="A300" s="79"/>
      <c r="B300" s="78"/>
      <c r="C300" s="144"/>
    </row>
    <row r="301" customFormat="false" ht="15" hidden="false" customHeight="true" outlineLevel="0" collapsed="false">
      <c r="A301" s="79"/>
      <c r="B301" s="78"/>
      <c r="C301" s="144"/>
    </row>
    <row r="302" customFormat="false" ht="15" hidden="false" customHeight="true" outlineLevel="0" collapsed="false">
      <c r="A302" s="79"/>
      <c r="B302" s="78"/>
      <c r="C302" s="144"/>
    </row>
  </sheetData>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false" showRowColHeaders="true" showZeros="true" rightToLeft="false" tabSelected="false" showOutlineSymbols="true" defaultGridColor="true" view="normal" topLeftCell="A48" colorId="64" zoomScale="100" zoomScaleNormal="100" zoomScalePageLayoutView="100" workbookViewId="0">
      <selection pane="topLeft" activeCell="N22" activeCellId="0" sqref="N22"/>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45"/>
    <col collapsed="false" customWidth="true" hidden="false" outlineLevel="0" max="3" min="3" style="1" width="10"/>
    <col collapsed="false" customWidth="true" hidden="false" outlineLevel="0" max="4" min="4" style="1" width="55"/>
    <col collapsed="false" customWidth="true" hidden="false" outlineLevel="0" max="6" min="5" style="1" width="1"/>
  </cols>
  <sheetData>
    <row r="1" customFormat="false" ht="19.5" hidden="false" customHeight="true" outlineLevel="0" collapsed="false">
      <c r="A1" s="8" t="s">
        <v>576</v>
      </c>
      <c r="B1" s="8"/>
      <c r="C1" s="8"/>
      <c r="D1" s="8"/>
      <c r="E1" s="8"/>
      <c r="F1" s="8"/>
    </row>
    <row r="2" customFormat="false" ht="39.75" hidden="false" customHeight="true" outlineLevel="0" collapsed="false">
      <c r="A2" s="146" t="s">
        <v>577</v>
      </c>
      <c r="B2" s="146"/>
      <c r="C2" s="146"/>
      <c r="D2" s="146"/>
      <c r="E2" s="146"/>
      <c r="F2" s="146"/>
    </row>
    <row r="4" customFormat="false" ht="15" hidden="false" customHeight="true" outlineLevel="0" collapsed="false">
      <c r="A4" s="147" t="s">
        <v>578</v>
      </c>
      <c r="B4" s="147"/>
      <c r="C4" s="147"/>
      <c r="D4" s="147"/>
      <c r="E4" s="147"/>
      <c r="F4" s="147"/>
    </row>
    <row r="5" customFormat="false" ht="15" hidden="false" customHeight="true" outlineLevel="0" collapsed="false">
      <c r="A5" s="148" t="s">
        <v>579</v>
      </c>
      <c r="B5" s="148" t="s">
        <v>580</v>
      </c>
      <c r="C5" s="148" t="s">
        <v>581</v>
      </c>
      <c r="D5" s="148" t="s">
        <v>582</v>
      </c>
    </row>
    <row r="6" customFormat="false" ht="15" hidden="false" customHeight="true" outlineLevel="0" collapsed="false">
      <c r="A6" s="149" t="s">
        <v>583</v>
      </c>
      <c r="B6" s="149" t="s">
        <v>584</v>
      </c>
      <c r="C6" s="149" t="s">
        <v>584</v>
      </c>
      <c r="D6" s="149" t="s">
        <v>585</v>
      </c>
      <c r="E6" s="149"/>
      <c r="F6" s="149"/>
    </row>
    <row r="8" customFormat="false" ht="15" hidden="false" customHeight="true" outlineLevel="0" collapsed="false">
      <c r="A8" s="147" t="s">
        <v>586</v>
      </c>
      <c r="B8" s="147"/>
      <c r="C8" s="147"/>
      <c r="D8" s="147"/>
      <c r="E8" s="147"/>
      <c r="F8" s="147"/>
    </row>
    <row r="9" customFormat="false" ht="15" hidden="false" customHeight="true" outlineLevel="0" collapsed="false">
      <c r="A9" s="148" t="s">
        <v>579</v>
      </c>
      <c r="B9" s="148" t="s">
        <v>580</v>
      </c>
      <c r="C9" s="148" t="s">
        <v>581</v>
      </c>
      <c r="D9" s="148" t="s">
        <v>582</v>
      </c>
    </row>
    <row r="10" customFormat="false" ht="27.75" hidden="false" customHeight="true" outlineLevel="0" collapsed="false">
      <c r="A10" s="149" t="s">
        <v>587</v>
      </c>
      <c r="B10" s="149" t="s">
        <v>584</v>
      </c>
      <c r="C10" s="149" t="s">
        <v>588</v>
      </c>
      <c r="D10" s="149" t="s">
        <v>589</v>
      </c>
      <c r="E10" s="149"/>
      <c r="F10" s="149"/>
    </row>
    <row r="12" customFormat="false" ht="15" hidden="false" customHeight="true" outlineLevel="0" collapsed="false">
      <c r="A12" s="147" t="s">
        <v>590</v>
      </c>
      <c r="B12" s="147"/>
      <c r="C12" s="147"/>
      <c r="D12" s="147"/>
      <c r="E12" s="147"/>
      <c r="F12" s="147"/>
    </row>
    <row r="13" customFormat="false" ht="15" hidden="false" customHeight="true" outlineLevel="0" collapsed="false">
      <c r="A13" s="148" t="s">
        <v>579</v>
      </c>
      <c r="B13" s="148" t="s">
        <v>580</v>
      </c>
      <c r="C13" s="148" t="s">
        <v>581</v>
      </c>
      <c r="D13" s="148" t="s">
        <v>582</v>
      </c>
    </row>
    <row r="14" customFormat="false" ht="36.75" hidden="false" customHeight="true" outlineLevel="0" collapsed="false">
      <c r="A14" s="149" t="s">
        <v>591</v>
      </c>
      <c r="B14" s="149" t="s">
        <v>592</v>
      </c>
      <c r="C14" s="149" t="s">
        <v>593</v>
      </c>
      <c r="D14" s="149" t="s">
        <v>594</v>
      </c>
      <c r="E14" s="149"/>
      <c r="F14" s="149"/>
    </row>
    <row r="16" customFormat="false" ht="15" hidden="false" customHeight="true" outlineLevel="0" collapsed="false">
      <c r="A16" s="147" t="s">
        <v>595</v>
      </c>
      <c r="B16" s="147"/>
      <c r="C16" s="147"/>
      <c r="D16" s="147"/>
      <c r="E16" s="147"/>
      <c r="F16" s="147"/>
    </row>
    <row r="17" customFormat="false" ht="15" hidden="false" customHeight="true" outlineLevel="0" collapsed="false">
      <c r="A17" s="148" t="s">
        <v>579</v>
      </c>
      <c r="B17" s="148" t="s">
        <v>580</v>
      </c>
      <c r="C17" s="148" t="s">
        <v>581</v>
      </c>
      <c r="D17" s="148" t="s">
        <v>582</v>
      </c>
    </row>
    <row r="18" customFormat="false" ht="18.75" hidden="false" customHeight="true" outlineLevel="0" collapsed="false">
      <c r="A18" s="149" t="s">
        <v>596</v>
      </c>
      <c r="B18" s="149" t="s">
        <v>584</v>
      </c>
      <c r="C18" s="149" t="s">
        <v>597</v>
      </c>
      <c r="D18" s="149" t="s">
        <v>598</v>
      </c>
      <c r="E18" s="149"/>
      <c r="F18" s="149"/>
    </row>
    <row r="20" customFormat="false" ht="15" hidden="false" customHeight="true" outlineLevel="0" collapsed="false">
      <c r="A20" s="147" t="s">
        <v>599</v>
      </c>
      <c r="B20" s="147"/>
      <c r="C20" s="147"/>
      <c r="D20" s="147"/>
      <c r="E20" s="147"/>
      <c r="F20" s="147"/>
    </row>
    <row r="21" customFormat="false" ht="15" hidden="false" customHeight="true" outlineLevel="0" collapsed="false">
      <c r="A21" s="148" t="s">
        <v>579</v>
      </c>
      <c r="B21" s="148" t="s">
        <v>580</v>
      </c>
      <c r="C21" s="148" t="s">
        <v>581</v>
      </c>
      <c r="D21" s="148" t="s">
        <v>582</v>
      </c>
    </row>
    <row r="22" customFormat="false" ht="63.75" hidden="false" customHeight="true" outlineLevel="0" collapsed="false">
      <c r="A22" s="149" t="s">
        <v>600</v>
      </c>
      <c r="B22" s="149" t="s">
        <v>601</v>
      </c>
      <c r="C22" s="149" t="s">
        <v>602</v>
      </c>
      <c r="D22" s="149" t="s">
        <v>603</v>
      </c>
      <c r="E22" s="149"/>
      <c r="F22" s="149"/>
    </row>
    <row r="24" customFormat="false" ht="15" hidden="false" customHeight="true" outlineLevel="0" collapsed="false">
      <c r="A24" s="147" t="s">
        <v>604</v>
      </c>
      <c r="B24" s="147"/>
      <c r="C24" s="147"/>
      <c r="D24" s="147"/>
      <c r="E24" s="147"/>
      <c r="F24" s="147"/>
    </row>
    <row r="25" customFormat="false" ht="15" hidden="false" customHeight="true" outlineLevel="0" collapsed="false">
      <c r="A25" s="148" t="s">
        <v>579</v>
      </c>
      <c r="B25" s="148" t="s">
        <v>580</v>
      </c>
      <c r="C25" s="148" t="s">
        <v>581</v>
      </c>
      <c r="D25" s="148" t="s">
        <v>582</v>
      </c>
    </row>
    <row r="26" customFormat="false" ht="45.75" hidden="false" customHeight="true" outlineLevel="0" collapsed="false">
      <c r="A26" s="149" t="s">
        <v>600</v>
      </c>
      <c r="B26" s="149" t="s">
        <v>605</v>
      </c>
      <c r="C26" s="149" t="s">
        <v>606</v>
      </c>
      <c r="D26" s="149" t="s">
        <v>607</v>
      </c>
      <c r="E26" s="149"/>
      <c r="F26" s="149"/>
    </row>
    <row r="28" customFormat="false" ht="15" hidden="false" customHeight="true" outlineLevel="0" collapsed="false">
      <c r="A28" s="147" t="s">
        <v>608</v>
      </c>
      <c r="B28" s="147"/>
      <c r="C28" s="147"/>
      <c r="D28" s="147"/>
      <c r="E28" s="147"/>
      <c r="F28" s="147"/>
    </row>
    <row r="29" customFormat="false" ht="15" hidden="false" customHeight="true" outlineLevel="0" collapsed="false">
      <c r="A29" s="148" t="s">
        <v>579</v>
      </c>
      <c r="B29" s="148" t="s">
        <v>580</v>
      </c>
      <c r="C29" s="148" t="s">
        <v>581</v>
      </c>
      <c r="D29" s="148" t="s">
        <v>582</v>
      </c>
    </row>
    <row r="30" customFormat="false" ht="27.75" hidden="false" customHeight="true" outlineLevel="0" collapsed="false">
      <c r="A30" s="149" t="s">
        <v>600</v>
      </c>
      <c r="B30" s="149" t="s">
        <v>609</v>
      </c>
      <c r="C30" s="149" t="s">
        <v>610</v>
      </c>
      <c r="D30" s="149" t="s">
        <v>611</v>
      </c>
      <c r="E30" s="149"/>
      <c r="F30" s="149"/>
    </row>
    <row r="32" customFormat="false" ht="15" hidden="false" customHeight="true" outlineLevel="0" collapsed="false">
      <c r="A32" s="147" t="s">
        <v>612</v>
      </c>
      <c r="B32" s="147"/>
      <c r="C32" s="147"/>
      <c r="D32" s="147"/>
      <c r="E32" s="147"/>
      <c r="F32" s="147"/>
    </row>
    <row r="33" customFormat="false" ht="15" hidden="false" customHeight="true" outlineLevel="0" collapsed="false">
      <c r="A33" s="148" t="s">
        <v>579</v>
      </c>
      <c r="B33" s="148" t="s">
        <v>580</v>
      </c>
      <c r="C33" s="148" t="s">
        <v>581</v>
      </c>
      <c r="D33" s="148" t="s">
        <v>582</v>
      </c>
    </row>
    <row r="34" customFormat="false" ht="45.75" hidden="false" customHeight="true" outlineLevel="0" collapsed="false">
      <c r="A34" s="149" t="s">
        <v>591</v>
      </c>
      <c r="B34" s="149" t="s">
        <v>613</v>
      </c>
      <c r="C34" s="149" t="s">
        <v>614</v>
      </c>
      <c r="D34" s="149" t="s">
        <v>615</v>
      </c>
      <c r="E34" s="149"/>
      <c r="F34" s="149"/>
    </row>
    <row r="36" customFormat="false" ht="15" hidden="false" customHeight="true" outlineLevel="0" collapsed="false">
      <c r="A36" s="147" t="s">
        <v>616</v>
      </c>
      <c r="B36" s="147"/>
      <c r="C36" s="147"/>
      <c r="D36" s="147"/>
      <c r="E36" s="147"/>
      <c r="F36" s="147"/>
    </row>
    <row r="37" customFormat="false" ht="15" hidden="false" customHeight="true" outlineLevel="0" collapsed="false">
      <c r="A37" s="148" t="s">
        <v>579</v>
      </c>
      <c r="B37" s="148" t="s">
        <v>580</v>
      </c>
      <c r="C37" s="148" t="s">
        <v>581</v>
      </c>
      <c r="D37" s="148" t="s">
        <v>582</v>
      </c>
    </row>
    <row r="38" customFormat="false" ht="36.75" hidden="false" customHeight="true" outlineLevel="0" collapsed="false">
      <c r="A38" s="149" t="s">
        <v>591</v>
      </c>
      <c r="B38" s="149" t="s">
        <v>617</v>
      </c>
      <c r="C38" s="149" t="s">
        <v>618</v>
      </c>
      <c r="D38" s="149" t="s">
        <v>619</v>
      </c>
      <c r="E38" s="149"/>
      <c r="F38" s="149"/>
    </row>
    <row r="40" customFormat="false" ht="15" hidden="false" customHeight="true" outlineLevel="0" collapsed="false">
      <c r="A40" s="147" t="s">
        <v>620</v>
      </c>
      <c r="B40" s="147"/>
      <c r="C40" s="147"/>
      <c r="D40" s="147"/>
      <c r="E40" s="147"/>
      <c r="F40" s="147"/>
    </row>
    <row r="41" customFormat="false" ht="15" hidden="false" customHeight="true" outlineLevel="0" collapsed="false">
      <c r="A41" s="148" t="s">
        <v>579</v>
      </c>
      <c r="B41" s="148" t="s">
        <v>580</v>
      </c>
      <c r="C41" s="148" t="s">
        <v>581</v>
      </c>
      <c r="D41" s="148" t="s">
        <v>582</v>
      </c>
    </row>
    <row r="42" customFormat="false" ht="36.75" hidden="false" customHeight="true" outlineLevel="0" collapsed="false">
      <c r="A42" s="149" t="s">
        <v>600</v>
      </c>
      <c r="B42" s="149" t="s">
        <v>621</v>
      </c>
      <c r="C42" s="149" t="s">
        <v>622</v>
      </c>
      <c r="D42" s="149" t="s">
        <v>623</v>
      </c>
      <c r="E42" s="149"/>
      <c r="F42" s="149"/>
    </row>
    <row r="44" customFormat="false" ht="15" hidden="false" customHeight="true" outlineLevel="0" collapsed="false">
      <c r="A44" s="147" t="s">
        <v>624</v>
      </c>
      <c r="B44" s="147"/>
      <c r="C44" s="147"/>
      <c r="D44" s="147"/>
      <c r="E44" s="147"/>
      <c r="F44" s="147"/>
    </row>
    <row r="45" customFormat="false" ht="15" hidden="false" customHeight="true" outlineLevel="0" collapsed="false">
      <c r="A45" s="148" t="s">
        <v>579</v>
      </c>
      <c r="B45" s="148" t="s">
        <v>580</v>
      </c>
      <c r="C45" s="148" t="s">
        <v>581</v>
      </c>
      <c r="D45" s="148" t="s">
        <v>582</v>
      </c>
    </row>
    <row r="46" customFormat="false" ht="18.75" hidden="false" customHeight="true" outlineLevel="0" collapsed="false">
      <c r="A46" s="149" t="s">
        <v>596</v>
      </c>
      <c r="B46" s="149" t="s">
        <v>584</v>
      </c>
      <c r="C46" s="149" t="s">
        <v>625</v>
      </c>
      <c r="D46" s="149" t="s">
        <v>626</v>
      </c>
      <c r="E46" s="149"/>
      <c r="F46" s="149"/>
    </row>
    <row r="48" customFormat="false" ht="15" hidden="false" customHeight="true" outlineLevel="0" collapsed="false">
      <c r="A48" s="147" t="s">
        <v>627</v>
      </c>
      <c r="B48" s="147"/>
      <c r="C48" s="147"/>
      <c r="D48" s="147"/>
      <c r="E48" s="147"/>
      <c r="F48" s="147"/>
    </row>
    <row r="49" customFormat="false" ht="15" hidden="false" customHeight="true" outlineLevel="0" collapsed="false">
      <c r="A49" s="148" t="s">
        <v>579</v>
      </c>
      <c r="B49" s="148" t="s">
        <v>580</v>
      </c>
      <c r="C49" s="148" t="s">
        <v>581</v>
      </c>
      <c r="D49" s="148" t="s">
        <v>582</v>
      </c>
    </row>
    <row r="50" customFormat="false" ht="18.75" hidden="false" customHeight="true" outlineLevel="0" collapsed="false">
      <c r="A50" s="149" t="s">
        <v>628</v>
      </c>
      <c r="B50" s="149" t="s">
        <v>584</v>
      </c>
      <c r="C50" s="149" t="s">
        <v>629</v>
      </c>
      <c r="D50" s="149" t="s">
        <v>630</v>
      </c>
      <c r="E50" s="149"/>
      <c r="F50" s="149"/>
    </row>
    <row r="52" customFormat="false" ht="15" hidden="false" customHeight="true" outlineLevel="0" collapsed="false">
      <c r="A52" s="147" t="s">
        <v>631</v>
      </c>
      <c r="B52" s="147"/>
      <c r="C52" s="147"/>
      <c r="D52" s="147"/>
      <c r="E52" s="147"/>
      <c r="F52" s="147"/>
    </row>
    <row r="53" customFormat="false" ht="15" hidden="false" customHeight="true" outlineLevel="0" collapsed="false">
      <c r="A53" s="148" t="s">
        <v>579</v>
      </c>
      <c r="B53" s="148" t="s">
        <v>580</v>
      </c>
      <c r="C53" s="148" t="s">
        <v>581</v>
      </c>
      <c r="D53" s="148" t="s">
        <v>582</v>
      </c>
    </row>
    <row r="54" customFormat="false" ht="36.75" hidden="false" customHeight="true" outlineLevel="0" collapsed="false">
      <c r="A54" s="149" t="s">
        <v>632</v>
      </c>
      <c r="B54" s="149" t="s">
        <v>584</v>
      </c>
      <c r="C54" s="149" t="s">
        <v>633</v>
      </c>
      <c r="D54" s="149" t="s">
        <v>634</v>
      </c>
      <c r="E54" s="149"/>
      <c r="F54" s="149"/>
    </row>
    <row r="56" customFormat="false" ht="15" hidden="false" customHeight="true" outlineLevel="0" collapsed="false">
      <c r="A56" s="147" t="s">
        <v>635</v>
      </c>
      <c r="B56" s="147"/>
      <c r="C56" s="147"/>
      <c r="D56" s="147"/>
      <c r="E56" s="147"/>
      <c r="F56" s="147"/>
    </row>
    <row r="57" customFormat="false" ht="15" hidden="false" customHeight="true" outlineLevel="0" collapsed="false">
      <c r="A57" s="148" t="s">
        <v>579</v>
      </c>
      <c r="B57" s="148" t="s">
        <v>580</v>
      </c>
      <c r="C57" s="148" t="s">
        <v>581</v>
      </c>
      <c r="D57" s="148" t="s">
        <v>582</v>
      </c>
    </row>
    <row r="58" customFormat="false" ht="18.75" hidden="false" customHeight="true" outlineLevel="0" collapsed="false">
      <c r="A58" s="149" t="s">
        <v>600</v>
      </c>
      <c r="B58" s="149" t="s">
        <v>636</v>
      </c>
      <c r="C58" s="149" t="s">
        <v>637</v>
      </c>
      <c r="D58" s="149" t="s">
        <v>638</v>
      </c>
      <c r="E58" s="149"/>
      <c r="F58" s="149"/>
    </row>
  </sheetData>
  <mergeCells count="30">
    <mergeCell ref="A1:F1"/>
    <mergeCell ref="A2:F2"/>
    <mergeCell ref="A4:F4"/>
    <mergeCell ref="D6:F6"/>
    <mergeCell ref="A8:F8"/>
    <mergeCell ref="D10:F10"/>
    <mergeCell ref="A12:F12"/>
    <mergeCell ref="D14:F14"/>
    <mergeCell ref="A16:F16"/>
    <mergeCell ref="D18:F18"/>
    <mergeCell ref="A20:F20"/>
    <mergeCell ref="D22:F22"/>
    <mergeCell ref="A24:F24"/>
    <mergeCell ref="D26:F26"/>
    <mergeCell ref="A28:F28"/>
    <mergeCell ref="D30:F30"/>
    <mergeCell ref="A32:F32"/>
    <mergeCell ref="D34:F34"/>
    <mergeCell ref="A36:F36"/>
    <mergeCell ref="D38:F38"/>
    <mergeCell ref="A40:F40"/>
    <mergeCell ref="D42:F42"/>
    <mergeCell ref="A44:F44"/>
    <mergeCell ref="D46:F46"/>
    <mergeCell ref="A48:F48"/>
    <mergeCell ref="D50:F50"/>
    <mergeCell ref="A52:F52"/>
    <mergeCell ref="D54:F54"/>
    <mergeCell ref="A56:F56"/>
    <mergeCell ref="D58:F5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4" activeCellId="0" sqref="M14"/>
    </sheetView>
  </sheetViews>
  <sheetFormatPr defaultColWidth="10.6796875" defaultRowHeight="15" customHeight="false" zeroHeight="false" outlineLevelRow="0" outlineLevelCol="0"/>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2026-08-05T19:31:08Z</dcterms:created>
  <dc:creator>openpyxl</dc:creator>
  <dc:description/>
  <dc:language>en-US</dc:language>
  <cp:lastModifiedBy/>
  <dcterms:modified xsi:type="dcterms:W3CDTF">2026-09-08T12:42:04Z</dcterms:modified>
  <cp:revision>62</cp:revision>
  <dc:subject/>
  <dc:title/>
</cp:coreProperties>
</file>

<file path=docProps/custom.xml><?xml version="1.0" encoding="utf-8"?>
<Properties xmlns="http://schemas.openxmlformats.org/officeDocument/2006/custom-properties" xmlns:vt="http://schemas.openxmlformats.org/officeDocument/2006/docPropsVTypes"/>
</file>