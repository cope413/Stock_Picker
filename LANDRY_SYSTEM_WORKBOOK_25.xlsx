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<sst xmlns="http://schemas.openxmlformats.org/spreadsheetml/2006/main" count="1385" uniqueCount="600">
  <si>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</si>
  <si>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</si>
  <si>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</si>
  <si>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</si>
  <si>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</si>
  <si>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</si>
  <si>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</si>
  <si>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</si>
  <si>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</si>
  <si>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</si>
  <si>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</si>
  <si>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</si>
  <si>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</si>
  <si>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</si>
  <si>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</si>
  <si>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</si>
  <si>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</si>
  <si>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</si>
  <si>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</si>
  <si>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</si>
  <si>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</si>
  <si>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</si>
  <si>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</si>
  <si>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</si>
  <si>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</si>
  <si>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</si>
  <si>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</si>
  <si>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</si>
  <si>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</si>
  <si>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</si>
  <si>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</si>
  <si>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</si>
  <si>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</si>
  <si>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</si>
  <si>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</si>
  <si>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</si>
  <si>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</si>
  <si>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</si>
  <si>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</si>
  <si>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</si>
  <si>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</si>
  <si>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</si>
  <si>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</si>
  <si>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</si>
  <si>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</si>
  <si>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</si>
  <si>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</si>
  <si>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</si>
  <si>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</si>
  <si>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</si>
  <si>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</si>
  <si>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</si>
  <si>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</si>
  <si>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</si>
  <si>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</si>
  <si>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</si>
  <si>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</si>
  <si>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</si>
  <si>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</si>
  <si>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</si>
  <si>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</si>
  <si>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</si>
  <si>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</si>
  <si>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</si>
  <si>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</si>
  <si>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</si>
  <si>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</si>
  <si>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</si>
  <si>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</si>
  <si>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</si>
  <si>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</si>
  <si>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</si>
  <si>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</si>
  <si>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</si>
  <si>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</si>
  <si>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</si>
  <si>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</si>
  <si>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</si>
  <si>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</si>
  <si>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</si>
  <si>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</si>
  <si>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</si>
  <si>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</si>
  <si>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</si>
  <si>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</si>
  <si>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</si>
  <si>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</si>
  <si>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</si>
  <si>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</si>
  <si>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</si>
  <si>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</si>
  <si>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</si>
  <si>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</si>
  <si>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</si>
  <si>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</si>
  <si>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</si>
  <si>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</si>
  <si>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</si>
  <si>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</si>
  <si>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</si>
  <si>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</si>
  <si>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</si>
  <si>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</si>
  <si>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</si>
  <si>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</si>
  <si>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</si>
  <si>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</si>
  <si>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</si>
  <si>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</si>
  <si>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</si>
  <si>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</si>
  <si>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</si>
  <si>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</si>
  <si>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</si>
  <si>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</si>
  <si>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</si>
  <si>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</si>
  <si>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</si>
  <si>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</si>
  <si>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</si>
  <si>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</si>
  <si>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</si>
  <si>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</si>
  <si>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</si>
  <si>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</si>
  <si>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</si>
  <si>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</si>
  <si>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</si>
  <si>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</si>
  <si>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</si>
  <si>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</si>
  <si>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</si>
  <si>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</si>
  <si>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</si>
  <si>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</si>
  <si>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</si>
  <si>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</si>
  <si>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</si>
  <si>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</si>
  <si>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</si>
  <si>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</si>
  <si>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</si>
  <si>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</si>
  <si>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</si>
  <si>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</si>
  <si>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</si>
  <si>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</si>
  <si>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</si>
  <si>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</si>
  <si>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</si>
  <si>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</si>
  <si>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</si>
  <si>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</si>
  <si>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</si>
  <si>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</si>
  <si>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</si>
  <si>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</si>
  <si>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</si>
  <si>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</si>
  <si>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</si>
  <si>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</si>
  <si>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</si>
  <si>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</si>
  <si>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</si>
  <si>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</si>
  <si>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</si>
  <si>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</si>
  <si>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</si>
  <si>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</si>
  <si>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</si>
  <si>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</si>
  <si>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</si>
  <si>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</si>
  <si>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</si>
  <si>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</si>
  <si>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</si>
  <si>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</si>
  <si>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</si>
  <si>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</si>
  <si>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</si>
  <si>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</si>
  <si>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</si>
  <si>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</si>
  <si>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</si>
  <si>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Y</t>
  </si>
  <si>
    <t xml:space="preserve">2026-07-31: Forusz Jillian (SVP &amp; CAO) sold $109,961, 10% of holding</t>
  </si>
  <si>
    <t xml:space="preserve">2026-08-24: Duda Kenneth (President and CTO) sold $773,632, 14% of holding (+109 more in last 30d)</t>
  </si>
  <si>
    <t xml:space="preserve">BUY</t>
  </si>
  <si>
    <t xml:space="preserve">N</t>
  </si>
  <si>
    <t xml:space="preserve">2026-08-25: Kurtz George (PRESIDENT AND CEO) sold $226,560, 0% of holding (+129 more in last 30d)</t>
  </si>
  <si>
    <t xml:space="preserve">2026-08-14: Lorig Brian (EVP, KLA Global Services) sold $12,401,634, 43% of holding (+11 more in last 30d)</t>
  </si>
  <si>
    <t xml:space="preserve">2026-08-25: MEHROTRA SANJAY (President and CEO) sold $138,116, 0% of holding (+64 more in last 30d)</t>
  </si>
  <si>
    <t xml:space="preserve">2026-08-24: Buckley Jeffrey (See Remarks) sold $273,633, 3% of holding (+20 more in last 30d)</t>
  </si>
  <si>
    <t xml:space="preserve">2026-08-20: Yuan Lipen (VP) bought $74,500, 20% of holding (+10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</si>
  <si>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</si>
  <si>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</si>
  <si>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</si>
  <si>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</si>
  <si>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</si>
  <si>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</si>
  <si>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</si>
  <si>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</si>
  <si>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</si>
  <si>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</si>
  <si>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</si>
  <si>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</si>
  <si>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</si>
  <si>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</si>
  <si>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</si>
  <si>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</si>
  <si>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</si>
  <si>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</si>
  <si>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</si>
  <si>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</si>
  <si>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</si>
  <si>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</si>
  <si>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</si>
  <si>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</si>
  <si>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</si>
  <si>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</si>
  <si>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</si>
  <si>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</si>
  <si>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</si>
  <si>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</si>
  <si>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</si>
  <si>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</si>
  <si>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</si>
  <si>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</si>
  <si>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</si>
  <si>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</si>
  <si>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NOV</t>
  </si>
  <si>
    <t xml:space="preserve">2026-07-31: HARRISON DAVID D (Other) sold $184,301, 7% of holding</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</si>
  <si>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</si>
  <si>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</si>
  <si>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</si>
  <si>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</si>
  <si>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</si>
  <si>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</si>
  <si>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</si>
  <si>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</si>
  <si>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</si>
  <si>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</si>
  <si>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</si>
  <si>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</si>
  <si>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</si>
  <si>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</si>
  <si>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</si>
  <si>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</si>
  <si>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</si>
  <si>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</si>
  <si>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</si>
  <si>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</si>
  <si>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</si>
  <si>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</si>
  <si>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</si>
  <si>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</si>
  <si>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</si>
  <si>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</si>
  <si>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</si>
  <si>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</si>
  <si>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</si>
  <si>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</si>
  <si>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</si>
  <si>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</si>
  <si>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</si>
  <si>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</si>
  <si>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</si>
  <si>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</si>
  <si>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</si>
  <si>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</si>
  <si>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</si>
  <si>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</si>
  <si>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</si>
  <si>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</si>
  <si>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</si>
  <si>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</si>
  <si>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</si>
  <si>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</si>
  <si>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</si>
  <si>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</si>
  <si>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</si>
  <si>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</si>
  <si>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</si>
  <si>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</si>
  <si>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</si>
  <si>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</si>
  <si>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</si>
  <si>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</si>
  <si>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</si>
  <si>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</si>
  <si>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</si>
  <si>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</si>
  <si>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</si>
  <si>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</si>
  <si>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</si>
  <si>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</si>
  <si>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</si>
  <si>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</si>
  <si>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</si>
  <si>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</si>
  <si>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</si>
  <si>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</si>
  <si>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</si>
  <si>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</si>
  <si>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</si>
  <si>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</si>
  <si>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</si>
  <si>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</si>
  <si>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</si>
  <si>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</si>
  <si>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</si>
  <si>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</si>
  <si>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</si>
  <si>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</si>
  <si>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</si>
  <si>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</si>
  <si>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</si>
  <si>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</si>
  <si>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</si>
  <si>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</si>
  <si>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</si>
  <si>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</si>
  <si>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</si>
  <si>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</si>
  <si>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</si>
  <si>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</si>
  <si>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</si>
  <si>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</si>
  <si>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</si>
  <si>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</si>
  <si>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</si>
  <si>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</si>
  <si>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</si>
  <si>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</si>
  <si>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</si>
  <si>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</si>
  <si>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</si>
  <si>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</si>
  <si>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</si>
  <si>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</si>
  <si>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</si>
  <si>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</si>
  <si>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</si>
  <si>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</si>
  <si>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</si>
  <si>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</si>
  <si>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</si>
  <si>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</si>
  <si>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</si>
  <si>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</si>
  <si>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</si>
  <si>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</si>
  <si>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</si>
  <si>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</si>
  <si>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</si>
  <si>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</si>
  <si>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</si>
  <si>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</si>
  <si>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</si>
  <si>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</si>
  <si>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</si>
  <si>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</si>
  <si>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</si>
  <si>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</si>
  <si>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</si>
  <si>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</si>
  <si>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</si>
  <si>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</si>
  <si>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</si>
  <si>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</si>
  <si>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</si>
  <si>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</si>
  <si>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</si>
  <si>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</si>
  <si>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</si>
  <si>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</si>
  <si>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</si>
  <si>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</si>
  <si>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</si>
  <si>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</si>
  <si>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</si>
  <si>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</si>
  <si>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</si>
  <si>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</si>
  <si>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</si>
  <si>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</si>
  <si>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</si>
  <si>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</si>
  <si>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</si>
  <si>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</si>
  <si>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</si>
  <si>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</si>
  <si>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</si>
  <si>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</si>
  <si>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</si>
  <si>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</si>
  <si>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</si>
  <si>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</si>
  <si>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</si>
  <si>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</si>
  <si>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</si>
  <si>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</si>
  <si>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</si>
  <si>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</si>
  <si>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</si>
  <si>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</si>
  <si>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</si>
  <si>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</si>
  <si>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</si>
  <si>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</si>
  <si>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</si>
  <si>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</si>
  <si>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</si>
  <si>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</si>
  <si>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</si>
  <si>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</si>
  <si>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</si>
  <si>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</si>
  <si>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</si>
  <si>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</si>
  <si>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</si>
  <si>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</si>
  <si>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</si>
  <si>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</si>
  <si>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</si>
  <si>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</si>
  <si>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</si>
  <si>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</si>
  <si>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</si>
  <si>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</si>
  <si>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</si>
  <si>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</si>
  <si>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</si>
  <si>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</si>
  <si>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</si>
  <si>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</si>
  <si>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</si>
  <si>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</si>
  <si>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</si>
  <si>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</si>
  <si>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</si>
  <si>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</si>
  <si>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</si>
  <si>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</si>
  <si>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</si>
  <si>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</si>
  <si>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</si>
  <si>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</si>
  <si>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</si>
  <si>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</si>
  <si>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</si>
  <si>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</si>
  <si>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</si>
  <si>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</si>
  <si>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</si>
  <si>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</si>
  <si>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</si>
  <si>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</si>
  <si>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</si>
  <si>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</si>
  <si>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</si>
  <si>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</si>
  <si>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</si>
  <si>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</si>
  <si>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</si>
  <si>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</si>
  <si>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</si>
  <si>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</si>
  <si>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</si>
  <si>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</si>
  <si>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</si>
  <si>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</si>
  <si>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</si>
  <si>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</si>
  <si>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</si>
  <si>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</si>
  <si>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</si>
  <si>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</si>
  <si>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</si>
  <si>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</si>
  <si>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</si>
  <si>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</si>
  <si>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</si>
  <si>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</si>
  <si>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</si>
  <si>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</si>
  <si>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</si>
  <si>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</si>
  <si>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</si>
  <si>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</si>
  <si>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</si>
  <si>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</si>
  <si>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</si>
  <si>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</si>
  <si>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</si>
  <si>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</si>
  <si>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</si>
  <si>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</si>
  <si>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</si>
  <si>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</si>
  <si>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</si>
  <si>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</si>
  <si>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</si>
  <si>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</si>
  <si>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</si>
  <si>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</si>
  <si>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</si>
  <si>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</si>
  <si>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</si>
  <si>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</si>
  <si>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</si>
  <si>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</si>
  <si>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</si>
  <si>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</si>
  <si>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</si>
  <si>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</si>
  <si>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</si>
  <si>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</si>
  <si>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</si>
  <si>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</si>
  <si>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</si>
  <si>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</si>
  <si>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</si>
  <si>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</si>
  <si>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</si>
  <si>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</si>
  <si>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</si>
  <si>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</si>
  <si>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</si>
  <si>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</si>
  <si>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</si>
  <si>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</si>
  <si>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</si>
  <si>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</si>
  <si>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</si>
  <si>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</si>
  <si>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</si>
  <si>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</si>
  <si>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</si>
  <si>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</si>
  <si>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</si>
  <si>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</si>
  <si>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</si>
  <si>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</si>
  <si>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</si>
  <si>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</si>
  <si>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</si>
  <si>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</si>
  <si>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</si>
  <si>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</si>
  <si>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</si>
  <si>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</si>
  <si>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</si>
  <si>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</si>
  <si>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</si>
  <si>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</si>
  <si>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</si>
  <si>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</si>
  <si>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</si>
  <si>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</si>
  <si>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</si>
  <si>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</si>
  <si>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</si>
  <si>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</si>
  <si>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</si>
  <si>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</si>
  <si>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</si>
  <si>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A2:P47</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</si>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</sst>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49397681"/>
        <c:axId val="9397697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25518418"/>
        <c:axId val="28797930"/>
      </c:lineChart>
      <c:dateAx>
        <c:axId val="493976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976973"/>
        <c:auto val="1"/>
        <c:lblOffset val="100"/>
        <c:baseTimeUnit val="days"/>
      </c:dateAx>
      <c:valAx>
        <c:axId val="939769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397681"/>
        <c:crosses val="autoZero"/>
        <c:crossBetween val="between"/>
      </c:valAx>
      <c:dateAx>
        <c:axId val="255184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97930"/>
        <c:auto val="1"/>
        <c:lblOffset val="100"/>
        <c:baseTimeUnit val="days"/>
      </c:dateAx>
      <c:valAx>
        <c:axId val="287979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184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38849025"/>
        <c:axId val="673297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65703104"/>
        <c:axId val="64304596"/>
      </c:lineChart>
      <c:dateAx>
        <c:axId val="388490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2976"/>
        <c:auto val="1"/>
        <c:lblOffset val="100"/>
        <c:baseTimeUnit val="days"/>
      </c:dateAx>
      <c:valAx>
        <c:axId val="67329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849025"/>
        <c:crosses val="autoZero"/>
        <c:crossBetween val="between"/>
      </c:valAx>
      <c:dateAx>
        <c:axId val="657031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04596"/>
        <c:auto val="1"/>
        <c:lblOffset val="100"/>
        <c:baseTimeUnit val="days"/>
      </c:dateAx>
      <c:valAx>
        <c:axId val="643045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7031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95459204"/>
        <c:axId val="4046496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58461875"/>
        <c:axId val="95718125"/>
      </c:lineChart>
      <c:dateAx>
        <c:axId val="954592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64966"/>
        <c:auto val="1"/>
        <c:lblOffset val="100"/>
        <c:baseTimeUnit val="days"/>
      </c:dateAx>
      <c:valAx>
        <c:axId val="404649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59204"/>
        <c:crosses val="autoZero"/>
        <c:crossBetween val="between"/>
      </c:valAx>
      <c:dateAx>
        <c:axId val="584618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18125"/>
        <c:auto val="1"/>
        <c:lblOffset val="100"/>
        <c:baseTimeUnit val="days"/>
      </c:dateAx>
      <c:valAx>
        <c:axId val="957181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618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26323279"/>
        <c:axId val="83217871"/>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3853295"/>
        <c:axId val="49201031"/>
      </c:lineChart>
      <c:dateAx>
        <c:axId val="263232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17871"/>
        <c:auto val="1"/>
        <c:lblOffset val="100"/>
        <c:baseTimeUnit val="days"/>
      </c:dateAx>
      <c:valAx>
        <c:axId val="832178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323279"/>
        <c:crosses val="autoZero"/>
        <c:crossBetween val="between"/>
      </c:valAx>
      <c:dateAx>
        <c:axId val="38532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01031"/>
        <c:auto val="1"/>
        <c:lblOffset val="100"/>
        <c:baseTimeUnit val="days"/>
      </c:dateAx>
      <c:valAx>
        <c:axId val="492010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32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22595172"/>
        <c:axId val="88712003"/>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60218837"/>
        <c:axId val="93119396"/>
      </c:lineChart>
      <c:dateAx>
        <c:axId val="225951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12003"/>
        <c:auto val="1"/>
        <c:lblOffset val="100"/>
        <c:baseTimeUnit val="days"/>
      </c:dateAx>
      <c:valAx>
        <c:axId val="887120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595172"/>
        <c:crosses val="autoZero"/>
        <c:crossBetween val="between"/>
      </c:valAx>
      <c:dateAx>
        <c:axId val="602188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119396"/>
        <c:auto val="1"/>
        <c:lblOffset val="100"/>
        <c:baseTimeUnit val="days"/>
      </c:dateAx>
      <c:valAx>
        <c:axId val="931193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2188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69002894"/>
        <c:axId val="5893524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8217403"/>
        <c:axId val="87918819"/>
      </c:lineChart>
      <c:dateAx>
        <c:axId val="690028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935247"/>
        <c:auto val="1"/>
        <c:lblOffset val="100"/>
        <c:baseTimeUnit val="days"/>
      </c:dateAx>
      <c:valAx>
        <c:axId val="589352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02894"/>
        <c:crosses val="autoZero"/>
        <c:crossBetween val="between"/>
      </c:valAx>
      <c:dateAx>
        <c:axId val="82174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18819"/>
        <c:auto val="1"/>
        <c:lblOffset val="100"/>
        <c:baseTimeUnit val="days"/>
      </c:dateAx>
      <c:valAx>
        <c:axId val="879188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174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68759220"/>
        <c:axId val="8963548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30461573"/>
        <c:axId val="40770332"/>
      </c:lineChart>
      <c:dateAx>
        <c:axId val="687592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35485"/>
        <c:auto val="1"/>
        <c:lblOffset val="100"/>
        <c:baseTimeUnit val="days"/>
      </c:dateAx>
      <c:valAx>
        <c:axId val="896354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759220"/>
        <c:crosses val="autoZero"/>
        <c:crossBetween val="between"/>
      </c:valAx>
      <c:dateAx>
        <c:axId val="304615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70332"/>
        <c:auto val="1"/>
        <c:lblOffset val="100"/>
        <c:baseTimeUnit val="days"/>
      </c:dateAx>
      <c:valAx>
        <c:axId val="407703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615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38237712"/>
        <c:axId val="2567332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2330591"/>
        <c:axId val="75547752"/>
      </c:lineChart>
      <c:dateAx>
        <c:axId val="382377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673323"/>
        <c:auto val="1"/>
        <c:lblOffset val="100"/>
        <c:baseTimeUnit val="days"/>
      </c:dateAx>
      <c:valAx>
        <c:axId val="256733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237712"/>
        <c:crosses val="autoZero"/>
        <c:crossBetween val="between"/>
      </c:valAx>
      <c:dateAx>
        <c:axId val="23305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547752"/>
        <c:auto val="1"/>
        <c:lblOffset val="100"/>
        <c:baseTimeUnit val="days"/>
      </c:dateAx>
      <c:valAx>
        <c:axId val="755477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05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13378649"/>
        <c:axId val="432446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91572176"/>
        <c:axId val="42954900"/>
      </c:lineChart>
      <c:dateAx>
        <c:axId val="133786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24466"/>
        <c:auto val="1"/>
        <c:lblOffset val="100"/>
        <c:baseTimeUnit val="days"/>
      </c:dateAx>
      <c:valAx>
        <c:axId val="43244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378649"/>
        <c:crosses val="autoZero"/>
        <c:crossBetween val="between"/>
      </c:valAx>
      <c:dateAx>
        <c:axId val="915721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954900"/>
        <c:auto val="1"/>
        <c:lblOffset val="100"/>
        <c:baseTimeUnit val="days"/>
      </c:dateAx>
      <c:valAx>
        <c:axId val="429549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5721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121904"/>
        <c:axId val="9197334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64041496"/>
        <c:axId val="93655928"/>
      </c:lineChart>
      <c:dateAx>
        <c:axId val="1219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973349"/>
        <c:auto val="1"/>
        <c:lblOffset val="100"/>
        <c:baseTimeUnit val="days"/>
      </c:dateAx>
      <c:valAx>
        <c:axId val="919733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904"/>
        <c:crosses val="autoZero"/>
        <c:crossBetween val="between"/>
      </c:valAx>
      <c:dateAx>
        <c:axId val="640414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655928"/>
        <c:auto val="1"/>
        <c:lblOffset val="100"/>
        <c:baseTimeUnit val="days"/>
      </c:dateAx>
      <c:valAx>
        <c:axId val="936559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414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20085938"/>
        <c:axId val="76417545"/>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12637757"/>
        <c:axId val="31889604"/>
      </c:lineChart>
      <c:dateAx>
        <c:axId val="200859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17545"/>
        <c:auto val="1"/>
        <c:lblOffset val="100"/>
        <c:baseTimeUnit val="days"/>
      </c:dateAx>
      <c:valAx>
        <c:axId val="764175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85938"/>
        <c:crosses val="autoZero"/>
        <c:crossBetween val="between"/>
      </c:valAx>
      <c:dateAx>
        <c:axId val="126377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89604"/>
        <c:auto val="1"/>
        <c:lblOffset val="100"/>
        <c:baseTimeUnit val="days"/>
      </c:dateAx>
      <c:valAx>
        <c:axId val="318896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377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79405123"/>
        <c:axId val="121282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53576485"/>
        <c:axId val="11802412"/>
      </c:lineChart>
      <c:dateAx>
        <c:axId val="794051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2825"/>
        <c:auto val="1"/>
        <c:lblOffset val="100"/>
        <c:baseTimeUnit val="days"/>
      </c:dateAx>
      <c:valAx>
        <c:axId val="12128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05123"/>
        <c:crosses val="autoZero"/>
        <c:crossBetween val="between"/>
      </c:valAx>
      <c:dateAx>
        <c:axId val="535764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802412"/>
        <c:auto val="1"/>
        <c:lblOffset val="100"/>
        <c:baseTimeUnit val="days"/>
      </c:dateAx>
      <c:valAx>
        <c:axId val="118024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764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6888690"/>
        <c:axId val="59625670"/>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35121779"/>
        <c:axId val="48398066"/>
      </c:lineChart>
      <c:dateAx>
        <c:axId val="68886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625670"/>
        <c:auto val="1"/>
        <c:lblOffset val="100"/>
        <c:baseTimeUnit val="days"/>
      </c:dateAx>
      <c:valAx>
        <c:axId val="596256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88690"/>
        <c:crosses val="autoZero"/>
        <c:crossBetween val="between"/>
      </c:valAx>
      <c:dateAx>
        <c:axId val="351217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398066"/>
        <c:auto val="1"/>
        <c:lblOffset val="100"/>
        <c:baseTimeUnit val="days"/>
      </c:dateAx>
      <c:valAx>
        <c:axId val="483980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217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46910693"/>
        <c:axId val="2492052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32784557"/>
        <c:axId val="48885628"/>
      </c:lineChart>
      <c:dateAx>
        <c:axId val="469106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20529"/>
        <c:auto val="1"/>
        <c:lblOffset val="100"/>
        <c:baseTimeUnit val="days"/>
      </c:dateAx>
      <c:valAx>
        <c:axId val="249205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910693"/>
        <c:crosses val="autoZero"/>
        <c:crossBetween val="between"/>
      </c:valAx>
      <c:dateAx>
        <c:axId val="327845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85628"/>
        <c:auto val="1"/>
        <c:lblOffset val="100"/>
        <c:baseTimeUnit val="days"/>
      </c:dateAx>
      <c:valAx>
        <c:axId val="488856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7845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60697105"/>
        <c:axId val="5612151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9414776"/>
        <c:axId val="74303440"/>
      </c:lineChart>
      <c:dateAx>
        <c:axId val="606971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21517"/>
        <c:auto val="1"/>
        <c:lblOffset val="100"/>
        <c:baseTimeUnit val="days"/>
      </c:dateAx>
      <c:valAx>
        <c:axId val="561215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97105"/>
        <c:crosses val="autoZero"/>
        <c:crossBetween val="between"/>
      </c:valAx>
      <c:dateAx>
        <c:axId val="194147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03440"/>
        <c:auto val="1"/>
        <c:lblOffset val="100"/>
        <c:baseTimeUnit val="days"/>
      </c:dateAx>
      <c:valAx>
        <c:axId val="743034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4147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19277991"/>
        <c:axId val="725823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61991880"/>
        <c:axId val="58058331"/>
      </c:lineChart>
      <c:dateAx>
        <c:axId val="192779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8237"/>
        <c:auto val="1"/>
        <c:lblOffset val="100"/>
        <c:baseTimeUnit val="days"/>
      </c:dateAx>
      <c:valAx>
        <c:axId val="72582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77991"/>
        <c:crosses val="autoZero"/>
        <c:crossBetween val="between"/>
      </c:valAx>
      <c:dateAx>
        <c:axId val="619918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58331"/>
        <c:auto val="1"/>
        <c:lblOffset val="100"/>
        <c:baseTimeUnit val="days"/>
      </c:dateAx>
      <c:valAx>
        <c:axId val="580583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918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64413109"/>
        <c:axId val="5429664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99452920"/>
        <c:axId val="95245846"/>
      </c:lineChart>
      <c:dateAx>
        <c:axId val="644131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96641"/>
        <c:auto val="1"/>
        <c:lblOffset val="100"/>
        <c:baseTimeUnit val="days"/>
      </c:dateAx>
      <c:valAx>
        <c:axId val="542966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13109"/>
        <c:crosses val="autoZero"/>
        <c:crossBetween val="between"/>
      </c:valAx>
      <c:dateAx>
        <c:axId val="994529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245846"/>
        <c:auto val="1"/>
        <c:lblOffset val="100"/>
        <c:baseTimeUnit val="days"/>
      </c:dateAx>
      <c:valAx>
        <c:axId val="952458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4529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27565911"/>
        <c:axId val="6226573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30904015"/>
        <c:axId val="1517863"/>
      </c:lineChart>
      <c:dateAx>
        <c:axId val="275659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265737"/>
        <c:auto val="1"/>
        <c:lblOffset val="100"/>
        <c:baseTimeUnit val="days"/>
      </c:dateAx>
      <c:valAx>
        <c:axId val="622657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565911"/>
        <c:crosses val="autoZero"/>
        <c:crossBetween val="between"/>
      </c:valAx>
      <c:dateAx>
        <c:axId val="309040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7863"/>
        <c:auto val="1"/>
        <c:lblOffset val="100"/>
        <c:baseTimeUnit val="days"/>
      </c:dateAx>
      <c:valAx>
        <c:axId val="15178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040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398880</xdr:colOff>
      <xdr:row>175</xdr:row>
      <xdr:rowOff>40680</xdr:rowOff>
    </xdr:to>
    <xdr:graphicFrame>
      <xdr:nvGraphicFramePr>
        <xdr:cNvPr id="1" name="Chart 1"/>
        <xdr:cNvGraphicFramePr/>
      </xdr:nvGraphicFramePr>
      <xdr:xfrm>
        <a:off x="0" y="31204080"/>
        <a:ext cx="2757240" cy="2326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21600</xdr:colOff>
      <xdr:row>175</xdr:row>
      <xdr:rowOff>40680</xdr:rowOff>
    </xdr:to>
    <xdr:graphicFrame>
      <xdr:nvGraphicFramePr>
        <xdr:cNvPr id="2" name="Chart 2"/>
        <xdr:cNvGraphicFramePr/>
      </xdr:nvGraphicFramePr>
      <xdr:xfrm>
        <a:off x="3554640" y="31204080"/>
        <a:ext cx="2414520" cy="2326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185040</xdr:colOff>
      <xdr:row>175</xdr:row>
      <xdr:rowOff>40680</xdr:rowOff>
    </xdr:to>
    <xdr:graphicFrame>
      <xdr:nvGraphicFramePr>
        <xdr:cNvPr id="3" name="Chart 3"/>
        <xdr:cNvGraphicFramePr/>
      </xdr:nvGraphicFramePr>
      <xdr:xfrm>
        <a:off x="6744960" y="31204080"/>
        <a:ext cx="2472480" cy="23266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437400</xdr:colOff>
      <xdr:row>175</xdr:row>
      <xdr:rowOff>40680</xdr:rowOff>
    </xdr:to>
    <xdr:graphicFrame>
      <xdr:nvGraphicFramePr>
        <xdr:cNvPr id="4" name="Chart 4"/>
        <xdr:cNvGraphicFramePr/>
      </xdr:nvGraphicFramePr>
      <xdr:xfrm>
        <a:off x="10464840" y="31204080"/>
        <a:ext cx="4735080" cy="23266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398880</xdr:colOff>
      <xdr:row>191</xdr:row>
      <xdr:rowOff>40680</xdr:rowOff>
    </xdr:to>
    <xdr:graphicFrame>
      <xdr:nvGraphicFramePr>
        <xdr:cNvPr id="5" name="Chart 5"/>
        <xdr:cNvGraphicFramePr/>
      </xdr:nvGraphicFramePr>
      <xdr:xfrm>
        <a:off x="0" y="34251840"/>
        <a:ext cx="2757240" cy="2326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21600</xdr:colOff>
      <xdr:row>191</xdr:row>
      <xdr:rowOff>40680</xdr:rowOff>
    </xdr:to>
    <xdr:graphicFrame>
      <xdr:nvGraphicFramePr>
        <xdr:cNvPr id="6" name="Chart 6"/>
        <xdr:cNvGraphicFramePr/>
      </xdr:nvGraphicFramePr>
      <xdr:xfrm>
        <a:off x="3554640" y="34251840"/>
        <a:ext cx="2414520" cy="2326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185040</xdr:colOff>
      <xdr:row>191</xdr:row>
      <xdr:rowOff>40680</xdr:rowOff>
    </xdr:to>
    <xdr:graphicFrame>
      <xdr:nvGraphicFramePr>
        <xdr:cNvPr id="7" name="Chart 7"/>
        <xdr:cNvGraphicFramePr/>
      </xdr:nvGraphicFramePr>
      <xdr:xfrm>
        <a:off x="6744960" y="34251840"/>
        <a:ext cx="2472480" cy="23266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437400</xdr:colOff>
      <xdr:row>191</xdr:row>
      <xdr:rowOff>40680</xdr:rowOff>
    </xdr:to>
    <xdr:graphicFrame>
      <xdr:nvGraphicFramePr>
        <xdr:cNvPr id="8" name="Chart 8"/>
        <xdr:cNvGraphicFramePr/>
      </xdr:nvGraphicFramePr>
      <xdr:xfrm>
        <a:off x="10464840" y="34251840"/>
        <a:ext cx="4735080" cy="23266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398880</xdr:colOff>
      <xdr:row>207</xdr:row>
      <xdr:rowOff>40680</xdr:rowOff>
    </xdr:to>
    <xdr:graphicFrame>
      <xdr:nvGraphicFramePr>
        <xdr:cNvPr id="9" name="Chart 9"/>
        <xdr:cNvGraphicFramePr/>
      </xdr:nvGraphicFramePr>
      <xdr:xfrm>
        <a:off x="0" y="37299960"/>
        <a:ext cx="2757240" cy="2326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21600</xdr:colOff>
      <xdr:row>207</xdr:row>
      <xdr:rowOff>40680</xdr:rowOff>
    </xdr:to>
    <xdr:graphicFrame>
      <xdr:nvGraphicFramePr>
        <xdr:cNvPr id="10" name="Chart 10"/>
        <xdr:cNvGraphicFramePr/>
      </xdr:nvGraphicFramePr>
      <xdr:xfrm>
        <a:off x="3554640" y="37299960"/>
        <a:ext cx="2414520" cy="23266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185040</xdr:colOff>
      <xdr:row>207</xdr:row>
      <xdr:rowOff>40680</xdr:rowOff>
    </xdr:to>
    <xdr:graphicFrame>
      <xdr:nvGraphicFramePr>
        <xdr:cNvPr id="11" name="Chart 11"/>
        <xdr:cNvGraphicFramePr/>
      </xdr:nvGraphicFramePr>
      <xdr:xfrm>
        <a:off x="6744960" y="37299960"/>
        <a:ext cx="2472480" cy="23266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437400</xdr:colOff>
      <xdr:row>207</xdr:row>
      <xdr:rowOff>40680</xdr:rowOff>
    </xdr:to>
    <xdr:graphicFrame>
      <xdr:nvGraphicFramePr>
        <xdr:cNvPr id="12" name="Chart 12"/>
        <xdr:cNvGraphicFramePr/>
      </xdr:nvGraphicFramePr>
      <xdr:xfrm>
        <a:off x="10464840" y="37299960"/>
        <a:ext cx="4735080" cy="2326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398880</xdr:colOff>
      <xdr:row>223</xdr:row>
      <xdr:rowOff>40680</xdr:rowOff>
    </xdr:to>
    <xdr:graphicFrame>
      <xdr:nvGraphicFramePr>
        <xdr:cNvPr id="13" name="Chart 13"/>
        <xdr:cNvGraphicFramePr/>
      </xdr:nvGraphicFramePr>
      <xdr:xfrm>
        <a:off x="0" y="40348080"/>
        <a:ext cx="2757240" cy="23266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21600</xdr:colOff>
      <xdr:row>223</xdr:row>
      <xdr:rowOff>40680</xdr:rowOff>
    </xdr:to>
    <xdr:graphicFrame>
      <xdr:nvGraphicFramePr>
        <xdr:cNvPr id="14" name="Chart 14"/>
        <xdr:cNvGraphicFramePr/>
      </xdr:nvGraphicFramePr>
      <xdr:xfrm>
        <a:off x="3554640" y="40348080"/>
        <a:ext cx="2414520" cy="23266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185040</xdr:colOff>
      <xdr:row>223</xdr:row>
      <xdr:rowOff>40680</xdr:rowOff>
    </xdr:to>
    <xdr:graphicFrame>
      <xdr:nvGraphicFramePr>
        <xdr:cNvPr id="15" name="Chart 15"/>
        <xdr:cNvGraphicFramePr/>
      </xdr:nvGraphicFramePr>
      <xdr:xfrm>
        <a:off x="6744960" y="40348080"/>
        <a:ext cx="2472480" cy="23266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437400</xdr:colOff>
      <xdr:row>223</xdr:row>
      <xdr:rowOff>40680</xdr:rowOff>
    </xdr:to>
    <xdr:graphicFrame>
      <xdr:nvGraphicFramePr>
        <xdr:cNvPr id="16" name="Chart 16"/>
        <xdr:cNvGraphicFramePr/>
      </xdr:nvGraphicFramePr>
      <xdr:xfrm>
        <a:off x="10464840" y="40348080"/>
        <a:ext cx="4735080" cy="23266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398880</xdr:colOff>
      <xdr:row>239</xdr:row>
      <xdr:rowOff>40680</xdr:rowOff>
    </xdr:to>
    <xdr:graphicFrame>
      <xdr:nvGraphicFramePr>
        <xdr:cNvPr id="17" name="Chart 17"/>
        <xdr:cNvGraphicFramePr/>
      </xdr:nvGraphicFramePr>
      <xdr:xfrm>
        <a:off x="0" y="43395840"/>
        <a:ext cx="2757240" cy="23266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21600</xdr:colOff>
      <xdr:row>239</xdr:row>
      <xdr:rowOff>40680</xdr:rowOff>
    </xdr:to>
    <xdr:graphicFrame>
      <xdr:nvGraphicFramePr>
        <xdr:cNvPr id="18" name="Chart 18"/>
        <xdr:cNvGraphicFramePr/>
      </xdr:nvGraphicFramePr>
      <xdr:xfrm>
        <a:off x="3554640" y="43395840"/>
        <a:ext cx="2414520" cy="23266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46</v>
      </c>
      <c r="B1" s="8"/>
      <c r="C1" s="8"/>
      <c r="D1" s="8"/>
      <c r="E1" s="8"/>
      <c r="F1" s="8"/>
    </row>
    <row r="2" customFormat="false" ht="15" hidden="false" customHeight="true" outlineLevel="0" collapsed="false">
      <c r="A2" s="9" t="s">
        <v>47</v>
      </c>
      <c r="B2" s="9"/>
      <c r="C2" s="9"/>
      <c r="D2" s="9"/>
      <c r="E2" s="9"/>
      <c r="F2" s="9"/>
    </row>
    <row r="4" customFormat="false" ht="15" hidden="false" customHeight="true" outlineLevel="0" collapsed="false">
      <c r="A4" s="10" t="s">
        <v>48</v>
      </c>
      <c r="B4" s="10"/>
      <c r="C4" s="10"/>
      <c r="D4" s="10"/>
      <c r="E4" s="10"/>
      <c r="F4" s="10"/>
    </row>
    <row r="5" customFormat="false" ht="15" hidden="false" customHeight="true" outlineLevel="0" collapsed="false">
      <c r="A5" s="11" t="s">
        <v>49</v>
      </c>
      <c r="B5" s="11"/>
      <c r="C5" s="11"/>
      <c r="D5" s="11"/>
      <c r="E5" s="12" t="n">
        <f aca="false">COUNTIF('Watch List Tracker'!K3:K22,"*SELL WITHIN 30 DAYS*")</f>
        <v>0</v>
      </c>
      <c r="F5" s="12"/>
    </row>
    <row r="6" customFormat="false" ht="15" hidden="false" customHeight="true" outlineLevel="0" collapsed="false">
      <c r="A6" s="11" t="s">
        <v>50</v>
      </c>
      <c r="B6" s="11"/>
      <c r="C6" s="11"/>
      <c r="D6" s="11"/>
      <c r="E6" s="12" t="n">
        <f aca="false">COUNTIF('Watch List Tracker'!K3:K22,"DEADLINE APPROACHING")</f>
        <v>0</v>
      </c>
      <c r="F6" s="12"/>
    </row>
    <row r="7" customFormat="false" ht="15" hidden="false" customHeight="true" outlineLevel="0" collapsed="false">
      <c r="A7" s="11" t="s">
        <v>51</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52</v>
      </c>
      <c r="B9" s="10"/>
      <c r="C9" s="10"/>
      <c r="D9" s="10"/>
      <c r="E9" s="10"/>
      <c r="F9" s="10"/>
    </row>
    <row r="10" customFormat="false" ht="15" hidden="false" customHeight="true" outlineLevel="0" collapsed="false">
      <c r="A10" s="11" t="s">
        <v>53</v>
      </c>
      <c r="B10" s="11"/>
      <c r="C10" s="11"/>
      <c r="D10" s="11"/>
      <c r="E10" s="12" t="n">
        <f aca="false">COUNTIF('Holding Monitor'!AB4:AB23,"*ACTION REQUIRED*")</f>
        <v>0</v>
      </c>
      <c r="F10" s="12"/>
    </row>
    <row r="11" customFormat="false" ht="15" hidden="false" customHeight="true" outlineLevel="0" collapsed="false">
      <c r="A11" s="11" t="s">
        <v>54</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55</v>
      </c>
      <c r="B13" s="10"/>
      <c r="C13" s="10"/>
      <c r="D13" s="10"/>
      <c r="E13" s="10"/>
      <c r="F13" s="10"/>
    </row>
    <row r="14" customFormat="false" ht="15" hidden="false" customHeight="true" outlineLevel="0" collapsed="false">
      <c r="A14" s="11" t="s">
        <v>56</v>
      </c>
      <c r="B14" s="11"/>
      <c r="C14" s="11"/>
      <c r="D14" s="11"/>
      <c r="E14" s="14" t="str">
        <f aca="false">'Correlation Matrix'!B17</f>
        <v/>
      </c>
      <c r="F14" s="14"/>
    </row>
    <row r="15" customFormat="false" ht="15" hidden="false" customHeight="true" outlineLevel="0" collapsed="false">
      <c r="A15" s="11" t="s">
        <v>57</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58</v>
      </c>
      <c r="B17" s="10"/>
      <c r="C17" s="10"/>
      <c r="D17" s="10"/>
      <c r="E17" s="10"/>
      <c r="F17" s="10"/>
    </row>
    <row r="18" customFormat="false" ht="15" hidden="false" customHeight="true" outlineLevel="0" collapsed="false">
      <c r="A18" s="11" t="s">
        <v>59</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60</v>
      </c>
      <c r="B19" s="11"/>
      <c r="C19" s="11"/>
      <c r="D19" s="11"/>
      <c r="E19" s="16" t="n">
        <f aca="false">IFERROR(INDEX('Portfolio Drawdown Log'!D3:D42,COUNT('Portfolio Drawdown Log'!D3:D42)),"")</f>
        <v>0</v>
      </c>
      <c r="F19" s="16"/>
    </row>
    <row r="20" customFormat="false" ht="15" hidden="false" customHeight="true" outlineLevel="0" collapsed="false">
      <c r="A20" s="11" t="s">
        <v>61</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62</v>
      </c>
      <c r="B22" s="10"/>
      <c r="C22" s="10"/>
      <c r="D22" s="10"/>
      <c r="E22" s="10"/>
      <c r="F22" s="10"/>
    </row>
    <row r="23" customFormat="false" ht="15" hidden="false" customHeight="true" outlineLevel="0" collapsed="false">
      <c r="A23" s="11" t="s">
        <v>63</v>
      </c>
      <c r="B23" s="11"/>
      <c r="C23" s="11"/>
      <c r="D23" s="11"/>
      <c r="E23" s="12" t="n">
        <f aca="false">COUNTIF(Scoring!AH3:AH27,"FAIL")</f>
        <v>9</v>
      </c>
      <c r="F23" s="12"/>
    </row>
    <row r="24" customFormat="false" ht="15" hidden="false" customHeight="true" outlineLevel="0" collapsed="false">
      <c r="A24" s="11" t="s">
        <v>64</v>
      </c>
      <c r="B24" s="11"/>
      <c r="C24" s="11"/>
      <c r="D24" s="11"/>
      <c r="E24" s="12" t="n">
        <f aca="false">COUNTIF(Scoring!AJ3:AJ27,"AVOID")</f>
        <v>9</v>
      </c>
      <c r="F24" s="12"/>
    </row>
    <row r="25" customFormat="false" ht="15" hidden="false" customHeight="true" outlineLevel="0" collapsed="false">
      <c r="A25" s="11" t="s">
        <v>65</v>
      </c>
      <c r="B25" s="11"/>
      <c r="C25" s="11"/>
      <c r="D25" s="11"/>
      <c r="E25" s="12" t="n">
        <f aca="false">COUNTIF(Scoring!AI3:AI27,"REVIEW")</f>
        <v>7</v>
      </c>
      <c r="F25" s="12"/>
    </row>
    <row r="26" customFormat="false" ht="15" hidden="false" customHeight="true" outlineLevel="0" collapsed="false">
      <c r="A26" s="11" t="s">
        <v>66</v>
      </c>
      <c r="B26" s="11"/>
      <c r="C26" s="11"/>
      <c r="D26" s="11"/>
      <c r="E26" s="12" t="n">
        <f aca="false">COUNTIF(Scoring!AK3:AK27,"CAP AT BUY")</f>
        <v>0</v>
      </c>
      <c r="F26" s="12"/>
    </row>
    <row r="27" customFormat="false" ht="15" hidden="false" customHeight="true" outlineLevel="0" collapsed="false">
      <c r="A27" s="10" t="s">
        <v>67</v>
      </c>
      <c r="B27" s="10"/>
      <c r="C27" s="10"/>
      <c r="D27" s="10"/>
      <c r="E27" s="10"/>
      <c r="F27" s="10"/>
    </row>
    <row r="28" customFormat="false" ht="15" hidden="false" customHeight="true" outlineLevel="0" collapsed="false">
      <c r="A28" s="11" t="s">
        <v>68</v>
      </c>
      <c r="B28" s="11"/>
      <c r="C28" s="11"/>
      <c r="D28" s="11"/>
      <c r="E28" s="12" t="n">
        <f aca="false">COUNTIF('Entry Checklist'!Q3:Q27,"NO*")</f>
        <v>1</v>
      </c>
      <c r="F28" s="12"/>
    </row>
    <row r="29" customFormat="false" ht="15" hidden="false" customHeight="true" outlineLevel="0" collapsed="false">
      <c r="A29" s="11" t="s">
        <v>69</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70</v>
      </c>
      <c r="B31" s="10"/>
      <c r="C31" s="10"/>
      <c r="D31" s="10"/>
      <c r="E31" s="10"/>
      <c r="F31" s="10"/>
    </row>
    <row r="32" customFormat="false" ht="15" hidden="false" customHeight="true" outlineLevel="0" collapsed="false">
      <c r="A32" s="11" t="s">
        <v>71</v>
      </c>
      <c r="B32" s="11"/>
      <c r="C32" s="11"/>
      <c r="D32" s="11"/>
      <c r="E32" s="12" t="n">
        <f aca="false">COUNTIF(Scoring!AP3:AP60,"LOW CONF")</f>
        <v>0</v>
      </c>
      <c r="F32" s="12"/>
    </row>
    <row r="33" customFormat="false" ht="15" hidden="false" customHeight="true" outlineLevel="0" collapsed="false">
      <c r="A33" s="11" t="s">
        <v>72</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73</v>
      </c>
      <c r="B1" s="18"/>
      <c r="C1" s="18"/>
      <c r="D1" s="18"/>
      <c r="E1" s="18"/>
      <c r="F1" s="18"/>
      <c r="G1" s="18"/>
      <c r="H1" s="18"/>
      <c r="I1" s="18"/>
      <c r="J1" s="18"/>
      <c r="K1" s="18"/>
      <c r="L1" s="18"/>
      <c r="M1" s="18"/>
      <c r="O1" s="19" t="s">
        <v>74</v>
      </c>
      <c r="P1" s="19"/>
    </row>
    <row r="2" s="21" customFormat="true" ht="27.75" hidden="false" customHeight="true" outlineLevel="0" collapsed="false">
      <c r="A2" s="20" t="s">
        <v>75</v>
      </c>
      <c r="B2" s="20" t="s">
        <v>76</v>
      </c>
      <c r="C2" s="20" t="s">
        <v>77</v>
      </c>
      <c r="D2" s="20" t="s">
        <v>78</v>
      </c>
      <c r="E2" s="20" t="s">
        <v>79</v>
      </c>
      <c r="F2" s="20" t="s">
        <v>80</v>
      </c>
      <c r="G2" s="20" t="s">
        <v>81</v>
      </c>
      <c r="H2" s="20" t="s">
        <v>82</v>
      </c>
      <c r="I2" s="20" t="s">
        <v>83</v>
      </c>
      <c r="J2" s="20" t="s">
        <v>84</v>
      </c>
      <c r="K2" s="20" t="s">
        <v>85</v>
      </c>
      <c r="L2" s="20" t="s">
        <v>86</v>
      </c>
      <c r="M2" s="20" t="s">
        <v>87</v>
      </c>
      <c r="O2" s="22" t="s">
        <v>88</v>
      </c>
      <c r="P2" s="23"/>
    </row>
    <row r="3" customFormat="false" ht="15" hidden="false" customHeight="true" outlineLevel="0" collapsed="false">
      <c r="A3" s="24" t="s">
        <v>89</v>
      </c>
      <c r="B3" s="25" t="s">
        <v>90</v>
      </c>
      <c r="C3" s="26" t="s">
        <v>91</v>
      </c>
      <c r="D3" s="27" t="s">
        <v>92</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93</v>
      </c>
      <c r="O3" s="32" t="s">
        <v>94</v>
      </c>
      <c r="P3" s="33"/>
    </row>
    <row r="4" customFormat="false" ht="15" hidden="false" customHeight="true" outlineLevel="0" collapsed="false">
      <c r="A4" s="24" t="s">
        <v>89</v>
      </c>
      <c r="B4" s="25" t="s">
        <v>95</v>
      </c>
      <c r="C4" s="26" t="s">
        <v>96</v>
      </c>
      <c r="D4" s="27" t="s">
        <v>92</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89</v>
      </c>
      <c r="B5" s="25" t="s">
        <v>97</v>
      </c>
      <c r="C5" s="26" t="s">
        <v>98</v>
      </c>
      <c r="D5" s="27" t="s">
        <v>92</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89</v>
      </c>
      <c r="B6" s="25" t="s">
        <v>99</v>
      </c>
      <c r="C6" s="26" t="s">
        <v>100</v>
      </c>
      <c r="D6" s="27" t="s">
        <v>92</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89</v>
      </c>
      <c r="B7" s="25" t="s">
        <v>101</v>
      </c>
      <c r="C7" s="26" t="s">
        <v>102</v>
      </c>
      <c r="D7" s="27" t="s">
        <v>92</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89</v>
      </c>
      <c r="B8" s="25" t="s">
        <v>103</v>
      </c>
      <c r="C8" s="26" t="s">
        <v>104</v>
      </c>
      <c r="D8" s="27" t="s">
        <v>92</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89</v>
      </c>
      <c r="B9" s="25" t="s">
        <v>105</v>
      </c>
      <c r="C9" s="26" t="s">
        <v>106</v>
      </c>
      <c r="D9" s="27" t="s">
        <v>92</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89</v>
      </c>
      <c r="B10" s="25" t="s">
        <v>107</v>
      </c>
      <c r="C10" s="26" t="s">
        <v>108</v>
      </c>
      <c r="D10" s="27" t="s">
        <v>92</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89</v>
      </c>
      <c r="B11" s="25" t="s">
        <v>109</v>
      </c>
      <c r="C11" s="26" t="s">
        <v>110</v>
      </c>
      <c r="D11" s="27" t="s">
        <v>92</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89</v>
      </c>
      <c r="B12" s="25" t="s">
        <v>111</v>
      </c>
      <c r="C12" s="26" t="s">
        <v>112</v>
      </c>
      <c r="D12" s="27" t="s">
        <v>92</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89</v>
      </c>
      <c r="B13" s="25" t="s">
        <v>113</v>
      </c>
      <c r="C13" s="26" t="s">
        <v>114</v>
      </c>
      <c r="D13" s="27" t="s">
        <v>115</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89</v>
      </c>
      <c r="B14" s="36" t="s">
        <v>116</v>
      </c>
      <c r="C14" s="37" t="s">
        <v>117</v>
      </c>
      <c r="D14" s="38" t="s">
        <v>115</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118</v>
      </c>
      <c r="B15" s="45" t="n">
        <f aca="false">SUBTOTAL(103,B3:B14)</f>
        <v>12</v>
      </c>
      <c r="C15" s="46" t="s">
        <v>119</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120</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121</v>
      </c>
      <c r="B18" s="25" t="s">
        <v>122</v>
      </c>
      <c r="C18" s="26" t="s">
        <v>123</v>
      </c>
      <c r="D18" s="27" t="s">
        <v>115</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121</v>
      </c>
      <c r="B19" s="25" t="s">
        <v>124</v>
      </c>
      <c r="C19" s="26" t="s">
        <v>125</v>
      </c>
      <c r="D19" s="27" t="s">
        <v>126</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121</v>
      </c>
      <c r="B20" s="25" t="s">
        <v>127</v>
      </c>
      <c r="C20" s="26" t="s">
        <v>128</v>
      </c>
      <c r="D20" s="27" t="s">
        <v>92</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129</v>
      </c>
    </row>
    <row r="21" customFormat="false" ht="15" hidden="true" customHeight="true" outlineLevel="1" collapsed="false">
      <c r="A21" s="24" t="s">
        <v>121</v>
      </c>
      <c r="B21" s="25" t="s">
        <v>130</v>
      </c>
      <c r="C21" s="26" t="s">
        <v>131</v>
      </c>
      <c r="D21" s="27" t="s">
        <v>92</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132</v>
      </c>
    </row>
    <row r="22" customFormat="false" ht="15" hidden="false" customHeight="true" outlineLevel="0" collapsed="false">
      <c r="A22" s="24" t="s">
        <v>121</v>
      </c>
      <c r="B22" s="25" t="s">
        <v>133</v>
      </c>
      <c r="C22" s="26" t="s">
        <v>134</v>
      </c>
      <c r="D22" s="27" t="s">
        <v>126</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121</v>
      </c>
      <c r="B23" s="25" t="s">
        <v>135</v>
      </c>
      <c r="C23" s="26" t="s">
        <v>136</v>
      </c>
      <c r="D23" s="27" t="s">
        <v>92</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121</v>
      </c>
      <c r="B24" s="25" t="s">
        <v>105</v>
      </c>
      <c r="C24" s="26" t="s">
        <v>106</v>
      </c>
      <c r="D24" s="27" t="s">
        <v>92</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121</v>
      </c>
      <c r="B25" s="25" t="s">
        <v>137</v>
      </c>
      <c r="C25" s="26" t="s">
        <v>138</v>
      </c>
      <c r="D25" s="27" t="s">
        <v>92</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139</v>
      </c>
    </row>
    <row r="26" customFormat="false" ht="15" hidden="false" customHeight="true" outlineLevel="0" collapsed="false">
      <c r="A26" s="24" t="s">
        <v>121</v>
      </c>
      <c r="B26" s="25" t="s">
        <v>140</v>
      </c>
      <c r="C26" s="26" t="s">
        <v>141</v>
      </c>
      <c r="D26" s="27" t="s">
        <v>92</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121</v>
      </c>
      <c r="B27" s="25" t="s">
        <v>142</v>
      </c>
      <c r="C27" s="26" t="s">
        <v>143</v>
      </c>
      <c r="D27" s="27" t="s">
        <v>92</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121</v>
      </c>
      <c r="B28" s="25" t="s">
        <v>95</v>
      </c>
      <c r="C28" s="26" t="s">
        <v>96</v>
      </c>
      <c r="D28" s="27" t="s">
        <v>92</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121</v>
      </c>
      <c r="B29" s="25" t="s">
        <v>99</v>
      </c>
      <c r="C29" s="26" t="s">
        <v>100</v>
      </c>
      <c r="D29" s="27" t="s">
        <v>92</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121</v>
      </c>
      <c r="B30" s="25" t="s">
        <v>144</v>
      </c>
      <c r="C30" s="26" t="s">
        <v>145</v>
      </c>
      <c r="D30" s="27" t="s">
        <v>92</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146</v>
      </c>
    </row>
    <row r="31" customFormat="false" ht="15" hidden="true" customHeight="true" outlineLevel="1" collapsed="false">
      <c r="A31" s="24" t="s">
        <v>121</v>
      </c>
      <c r="B31" s="25" t="s">
        <v>147</v>
      </c>
      <c r="C31" s="26" t="s">
        <v>148</v>
      </c>
      <c r="D31" s="27" t="s">
        <v>92</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149</v>
      </c>
    </row>
    <row r="32" customFormat="false" ht="15" hidden="true" customHeight="true" outlineLevel="1" collapsed="false">
      <c r="A32" s="24" t="s">
        <v>121</v>
      </c>
      <c r="B32" s="25" t="s">
        <v>150</v>
      </c>
      <c r="C32" s="26" t="s">
        <v>151</v>
      </c>
      <c r="D32" s="27" t="s">
        <v>92</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152</v>
      </c>
    </row>
    <row r="33" customFormat="false" ht="15" hidden="true" customHeight="true" outlineLevel="1" collapsed="false">
      <c r="A33" s="24" t="s">
        <v>121</v>
      </c>
      <c r="B33" s="25" t="s">
        <v>153</v>
      </c>
      <c r="C33" s="26" t="s">
        <v>154</v>
      </c>
      <c r="D33" s="27" t="s">
        <v>92</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155</v>
      </c>
    </row>
    <row r="34" customFormat="false" ht="15" hidden="false" customHeight="true" outlineLevel="0" collapsed="false">
      <c r="A34" s="24" t="s">
        <v>121</v>
      </c>
      <c r="B34" s="25" t="s">
        <v>156</v>
      </c>
      <c r="C34" s="26" t="s">
        <v>157</v>
      </c>
      <c r="D34" s="27" t="s">
        <v>115</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121</v>
      </c>
      <c r="B35" s="25" t="s">
        <v>158</v>
      </c>
      <c r="C35" s="26" t="s">
        <v>159</v>
      </c>
      <c r="D35" s="27" t="s">
        <v>92</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160</v>
      </c>
    </row>
    <row r="36" customFormat="false" ht="15" hidden="false" customHeight="true" outlineLevel="0" collapsed="false">
      <c r="A36" s="35" t="s">
        <v>121</v>
      </c>
      <c r="B36" s="36" t="s">
        <v>107</v>
      </c>
      <c r="C36" s="37" t="s">
        <v>108</v>
      </c>
      <c r="D36" s="38" t="s">
        <v>92</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118</v>
      </c>
      <c r="B37" s="55" t="n">
        <f aca="false">SUBTOTAL(103,B18:B36)</f>
        <v>14</v>
      </c>
      <c r="C37" s="56" t="s">
        <v>161</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120</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162</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163</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164</v>
      </c>
    </row>
    <row r="42" customFormat="false" ht="57.75" hidden="false" customHeight="true" outlineLevel="0" collapsed="false">
      <c r="A42" s="68" t="s">
        <v>165</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70" t="s">
        <v>166</v>
      </c>
      <c r="B1" s="70"/>
      <c r="C1" s="70"/>
      <c r="D1" s="70"/>
      <c r="E1" s="70"/>
      <c r="F1" s="70"/>
      <c r="G1" s="70"/>
      <c r="H1" s="70"/>
      <c r="I1" s="70"/>
      <c r="J1" s="70"/>
      <c r="K1" s="70"/>
      <c r="L1" s="70"/>
      <c r="M1" s="70"/>
      <c r="N1" s="70"/>
      <c r="O1" s="70"/>
      <c r="P1" s="70"/>
    </row>
    <row r="2" s="71" customFormat="true" ht="42" hidden="false" customHeight="true" outlineLevel="0" collapsed="false">
      <c r="A2" s="20" t="s">
        <v>76</v>
      </c>
      <c r="B2" s="20" t="s">
        <v>167</v>
      </c>
      <c r="C2" s="20" t="s">
        <v>168</v>
      </c>
      <c r="D2" s="20" t="s">
        <v>169</v>
      </c>
      <c r="E2" s="20" t="s">
        <v>170</v>
      </c>
      <c r="F2" s="20" t="s">
        <v>171</v>
      </c>
      <c r="G2" s="20" t="s">
        <v>172</v>
      </c>
      <c r="H2" s="20" t="s">
        <v>173</v>
      </c>
      <c r="I2" s="20" t="s">
        <v>174</v>
      </c>
      <c r="J2" s="20" t="s">
        <v>175</v>
      </c>
      <c r="K2" s="20" t="s">
        <v>176</v>
      </c>
      <c r="L2" s="20" t="s">
        <v>177</v>
      </c>
      <c r="M2" s="20" t="s">
        <v>178</v>
      </c>
      <c r="N2" s="20" t="s">
        <v>179</v>
      </c>
      <c r="O2" s="20" t="s">
        <v>180</v>
      </c>
      <c r="P2" s="20" t="s">
        <v>181</v>
      </c>
    </row>
    <row r="3" customFormat="false" ht="15" hidden="false" customHeight="true" outlineLevel="0" collapsed="false">
      <c r="A3" s="72" t="s">
        <v>90</v>
      </c>
      <c r="B3" s="27" t="s">
        <v>182</v>
      </c>
      <c r="C3" s="73" t="n">
        <v>46240</v>
      </c>
      <c r="D3" s="27" t="n">
        <v>85.8</v>
      </c>
      <c r="E3" s="27" t="n">
        <v>4.57</v>
      </c>
      <c r="F3" s="74" t="s">
        <v>183</v>
      </c>
      <c r="G3" s="27" t="n">
        <v>259.32</v>
      </c>
      <c r="H3" s="30" t="str">
        <f aca="false" t="array" ref="H3:H3">IFERROR(INDEX(_xlfn.stockhistory(A3,TODAY()-5,TODAY(),0,0,1),ROWS(_xlfn.stockhistory(A3,TODAY()-5,TODAY(),0,0,1)),1),"")</f>
        <v/>
      </c>
      <c r="I3" s="75" t="str">
        <f aca="false">IF(OR(G3="",H3=""),"",H3/G3-1)</f>
        <v/>
      </c>
      <c r="J3" s="76" t="n">
        <v>46275</v>
      </c>
      <c r="K3" s="27" t="s">
        <v>184</v>
      </c>
      <c r="L3" s="26" t="s">
        <v>185</v>
      </c>
      <c r="M3" s="27"/>
      <c r="N3" s="77" t="n">
        <f aca="true">IF(C3="","",TODAY()-C3)</f>
        <v>20</v>
      </c>
      <c r="O3" s="78"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P3" s="26"/>
    </row>
    <row r="4" customFormat="false" ht="15" hidden="false" customHeight="true" outlineLevel="0" collapsed="false">
      <c r="A4" s="72" t="s">
        <v>95</v>
      </c>
      <c r="B4" s="27" t="s">
        <v>182</v>
      </c>
      <c r="C4" s="73" t="n">
        <v>46240</v>
      </c>
      <c r="D4" s="27" t="n">
        <v>85</v>
      </c>
      <c r="E4" s="27" t="n">
        <v>4.57</v>
      </c>
      <c r="F4" s="74" t="s">
        <v>183</v>
      </c>
      <c r="G4" s="27" t="n">
        <v>190.51</v>
      </c>
      <c r="H4" s="30" t="str">
        <f aca="false" t="array" ref="H4:H4">IFERROR(INDEX(_xlfn.stockhistory(A4,TODAY()-5,TODAY(),0,0,1),ROWS(_xlfn.stockhistory(A4,TODAY()-5,TODAY(),0,0,1)),1),"")</f>
        <v/>
      </c>
      <c r="I4" s="75" t="str">
        <f aca="false">IF(OR(G4="",H4=""),"",H4/G4-1)</f>
        <v/>
      </c>
      <c r="J4" s="76" t="n">
        <v>46329</v>
      </c>
      <c r="K4" s="27" t="s">
        <v>184</v>
      </c>
      <c r="L4" s="26" t="s">
        <v>186</v>
      </c>
      <c r="M4" s="27"/>
      <c r="N4" s="77" t="n">
        <f aca="true">IF(C4="","",TODAY()-C4)</f>
        <v>20</v>
      </c>
      <c r="O4" s="78"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P4" s="26"/>
    </row>
    <row r="5" customFormat="false" ht="15" hidden="false" customHeight="true" outlineLevel="0" collapsed="false">
      <c r="A5" s="72" t="s">
        <v>97</v>
      </c>
      <c r="B5" s="27" t="s">
        <v>182</v>
      </c>
      <c r="C5" s="73" t="n">
        <v>46240</v>
      </c>
      <c r="D5" s="27" t="n">
        <v>73.2</v>
      </c>
      <c r="E5" s="27" t="n">
        <v>3.57</v>
      </c>
      <c r="F5" s="74" t="s">
        <v>187</v>
      </c>
      <c r="G5" s="27" t="n">
        <v>1678.22</v>
      </c>
      <c r="H5" s="30" t="str">
        <f aca="false" t="array" ref="H5:H5">IFERROR(INDEX(_xlfn.stockhistory(A5,TODAY()-5,TODAY(),0,0,1),ROWS(_xlfn.stockhistory(A5,TODAY()-5,TODAY(),0,0,1)),1),"")</f>
        <v/>
      </c>
      <c r="I5" s="75" t="str">
        <f aca="false">IF(OR(G5="",H5=""),"",H5/G5-1)</f>
        <v/>
      </c>
      <c r="J5" s="76" t="n">
        <v>46309</v>
      </c>
      <c r="K5" s="27" t="s">
        <v>188</v>
      </c>
      <c r="L5" s="26"/>
      <c r="M5" s="27"/>
      <c r="N5" s="77" t="n">
        <f aca="true">IF(C5="","",TODAY()-C5)</f>
        <v>20</v>
      </c>
      <c r="O5" s="78"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6"/>
    </row>
    <row r="6" customFormat="false" ht="15" hidden="false" customHeight="true" outlineLevel="0" collapsed="false">
      <c r="A6" s="72" t="s">
        <v>99</v>
      </c>
      <c r="B6" s="27" t="s">
        <v>182</v>
      </c>
      <c r="C6" s="73" t="n">
        <v>46240</v>
      </c>
      <c r="D6" s="27" t="n">
        <v>70.4</v>
      </c>
      <c r="E6" s="27" t="n">
        <v>4</v>
      </c>
      <c r="F6" s="74" t="s">
        <v>187</v>
      </c>
      <c r="G6" s="27" t="n">
        <v>211.22</v>
      </c>
      <c r="H6" s="30" t="str">
        <f aca="false" t="array" ref="H6:H6">IFERROR(INDEX(_xlfn.stockhistory(A6,TODAY()-5,TODAY(),0,0,1),ROWS(_xlfn.stockhistory(A6,TODAY()-5,TODAY(),0,0,1)),1),"")</f>
        <v/>
      </c>
      <c r="I6" s="75" t="str">
        <f aca="false">IF(OR(G6="",H6=""),"",H6/G6-1)</f>
        <v/>
      </c>
      <c r="J6" s="76" t="n">
        <v>46260</v>
      </c>
      <c r="K6" s="27" t="s">
        <v>184</v>
      </c>
      <c r="L6" s="26" t="s">
        <v>189</v>
      </c>
      <c r="M6" s="27"/>
      <c r="N6" s="77" t="n">
        <f aca="true">IF(C6="","",TODAY()-C6)</f>
        <v>20</v>
      </c>
      <c r="O6" s="78"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P6" s="26"/>
    </row>
    <row r="7" customFormat="false" ht="15" hidden="false" customHeight="true" outlineLevel="0" collapsed="false">
      <c r="A7" s="72" t="s">
        <v>101</v>
      </c>
      <c r="B7" s="27" t="s">
        <v>182</v>
      </c>
      <c r="C7" s="73" t="n">
        <v>46240</v>
      </c>
      <c r="D7" s="27" t="n">
        <v>68.6</v>
      </c>
      <c r="E7" s="27" t="n">
        <v>3.43</v>
      </c>
      <c r="F7" s="74" t="s">
        <v>187</v>
      </c>
      <c r="G7" s="27" t="n">
        <v>192.8</v>
      </c>
      <c r="H7" s="30" t="str">
        <f aca="false" t="array" ref="H7:H7">IFERROR(INDEX(_xlfn.stockhistory(A7,TODAY()-5,TODAY(),0,0,1),ROWS(_xlfn.stockhistory(A7,TODAY()-5,TODAY(),0,0,1)),1),"")</f>
        <v/>
      </c>
      <c r="I7" s="75" t="str">
        <f aca="false">IF(OR(G7="",H7=""),"",H7/G7-1)</f>
        <v/>
      </c>
      <c r="J7" s="76" t="n">
        <v>46323</v>
      </c>
      <c r="K7" s="27" t="s">
        <v>184</v>
      </c>
      <c r="L7" s="26" t="s">
        <v>190</v>
      </c>
      <c r="M7" s="27"/>
      <c r="N7" s="77" t="n">
        <f aca="true">IF(C7="","",TODAY()-C7)</f>
        <v>20</v>
      </c>
      <c r="O7" s="78"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P7" s="26"/>
    </row>
    <row r="8" customFormat="false" ht="15" hidden="false" customHeight="true" outlineLevel="0" collapsed="false">
      <c r="A8" s="72" t="s">
        <v>103</v>
      </c>
      <c r="B8" s="27" t="s">
        <v>182</v>
      </c>
      <c r="C8" s="73" t="n">
        <v>46240</v>
      </c>
      <c r="D8" s="27" t="n">
        <v>71.8</v>
      </c>
      <c r="E8" s="27" t="n">
        <v>3.64</v>
      </c>
      <c r="F8" s="74" t="s">
        <v>187</v>
      </c>
      <c r="G8" s="27" t="n">
        <v>893.19</v>
      </c>
      <c r="H8" s="30" t="str">
        <f aca="false" t="array" ref="H8:H8">IFERROR(INDEX(_xlfn.stockhistory(A8,TODAY()-5,TODAY(),0,0,1),ROWS(_xlfn.stockhistory(A8,TODAY()-5,TODAY(),0,0,1)),1),"")</f>
        <v/>
      </c>
      <c r="I8" s="75" t="str">
        <f aca="false">IF(OR(G8="",H8=""),"",H8/G8-1)</f>
        <v/>
      </c>
      <c r="J8" s="76" t="n">
        <v>46288</v>
      </c>
      <c r="K8" s="27" t="s">
        <v>184</v>
      </c>
      <c r="L8" s="26" t="s">
        <v>191</v>
      </c>
      <c r="M8" s="27"/>
      <c r="N8" s="77" t="n">
        <f aca="true">IF(C8="","",TODAY()-C8)</f>
        <v>20</v>
      </c>
      <c r="O8" s="78"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P8" s="26"/>
    </row>
    <row r="9" customFormat="false" ht="15" hidden="false" customHeight="true" outlineLevel="0" collapsed="false">
      <c r="A9" s="72" t="s">
        <v>105</v>
      </c>
      <c r="B9" s="27" t="s">
        <v>182</v>
      </c>
      <c r="C9" s="73" t="n">
        <v>46240</v>
      </c>
      <c r="D9" s="27" t="n">
        <v>93.2</v>
      </c>
      <c r="E9" s="27" t="n">
        <v>4.57</v>
      </c>
      <c r="F9" s="74" t="s">
        <v>183</v>
      </c>
      <c r="G9" s="27" t="n">
        <v>211.87</v>
      </c>
      <c r="H9" s="30" t="str">
        <f aca="false" t="array" ref="H9:H9">IFERROR(INDEX(_xlfn.stockhistory(A9,TODAY()-5,TODAY(),0,0,1),ROWS(_xlfn.stockhistory(A9,TODAY()-5,TODAY(),0,0,1)),1),"")</f>
        <v/>
      </c>
      <c r="I9" s="75" t="str">
        <f aca="false">IF(OR(G9="",H9=""),"",H9/G9-1)</f>
        <v/>
      </c>
      <c r="J9" s="76" t="n">
        <v>46260</v>
      </c>
      <c r="K9" s="27" t="s">
        <v>188</v>
      </c>
      <c r="L9" s="26"/>
      <c r="M9" s="27"/>
      <c r="N9" s="77" t="n">
        <f aca="true">IF(C9="","",TODAY()-C9)</f>
        <v>20</v>
      </c>
      <c r="O9" s="78"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P9" s="26"/>
    </row>
    <row r="10" customFormat="false" ht="15" hidden="false" customHeight="true" outlineLevel="0" collapsed="false">
      <c r="A10" s="72" t="s">
        <v>107</v>
      </c>
      <c r="B10" s="27" t="s">
        <v>182</v>
      </c>
      <c r="C10" s="73" t="n">
        <v>46240</v>
      </c>
      <c r="D10" s="27" t="n">
        <v>75.2</v>
      </c>
      <c r="E10" s="27" t="n">
        <v>4</v>
      </c>
      <c r="F10" s="74" t="s">
        <v>187</v>
      </c>
      <c r="G10" s="27" t="n">
        <v>162.66</v>
      </c>
      <c r="H10" s="30" t="str">
        <f aca="false" t="array" ref="H10:H10">IFERROR(INDEX(_xlfn.stockhistory(A10,TODAY()-5,TODAY(),0,0,1),ROWS(_xlfn.stockhistory(A10,TODAY()-5,TODAY(),0,0,1)),1),"")</f>
        <v/>
      </c>
      <c r="I10" s="75" t="str">
        <f aca="false">IF(OR(G10="",H10=""),"",H10/G10-1)</f>
        <v/>
      </c>
      <c r="J10" s="76" t="n">
        <v>46328</v>
      </c>
      <c r="K10" s="27" t="s">
        <v>184</v>
      </c>
      <c r="L10" s="26" t="s">
        <v>192</v>
      </c>
      <c r="M10" s="27"/>
      <c r="N10" s="77" t="n">
        <f aca="true">IF(C10="","",TODAY()-C10)</f>
        <v>20</v>
      </c>
      <c r="O10" s="78"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P10" s="26"/>
    </row>
    <row r="11" customFormat="false" ht="15" hidden="false" customHeight="true" outlineLevel="0" collapsed="false">
      <c r="A11" s="72" t="s">
        <v>109</v>
      </c>
      <c r="B11" s="27" t="s">
        <v>182</v>
      </c>
      <c r="C11" s="73" t="n">
        <v>46240</v>
      </c>
      <c r="D11" s="27" t="n">
        <v>81</v>
      </c>
      <c r="E11" s="27" t="n">
        <v>4</v>
      </c>
      <c r="F11" s="74" t="s">
        <v>183</v>
      </c>
      <c r="G11" s="27" t="n">
        <v>414</v>
      </c>
      <c r="H11" s="30" t="str">
        <f aca="false" t="array" ref="H11:H11">IFERROR(INDEX(_xlfn.stockhistory(A11,TODAY()-5,TODAY(),0,0,1),ROWS(_xlfn.stockhistory(A11,TODAY()-5,TODAY(),0,0,1)),1),"")</f>
        <v/>
      </c>
      <c r="I11" s="75" t="str">
        <f aca="false">IF(OR(G11="",H11=""),"",H11/G11-1)</f>
        <v/>
      </c>
      <c r="J11" s="76" t="n">
        <v>46310</v>
      </c>
      <c r="K11" s="27" t="s">
        <v>184</v>
      </c>
      <c r="L11" s="26" t="s">
        <v>193</v>
      </c>
      <c r="M11" s="27"/>
      <c r="N11" s="77" t="n">
        <f aca="true">IF(C11="","",TODAY()-C11)</f>
        <v>20</v>
      </c>
      <c r="O11" s="78"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P11" s="26"/>
    </row>
    <row r="12" customFormat="false" ht="15" hidden="false" customHeight="true" outlineLevel="0" collapsed="false">
      <c r="A12" s="72" t="s">
        <v>111</v>
      </c>
      <c r="B12" s="27" t="s">
        <v>182</v>
      </c>
      <c r="C12" s="73" t="n">
        <v>46240</v>
      </c>
      <c r="D12" s="27" t="n">
        <v>82.8</v>
      </c>
      <c r="E12" s="27" t="n">
        <v>4.36</v>
      </c>
      <c r="F12" s="74" t="s">
        <v>183</v>
      </c>
      <c r="G12" s="27" t="n">
        <v>277.94</v>
      </c>
      <c r="H12" s="30" t="str">
        <f aca="false" t="array" ref="H12:H12">IFERROR(INDEX(_xlfn.stockhistory(A12,TODAY()-5,TODAY(),0,0,1),ROWS(_xlfn.stockhistory(A12,TODAY()-5,TODAY(),0,0,1)),1),"")</f>
        <v/>
      </c>
      <c r="I12" s="75" t="str">
        <f aca="false">IF(OR(G12="",H12=""),"",H12/G12-1)</f>
        <v/>
      </c>
      <c r="J12" s="76" t="n">
        <v>46316</v>
      </c>
      <c r="K12" s="27" t="s">
        <v>188</v>
      </c>
      <c r="L12" s="26"/>
      <c r="M12" s="27"/>
      <c r="N12" s="77" t="n">
        <f aca="true">IF(C12="","",TODAY()-C12)</f>
        <v>20</v>
      </c>
      <c r="O12" s="78"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6"/>
    </row>
    <row r="13" customFormat="false" ht="15" hidden="false" customHeight="true" outlineLevel="0" collapsed="false">
      <c r="A13" s="72" t="s">
        <v>135</v>
      </c>
      <c r="B13" s="27" t="s">
        <v>182</v>
      </c>
      <c r="C13" s="73" t="n">
        <v>46240</v>
      </c>
      <c r="D13" s="27" t="n">
        <v>80.8</v>
      </c>
      <c r="E13" s="27" t="n">
        <v>4.07</v>
      </c>
      <c r="F13" s="74" t="s">
        <v>183</v>
      </c>
      <c r="G13" s="27" t="n">
        <v>418.16</v>
      </c>
      <c r="H13" s="30" t="str">
        <f aca="false" t="array" ref="H13:H13">IFERROR(INDEX(_xlfn.stockhistory(A13,TODAY()-5,TODAY(),0,0,1),ROWS(_xlfn.stockhistory(A13,TODAY()-5,TODAY(),0,0,1)),1),"")</f>
        <v/>
      </c>
      <c r="I13" s="75" t="str">
        <f aca="false">IF(OR(G13="",H13=""),"",H13/G13-1)</f>
        <v/>
      </c>
      <c r="J13" s="76" t="n">
        <v>46267</v>
      </c>
      <c r="K13" s="27" t="s">
        <v>188</v>
      </c>
      <c r="L13" s="26"/>
      <c r="M13" s="27"/>
      <c r="N13" s="77" t="n">
        <f aca="true">IF(C13="","",TODAY()-C13)</f>
        <v>20</v>
      </c>
      <c r="O13" s="78"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P13" s="26"/>
    </row>
    <row r="14" customFormat="false" ht="15" hidden="false" customHeight="true" outlineLevel="0" collapsed="false">
      <c r="A14" s="72" t="s">
        <v>144</v>
      </c>
      <c r="B14" s="27" t="s">
        <v>182</v>
      </c>
      <c r="C14" s="73" t="n">
        <v>46240</v>
      </c>
      <c r="D14" s="27" t="n">
        <v>82</v>
      </c>
      <c r="E14" s="27" t="n">
        <v>4.36</v>
      </c>
      <c r="F14" s="74" t="s">
        <v>183</v>
      </c>
      <c r="G14" s="27" t="n">
        <v>139.06</v>
      </c>
      <c r="H14" s="30" t="str">
        <f aca="false" t="array" ref="H14:H14">IFERROR(INDEX(_xlfn.stockhistory(A14,TODAY()-5,TODAY(),0,0,1),ROWS(_xlfn.stockhistory(A14,TODAY()-5,TODAY(),0,0,1)),1),"")</f>
        <v/>
      </c>
      <c r="I14" s="75" t="str">
        <f aca="false">IF(OR(G14="",H14=""),"",H14/G14-1)</f>
        <v/>
      </c>
      <c r="J14" s="76" t="n">
        <v>46309</v>
      </c>
      <c r="K14" s="27" t="s">
        <v>188</v>
      </c>
      <c r="L14" s="26"/>
      <c r="M14" s="27"/>
      <c r="N14" s="77" t="n">
        <f aca="true">IF(C14="","",TODAY()-C14)</f>
        <v>20</v>
      </c>
      <c r="O14" s="78"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6"/>
    </row>
    <row r="15" customFormat="false" ht="15" hidden="false" customHeight="true" outlineLevel="0" collapsed="false">
      <c r="A15" s="72" t="s">
        <v>137</v>
      </c>
      <c r="B15" s="27" t="s">
        <v>182</v>
      </c>
      <c r="C15" s="73" t="n">
        <v>46241</v>
      </c>
      <c r="D15" s="27" t="n">
        <v>75.6</v>
      </c>
      <c r="E15" s="27" t="n">
        <v>3.79</v>
      </c>
      <c r="F15" s="74" t="s">
        <v>187</v>
      </c>
      <c r="G15" s="27" t="n">
        <v>478.7</v>
      </c>
      <c r="H15" s="30" t="str">
        <f aca="false" t="array" ref="H15:H15">IFERROR(INDEX(_xlfn.stockhistory(A15,TODAY()-5,TODAY(),0,0,1),ROWS(_xlfn.stockhistory(A15,TODAY()-5,TODAY(),0,0,1)),1),"")</f>
        <v/>
      </c>
      <c r="I15" s="75" t="str">
        <f aca="false">IF(OR(G15="",H15=""),"",H15/G15-1)</f>
        <v/>
      </c>
      <c r="J15" s="76" t="n">
        <v>46328</v>
      </c>
      <c r="K15" s="27" t="s">
        <v>188</v>
      </c>
      <c r="L15" s="26"/>
      <c r="M15" s="27"/>
      <c r="N15" s="77" t="n">
        <f aca="true">IF(C15="","",TODAY()-C15)</f>
        <v>19</v>
      </c>
      <c r="O15" s="78"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6" t="s">
        <v>194</v>
      </c>
    </row>
    <row r="16" customFormat="false" ht="15" hidden="true" customHeight="true" outlineLevel="1" collapsed="false">
      <c r="A16" s="72" t="s">
        <v>195</v>
      </c>
      <c r="B16" s="26" t="s">
        <v>196</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t="s">
        <v>188</v>
      </c>
      <c r="L16" s="26"/>
      <c r="M16" s="27"/>
      <c r="N16" s="77" t="n">
        <f aca="true">IF(C16="","",TODAY()-C16)</f>
        <v>14</v>
      </c>
      <c r="O16" s="78"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6"/>
    </row>
    <row r="17" customFormat="false" ht="15" hidden="true" customHeight="true" outlineLevel="1" collapsed="false">
      <c r="A17" s="72" t="s">
        <v>197</v>
      </c>
      <c r="B17" s="26" t="s">
        <v>196</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t="s">
        <v>184</v>
      </c>
      <c r="L17" s="26" t="s">
        <v>198</v>
      </c>
      <c r="M17" s="27"/>
      <c r="N17" s="77" t="n">
        <f aca="true">IF(C17="","",TODAY()-C17)</f>
        <v>14</v>
      </c>
      <c r="O17" s="78"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P17" s="26"/>
    </row>
    <row r="18" customFormat="false" ht="15" hidden="true" customHeight="true" outlineLevel="1" collapsed="false">
      <c r="A18" s="72" t="s">
        <v>199</v>
      </c>
      <c r="B18" s="26" t="s">
        <v>196</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t="s">
        <v>188</v>
      </c>
      <c r="L18" s="26"/>
      <c r="M18" s="27"/>
      <c r="N18" s="77" t="n">
        <f aca="true">IF(C18="","",TODAY()-C18)</f>
        <v>15</v>
      </c>
      <c r="O18" s="78"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6"/>
    </row>
    <row r="19" customFormat="false" ht="15" hidden="true" customHeight="true" outlineLevel="1" collapsed="false">
      <c r="A19" s="72" t="s">
        <v>200</v>
      </c>
      <c r="B19" s="26" t="s">
        <v>196</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t="s">
        <v>188</v>
      </c>
      <c r="L19" s="26"/>
      <c r="M19" s="27"/>
      <c r="N19" s="77" t="n">
        <f aca="true">IF(C19="","",TODAY()-C19)</f>
        <v>15</v>
      </c>
      <c r="O19" s="78"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6"/>
    </row>
    <row r="20" customFormat="false" ht="15" hidden="false" customHeight="true" outlineLevel="0" collapsed="false">
      <c r="A20" s="72" t="s">
        <v>201</v>
      </c>
      <c r="B20" s="27" t="s">
        <v>202</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t="s">
        <v>188</v>
      </c>
      <c r="L20" s="26"/>
      <c r="M20" s="27"/>
      <c r="N20" s="77" t="n">
        <f aca="true">IF(C20="","",TODAY()-C20)</f>
        <v>15</v>
      </c>
      <c r="O20" s="78"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6"/>
    </row>
    <row r="21" customFormat="false" ht="15" hidden="false" customHeight="true" outlineLevel="0" collapsed="false">
      <c r="A21" s="72" t="s">
        <v>203</v>
      </c>
      <c r="B21" s="27" t="s">
        <v>202</v>
      </c>
      <c r="C21" s="73" t="n">
        <v>46245</v>
      </c>
      <c r="D21" s="27" t="n">
        <v>77.4</v>
      </c>
      <c r="E21" s="27" t="n">
        <v>4.14</v>
      </c>
      <c r="F21" s="74" t="s">
        <v>187</v>
      </c>
      <c r="G21" s="27" t="n">
        <v>944.32</v>
      </c>
      <c r="H21" s="30" t="str">
        <f aca="false" t="array" ref="H21:H21">IFERROR(INDEX(_xlfn.stockhistory(A21,TODAY()-5,TODAY(),0,0,1),ROWS(_xlfn.stockhistory(A21,TODAY()-5,TODAY(),0,0,1)),1),"")</f>
        <v/>
      </c>
      <c r="I21" s="75" t="str">
        <f aca="false">IF(OR(G21="",H21=""),"",H21/G21-1)</f>
        <v/>
      </c>
      <c r="J21" s="76" t="n">
        <v>46289</v>
      </c>
      <c r="K21" s="27" t="s">
        <v>188</v>
      </c>
      <c r="L21" s="26"/>
      <c r="M21" s="27"/>
      <c r="N21" s="77" t="n">
        <f aca="true">IF(C21="","",TODAY()-C21)</f>
        <v>15</v>
      </c>
      <c r="O21" s="78"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6"/>
    </row>
    <row r="22" customFormat="false" ht="15" hidden="true" customHeight="true" outlineLevel="1" collapsed="false">
      <c r="A22" s="72" t="s">
        <v>204</v>
      </c>
      <c r="B22" s="26" t="s">
        <v>196</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t="s">
        <v>188</v>
      </c>
      <c r="L22" s="26"/>
      <c r="M22" s="27"/>
      <c r="N22" s="77" t="n">
        <f aca="true">IF(C22="","",TODAY()-C22)</f>
        <v>15</v>
      </c>
      <c r="O22" s="78"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6"/>
    </row>
    <row r="23" customFormat="false" ht="15" hidden="true" customHeight="true" outlineLevel="1" collapsed="false">
      <c r="A23" s="72" t="s">
        <v>205</v>
      </c>
      <c r="B23" s="26" t="s">
        <v>196</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t="s">
        <v>188</v>
      </c>
      <c r="L23" s="26"/>
      <c r="M23" s="27"/>
      <c r="N23" s="77" t="n">
        <f aca="true">IF(C23="","",TODAY()-C23)</f>
        <v>15</v>
      </c>
      <c r="O23" s="78"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6"/>
    </row>
    <row r="24" customFormat="false" ht="15" hidden="true" customHeight="true" outlineLevel="1" collapsed="false">
      <c r="A24" s="72" t="s">
        <v>206</v>
      </c>
      <c r="B24" s="26" t="s">
        <v>196</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t="s">
        <v>184</v>
      </c>
      <c r="L24" s="26" t="s">
        <v>207</v>
      </c>
      <c r="M24" s="27"/>
      <c r="N24" s="77" t="n">
        <f aca="true">IF(C24="","",TODAY()-C24)</f>
        <v>2</v>
      </c>
      <c r="O24" s="78"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P24" s="26"/>
    </row>
    <row r="25" customFormat="false" ht="15" hidden="false" customHeight="true" outlineLevel="0" collapsed="false">
      <c r="A25" s="72" t="s">
        <v>208</v>
      </c>
      <c r="B25" s="27" t="s">
        <v>202</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t="s">
        <v>188</v>
      </c>
      <c r="L25" s="26"/>
      <c r="M25" s="27"/>
      <c r="N25" s="77" t="n">
        <f aca="true">IF(C25="","",TODAY()-C25)</f>
        <v>15</v>
      </c>
      <c r="O25" s="78"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6"/>
    </row>
    <row r="26" customFormat="false" ht="15" hidden="true" customHeight="true" outlineLevel="1" collapsed="false">
      <c r="A26" s="72" t="s">
        <v>209</v>
      </c>
      <c r="B26" s="26" t="s">
        <v>196</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t="s">
        <v>184</v>
      </c>
      <c r="L26" s="26" t="s">
        <v>210</v>
      </c>
      <c r="M26" s="27"/>
      <c r="N26" s="77" t="n">
        <f aca="true">IF(C26="","",TODAY()-C26)</f>
        <v>15</v>
      </c>
      <c r="O26" s="78"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P26" s="26"/>
    </row>
    <row r="27" customFormat="false" ht="15" hidden="false" customHeight="true" outlineLevel="0" collapsed="false">
      <c r="A27" s="72" t="s">
        <v>211</v>
      </c>
      <c r="B27" s="27" t="s">
        <v>202</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t="s">
        <v>184</v>
      </c>
      <c r="L27" s="26" t="s">
        <v>212</v>
      </c>
      <c r="M27" s="27"/>
      <c r="N27" s="77" t="n">
        <f aca="true">IF(C27="","",TODAY()-C27)</f>
        <v>15</v>
      </c>
      <c r="O27" s="78"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P27" s="26"/>
    </row>
    <row r="28" customFormat="false" ht="15" hidden="false" customHeight="true" outlineLevel="0" collapsed="false">
      <c r="A28" s="72" t="s">
        <v>213</v>
      </c>
      <c r="B28" s="27" t="s">
        <v>202</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t="s">
        <v>184</v>
      </c>
      <c r="L28" s="26" t="s">
        <v>214</v>
      </c>
      <c r="M28" s="27"/>
      <c r="N28" s="77" t="n">
        <f aca="true">IF(C28="","",TODAY()-C28)</f>
        <v>13</v>
      </c>
      <c r="O28" s="78"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P28" s="26"/>
    </row>
    <row r="29" customFormat="false" ht="15" hidden="false" customHeight="true" outlineLevel="0" collapsed="false">
      <c r="A29" s="72" t="s">
        <v>215</v>
      </c>
      <c r="B29" s="27" t="s">
        <v>202</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t="s">
        <v>184</v>
      </c>
      <c r="L29" s="26" t="s">
        <v>216</v>
      </c>
      <c r="M29" s="27"/>
      <c r="N29" s="77" t="n">
        <f aca="true">IF(C29="","",TODAY()-C29)</f>
        <v>14</v>
      </c>
      <c r="O29" s="78"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P29" s="26"/>
    </row>
    <row r="30" customFormat="false" ht="15" hidden="false" customHeight="true" outlineLevel="0" collapsed="false">
      <c r="A30" s="72" t="s">
        <v>217</v>
      </c>
      <c r="B30" s="27" t="s">
        <v>202</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t="s">
        <v>184</v>
      </c>
      <c r="L30" s="26" t="s">
        <v>218</v>
      </c>
      <c r="M30" s="27"/>
      <c r="N30" s="77" t="n">
        <f aca="true">IF(C30="","",TODAY()-C30)</f>
        <v>13</v>
      </c>
      <c r="O30" s="78"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P30" s="26"/>
    </row>
    <row r="31" customFormat="false" ht="15" hidden="true" customHeight="true" outlineLevel="1" collapsed="false">
      <c r="A31" s="72" t="s">
        <v>219</v>
      </c>
      <c r="B31" s="26" t="s">
        <v>196</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t="s">
        <v>188</v>
      </c>
      <c r="L31" s="26"/>
      <c r="M31" s="27"/>
      <c r="N31" s="77" t="n">
        <f aca="true">IF(C31="","",TODAY()-C31)</f>
        <v>14</v>
      </c>
      <c r="O31" s="78"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6"/>
    </row>
    <row r="32" customFormat="false" ht="15" hidden="true" customHeight="true" outlineLevel="1" collapsed="false">
      <c r="A32" s="72" t="s">
        <v>220</v>
      </c>
      <c r="B32" s="26" t="s">
        <v>196</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t="s">
        <v>188</v>
      </c>
      <c r="L32" s="26"/>
      <c r="M32" s="27"/>
      <c r="N32" s="77" t="n">
        <f aca="true">IF(C32="","",TODAY()-C32)</f>
        <v>15</v>
      </c>
      <c r="O32" s="78"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P32" s="26"/>
    </row>
    <row r="33" customFormat="false" ht="15" hidden="true" customHeight="true" outlineLevel="1" collapsed="false">
      <c r="A33" s="72" t="s">
        <v>221</v>
      </c>
      <c r="B33" s="26" t="s">
        <v>196</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t="s">
        <v>184</v>
      </c>
      <c r="L33" s="26" t="s">
        <v>222</v>
      </c>
      <c r="M33" s="27"/>
      <c r="N33" s="77" t="n">
        <f aca="true">IF(C33="","",TODAY()-C33)</f>
        <v>15</v>
      </c>
      <c r="O33" s="78"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P33" s="26"/>
    </row>
    <row r="34" customFormat="false" ht="15" hidden="false" customHeight="true" outlineLevel="0" collapsed="false">
      <c r="A34" s="72" t="s">
        <v>223</v>
      </c>
      <c r="B34" s="27" t="s">
        <v>202</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t="s">
        <v>184</v>
      </c>
      <c r="L34" s="26" t="s">
        <v>224</v>
      </c>
      <c r="M34" s="27"/>
      <c r="N34" s="77" t="n">
        <f aca="true">IF(C34="","",TODAY()-C34)</f>
        <v>15</v>
      </c>
      <c r="O34" s="78"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P34" s="26"/>
    </row>
    <row r="35" customFormat="false" ht="15" hidden="true" customHeight="true" outlineLevel="1" collapsed="false">
      <c r="A35" s="72" t="s">
        <v>225</v>
      </c>
      <c r="B35" s="26" t="s">
        <v>196</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t="s">
        <v>188</v>
      </c>
      <c r="L35" s="26"/>
      <c r="M35" s="27"/>
      <c r="N35" s="77" t="n">
        <f aca="true">IF(C35="","",TODAY()-C35)</f>
        <v>15</v>
      </c>
      <c r="O35" s="78"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6"/>
    </row>
    <row r="36" customFormat="false" ht="15" hidden="false" customHeight="true" outlineLevel="0" collapsed="false">
      <c r="A36" s="72" t="s">
        <v>226</v>
      </c>
      <c r="B36" s="27" t="s">
        <v>202</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t="s">
        <v>184</v>
      </c>
      <c r="L36" s="26" t="s">
        <v>227</v>
      </c>
      <c r="M36" s="27"/>
      <c r="N36" s="77" t="n">
        <f aca="true">IF(C36="","",TODAY()-C36)</f>
        <v>2</v>
      </c>
      <c r="O36" s="78"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P36" s="26"/>
    </row>
    <row r="37" customFormat="false" ht="15" hidden="true" customHeight="true" outlineLevel="1" collapsed="false">
      <c r="A37" s="72" t="s">
        <v>228</v>
      </c>
      <c r="B37" s="26" t="s">
        <v>196</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t="s">
        <v>184</v>
      </c>
      <c r="L37" s="26" t="s">
        <v>229</v>
      </c>
      <c r="M37" s="27"/>
      <c r="N37" s="77" t="n">
        <f aca="true">IF(C37="","",TODAY()-C37)</f>
        <v>14</v>
      </c>
      <c r="O37" s="78"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P37" s="26"/>
    </row>
    <row r="38" customFormat="false" ht="15" hidden="true" customHeight="true" outlineLevel="1" collapsed="false">
      <c r="A38" s="72" t="s">
        <v>230</v>
      </c>
      <c r="B38" s="26" t="s">
        <v>196</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t="s">
        <v>184</v>
      </c>
      <c r="L38" s="26" t="s">
        <v>231</v>
      </c>
      <c r="M38" s="27"/>
      <c r="N38" s="77" t="n">
        <f aca="true">IF(C38="","",TODAY()-C38)</f>
        <v>15</v>
      </c>
      <c r="O38" s="78"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P38" s="26"/>
    </row>
    <row r="39" customFormat="false" ht="15" hidden="true" customHeight="true" outlineLevel="1" collapsed="false">
      <c r="A39" s="72" t="s">
        <v>158</v>
      </c>
      <c r="B39" s="26" t="s">
        <v>196</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t="s">
        <v>184</v>
      </c>
      <c r="L39" s="26" t="s">
        <v>232</v>
      </c>
      <c r="M39" s="27"/>
      <c r="N39" s="77" t="n">
        <f aca="true">IF(C39="","",TODAY()-C39)</f>
        <v>20</v>
      </c>
      <c r="O39" s="78"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P39" s="26"/>
    </row>
    <row r="40" customFormat="false" ht="15" hidden="false" customHeight="true" outlineLevel="0" collapsed="false">
      <c r="A40" s="72" t="s">
        <v>233</v>
      </c>
      <c r="B40" s="27" t="s">
        <v>202</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t="s">
        <v>184</v>
      </c>
      <c r="L40" s="26" t="s">
        <v>234</v>
      </c>
      <c r="M40" s="27"/>
      <c r="N40" s="77" t="n">
        <f aca="true">IF(C40="","",TODAY()-C40)</f>
        <v>15</v>
      </c>
      <c r="O40" s="78"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P40" s="26"/>
    </row>
    <row r="41" customFormat="false" ht="15" hidden="false" customHeight="true" outlineLevel="0" collapsed="false">
      <c r="A41" s="72" t="s">
        <v>235</v>
      </c>
      <c r="B41" s="27" t="s">
        <v>202</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t="s">
        <v>184</v>
      </c>
      <c r="L41" s="26" t="s">
        <v>236</v>
      </c>
      <c r="M41" s="27"/>
      <c r="N41" s="77" t="n">
        <f aca="true">IF(C41="","",TODAY()-C41)</f>
        <v>13</v>
      </c>
      <c r="O41" s="78"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P41" s="26"/>
    </row>
    <row r="42" customFormat="false" ht="15" hidden="true" customHeight="true" outlineLevel="1" collapsed="false">
      <c r="A42" s="72" t="s">
        <v>237</v>
      </c>
      <c r="B42" s="26" t="s">
        <v>196</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t="s">
        <v>188</v>
      </c>
      <c r="L42" s="26"/>
      <c r="M42" s="27"/>
      <c r="N42" s="77" t="n">
        <f aca="true">IF(C42="","",TODAY()-C42)</f>
        <v>15</v>
      </c>
      <c r="O42" s="78"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6"/>
    </row>
    <row r="43" customFormat="false" ht="15" hidden="true" customHeight="true" outlineLevel="1" collapsed="false">
      <c r="A43" s="79" t="s">
        <v>147</v>
      </c>
      <c r="B43" s="80" t="s">
        <v>196</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t="s">
        <v>184</v>
      </c>
      <c r="L43" s="80" t="s">
        <v>238</v>
      </c>
      <c r="M43" s="82"/>
      <c r="N43" s="85" t="n">
        <f aca="true">IF(C43="","",TODAY()-C43)</f>
        <v>20</v>
      </c>
      <c r="O43" s="12"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P43" s="80"/>
    </row>
    <row r="44" customFormat="false" ht="15" hidden="true" customHeight="true" outlineLevel="1" collapsed="false">
      <c r="A44" s="79" t="s">
        <v>150</v>
      </c>
      <c r="B44" s="80" t="s">
        <v>196</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t="s">
        <v>188</v>
      </c>
      <c r="L44" s="80"/>
      <c r="M44" s="82"/>
      <c r="N44" s="85" t="n">
        <f aca="true">IF(C44="","",TODAY()-C44)</f>
        <v>20</v>
      </c>
      <c r="O44" s="12"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80"/>
    </row>
    <row r="45" customFormat="false" ht="15" hidden="false" customHeight="true" outlineLevel="0" collapsed="false">
      <c r="A45" s="79" t="s">
        <v>239</v>
      </c>
      <c r="B45" s="82" t="s">
        <v>202</v>
      </c>
      <c r="C45" s="81" t="n">
        <v>46245</v>
      </c>
      <c r="D45" s="82" t="n">
        <v>86.4</v>
      </c>
      <c r="E45" s="82" t="n">
        <v>4.57</v>
      </c>
      <c r="F45" s="74" t="s">
        <v>183</v>
      </c>
      <c r="G45" s="82" t="n">
        <v>362.82</v>
      </c>
      <c r="H45" s="83" t="str">
        <f aca="false" t="array" ref="H45:H45">IFERROR(INDEX(_xlfn.stockhistory(A45,TODAY()-5,TODAY(),0,0,1),ROWS(_xlfn.stockhistory(A45,TODAY()-5,TODAY(),0,0,1)),1),"")</f>
        <v/>
      </c>
      <c r="I45" s="16" t="str">
        <f aca="false">IF(OR(G45="",H45=""),"",H45/G45-1)</f>
        <v/>
      </c>
      <c r="J45" s="84" t="n">
        <v>46322</v>
      </c>
      <c r="K45" s="82" t="s">
        <v>184</v>
      </c>
      <c r="L45" s="80" t="s">
        <v>240</v>
      </c>
      <c r="M45" s="82"/>
      <c r="N45" s="85" t="n">
        <f aca="true">IF(C45="","",TODAY()-C45)</f>
        <v>15</v>
      </c>
      <c r="O45" s="12"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P45" s="80"/>
    </row>
    <row r="46" customFormat="false" ht="15" hidden="true" customHeight="true" outlineLevel="1" collapsed="false">
      <c r="A46" s="79" t="s">
        <v>241</v>
      </c>
      <c r="B46" s="80" t="s">
        <v>196</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t="s">
        <v>184</v>
      </c>
      <c r="L46" s="80" t="s">
        <v>242</v>
      </c>
      <c r="M46" s="82"/>
      <c r="N46" s="85" t="n">
        <f aca="true">IF(C46="","",TODAY()-C46)</f>
        <v>14</v>
      </c>
      <c r="O46" s="12"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P46" s="80"/>
    </row>
    <row r="47" customFormat="false" ht="15" hidden="false" customHeight="true" outlineLevel="0" collapsed="false">
      <c r="A47" s="79" t="s">
        <v>243</v>
      </c>
      <c r="B47" s="82" t="s">
        <v>202</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t="s">
        <v>184</v>
      </c>
      <c r="L47" s="80" t="s">
        <v>244</v>
      </c>
      <c r="M47" s="82"/>
      <c r="N47" s="85" t="n">
        <f aca="true">IF(C47="","",TODAY()-C47)</f>
        <v>15</v>
      </c>
      <c r="O47" s="12"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P47" s="80"/>
    </row>
  </sheetData>
  <mergeCells count="1">
    <mergeCell ref="A1:P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O3:O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245</v>
      </c>
      <c r="B1" s="86"/>
      <c r="C1" s="86"/>
      <c r="D1" s="86"/>
      <c r="E1" s="86"/>
      <c r="F1" s="86"/>
      <c r="G1" s="86"/>
      <c r="H1" s="86"/>
      <c r="I1" s="86"/>
      <c r="J1" s="86"/>
      <c r="K1" s="86"/>
      <c r="L1" s="86"/>
      <c r="M1" s="86"/>
      <c r="N1" s="86"/>
      <c r="O1" s="86"/>
      <c r="P1" s="86"/>
      <c r="Q1" s="86"/>
    </row>
    <row r="2" customFormat="false" ht="15" hidden="false" customHeight="true" outlineLevel="0" collapsed="false">
      <c r="A2" s="87" t="s">
        <v>246</v>
      </c>
      <c r="B2" s="88" t="s">
        <v>90</v>
      </c>
      <c r="C2" s="88" t="s">
        <v>95</v>
      </c>
      <c r="D2" s="88" t="s">
        <v>97</v>
      </c>
      <c r="E2" s="88" t="s">
        <v>135</v>
      </c>
      <c r="F2" s="88" t="s">
        <v>99</v>
      </c>
      <c r="G2" s="88" t="s">
        <v>101</v>
      </c>
      <c r="H2" s="88" t="s">
        <v>103</v>
      </c>
      <c r="I2" s="88" t="s">
        <v>105</v>
      </c>
      <c r="J2" s="88" t="s">
        <v>144</v>
      </c>
      <c r="K2" s="88" t="s">
        <v>107</v>
      </c>
      <c r="L2" s="88" t="s">
        <v>109</v>
      </c>
      <c r="M2" s="88" t="s">
        <v>111</v>
      </c>
      <c r="N2" s="88" t="s">
        <v>137</v>
      </c>
      <c r="O2" s="88" t="s">
        <v>127</v>
      </c>
      <c r="P2" s="88"/>
      <c r="Q2" s="88" t="s">
        <v>133</v>
      </c>
      <c r="R2" s="88" t="s">
        <v>124</v>
      </c>
      <c r="S2" s="88" t="s">
        <v>140</v>
      </c>
      <c r="T2" s="88" t="s">
        <v>142</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76</v>
      </c>
      <c r="B1" s="93" t="s">
        <v>247</v>
      </c>
      <c r="C1" s="93" t="s">
        <v>248</v>
      </c>
      <c r="D1" s="94" t="s">
        <v>249</v>
      </c>
      <c r="E1" s="94" t="s">
        <v>250</v>
      </c>
      <c r="F1" s="93" t="s">
        <v>251</v>
      </c>
      <c r="G1" s="93" t="s">
        <v>252</v>
      </c>
      <c r="H1" s="93" t="s">
        <v>253</v>
      </c>
      <c r="I1" s="93" t="s">
        <v>254</v>
      </c>
      <c r="J1" s="93" t="s">
        <v>255</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256</v>
      </c>
      <c r="B48" s="100"/>
      <c r="C48" s="100"/>
      <c r="D48" s="100"/>
      <c r="E48" s="100"/>
      <c r="F48" s="100"/>
    </row>
    <row r="49" customFormat="false" ht="15.75" hidden="false" customHeight="true" outlineLevel="0" collapsed="false">
      <c r="A49" s="101" t="n">
        <f aca="false">SUBTOTAL(103,A2:A47)</f>
        <v>26</v>
      </c>
      <c r="B49" s="102" t="s">
        <v>257</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258</v>
      </c>
      <c r="E1" s="103"/>
      <c r="F1" s="103"/>
      <c r="G1" s="103"/>
      <c r="H1" s="103"/>
      <c r="I1" s="103"/>
      <c r="J1" s="103"/>
      <c r="K1" s="103"/>
      <c r="L1" s="103"/>
      <c r="M1" s="103"/>
      <c r="N1" s="103"/>
      <c r="O1" s="103"/>
      <c r="P1" s="103" t="s">
        <v>259</v>
      </c>
      <c r="Q1" s="103"/>
      <c r="R1" s="103"/>
      <c r="S1" s="103"/>
      <c r="T1" s="103"/>
      <c r="U1" s="103"/>
      <c r="V1" s="103"/>
      <c r="W1" s="103"/>
      <c r="X1" s="103"/>
      <c r="Y1" s="103" t="s">
        <v>260</v>
      </c>
      <c r="Z1" s="103"/>
      <c r="AA1" s="103"/>
      <c r="AB1" s="103"/>
      <c r="AC1" s="103"/>
      <c r="AD1" s="103"/>
      <c r="AE1" s="103"/>
      <c r="AH1" s="104" t="s">
        <v>261</v>
      </c>
      <c r="AI1" s="104"/>
      <c r="AJ1" s="104"/>
      <c r="AK1" s="104"/>
      <c r="AL1" s="105" t="s">
        <v>262</v>
      </c>
      <c r="AM1" s="105"/>
      <c r="AN1" s="106" t="s">
        <v>263</v>
      </c>
      <c r="AO1" s="106"/>
      <c r="AP1" s="106"/>
      <c r="AQ1" s="106"/>
      <c r="AR1" s="106"/>
      <c r="AS1" s="106"/>
    </row>
    <row r="2" customFormat="false" ht="37.5" hidden="false" customHeight="true" outlineLevel="0" collapsed="false">
      <c r="A2" s="107" t="s">
        <v>76</v>
      </c>
      <c r="B2" s="107" t="s">
        <v>247</v>
      </c>
      <c r="C2" s="107" t="s">
        <v>264</v>
      </c>
      <c r="D2" s="108" t="s">
        <v>265</v>
      </c>
      <c r="E2" s="108" t="s">
        <v>266</v>
      </c>
      <c r="F2" s="108" t="s">
        <v>267</v>
      </c>
      <c r="G2" s="108" t="s">
        <v>266</v>
      </c>
      <c r="H2" s="108" t="s">
        <v>268</v>
      </c>
      <c r="I2" s="108" t="s">
        <v>266</v>
      </c>
      <c r="J2" s="108" t="s">
        <v>269</v>
      </c>
      <c r="K2" s="108" t="s">
        <v>266</v>
      </c>
      <c r="L2" s="108" t="s">
        <v>270</v>
      </c>
      <c r="M2" s="108" t="s">
        <v>271</v>
      </c>
      <c r="N2" s="108" t="s">
        <v>272</v>
      </c>
      <c r="O2" s="108" t="s">
        <v>273</v>
      </c>
      <c r="P2" s="107" t="s">
        <v>274</v>
      </c>
      <c r="Q2" s="107" t="s">
        <v>266</v>
      </c>
      <c r="R2" s="107" t="s">
        <v>275</v>
      </c>
      <c r="S2" s="107" t="s">
        <v>266</v>
      </c>
      <c r="T2" s="107" t="s">
        <v>276</v>
      </c>
      <c r="U2" s="107" t="s">
        <v>266</v>
      </c>
      <c r="V2" s="107" t="s">
        <v>277</v>
      </c>
      <c r="W2" s="107" t="s">
        <v>266</v>
      </c>
      <c r="X2" s="107" t="s">
        <v>278</v>
      </c>
      <c r="Y2" s="107" t="s">
        <v>279</v>
      </c>
      <c r="Z2" s="107" t="s">
        <v>266</v>
      </c>
      <c r="AA2" s="107" t="s">
        <v>280</v>
      </c>
      <c r="AB2" s="107" t="s">
        <v>266</v>
      </c>
      <c r="AC2" s="107" t="s">
        <v>281</v>
      </c>
      <c r="AD2" s="107" t="s">
        <v>266</v>
      </c>
      <c r="AE2" s="107" t="s">
        <v>282</v>
      </c>
      <c r="AF2" s="107" t="s">
        <v>283</v>
      </c>
      <c r="AG2" s="107" t="s">
        <v>251</v>
      </c>
      <c r="AH2" s="104" t="s">
        <v>284</v>
      </c>
      <c r="AI2" s="104" t="s">
        <v>285</v>
      </c>
      <c r="AJ2" s="104" t="s">
        <v>286</v>
      </c>
      <c r="AK2" s="104" t="s">
        <v>287</v>
      </c>
      <c r="AL2" s="109" t="s">
        <v>288</v>
      </c>
      <c r="AM2" s="107" t="s">
        <v>289</v>
      </c>
      <c r="AN2" s="107" t="s">
        <v>290</v>
      </c>
      <c r="AO2" s="107" t="s">
        <v>291</v>
      </c>
      <c r="AP2" s="107" t="s">
        <v>292</v>
      </c>
      <c r="AQ2" s="107" t="s">
        <v>293</v>
      </c>
      <c r="AR2" s="107" t="s">
        <v>294</v>
      </c>
      <c r="AS2" s="109" t="s">
        <v>295</v>
      </c>
    </row>
    <row r="3" customFormat="false" ht="15" hidden="false" customHeight="true" outlineLevel="0" collapsed="false">
      <c r="A3" s="72" t="s">
        <v>103</v>
      </c>
      <c r="B3" s="110" t="s">
        <v>104</v>
      </c>
      <c r="C3" s="111" t="n">
        <v>46240</v>
      </c>
      <c r="D3" s="110" t="n">
        <v>3</v>
      </c>
      <c r="E3" s="110" t="s">
        <v>296</v>
      </c>
      <c r="F3" s="110" t="n">
        <v>3</v>
      </c>
      <c r="G3" s="110" t="s">
        <v>296</v>
      </c>
      <c r="H3" s="110" t="n">
        <v>4</v>
      </c>
      <c r="I3" s="110" t="s">
        <v>297</v>
      </c>
      <c r="J3" s="110" t="n">
        <v>5</v>
      </c>
      <c r="K3" s="110" t="s">
        <v>297</v>
      </c>
      <c r="L3" s="110" t="n">
        <v>4</v>
      </c>
      <c r="M3" s="110" t="s">
        <v>296</v>
      </c>
      <c r="N3" s="112" t="n">
        <f aca="false">IF(COUNT(D3,F3,H3,J3,L3)=0,"",(D3*0.2+F3*0.15+H3*0.15+J3*0.1+L3*0.1)/0.7)</f>
        <v>3.64285714285714</v>
      </c>
      <c r="O3" s="113" t="n">
        <f aca="false">IF(COUNT(D3,F3,H3,J3,L3)=0,"",D3*0.2+F3*0.15+H3*0.15+J3*0.1+L3*0.1)</f>
        <v>2.55</v>
      </c>
      <c r="P3" s="110" t="n">
        <v>4</v>
      </c>
      <c r="Q3" s="110" t="s">
        <v>296</v>
      </c>
      <c r="R3" s="110" t="n">
        <v>5</v>
      </c>
      <c r="S3" s="110" t="s">
        <v>296</v>
      </c>
      <c r="T3" s="110" t="n">
        <v>5</v>
      </c>
      <c r="U3" s="110" t="s">
        <v>297</v>
      </c>
      <c r="V3" s="110" t="n">
        <v>1</v>
      </c>
      <c r="W3" s="110" t="s">
        <v>297</v>
      </c>
      <c r="X3" s="113" t="n">
        <f aca="false">IF(COUNT(P3,R3,T3,V3)=0,"",P3*0.08+R3*0.06+T3*0.03+V3*0.08)</f>
        <v>0.85</v>
      </c>
      <c r="Y3" s="110" t="n">
        <v>5</v>
      </c>
      <c r="Z3" s="110" t="s">
        <v>297</v>
      </c>
      <c r="AA3" s="110" t="n">
        <v>3</v>
      </c>
      <c r="AB3" s="110" t="s">
        <v>296</v>
      </c>
      <c r="AC3" s="110" t="n">
        <v>3</v>
      </c>
      <c r="AD3" s="110" t="s">
        <v>298</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299</v>
      </c>
      <c r="AM3" s="110" t="s">
        <v>300</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135</v>
      </c>
      <c r="B4" s="110" t="s">
        <v>136</v>
      </c>
      <c r="C4" s="111" t="n">
        <v>46240</v>
      </c>
      <c r="D4" s="110" t="n">
        <v>3</v>
      </c>
      <c r="E4" s="110" t="s">
        <v>296</v>
      </c>
      <c r="F4" s="110" t="n">
        <v>4</v>
      </c>
      <c r="G4" s="110" t="s">
        <v>297</v>
      </c>
      <c r="H4" s="110" t="n">
        <v>5</v>
      </c>
      <c r="I4" s="110" t="s">
        <v>297</v>
      </c>
      <c r="J4" s="110" t="n">
        <v>4</v>
      </c>
      <c r="K4" s="110" t="s">
        <v>296</v>
      </c>
      <c r="L4" s="110" t="n">
        <v>5</v>
      </c>
      <c r="M4" s="110" t="s">
        <v>297</v>
      </c>
      <c r="N4" s="112" t="n">
        <f aca="false">IF(COUNT(D4,F4,H4,J4,L4)=0,"",(D4*0.2+F4*0.15+H4*0.15+J4*0.1+L4*0.1)/0.7)</f>
        <v>4.07142857142857</v>
      </c>
      <c r="O4" s="113" t="n">
        <f aca="false">IF(COUNT(D4,F4,H4,J4,L4)=0,"",D4*0.2+F4*0.15+H4*0.15+J4*0.1+L4*0.1)</f>
        <v>2.85</v>
      </c>
      <c r="P4" s="110" t="n">
        <v>4</v>
      </c>
      <c r="Q4" s="110" t="s">
        <v>297</v>
      </c>
      <c r="R4" s="110" t="n">
        <v>4</v>
      </c>
      <c r="S4" s="110" t="s">
        <v>298</v>
      </c>
      <c r="T4" s="110" t="n">
        <v>4</v>
      </c>
      <c r="U4" s="110" t="s">
        <v>296</v>
      </c>
      <c r="V4" s="110" t="n">
        <v>4</v>
      </c>
      <c r="W4" s="110" t="s">
        <v>296</v>
      </c>
      <c r="X4" s="113" t="n">
        <f aca="false">IF(COUNT(P4,R4,T4,V4)=0,"",P4*0.08+R4*0.06+T4*0.03+V4*0.08)</f>
        <v>1</v>
      </c>
      <c r="Y4" s="110" t="n">
        <v>3</v>
      </c>
      <c r="Z4" s="110" t="s">
        <v>296</v>
      </c>
      <c r="AA4" s="110" t="n">
        <v>5</v>
      </c>
      <c r="AB4" s="110" t="s">
        <v>297</v>
      </c>
      <c r="AC4" s="110" t="n">
        <v>3</v>
      </c>
      <c r="AD4" s="110" t="s">
        <v>296</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299</v>
      </c>
      <c r="AM4" s="110" t="s">
        <v>300</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107</v>
      </c>
      <c r="B5" s="110" t="s">
        <v>108</v>
      </c>
      <c r="C5" s="111" t="n">
        <v>46240</v>
      </c>
      <c r="D5" s="110" t="n">
        <v>2</v>
      </c>
      <c r="E5" s="110" t="s">
        <v>297</v>
      </c>
      <c r="F5" s="110" t="n">
        <v>5</v>
      </c>
      <c r="G5" s="110" t="s">
        <v>297</v>
      </c>
      <c r="H5" s="110" t="n">
        <v>5</v>
      </c>
      <c r="I5" s="110" t="s">
        <v>296</v>
      </c>
      <c r="J5" s="110" t="n">
        <v>4</v>
      </c>
      <c r="K5" s="110" t="s">
        <v>296</v>
      </c>
      <c r="L5" s="110" t="n">
        <v>5</v>
      </c>
      <c r="M5" s="110" t="s">
        <v>297</v>
      </c>
      <c r="N5" s="112" t="n">
        <f aca="false">IF(COUNT(D5,F5,H5,J5,L5)=0,"",(D5*0.2+F5*0.15+H5*0.15+J5*0.1+L5*0.1)/0.7)</f>
        <v>4</v>
      </c>
      <c r="O5" s="113" t="n">
        <f aca="false">IF(COUNT(D5,F5,H5,J5,L5)=0,"",D5*0.2+F5*0.15+H5*0.15+J5*0.1+L5*0.1)</f>
        <v>2.8</v>
      </c>
      <c r="P5" s="110" t="n">
        <v>3</v>
      </c>
      <c r="Q5" s="110" t="s">
        <v>296</v>
      </c>
      <c r="R5" s="110" t="n">
        <v>5</v>
      </c>
      <c r="S5" s="110" t="s">
        <v>297</v>
      </c>
      <c r="T5" s="110" t="n">
        <v>3</v>
      </c>
      <c r="U5" s="110" t="s">
        <v>296</v>
      </c>
      <c r="V5" s="110" t="n">
        <v>2</v>
      </c>
      <c r="W5" s="110" t="s">
        <v>296</v>
      </c>
      <c r="X5" s="113" t="n">
        <f aca="false">IF(COUNT(P5,R5,T5,V5)=0,"",P5*0.08+R5*0.06+T5*0.03+V5*0.08)</f>
        <v>0.79</v>
      </c>
      <c r="Y5" s="110" t="n">
        <v>3</v>
      </c>
      <c r="Z5" s="110" t="s">
        <v>298</v>
      </c>
      <c r="AA5" s="110" t="n">
        <v>4</v>
      </c>
      <c r="AB5" s="110" t="s">
        <v>296</v>
      </c>
      <c r="AC5" s="110" t="n">
        <v>3</v>
      </c>
      <c r="AD5" s="110" t="s">
        <v>298</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299</v>
      </c>
      <c r="AM5" s="110" t="s">
        <v>301</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105</v>
      </c>
      <c r="B6" s="110" t="s">
        <v>106</v>
      </c>
      <c r="C6" s="111" t="n">
        <v>46240</v>
      </c>
      <c r="D6" s="110" t="n">
        <v>4</v>
      </c>
      <c r="E6" s="110" t="s">
        <v>297</v>
      </c>
      <c r="F6" s="110" t="n">
        <v>5</v>
      </c>
      <c r="G6" s="110" t="s">
        <v>297</v>
      </c>
      <c r="H6" s="110" t="n">
        <v>5</v>
      </c>
      <c r="I6" s="110" t="s">
        <v>297</v>
      </c>
      <c r="J6" s="110" t="n">
        <v>4</v>
      </c>
      <c r="K6" s="110" t="s">
        <v>297</v>
      </c>
      <c r="L6" s="110" t="n">
        <v>5</v>
      </c>
      <c r="M6" s="110" t="s">
        <v>297</v>
      </c>
      <c r="N6" s="112" t="n">
        <f aca="false">IF(COUNT(D6,F6,H6,J6,L6)=0,"",(D6*0.2+F6*0.15+H6*0.15+J6*0.1+L6*0.1)/0.7)</f>
        <v>4.57142857142857</v>
      </c>
      <c r="O6" s="113" t="n">
        <f aca="false">IF(COUNT(D6,F6,H6,J6,L6)=0,"",D6*0.2+F6*0.15+H6*0.15+J6*0.1+L6*0.1)</f>
        <v>3.2</v>
      </c>
      <c r="P6" s="110" t="n">
        <v>5</v>
      </c>
      <c r="Q6" s="110" t="s">
        <v>297</v>
      </c>
      <c r="R6" s="110" t="n">
        <v>5</v>
      </c>
      <c r="S6" s="110" t="s">
        <v>297</v>
      </c>
      <c r="T6" s="110" t="n">
        <v>5</v>
      </c>
      <c r="U6" s="110" t="s">
        <v>297</v>
      </c>
      <c r="V6" s="110" t="n">
        <v>5</v>
      </c>
      <c r="W6" s="110" t="s">
        <v>296</v>
      </c>
      <c r="X6" s="113" t="n">
        <f aca="false">IF(COUNT(P6,R6,T6,V6)=0,"",P6*0.08+R6*0.06+T6*0.03+V6*0.08)</f>
        <v>1.25</v>
      </c>
      <c r="Y6" s="110" t="n">
        <v>4</v>
      </c>
      <c r="Z6" s="110" t="s">
        <v>296</v>
      </c>
      <c r="AA6" s="110" t="n">
        <v>5</v>
      </c>
      <c r="AB6" s="110" t="s">
        <v>296</v>
      </c>
      <c r="AC6" s="110" t="n">
        <v>3</v>
      </c>
      <c r="AD6" s="110" t="s">
        <v>298</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299</v>
      </c>
      <c r="AM6" s="110" t="s">
        <v>300</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137</v>
      </c>
      <c r="B7" s="110" t="s">
        <v>138</v>
      </c>
      <c r="C7" s="111" t="n">
        <v>46241</v>
      </c>
      <c r="D7" s="110" t="n">
        <v>4</v>
      </c>
      <c r="E7" s="110" t="s">
        <v>297</v>
      </c>
      <c r="F7" s="110" t="n">
        <v>3</v>
      </c>
      <c r="G7" s="110" t="s">
        <v>296</v>
      </c>
      <c r="H7" s="110" t="n">
        <v>4</v>
      </c>
      <c r="I7" s="110" t="s">
        <v>296</v>
      </c>
      <c r="J7" s="110" t="n">
        <v>4</v>
      </c>
      <c r="K7" s="110" t="s">
        <v>296</v>
      </c>
      <c r="L7" s="110" t="n">
        <v>4</v>
      </c>
      <c r="M7" s="110" t="s">
        <v>297</v>
      </c>
      <c r="N7" s="112" t="n">
        <f aca="false">IF(COUNT(D7,F7,H7,J7,L7)=0,"",(D7*0.2+F7*0.15+H7*0.15+J7*0.1+L7*0.1)/0.7)</f>
        <v>3.78571428571429</v>
      </c>
      <c r="O7" s="113" t="n">
        <f aca="false">IF(COUNT(D7,F7,H7,J7,L7)=0,"",D7*0.2+F7*0.15+H7*0.15+J7*0.1+L7*0.1)</f>
        <v>2.65</v>
      </c>
      <c r="P7" s="110" t="n">
        <v>3</v>
      </c>
      <c r="Q7" s="110" t="s">
        <v>296</v>
      </c>
      <c r="R7" s="110" t="n">
        <v>4</v>
      </c>
      <c r="S7" s="110" t="s">
        <v>296</v>
      </c>
      <c r="T7" s="110" t="n">
        <v>4</v>
      </c>
      <c r="U7" s="110" t="s">
        <v>296</v>
      </c>
      <c r="V7" s="110" t="n">
        <v>4</v>
      </c>
      <c r="W7" s="110" t="s">
        <v>296</v>
      </c>
      <c r="X7" s="113" t="n">
        <f aca="false">IF(COUNT(P7,R7,T7,V7)=0,"",P7*0.08+R7*0.06+T7*0.03+V7*0.08)</f>
        <v>0.92</v>
      </c>
      <c r="Y7" s="110" t="n">
        <v>4</v>
      </c>
      <c r="Z7" s="110" t="s">
        <v>296</v>
      </c>
      <c r="AA7" s="110" t="n">
        <v>5</v>
      </c>
      <c r="AB7" s="110" t="s">
        <v>297</v>
      </c>
      <c r="AC7" s="110" t="n">
        <v>3</v>
      </c>
      <c r="AD7" s="110" t="s">
        <v>298</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302</v>
      </c>
      <c r="AM7" s="110" t="s">
        <v>303</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144</v>
      </c>
      <c r="B8" s="110" t="s">
        <v>304</v>
      </c>
      <c r="C8" s="111" t="n">
        <v>46240</v>
      </c>
      <c r="D8" s="110" t="n">
        <v>4</v>
      </c>
      <c r="E8" s="110" t="s">
        <v>296</v>
      </c>
      <c r="F8" s="110" t="n">
        <v>4</v>
      </c>
      <c r="G8" s="110" t="s">
        <v>296</v>
      </c>
      <c r="H8" s="110" t="n">
        <v>5</v>
      </c>
      <c r="I8" s="110" t="s">
        <v>297</v>
      </c>
      <c r="J8" s="110" t="n">
        <v>4</v>
      </c>
      <c r="K8" s="110" t="s">
        <v>296</v>
      </c>
      <c r="L8" s="110" t="n">
        <v>5</v>
      </c>
      <c r="M8" s="110" t="s">
        <v>297</v>
      </c>
      <c r="N8" s="112" t="n">
        <f aca="false">IF(COUNT(D8,F8,H8,J8,L8)=0,"",(D8*0.2+F8*0.15+H8*0.15+J8*0.1+L8*0.1)/0.7)</f>
        <v>4.35714285714286</v>
      </c>
      <c r="O8" s="113" t="n">
        <f aca="false">IF(COUNT(D8,F8,H8,J8,L8)=0,"",D8*0.2+F8*0.15+H8*0.15+J8*0.1+L8*0.1)</f>
        <v>3.05</v>
      </c>
      <c r="P8" s="110" t="n">
        <v>5</v>
      </c>
      <c r="Q8" s="110" t="s">
        <v>297</v>
      </c>
      <c r="R8" s="110" t="n">
        <v>3</v>
      </c>
      <c r="S8" s="110" t="s">
        <v>298</v>
      </c>
      <c r="T8" s="110" t="n">
        <v>4</v>
      </c>
      <c r="U8" s="110" t="s">
        <v>298</v>
      </c>
      <c r="V8" s="110" t="n">
        <v>2</v>
      </c>
      <c r="W8" s="110" t="s">
        <v>297</v>
      </c>
      <c r="X8" s="113" t="n">
        <f aca="false">IF(COUNT(P8,R8,T8,V8)=0,"",P8*0.08+R8*0.06+T8*0.03+V8*0.08)</f>
        <v>0.86</v>
      </c>
      <c r="Y8" s="110" t="n">
        <v>4</v>
      </c>
      <c r="Z8" s="110" t="s">
        <v>298</v>
      </c>
      <c r="AA8" s="110" t="n">
        <v>4</v>
      </c>
      <c r="AB8" s="110" t="s">
        <v>296</v>
      </c>
      <c r="AC8" s="110" t="n">
        <v>3</v>
      </c>
      <c r="AD8" s="110" t="s">
        <v>298</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305</v>
      </c>
      <c r="AM8" s="110" t="s">
        <v>306</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147</v>
      </c>
      <c r="B9" s="110" t="s">
        <v>148</v>
      </c>
      <c r="C9" s="111" t="n">
        <v>46240</v>
      </c>
      <c r="D9" s="110" t="n">
        <v>2</v>
      </c>
      <c r="E9" s="110" t="s">
        <v>296</v>
      </c>
      <c r="F9" s="110" t="n">
        <v>2</v>
      </c>
      <c r="G9" s="110" t="s">
        <v>296</v>
      </c>
      <c r="H9" s="110" t="n">
        <v>2</v>
      </c>
      <c r="I9" s="110" t="s">
        <v>296</v>
      </c>
      <c r="J9" s="110" t="n">
        <v>2</v>
      </c>
      <c r="K9" s="110" t="s">
        <v>296</v>
      </c>
      <c r="L9" s="110" t="n">
        <v>1</v>
      </c>
      <c r="M9" s="110" t="s">
        <v>297</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307</v>
      </c>
      <c r="AM9" s="110" t="s">
        <v>308</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158</v>
      </c>
      <c r="B10" s="110" t="s">
        <v>159</v>
      </c>
      <c r="C10" s="111" t="n">
        <v>46240</v>
      </c>
      <c r="D10" s="110" t="n">
        <v>2</v>
      </c>
      <c r="E10" s="110" t="s">
        <v>296</v>
      </c>
      <c r="F10" s="110" t="n">
        <v>4</v>
      </c>
      <c r="G10" s="110" t="s">
        <v>297</v>
      </c>
      <c r="H10" s="110" t="n">
        <v>3</v>
      </c>
      <c r="I10" s="110" t="s">
        <v>296</v>
      </c>
      <c r="J10" s="110" t="n">
        <v>2</v>
      </c>
      <c r="K10" s="110" t="s">
        <v>296</v>
      </c>
      <c r="L10" s="110" t="n">
        <v>2</v>
      </c>
      <c r="M10" s="110" t="s">
        <v>297</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309</v>
      </c>
      <c r="AM10" s="110" t="s">
        <v>310</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150</v>
      </c>
      <c r="B11" s="110" t="s">
        <v>151</v>
      </c>
      <c r="C11" s="111" t="n">
        <v>46240</v>
      </c>
      <c r="D11" s="110" t="n">
        <v>1</v>
      </c>
      <c r="E11" s="110" t="s">
        <v>297</v>
      </c>
      <c r="F11" s="110" t="n">
        <v>2</v>
      </c>
      <c r="G11" s="110" t="s">
        <v>296</v>
      </c>
      <c r="H11" s="110" t="n">
        <v>3</v>
      </c>
      <c r="I11" s="110" t="s">
        <v>296</v>
      </c>
      <c r="J11" s="110" t="n">
        <v>3</v>
      </c>
      <c r="K11" s="110" t="s">
        <v>296</v>
      </c>
      <c r="L11" s="110" t="n">
        <v>1</v>
      </c>
      <c r="M11" s="110" t="s">
        <v>297</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309</v>
      </c>
      <c r="AM11" s="110" t="s">
        <v>311</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90</v>
      </c>
      <c r="B12" s="110" t="s">
        <v>91</v>
      </c>
      <c r="C12" s="111" t="n">
        <v>46240</v>
      </c>
      <c r="D12" s="110" t="n">
        <v>5</v>
      </c>
      <c r="E12" s="110" t="s">
        <v>297</v>
      </c>
      <c r="F12" s="110" t="n">
        <v>4</v>
      </c>
      <c r="G12" s="110" t="s">
        <v>297</v>
      </c>
      <c r="H12" s="110" t="n">
        <v>4</v>
      </c>
      <c r="I12" s="110" t="s">
        <v>296</v>
      </c>
      <c r="J12" s="110" t="n">
        <v>5</v>
      </c>
      <c r="K12" s="110" t="s">
        <v>297</v>
      </c>
      <c r="L12" s="110" t="n">
        <v>5</v>
      </c>
      <c r="M12" s="110" t="s">
        <v>297</v>
      </c>
      <c r="N12" s="112" t="n">
        <f aca="false">IF(COUNT(D12,F12,H12,J12,L12)=0,"",(D12*0.2+F12*0.15+H12*0.15+J12*0.1+L12*0.1)/0.7)</f>
        <v>4.57142857142857</v>
      </c>
      <c r="O12" s="113" t="n">
        <f aca="false">IF(COUNT(D12,F12,H12,J12,L12)=0,"",D12*0.2+F12*0.15+H12*0.15+J12*0.1+L12*0.1)</f>
        <v>3.2</v>
      </c>
      <c r="P12" s="110" t="n">
        <v>3</v>
      </c>
      <c r="Q12" s="110" t="s">
        <v>296</v>
      </c>
      <c r="R12" s="110" t="n">
        <v>5</v>
      </c>
      <c r="S12" s="110" t="s">
        <v>297</v>
      </c>
      <c r="T12" s="110" t="n">
        <v>1</v>
      </c>
      <c r="U12" s="110" t="s">
        <v>297</v>
      </c>
      <c r="V12" s="110" t="n">
        <v>5</v>
      </c>
      <c r="W12" s="110" t="s">
        <v>297</v>
      </c>
      <c r="X12" s="113" t="n">
        <f aca="false">IF(COUNT(P12,R12,T12,V12)=0,"",P12*0.08+R12*0.06+T12*0.03+V12*0.08)</f>
        <v>0.97</v>
      </c>
      <c r="Y12" s="110" t="n">
        <v>2</v>
      </c>
      <c r="Z12" s="110" t="s">
        <v>296</v>
      </c>
      <c r="AA12" s="110" t="n">
        <v>3</v>
      </c>
      <c r="AB12" s="110" t="s">
        <v>296</v>
      </c>
      <c r="AC12" s="110" t="n">
        <v>2</v>
      </c>
      <c r="AD12" s="110" t="s">
        <v>298</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299</v>
      </c>
      <c r="AM12" s="110" t="s">
        <v>312</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95</v>
      </c>
      <c r="B13" s="110" t="s">
        <v>96</v>
      </c>
      <c r="C13" s="111" t="n">
        <v>46240</v>
      </c>
      <c r="D13" s="110" t="n">
        <v>4</v>
      </c>
      <c r="E13" s="110" t="s">
        <v>296</v>
      </c>
      <c r="F13" s="110" t="n">
        <v>5</v>
      </c>
      <c r="G13" s="110" t="s">
        <v>297</v>
      </c>
      <c r="H13" s="110" t="n">
        <v>5</v>
      </c>
      <c r="I13" s="110" t="s">
        <v>297</v>
      </c>
      <c r="J13" s="110" t="n">
        <v>4</v>
      </c>
      <c r="K13" s="110" t="s">
        <v>296</v>
      </c>
      <c r="L13" s="110" t="n">
        <v>5</v>
      </c>
      <c r="M13" s="110" t="s">
        <v>297</v>
      </c>
      <c r="N13" s="112" t="n">
        <f aca="false">IF(COUNT(D13,F13,H13,J13,L13)=0,"",(D13*0.2+F13*0.15+H13*0.15+J13*0.1+L13*0.1)/0.7)</f>
        <v>4.57142857142857</v>
      </c>
      <c r="O13" s="113" t="n">
        <f aca="false">IF(COUNT(D13,F13,H13,J13,L13)=0,"",D13*0.2+F13*0.15+H13*0.15+J13*0.1+L13*0.1)</f>
        <v>3.2</v>
      </c>
      <c r="P13" s="110" t="n">
        <v>4</v>
      </c>
      <c r="Q13" s="110" t="s">
        <v>297</v>
      </c>
      <c r="R13" s="110" t="n">
        <v>5</v>
      </c>
      <c r="S13" s="110" t="s">
        <v>297</v>
      </c>
      <c r="T13" s="110" t="n">
        <v>5</v>
      </c>
      <c r="U13" s="110" t="s">
        <v>296</v>
      </c>
      <c r="V13" s="110" t="n">
        <v>1</v>
      </c>
      <c r="W13" s="110" t="s">
        <v>297</v>
      </c>
      <c r="X13" s="113" t="n">
        <f aca="false">IF(COUNT(P13,R13,T13,V13)=0,"",P13*0.08+R13*0.06+T13*0.03+V13*0.08)</f>
        <v>0.85</v>
      </c>
      <c r="Y13" s="110" t="n">
        <v>4</v>
      </c>
      <c r="Z13" s="110" t="s">
        <v>296</v>
      </c>
      <c r="AA13" s="110" t="n">
        <v>5</v>
      </c>
      <c r="AB13" s="110" t="s">
        <v>297</v>
      </c>
      <c r="AC13" s="110" t="n">
        <v>2</v>
      </c>
      <c r="AD13" s="110" t="s">
        <v>296</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299</v>
      </c>
      <c r="AM13" s="110" t="s">
        <v>313</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97</v>
      </c>
      <c r="B14" s="110" t="s">
        <v>98</v>
      </c>
      <c r="C14" s="111" t="n">
        <v>46240</v>
      </c>
      <c r="D14" s="110" t="n">
        <v>3</v>
      </c>
      <c r="E14" s="110" t="s">
        <v>296</v>
      </c>
      <c r="F14" s="110" t="n">
        <v>3</v>
      </c>
      <c r="G14" s="110" t="s">
        <v>296</v>
      </c>
      <c r="H14" s="110" t="n">
        <v>5</v>
      </c>
      <c r="I14" s="110" t="s">
        <v>297</v>
      </c>
      <c r="J14" s="110" t="n">
        <v>4</v>
      </c>
      <c r="K14" s="110" t="s">
        <v>296</v>
      </c>
      <c r="L14" s="110" t="n">
        <v>3</v>
      </c>
      <c r="M14" s="110" t="s">
        <v>296</v>
      </c>
      <c r="N14" s="112" t="n">
        <f aca="false">IF(COUNT(D14,F14,H14,J14,L14)=0,"",(D14*0.2+F14*0.15+H14*0.15+J14*0.1+L14*0.1)/0.7)</f>
        <v>3.57142857142857</v>
      </c>
      <c r="O14" s="113" t="n">
        <f aca="false">IF(COUNT(D14,F14,H14,J14,L14)=0,"",D14*0.2+F14*0.15+H14*0.15+J14*0.1+L14*0.1)</f>
        <v>2.5</v>
      </c>
      <c r="P14" s="110" t="n">
        <v>4</v>
      </c>
      <c r="Q14" s="110" t="s">
        <v>296</v>
      </c>
      <c r="R14" s="110" t="n">
        <v>5</v>
      </c>
      <c r="S14" s="110" t="s">
        <v>297</v>
      </c>
      <c r="T14" s="110" t="n">
        <v>5</v>
      </c>
      <c r="U14" s="110" t="s">
        <v>297</v>
      </c>
      <c r="V14" s="110" t="n">
        <v>2</v>
      </c>
      <c r="W14" s="110" t="s">
        <v>296</v>
      </c>
      <c r="X14" s="113" t="n">
        <f aca="false">IF(COUNT(P14,R14,T14,V14)=0,"",P14*0.08+R14*0.06+T14*0.03+V14*0.08)</f>
        <v>0.93</v>
      </c>
      <c r="Y14" s="110" t="n">
        <v>5</v>
      </c>
      <c r="Z14" s="110" t="s">
        <v>296</v>
      </c>
      <c r="AA14" s="110" t="n">
        <v>5</v>
      </c>
      <c r="AB14" s="110" t="s">
        <v>297</v>
      </c>
      <c r="AC14" s="110" t="n">
        <v>3</v>
      </c>
      <c r="AD14" s="110" t="s">
        <v>298</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299</v>
      </c>
      <c r="AM14" s="110" t="s">
        <v>314</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99</v>
      </c>
      <c r="B15" s="110" t="s">
        <v>100</v>
      </c>
      <c r="C15" s="111" t="n">
        <v>46240</v>
      </c>
      <c r="D15" s="110" t="n">
        <v>3</v>
      </c>
      <c r="E15" s="110" t="s">
        <v>296</v>
      </c>
      <c r="F15" s="110" t="n">
        <v>4</v>
      </c>
      <c r="G15" s="110" t="s">
        <v>296</v>
      </c>
      <c r="H15" s="110" t="n">
        <v>4</v>
      </c>
      <c r="I15" s="110" t="s">
        <v>296</v>
      </c>
      <c r="J15" s="110" t="n">
        <v>5</v>
      </c>
      <c r="K15" s="110" t="s">
        <v>297</v>
      </c>
      <c r="L15" s="110" t="n">
        <v>5</v>
      </c>
      <c r="M15" s="110" t="s">
        <v>297</v>
      </c>
      <c r="N15" s="112" t="n">
        <f aca="false">IF(COUNT(D15,F15,H15,J15,L15)=0,"",(D15*0.2+F15*0.15+H15*0.15+J15*0.1+L15*0.1)/0.7)</f>
        <v>4</v>
      </c>
      <c r="O15" s="113" t="n">
        <f aca="false">IF(COUNT(D15,F15,H15,J15,L15)=0,"",D15*0.2+F15*0.15+H15*0.15+J15*0.1+L15*0.1)</f>
        <v>2.8</v>
      </c>
      <c r="P15" s="110" t="n">
        <v>3</v>
      </c>
      <c r="Q15" s="110" t="s">
        <v>296</v>
      </c>
      <c r="R15" s="110" t="n">
        <v>2</v>
      </c>
      <c r="S15" s="110" t="s">
        <v>296</v>
      </c>
      <c r="T15" s="110" t="n">
        <v>4</v>
      </c>
      <c r="U15" s="110" t="s">
        <v>297</v>
      </c>
      <c r="V15" s="110" t="n">
        <v>1</v>
      </c>
      <c r="W15" s="110" t="s">
        <v>297</v>
      </c>
      <c r="X15" s="113" t="n">
        <f aca="false">IF(COUNT(P15,R15,T15,V15)=0,"",P15*0.08+R15*0.06+T15*0.03+V15*0.08)</f>
        <v>0.56</v>
      </c>
      <c r="Y15" s="110" t="n">
        <v>4</v>
      </c>
      <c r="Z15" s="110" t="s">
        <v>296</v>
      </c>
      <c r="AA15" s="110" t="n">
        <v>3</v>
      </c>
      <c r="AB15" s="110" t="s">
        <v>296</v>
      </c>
      <c r="AC15" s="110" t="n">
        <v>2</v>
      </c>
      <c r="AD15" s="110" t="s">
        <v>296</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299</v>
      </c>
      <c r="AM15" s="110" t="s">
        <v>301</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101</v>
      </c>
      <c r="B16" s="110" t="s">
        <v>102</v>
      </c>
      <c r="C16" s="111" t="n">
        <v>46240</v>
      </c>
      <c r="D16" s="110" t="n">
        <v>2</v>
      </c>
      <c r="E16" s="110" t="s">
        <v>296</v>
      </c>
      <c r="F16" s="110" t="n">
        <v>3</v>
      </c>
      <c r="G16" s="110" t="s">
        <v>296</v>
      </c>
      <c r="H16" s="110" t="n">
        <v>5</v>
      </c>
      <c r="I16" s="110" t="s">
        <v>297</v>
      </c>
      <c r="J16" s="110" t="n">
        <v>3</v>
      </c>
      <c r="K16" s="110" t="s">
        <v>296</v>
      </c>
      <c r="L16" s="110" t="n">
        <v>5</v>
      </c>
      <c r="M16" s="110" t="s">
        <v>297</v>
      </c>
      <c r="N16" s="112" t="n">
        <f aca="false">IF(COUNT(D16,F16,H16,J16,L16)=0,"",(D16*0.2+F16*0.15+H16*0.15+J16*0.1+L16*0.1)/0.7)</f>
        <v>3.42857142857143</v>
      </c>
      <c r="O16" s="113" t="n">
        <f aca="false">IF(COUNT(D16,F16,H16,J16,L16)=0,"",D16*0.2+F16*0.15+H16*0.15+J16*0.1+L16*0.1)</f>
        <v>2.4</v>
      </c>
      <c r="P16" s="110" t="n">
        <v>4</v>
      </c>
      <c r="Q16" s="110" t="s">
        <v>297</v>
      </c>
      <c r="R16" s="110" t="n">
        <v>5</v>
      </c>
      <c r="S16" s="110" t="s">
        <v>297</v>
      </c>
      <c r="T16" s="110" t="n">
        <v>3</v>
      </c>
      <c r="U16" s="110" t="s">
        <v>296</v>
      </c>
      <c r="V16" s="110" t="n">
        <v>2</v>
      </c>
      <c r="W16" s="110" t="s">
        <v>296</v>
      </c>
      <c r="X16" s="113" t="n">
        <f aca="false">IF(COUNT(P16,R16,T16,V16)=0,"",P16*0.08+R16*0.06+T16*0.03+V16*0.08)</f>
        <v>0.87</v>
      </c>
      <c r="Y16" s="110" t="n">
        <v>2</v>
      </c>
      <c r="Z16" s="110" t="s">
        <v>296</v>
      </c>
      <c r="AA16" s="110" t="n">
        <v>5</v>
      </c>
      <c r="AB16" s="110" t="s">
        <v>297</v>
      </c>
      <c r="AC16" s="110" t="n">
        <v>2</v>
      </c>
      <c r="AD16" s="110" t="s">
        <v>298</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299</v>
      </c>
      <c r="AM16" s="110" t="s">
        <v>314</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109</v>
      </c>
      <c r="B17" s="110" t="s">
        <v>315</v>
      </c>
      <c r="C17" s="111" t="n">
        <v>46240</v>
      </c>
      <c r="D17" s="110" t="n">
        <v>3</v>
      </c>
      <c r="E17" s="110" t="s">
        <v>296</v>
      </c>
      <c r="F17" s="110" t="n">
        <v>5</v>
      </c>
      <c r="G17" s="110" t="s">
        <v>297</v>
      </c>
      <c r="H17" s="110" t="n">
        <v>5</v>
      </c>
      <c r="I17" s="110" t="s">
        <v>297</v>
      </c>
      <c r="J17" s="110" t="n">
        <v>4</v>
      </c>
      <c r="K17" s="110" t="s">
        <v>296</v>
      </c>
      <c r="L17" s="110" t="n">
        <v>3</v>
      </c>
      <c r="M17" s="110" t="s">
        <v>296</v>
      </c>
      <c r="N17" s="112" t="n">
        <f aca="false">IF(COUNT(D17,F17,H17,J17,L17)=0,"",(D17*0.2+F17*0.15+H17*0.15+J17*0.1+L17*0.1)/0.7)</f>
        <v>4</v>
      </c>
      <c r="O17" s="113" t="n">
        <f aca="false">IF(COUNT(D17,F17,H17,J17,L17)=0,"",D17*0.2+F17*0.15+H17*0.15+J17*0.1+L17*0.1)</f>
        <v>2.8</v>
      </c>
      <c r="P17" s="110" t="n">
        <v>4</v>
      </c>
      <c r="Q17" s="110" t="s">
        <v>297</v>
      </c>
      <c r="R17" s="110" t="n">
        <v>5</v>
      </c>
      <c r="S17" s="110" t="s">
        <v>297</v>
      </c>
      <c r="T17" s="110" t="n">
        <v>4</v>
      </c>
      <c r="U17" s="110" t="s">
        <v>296</v>
      </c>
      <c r="V17" s="110" t="n">
        <v>4</v>
      </c>
      <c r="W17" s="110" t="s">
        <v>296</v>
      </c>
      <c r="X17" s="113" t="n">
        <f aca="false">IF(COUNT(P17,R17,T17,V17)=0,"",P17*0.08+R17*0.06+T17*0.03+V17*0.08)</f>
        <v>1.06</v>
      </c>
      <c r="Y17" s="110" t="n">
        <v>3</v>
      </c>
      <c r="Z17" s="110" t="s">
        <v>296</v>
      </c>
      <c r="AA17" s="110" t="n">
        <v>5</v>
      </c>
      <c r="AB17" s="110" t="s">
        <v>297</v>
      </c>
      <c r="AC17" s="110" t="n">
        <v>3</v>
      </c>
      <c r="AD17" s="110" t="s">
        <v>298</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299</v>
      </c>
      <c r="AM17" s="110" t="s">
        <v>300</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111</v>
      </c>
      <c r="B18" s="110" t="s">
        <v>112</v>
      </c>
      <c r="C18" s="111" t="n">
        <v>46240</v>
      </c>
      <c r="D18" s="110" t="n">
        <v>4</v>
      </c>
      <c r="E18" s="110" t="s">
        <v>297</v>
      </c>
      <c r="F18" s="110" t="n">
        <v>5</v>
      </c>
      <c r="G18" s="110" t="s">
        <v>297</v>
      </c>
      <c r="H18" s="110" t="n">
        <v>4</v>
      </c>
      <c r="I18" s="110" t="s">
        <v>296</v>
      </c>
      <c r="J18" s="110" t="n">
        <v>4</v>
      </c>
      <c r="K18" s="110" t="s">
        <v>296</v>
      </c>
      <c r="L18" s="110" t="n">
        <v>5</v>
      </c>
      <c r="M18" s="110" t="s">
        <v>297</v>
      </c>
      <c r="N18" s="112" t="n">
        <f aca="false">IF(COUNT(D18,F18,H18,J18,L18)=0,"",(D18*0.2+F18*0.15+H18*0.15+J18*0.1+L18*0.1)/0.7)</f>
        <v>4.35714285714286</v>
      </c>
      <c r="O18" s="113" t="n">
        <f aca="false">IF(COUNT(D18,F18,H18,J18,L18)=0,"",D18*0.2+F18*0.15+H18*0.15+J18*0.1+L18*0.1)</f>
        <v>3.05</v>
      </c>
      <c r="P18" s="110" t="n">
        <v>4</v>
      </c>
      <c r="Q18" s="110" t="s">
        <v>296</v>
      </c>
      <c r="R18" s="110" t="n">
        <v>5</v>
      </c>
      <c r="S18" s="110" t="s">
        <v>297</v>
      </c>
      <c r="T18" s="110" t="n">
        <v>4</v>
      </c>
      <c r="U18" s="110" t="s">
        <v>296</v>
      </c>
      <c r="V18" s="110" t="n">
        <v>2</v>
      </c>
      <c r="W18" s="110" t="s">
        <v>296</v>
      </c>
      <c r="X18" s="113" t="n">
        <f aca="false">IF(COUNT(P18,R18,T18,V18)=0,"",P18*0.08+R18*0.06+T18*0.03+V18*0.08)</f>
        <v>0.9</v>
      </c>
      <c r="Y18" s="110" t="n">
        <v>4</v>
      </c>
      <c r="Z18" s="110" t="s">
        <v>296</v>
      </c>
      <c r="AA18" s="110" t="n">
        <v>4</v>
      </c>
      <c r="AB18" s="110" t="s">
        <v>296</v>
      </c>
      <c r="AC18" s="110" t="n">
        <v>3</v>
      </c>
      <c r="AD18" s="110" t="s">
        <v>298</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316</v>
      </c>
      <c r="AM18" s="110" t="s">
        <v>317</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203</v>
      </c>
      <c r="B19" s="110" t="s">
        <v>318</v>
      </c>
      <c r="C19" s="111" t="n">
        <v>46245</v>
      </c>
      <c r="D19" s="110" t="n">
        <v>3</v>
      </c>
      <c r="E19" s="110" t="s">
        <v>296</v>
      </c>
      <c r="F19" s="110" t="n">
        <v>5</v>
      </c>
      <c r="G19" s="110" t="s">
        <v>297</v>
      </c>
      <c r="H19" s="110" t="n">
        <v>5</v>
      </c>
      <c r="I19" s="110" t="s">
        <v>297</v>
      </c>
      <c r="J19" s="110" t="n">
        <v>4</v>
      </c>
      <c r="K19" s="110" t="s">
        <v>296</v>
      </c>
      <c r="L19" s="110" t="n">
        <v>4</v>
      </c>
      <c r="M19" s="110" t="s">
        <v>297</v>
      </c>
      <c r="N19" s="112" t="n">
        <f aca="false">IF(COUNT(D19,F19,H19,J19,L19)=0,"",(D19*0.2+F19*0.15+H19*0.15+J19*0.1+L19*0.1)/0.7)</f>
        <v>4.14285714285714</v>
      </c>
      <c r="O19" s="113" t="n">
        <f aca="false">IF(COUNT(D19,F19,H19,J19,L19)=0,"",D19*0.2+F19*0.15+H19*0.15+J19*0.1+L19*0.1)</f>
        <v>2.9</v>
      </c>
      <c r="P19" s="110" t="n">
        <v>3</v>
      </c>
      <c r="Q19" s="110" t="s">
        <v>298</v>
      </c>
      <c r="R19" s="110" t="n">
        <v>5</v>
      </c>
      <c r="S19" s="110" t="s">
        <v>297</v>
      </c>
      <c r="T19" s="110" t="n">
        <v>5</v>
      </c>
      <c r="U19" s="110" t="s">
        <v>297</v>
      </c>
      <c r="V19" s="110" t="n">
        <v>1</v>
      </c>
      <c r="W19" s="110" t="s">
        <v>297</v>
      </c>
      <c r="X19" s="113" t="n">
        <f aca="false">IF(COUNT(P19,R19,T19,V19)=0,"",P19*0.08+R19*0.06+T19*0.03+V19*0.08)</f>
        <v>0.77</v>
      </c>
      <c r="Y19" s="110" t="n">
        <v>4</v>
      </c>
      <c r="Z19" s="110" t="s">
        <v>296</v>
      </c>
      <c r="AA19" s="110" t="n">
        <v>4</v>
      </c>
      <c r="AB19" s="110" t="s">
        <v>296</v>
      </c>
      <c r="AC19" s="110" t="n">
        <v>4</v>
      </c>
      <c r="AD19" s="110" t="s">
        <v>296</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307</v>
      </c>
      <c r="AM19" s="110" t="s">
        <v>319</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239</v>
      </c>
      <c r="B20" s="110" t="s">
        <v>320</v>
      </c>
      <c r="C20" s="111" t="n">
        <v>46245</v>
      </c>
      <c r="D20" s="110" t="n">
        <v>4</v>
      </c>
      <c r="E20" s="110" t="s">
        <v>297</v>
      </c>
      <c r="F20" s="110" t="n">
        <v>5</v>
      </c>
      <c r="G20" s="110" t="s">
        <v>297</v>
      </c>
      <c r="H20" s="110" t="n">
        <v>5</v>
      </c>
      <c r="I20" s="110" t="s">
        <v>297</v>
      </c>
      <c r="J20" s="110" t="n">
        <v>4</v>
      </c>
      <c r="K20" s="110" t="s">
        <v>296</v>
      </c>
      <c r="L20" s="110" t="n">
        <v>5</v>
      </c>
      <c r="M20" s="110" t="s">
        <v>297</v>
      </c>
      <c r="N20" s="112" t="n">
        <f aca="false">IF(COUNT(D20,F20,H20,J20,L20)=0,"",(D20*0.2+F20*0.15+H20*0.15+J20*0.1+L20*0.1)/0.7)</f>
        <v>4.57142857142857</v>
      </c>
      <c r="O20" s="113" t="n">
        <f aca="false">IF(COUNT(D20,F20,H20,J20,L20)=0,"",D20*0.2+F20*0.15+H20*0.15+J20*0.1+L20*0.1)</f>
        <v>3.2</v>
      </c>
      <c r="P20" s="110" t="n">
        <v>4</v>
      </c>
      <c r="Q20" s="110" t="s">
        <v>296</v>
      </c>
      <c r="R20" s="110" t="n">
        <v>5</v>
      </c>
      <c r="S20" s="110" t="s">
        <v>297</v>
      </c>
      <c r="T20" s="110" t="n">
        <v>3</v>
      </c>
      <c r="U20" s="110" t="s">
        <v>296</v>
      </c>
      <c r="V20" s="110" t="n">
        <v>3</v>
      </c>
      <c r="W20" s="110" t="s">
        <v>296</v>
      </c>
      <c r="X20" s="113" t="n">
        <f aca="false">IF(COUNT(P20,R20,T20,V20)=0,"",P20*0.08+R20*0.06+T20*0.03+V20*0.08)</f>
        <v>0.95</v>
      </c>
      <c r="Y20" s="110" t="n">
        <v>3</v>
      </c>
      <c r="Z20" s="110" t="s">
        <v>296</v>
      </c>
      <c r="AA20" s="110" t="n">
        <v>4</v>
      </c>
      <c r="AB20" s="110" t="s">
        <v>296</v>
      </c>
      <c r="AC20" s="110" t="n">
        <v>3</v>
      </c>
      <c r="AD20" s="110" t="s">
        <v>298</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321</v>
      </c>
      <c r="AM20" s="110" t="s">
        <v>322</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225</v>
      </c>
      <c r="B21" s="110" t="s">
        <v>323</v>
      </c>
      <c r="C21" s="111" t="n">
        <v>46245</v>
      </c>
      <c r="D21" s="110" t="n">
        <v>1</v>
      </c>
      <c r="E21" s="110" t="s">
        <v>297</v>
      </c>
      <c r="F21" s="110" t="n">
        <v>3</v>
      </c>
      <c r="G21" s="110" t="s">
        <v>296</v>
      </c>
      <c r="H21" s="110" t="n">
        <v>4</v>
      </c>
      <c r="I21" s="110" t="s">
        <v>296</v>
      </c>
      <c r="J21" s="110" t="n">
        <v>4</v>
      </c>
      <c r="K21" s="110" t="s">
        <v>296</v>
      </c>
      <c r="L21" s="110" t="n">
        <v>1</v>
      </c>
      <c r="M21" s="110" t="s">
        <v>297</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324</v>
      </c>
      <c r="AM21" s="110" t="s">
        <v>325</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204</v>
      </c>
      <c r="B22" s="110" t="s">
        <v>326</v>
      </c>
      <c r="C22" s="111" t="n">
        <v>46245</v>
      </c>
      <c r="D22" s="110" t="n">
        <v>1</v>
      </c>
      <c r="E22" s="110" t="s">
        <v>297</v>
      </c>
      <c r="F22" s="110" t="n">
        <v>1</v>
      </c>
      <c r="G22" s="110" t="s">
        <v>297</v>
      </c>
      <c r="H22" s="110" t="n">
        <v>2</v>
      </c>
      <c r="I22" s="110" t="s">
        <v>296</v>
      </c>
      <c r="J22" s="110" t="n">
        <v>1</v>
      </c>
      <c r="K22" s="110" t="s">
        <v>297</v>
      </c>
      <c r="L22" s="110" t="n">
        <v>1</v>
      </c>
      <c r="M22" s="110" t="s">
        <v>297</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327</v>
      </c>
      <c r="AM22" s="110" t="s">
        <v>328</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211</v>
      </c>
      <c r="B23" s="110" t="s">
        <v>329</v>
      </c>
      <c r="C23" s="111" t="n">
        <v>46245</v>
      </c>
      <c r="D23" s="110" t="n">
        <v>4</v>
      </c>
      <c r="E23" s="110" t="s">
        <v>296</v>
      </c>
      <c r="F23" s="110" t="n">
        <v>4</v>
      </c>
      <c r="G23" s="110" t="s">
        <v>296</v>
      </c>
      <c r="H23" s="110" t="n">
        <v>4</v>
      </c>
      <c r="I23" s="110" t="s">
        <v>296</v>
      </c>
      <c r="J23" s="110" t="n">
        <v>4</v>
      </c>
      <c r="K23" s="110" t="s">
        <v>296</v>
      </c>
      <c r="L23" s="110" t="n">
        <v>4</v>
      </c>
      <c r="M23" s="110" t="s">
        <v>296</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327</v>
      </c>
      <c r="AM23" s="110" t="s">
        <v>330</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221</v>
      </c>
      <c r="B24" s="110" t="s">
        <v>331</v>
      </c>
      <c r="C24" s="111" t="n">
        <v>46245</v>
      </c>
      <c r="D24" s="110" t="n">
        <v>2</v>
      </c>
      <c r="E24" s="110" t="s">
        <v>298</v>
      </c>
      <c r="F24" s="110" t="n">
        <v>2</v>
      </c>
      <c r="G24" s="110" t="s">
        <v>296</v>
      </c>
      <c r="H24" s="110" t="n">
        <v>3</v>
      </c>
      <c r="I24" s="110" t="s">
        <v>296</v>
      </c>
      <c r="J24" s="110" t="n">
        <v>2</v>
      </c>
      <c r="K24" s="110" t="s">
        <v>296</v>
      </c>
      <c r="L24" s="110" t="n">
        <v>1</v>
      </c>
      <c r="M24" s="110" t="s">
        <v>297</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327</v>
      </c>
      <c r="AM24" s="110" t="s">
        <v>332</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230</v>
      </c>
      <c r="B25" s="110" t="s">
        <v>333</v>
      </c>
      <c r="C25" s="111" t="n">
        <v>46245</v>
      </c>
      <c r="D25" s="110" t="n">
        <v>3</v>
      </c>
      <c r="E25" s="110" t="s">
        <v>296</v>
      </c>
      <c r="F25" s="110" t="n">
        <v>2</v>
      </c>
      <c r="G25" s="110" t="s">
        <v>297</v>
      </c>
      <c r="H25" s="110" t="n">
        <v>3</v>
      </c>
      <c r="I25" s="110" t="s">
        <v>296</v>
      </c>
      <c r="J25" s="110" t="n">
        <v>3</v>
      </c>
      <c r="K25" s="110" t="s">
        <v>296</v>
      </c>
      <c r="L25" s="110" t="n">
        <v>2</v>
      </c>
      <c r="M25" s="110" t="s">
        <v>297</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327</v>
      </c>
      <c r="AM25" s="110" t="s">
        <v>332</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199</v>
      </c>
      <c r="B26" s="110" t="s">
        <v>334</v>
      </c>
      <c r="C26" s="111" t="n">
        <v>46245</v>
      </c>
      <c r="D26" s="110" t="n">
        <v>2</v>
      </c>
      <c r="E26" s="110" t="s">
        <v>296</v>
      </c>
      <c r="F26" s="110" t="n">
        <v>1</v>
      </c>
      <c r="G26" s="110" t="s">
        <v>297</v>
      </c>
      <c r="H26" s="110" t="n">
        <v>2</v>
      </c>
      <c r="I26" s="110" t="s">
        <v>296</v>
      </c>
      <c r="J26" s="110" t="n">
        <v>2</v>
      </c>
      <c r="K26" s="110" t="s">
        <v>296</v>
      </c>
      <c r="L26" s="110" t="n">
        <v>2</v>
      </c>
      <c r="M26" s="110" t="s">
        <v>296</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335</v>
      </c>
      <c r="AM26" s="110" t="s">
        <v>336</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200</v>
      </c>
      <c r="B27" s="110" t="s">
        <v>337</v>
      </c>
      <c r="C27" s="111" t="n">
        <v>46245</v>
      </c>
      <c r="D27" s="110" t="n">
        <v>2</v>
      </c>
      <c r="E27" s="110" t="s">
        <v>297</v>
      </c>
      <c r="F27" s="110" t="n">
        <v>2</v>
      </c>
      <c r="G27" s="110" t="s">
        <v>296</v>
      </c>
      <c r="H27" s="110" t="n">
        <v>2</v>
      </c>
      <c r="I27" s="110" t="s">
        <v>296</v>
      </c>
      <c r="J27" s="110" t="n">
        <v>2</v>
      </c>
      <c r="K27" s="110" t="s">
        <v>296</v>
      </c>
      <c r="L27" s="110" t="n">
        <v>1</v>
      </c>
      <c r="M27" s="110" t="s">
        <v>297</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335</v>
      </c>
      <c r="AM27" s="110" t="s">
        <v>338</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223</v>
      </c>
      <c r="B28" s="110" t="s">
        <v>339</v>
      </c>
      <c r="C28" s="116" t="n">
        <v>46245</v>
      </c>
      <c r="D28" s="110" t="n">
        <v>4</v>
      </c>
      <c r="E28" s="110" t="s">
        <v>297</v>
      </c>
      <c r="F28" s="110" t="n">
        <v>4</v>
      </c>
      <c r="G28" s="110" t="s">
        <v>297</v>
      </c>
      <c r="H28" s="110" t="n">
        <v>5</v>
      </c>
      <c r="I28" s="110" t="s">
        <v>297</v>
      </c>
      <c r="J28" s="110" t="n">
        <v>5</v>
      </c>
      <c r="K28" s="110" t="s">
        <v>297</v>
      </c>
      <c r="L28" s="110" t="n">
        <v>5</v>
      </c>
      <c r="M28" s="110" t="s">
        <v>297</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335</v>
      </c>
      <c r="AM28" s="110" t="s">
        <v>340</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205</v>
      </c>
      <c r="B29" s="110" t="s">
        <v>341</v>
      </c>
      <c r="C29" s="116" t="n">
        <v>46245</v>
      </c>
      <c r="D29" s="110" t="n">
        <v>2</v>
      </c>
      <c r="E29" s="110" t="s">
        <v>296</v>
      </c>
      <c r="F29" s="110" t="n">
        <v>2</v>
      </c>
      <c r="G29" s="110" t="s">
        <v>296</v>
      </c>
      <c r="H29" s="110" t="n">
        <v>3</v>
      </c>
      <c r="I29" s="110" t="s">
        <v>296</v>
      </c>
      <c r="J29" s="110" t="n">
        <v>3</v>
      </c>
      <c r="K29" s="110" t="s">
        <v>296</v>
      </c>
      <c r="L29" s="110" t="n">
        <v>2</v>
      </c>
      <c r="M29" s="110" t="s">
        <v>297</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307</v>
      </c>
      <c r="AM29" s="110" t="s">
        <v>342</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209</v>
      </c>
      <c r="B30" s="110" t="s">
        <v>343</v>
      </c>
      <c r="C30" s="116" t="n">
        <v>46245</v>
      </c>
      <c r="D30" s="110" t="n">
        <v>2</v>
      </c>
      <c r="E30" s="110" t="s">
        <v>296</v>
      </c>
      <c r="F30" s="110" t="n">
        <v>1</v>
      </c>
      <c r="G30" s="110" t="s">
        <v>297</v>
      </c>
      <c r="H30" s="110" t="n">
        <v>3</v>
      </c>
      <c r="I30" s="110" t="s">
        <v>296</v>
      </c>
      <c r="J30" s="110" t="n">
        <v>2</v>
      </c>
      <c r="K30" s="110" t="s">
        <v>296</v>
      </c>
      <c r="L30" s="110" t="n">
        <v>3</v>
      </c>
      <c r="M30" s="110" t="s">
        <v>296</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307</v>
      </c>
      <c r="AM30" s="110" t="s">
        <v>344</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220</v>
      </c>
      <c r="B31" s="110" t="s">
        <v>345</v>
      </c>
      <c r="C31" s="116" t="n">
        <v>46245</v>
      </c>
      <c r="D31" s="110" t="n">
        <v>1</v>
      </c>
      <c r="E31" s="110" t="s">
        <v>297</v>
      </c>
      <c r="F31" s="110" t="n">
        <v>2</v>
      </c>
      <c r="G31" s="110" t="s">
        <v>296</v>
      </c>
      <c r="H31" s="110" t="n">
        <v>3</v>
      </c>
      <c r="I31" s="110" t="s">
        <v>296</v>
      </c>
      <c r="J31" s="110" t="n">
        <v>3</v>
      </c>
      <c r="K31" s="110" t="s">
        <v>296</v>
      </c>
      <c r="L31" s="110" t="n">
        <v>1</v>
      </c>
      <c r="M31" s="110" t="s">
        <v>297</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307</v>
      </c>
      <c r="AM31" s="110" t="s">
        <v>346</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233</v>
      </c>
      <c r="B32" s="110" t="s">
        <v>347</v>
      </c>
      <c r="C32" s="116" t="n">
        <v>46245</v>
      </c>
      <c r="D32" s="110" t="n">
        <v>4</v>
      </c>
      <c r="E32" s="110" t="s">
        <v>296</v>
      </c>
      <c r="F32" s="110" t="n">
        <v>4</v>
      </c>
      <c r="G32" s="110" t="s">
        <v>297</v>
      </c>
      <c r="H32" s="110" t="n">
        <v>5</v>
      </c>
      <c r="I32" s="110" t="s">
        <v>297</v>
      </c>
      <c r="J32" s="110" t="n">
        <v>4</v>
      </c>
      <c r="K32" s="110" t="s">
        <v>296</v>
      </c>
      <c r="L32" s="110" t="n">
        <v>4</v>
      </c>
      <c r="M32" s="110" t="s">
        <v>297</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307</v>
      </c>
      <c r="AM32" s="110" t="s">
        <v>344</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201</v>
      </c>
      <c r="B33" s="110" t="s">
        <v>348</v>
      </c>
      <c r="C33" s="116" t="n">
        <v>46245</v>
      </c>
      <c r="D33" s="110" t="n">
        <v>4</v>
      </c>
      <c r="E33" s="110" t="s">
        <v>297</v>
      </c>
      <c r="F33" s="110" t="n">
        <v>4</v>
      </c>
      <c r="G33" s="110" t="s">
        <v>297</v>
      </c>
      <c r="H33" s="110" t="n">
        <v>4</v>
      </c>
      <c r="I33" s="110" t="s">
        <v>297</v>
      </c>
      <c r="J33" s="110" t="n">
        <v>3</v>
      </c>
      <c r="K33" s="110" t="s">
        <v>296</v>
      </c>
      <c r="L33" s="110" t="n">
        <v>3</v>
      </c>
      <c r="M33" s="110" t="s">
        <v>297</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309</v>
      </c>
      <c r="AM33" s="110" t="s">
        <v>349</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208</v>
      </c>
      <c r="B34" s="110" t="s">
        <v>350</v>
      </c>
      <c r="C34" s="116" t="n">
        <v>46245</v>
      </c>
      <c r="D34" s="110" t="n">
        <v>5</v>
      </c>
      <c r="E34" s="110" t="s">
        <v>297</v>
      </c>
      <c r="F34" s="110" t="n">
        <v>5</v>
      </c>
      <c r="G34" s="110" t="s">
        <v>297</v>
      </c>
      <c r="H34" s="110" t="n">
        <v>5</v>
      </c>
      <c r="I34" s="110" t="s">
        <v>297</v>
      </c>
      <c r="J34" s="110" t="n">
        <v>4</v>
      </c>
      <c r="K34" s="110" t="s">
        <v>297</v>
      </c>
      <c r="L34" s="110" t="n">
        <v>5</v>
      </c>
      <c r="M34" s="110" t="s">
        <v>297</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309</v>
      </c>
      <c r="AM34" s="110" t="s">
        <v>349</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237</v>
      </c>
      <c r="B35" s="110" t="s">
        <v>351</v>
      </c>
      <c r="C35" s="116" t="n">
        <v>46245</v>
      </c>
      <c r="D35" s="110" t="n">
        <v>1</v>
      </c>
      <c r="E35" s="110" t="s">
        <v>297</v>
      </c>
      <c r="F35" s="110" t="n">
        <v>1</v>
      </c>
      <c r="G35" s="110" t="s">
        <v>297</v>
      </c>
      <c r="H35" s="110" t="n">
        <v>2</v>
      </c>
      <c r="I35" s="110" t="s">
        <v>296</v>
      </c>
      <c r="J35" s="110" t="n">
        <v>2</v>
      </c>
      <c r="K35" s="110" t="s">
        <v>296</v>
      </c>
      <c r="L35" s="110" t="n">
        <v>1</v>
      </c>
      <c r="M35" s="110" t="s">
        <v>297</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309</v>
      </c>
      <c r="AM35" s="110" t="s">
        <v>349</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243</v>
      </c>
      <c r="B36" s="110" t="s">
        <v>352</v>
      </c>
      <c r="C36" s="116" t="n">
        <v>46245</v>
      </c>
      <c r="D36" s="110" t="n">
        <v>5</v>
      </c>
      <c r="E36" s="110" t="s">
        <v>297</v>
      </c>
      <c r="F36" s="110" t="n">
        <v>4</v>
      </c>
      <c r="G36" s="110" t="s">
        <v>297</v>
      </c>
      <c r="H36" s="110" t="n">
        <v>4</v>
      </c>
      <c r="I36" s="110" t="s">
        <v>296</v>
      </c>
      <c r="J36" s="110" t="n">
        <v>4</v>
      </c>
      <c r="K36" s="110" t="s">
        <v>297</v>
      </c>
      <c r="L36" s="110" t="n">
        <v>4</v>
      </c>
      <c r="M36" s="110" t="s">
        <v>297</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309</v>
      </c>
      <c r="AM36" s="110" t="s">
        <v>349</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228</v>
      </c>
      <c r="B37" s="110" t="s">
        <v>353</v>
      </c>
      <c r="C37" s="116" t="n">
        <v>46246</v>
      </c>
      <c r="D37" s="110" t="n">
        <v>1</v>
      </c>
      <c r="E37" s="110" t="s">
        <v>297</v>
      </c>
      <c r="F37" s="110" t="n">
        <v>1</v>
      </c>
      <c r="G37" s="110" t="s">
        <v>297</v>
      </c>
      <c r="H37" s="110" t="n">
        <v>3</v>
      </c>
      <c r="I37" s="110" t="s">
        <v>296</v>
      </c>
      <c r="J37" s="110" t="n">
        <v>2</v>
      </c>
      <c r="K37" s="110" t="s">
        <v>296</v>
      </c>
      <c r="L37" s="110" t="n">
        <v>1</v>
      </c>
      <c r="M37" s="110" t="s">
        <v>297</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309</v>
      </c>
      <c r="AM37" s="110" t="s">
        <v>310</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241</v>
      </c>
      <c r="B38" s="110" t="s">
        <v>354</v>
      </c>
      <c r="C38" s="116" t="n">
        <v>46246</v>
      </c>
      <c r="D38" s="110" t="n">
        <v>3</v>
      </c>
      <c r="E38" s="110" t="s">
        <v>296</v>
      </c>
      <c r="F38" s="110" t="n">
        <v>3</v>
      </c>
      <c r="G38" s="110" t="s">
        <v>296</v>
      </c>
      <c r="H38" s="110" t="n">
        <v>3</v>
      </c>
      <c r="I38" s="110" t="s">
        <v>296</v>
      </c>
      <c r="J38" s="110" t="n">
        <v>2</v>
      </c>
      <c r="K38" s="110" t="s">
        <v>296</v>
      </c>
      <c r="L38" s="110" t="n">
        <v>3</v>
      </c>
      <c r="M38" s="110" t="s">
        <v>296</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309</v>
      </c>
      <c r="AM38" s="110" t="s">
        <v>355</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219</v>
      </c>
      <c r="B39" s="110" t="s">
        <v>356</v>
      </c>
      <c r="C39" s="116" t="n">
        <v>46246</v>
      </c>
      <c r="D39" s="110" t="n">
        <v>2</v>
      </c>
      <c r="E39" s="110" t="s">
        <v>298</v>
      </c>
      <c r="F39" s="110" t="n">
        <v>4</v>
      </c>
      <c r="G39" s="110" t="s">
        <v>297</v>
      </c>
      <c r="H39" s="110" t="n">
        <v>3</v>
      </c>
      <c r="I39" s="110" t="s">
        <v>296</v>
      </c>
      <c r="J39" s="110" t="n">
        <v>2</v>
      </c>
      <c r="K39" s="110" t="s">
        <v>296</v>
      </c>
      <c r="L39" s="110" t="n">
        <v>1</v>
      </c>
      <c r="M39" s="110" t="s">
        <v>297</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309</v>
      </c>
      <c r="AM39" s="110" t="s">
        <v>355</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195</v>
      </c>
      <c r="B40" s="110" t="s">
        <v>357</v>
      </c>
      <c r="C40" s="116" t="n">
        <v>46246</v>
      </c>
      <c r="D40" s="110" t="n">
        <v>1</v>
      </c>
      <c r="E40" s="110" t="s">
        <v>297</v>
      </c>
      <c r="F40" s="110" t="n">
        <v>1</v>
      </c>
      <c r="G40" s="110" t="s">
        <v>297</v>
      </c>
      <c r="H40" s="110" t="n">
        <v>2</v>
      </c>
      <c r="I40" s="110" t="s">
        <v>296</v>
      </c>
      <c r="J40" s="110" t="n">
        <v>2</v>
      </c>
      <c r="K40" s="110" t="s">
        <v>296</v>
      </c>
      <c r="L40" s="110" t="n">
        <v>1</v>
      </c>
      <c r="M40" s="110" t="s">
        <v>297</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309</v>
      </c>
      <c r="AM40" s="110" t="s">
        <v>358</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197</v>
      </c>
      <c r="B41" s="110" t="s">
        <v>359</v>
      </c>
      <c r="C41" s="116" t="n">
        <v>46246</v>
      </c>
      <c r="D41" s="110" t="n">
        <v>2</v>
      </c>
      <c r="E41" s="110" t="s">
        <v>296</v>
      </c>
      <c r="F41" s="110" t="n">
        <v>3</v>
      </c>
      <c r="G41" s="110" t="s">
        <v>297</v>
      </c>
      <c r="H41" s="110" t="n">
        <v>4</v>
      </c>
      <c r="I41" s="110" t="s">
        <v>296</v>
      </c>
      <c r="J41" s="110" t="n">
        <v>3</v>
      </c>
      <c r="K41" s="110" t="s">
        <v>296</v>
      </c>
      <c r="L41" s="110" t="n">
        <v>2</v>
      </c>
      <c r="M41" s="110" t="s">
        <v>297</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309</v>
      </c>
      <c r="AM41" s="110" t="s">
        <v>360</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215</v>
      </c>
      <c r="B42" s="110" t="s">
        <v>361</v>
      </c>
      <c r="C42" s="116" t="n">
        <v>46246</v>
      </c>
      <c r="D42" s="110" t="n">
        <v>4</v>
      </c>
      <c r="E42" s="110" t="s">
        <v>297</v>
      </c>
      <c r="F42" s="110" t="n">
        <v>3</v>
      </c>
      <c r="G42" s="110" t="s">
        <v>297</v>
      </c>
      <c r="H42" s="110" t="n">
        <v>3</v>
      </c>
      <c r="I42" s="110" t="s">
        <v>296</v>
      </c>
      <c r="J42" s="110" t="n">
        <v>3</v>
      </c>
      <c r="K42" s="110" t="s">
        <v>296</v>
      </c>
      <c r="L42" s="110" t="n">
        <v>4</v>
      </c>
      <c r="M42" s="110" t="s">
        <v>297</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309</v>
      </c>
      <c r="AM42" s="110" t="s">
        <v>360</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217</v>
      </c>
      <c r="B43" s="110" t="s">
        <v>362</v>
      </c>
      <c r="C43" s="116" t="n">
        <v>46247</v>
      </c>
      <c r="D43" s="110" t="n">
        <v>3</v>
      </c>
      <c r="E43" s="110" t="s">
        <v>296</v>
      </c>
      <c r="F43" s="110" t="n">
        <v>5</v>
      </c>
      <c r="G43" s="110" t="s">
        <v>296</v>
      </c>
      <c r="H43" s="110" t="n">
        <v>5</v>
      </c>
      <c r="I43" s="110" t="s">
        <v>296</v>
      </c>
      <c r="J43" s="110" t="n">
        <v>4</v>
      </c>
      <c r="K43" s="110" t="s">
        <v>296</v>
      </c>
      <c r="L43" s="110" t="n">
        <v>2</v>
      </c>
      <c r="M43" s="110" t="s">
        <v>296</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296</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316</v>
      </c>
      <c r="AM43" s="110" t="s">
        <v>363</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235</v>
      </c>
      <c r="B44" s="110" t="s">
        <v>364</v>
      </c>
      <c r="C44" s="116" t="n">
        <v>46247</v>
      </c>
      <c r="D44" s="110" t="n">
        <v>4</v>
      </c>
      <c r="E44" s="110" t="s">
        <v>296</v>
      </c>
      <c r="F44" s="110" t="n">
        <v>3</v>
      </c>
      <c r="G44" s="110" t="s">
        <v>296</v>
      </c>
      <c r="H44" s="110" t="n">
        <v>3</v>
      </c>
      <c r="I44" s="110" t="s">
        <v>296</v>
      </c>
      <c r="J44" s="110" t="n">
        <v>2</v>
      </c>
      <c r="K44" s="110" t="s">
        <v>296</v>
      </c>
      <c r="L44" s="110" t="n">
        <v>4</v>
      </c>
      <c r="M44" s="110" t="s">
        <v>296</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296</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316</v>
      </c>
      <c r="AM44" s="110" t="s">
        <v>365</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213</v>
      </c>
      <c r="B45" s="110" t="s">
        <v>366</v>
      </c>
      <c r="C45" s="116" t="n">
        <v>46247</v>
      </c>
      <c r="D45" s="110" t="n">
        <v>4</v>
      </c>
      <c r="E45" s="110" t="s">
        <v>296</v>
      </c>
      <c r="F45" s="110" t="n">
        <v>3</v>
      </c>
      <c r="G45" s="110" t="s">
        <v>296</v>
      </c>
      <c r="H45" s="110" t="n">
        <v>4</v>
      </c>
      <c r="I45" s="110" t="s">
        <v>296</v>
      </c>
      <c r="J45" s="110" t="n">
        <v>3</v>
      </c>
      <c r="K45" s="110" t="s">
        <v>296</v>
      </c>
      <c r="L45" s="110" t="n">
        <v>3</v>
      </c>
      <c r="M45" s="110" t="s">
        <v>296</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296</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316</v>
      </c>
      <c r="AM45" s="110" t="s">
        <v>365</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206</v>
      </c>
      <c r="B46" s="110" t="s">
        <v>367</v>
      </c>
      <c r="C46" s="116" t="n">
        <v>46258</v>
      </c>
      <c r="D46" s="110" t="n">
        <v>4</v>
      </c>
      <c r="E46" s="110" t="s">
        <v>296</v>
      </c>
      <c r="F46" s="110" t="n">
        <v>2</v>
      </c>
      <c r="G46" s="110" t="s">
        <v>296</v>
      </c>
      <c r="H46" s="110" t="n">
        <v>3</v>
      </c>
      <c r="I46" s="110" t="s">
        <v>296</v>
      </c>
      <c r="J46" s="110" t="n">
        <v>2</v>
      </c>
      <c r="K46" s="110" t="s">
        <v>296</v>
      </c>
      <c r="L46" s="110" t="n">
        <v>3</v>
      </c>
      <c r="M46" s="110" t="s">
        <v>296</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368</v>
      </c>
      <c r="AM46" s="110" t="s">
        <v>369</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226</v>
      </c>
      <c r="B47" s="110" t="s">
        <v>370</v>
      </c>
      <c r="C47" s="116" t="n">
        <v>46258</v>
      </c>
      <c r="D47" s="110" t="n">
        <v>4</v>
      </c>
      <c r="E47" s="110" t="s">
        <v>296</v>
      </c>
      <c r="F47" s="110" t="n">
        <v>4</v>
      </c>
      <c r="G47" s="110" t="s">
        <v>296</v>
      </c>
      <c r="H47" s="110" t="n">
        <v>5</v>
      </c>
      <c r="I47" s="110" t="s">
        <v>296</v>
      </c>
      <c r="J47" s="110" t="n">
        <v>4</v>
      </c>
      <c r="K47" s="110" t="s">
        <v>296</v>
      </c>
      <c r="L47" s="110" t="n">
        <v>4</v>
      </c>
      <c r="M47" s="110" t="s">
        <v>296</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368</v>
      </c>
      <c r="AM47" s="110" t="s">
        <v>369</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257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371</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76</v>
      </c>
      <c r="B2" s="121" t="s">
        <v>247</v>
      </c>
      <c r="C2" s="121" t="s">
        <v>372</v>
      </c>
      <c r="D2" s="121" t="s">
        <v>373</v>
      </c>
      <c r="E2" s="121" t="s">
        <v>374</v>
      </c>
      <c r="F2" s="121" t="s">
        <v>375</v>
      </c>
      <c r="G2" s="121" t="s">
        <v>376</v>
      </c>
      <c r="H2" s="121" t="s">
        <v>377</v>
      </c>
      <c r="I2" s="121" t="s">
        <v>378</v>
      </c>
      <c r="J2" s="121" t="s">
        <v>379</v>
      </c>
      <c r="K2" s="121" t="s">
        <v>380</v>
      </c>
      <c r="L2" s="121" t="s">
        <v>381</v>
      </c>
      <c r="M2" s="121" t="s">
        <v>382</v>
      </c>
      <c r="N2" s="121" t="s">
        <v>383</v>
      </c>
      <c r="O2" s="121" t="s">
        <v>384</v>
      </c>
      <c r="P2" s="121" t="s">
        <v>385</v>
      </c>
      <c r="Q2" s="121" t="s">
        <v>386</v>
      </c>
      <c r="R2" s="94" t="s">
        <v>387</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184</v>
      </c>
      <c r="G19" s="27" t="s">
        <v>184</v>
      </c>
      <c r="H19" s="78" t="str">
        <f aca="false">IF(OR(F19="",G19=""),"",IF(AND(F19="Y",G19="Y"),"Standard initial size","50% of normal initial size + 90-day technical review"))</f>
        <v>Standard initial size</v>
      </c>
      <c r="I19" s="27" t="s">
        <v>188</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184</v>
      </c>
      <c r="G20" s="27" t="s">
        <v>184</v>
      </c>
      <c r="H20" s="78" t="str">
        <f aca="false">IF(OR(F20="",G20=""),"",IF(AND(F20="Y",G20="Y"),"Standard initial size","50% of normal initial size + 90-day technical review"))</f>
        <v>Standard initial size</v>
      </c>
      <c r="I20" s="27" t="s">
        <v>184</v>
      </c>
      <c r="J20" s="27" t="s">
        <v>184</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257</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388</v>
      </c>
      <c r="B1" s="126"/>
      <c r="C1" s="126"/>
      <c r="D1" s="126"/>
      <c r="E1" s="126"/>
      <c r="F1" s="126"/>
      <c r="G1" s="126"/>
      <c r="H1" s="126"/>
      <c r="I1" s="126"/>
    </row>
    <row r="2" customFormat="false" ht="25.5" hidden="false" customHeight="true" outlineLevel="0" collapsed="false">
      <c r="A2" s="107" t="s">
        <v>76</v>
      </c>
      <c r="B2" s="107" t="s">
        <v>247</v>
      </c>
      <c r="C2" s="107" t="s">
        <v>389</v>
      </c>
      <c r="D2" s="107" t="s">
        <v>390</v>
      </c>
      <c r="E2" s="107" t="s">
        <v>391</v>
      </c>
      <c r="F2" s="107" t="s">
        <v>392</v>
      </c>
      <c r="G2" s="107" t="s">
        <v>393</v>
      </c>
      <c r="H2" s="107" t="s">
        <v>394</v>
      </c>
      <c r="I2" s="107" t="s">
        <v>395</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396</v>
      </c>
      <c r="B30" s="132"/>
      <c r="C30" s="132"/>
      <c r="D30" s="132"/>
      <c r="E30" s="132"/>
      <c r="F30" s="132"/>
      <c r="G30" s="132"/>
      <c r="H30" s="132"/>
      <c r="I30" s="132"/>
    </row>
    <row r="31" customFormat="false" ht="15" hidden="false" customHeight="true" outlineLevel="0" collapsed="false">
      <c r="A31" s="132" t="s">
        <v>397</v>
      </c>
      <c r="B31" s="132"/>
      <c r="C31" s="132"/>
      <c r="D31" s="132"/>
      <c r="E31" s="132"/>
      <c r="F31" s="132"/>
      <c r="G31" s="132"/>
      <c r="H31" s="132"/>
      <c r="I31" s="132"/>
    </row>
    <row r="32" customFormat="false" ht="15" hidden="false" customHeight="true" outlineLevel="0" collapsed="false">
      <c r="A32" s="132" t="s">
        <v>398</v>
      </c>
      <c r="B32" s="132"/>
      <c r="C32" s="132"/>
      <c r="D32" s="132"/>
      <c r="E32" s="132"/>
      <c r="F32" s="132"/>
      <c r="G32" s="132"/>
      <c r="H32" s="132"/>
      <c r="I32" s="132"/>
    </row>
    <row r="33" customFormat="false" ht="15" hidden="false" customHeight="true" outlineLevel="0" collapsed="false">
      <c r="A33" s="132" t="s">
        <v>399</v>
      </c>
      <c r="B33" s="132"/>
      <c r="C33" s="132"/>
      <c r="D33" s="132"/>
      <c r="E33" s="132"/>
      <c r="F33" s="132"/>
      <c r="G33" s="132"/>
      <c r="H33" s="132"/>
      <c r="I33" s="132"/>
    </row>
    <row r="34" customFormat="false" ht="15" hidden="false" customHeight="true" outlineLevel="0" collapsed="false">
      <c r="A34" s="132" t="s">
        <v>400</v>
      </c>
      <c r="B34" s="132"/>
      <c r="C34" s="132"/>
      <c r="D34" s="132"/>
      <c r="E34" s="132"/>
      <c r="F34" s="132"/>
      <c r="G34" s="132"/>
      <c r="H34" s="132"/>
      <c r="I34" s="132"/>
    </row>
    <row r="35" customFormat="false" ht="15" hidden="false" customHeight="true" outlineLevel="0" collapsed="false">
      <c r="A35" s="132" t="s">
        <v>401</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402</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246</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403</v>
      </c>
      <c r="X2" s="134" t="s">
        <v>404</v>
      </c>
      <c r="Y2" s="134" t="s">
        <v>405</v>
      </c>
      <c r="Z2" s="134" t="s">
        <v>406</v>
      </c>
      <c r="AA2" s="134" t="s">
        <v>407</v>
      </c>
      <c r="AB2" s="134" t="s">
        <v>408</v>
      </c>
      <c r="AC2" s="134" t="s">
        <v>409</v>
      </c>
      <c r="AD2" s="134" t="s">
        <v>410</v>
      </c>
      <c r="AE2" s="134" t="s">
        <v>411</v>
      </c>
      <c r="AF2" s="134" t="s">
        <v>412</v>
      </c>
      <c r="AG2" s="134" t="s">
        <v>413</v>
      </c>
      <c r="AH2" s="134" t="s">
        <v>414</v>
      </c>
      <c r="AI2" s="134" t="s">
        <v>415</v>
      </c>
      <c r="AJ2" s="134" t="s">
        <v>416</v>
      </c>
      <c r="AK2" s="134" t="s">
        <v>417</v>
      </c>
      <c r="AL2" s="134" t="s">
        <v>418</v>
      </c>
      <c r="AM2" s="134" t="s">
        <v>419</v>
      </c>
      <c r="AN2" s="134" t="s">
        <v>420</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421</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76</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422</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423</v>
      </c>
      <c r="B24" s="142"/>
      <c r="I24" s="143" t="n">
        <f aca="false">COUNTIF(V3:V22,"&gt;1")</f>
        <v>4</v>
      </c>
    </row>
    <row r="25" customFormat="false" ht="15" hidden="false" customHeight="true" outlineLevel="0" collapsed="false">
      <c r="A25" s="141" t="s">
        <v>424</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425</v>
      </c>
      <c r="B1" s="145"/>
      <c r="C1" s="145"/>
      <c r="D1" s="145"/>
      <c r="E1" s="145"/>
      <c r="F1" s="145"/>
      <c r="G1" s="145"/>
      <c r="H1" s="145"/>
    </row>
    <row r="2" customFormat="false" ht="27.75" hidden="false" customHeight="true" outlineLevel="0" collapsed="false">
      <c r="A2" s="107" t="s">
        <v>426</v>
      </c>
      <c r="B2" s="107" t="s">
        <v>427</v>
      </c>
      <c r="C2" s="107" t="s">
        <v>428</v>
      </c>
      <c r="D2" s="107" t="s">
        <v>429</v>
      </c>
      <c r="E2" s="107" t="s">
        <v>430</v>
      </c>
      <c r="F2" s="107" t="s">
        <v>431</v>
      </c>
      <c r="G2" s="107" t="s">
        <v>432</v>
      </c>
      <c r="H2" s="107" t="s">
        <v>181</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433</v>
      </c>
      <c r="B1" s="148"/>
      <c r="C1" s="148"/>
      <c r="D1" s="148"/>
      <c r="E1" s="148"/>
      <c r="F1" s="148"/>
      <c r="G1" s="148"/>
      <c r="H1" s="148"/>
      <c r="I1" s="148"/>
      <c r="J1" s="148"/>
      <c r="K1" s="148"/>
      <c r="L1" s="148"/>
      <c r="M1" s="148"/>
    </row>
    <row r="2" customFormat="false" ht="45.75" hidden="false" customHeight="true" outlineLevel="0" collapsed="false">
      <c r="A2" s="20" t="s">
        <v>76</v>
      </c>
      <c r="B2" s="20" t="s">
        <v>247</v>
      </c>
      <c r="C2" s="20" t="s">
        <v>434</v>
      </c>
      <c r="D2" s="20" t="s">
        <v>435</v>
      </c>
      <c r="E2" s="20" t="s">
        <v>436</v>
      </c>
      <c r="F2" s="20" t="s">
        <v>437</v>
      </c>
      <c r="G2" s="20" t="s">
        <v>438</v>
      </c>
      <c r="H2" s="20" t="s">
        <v>439</v>
      </c>
      <c r="I2" s="20" t="s">
        <v>440</v>
      </c>
      <c r="J2" s="20" t="s">
        <v>441</v>
      </c>
      <c r="K2" s="20" t="s">
        <v>442</v>
      </c>
      <c r="L2" s="20" t="s">
        <v>443</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444</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445</v>
      </c>
      <c r="E2" s="151"/>
      <c r="F2" s="151"/>
      <c r="G2" s="151"/>
      <c r="H2" s="151"/>
      <c r="I2" s="152" t="s">
        <v>446</v>
      </c>
      <c r="J2" s="152"/>
      <c r="K2" s="152"/>
      <c r="L2" s="152"/>
      <c r="M2" s="152"/>
      <c r="N2" s="153" t="s">
        <v>447</v>
      </c>
      <c r="O2" s="153"/>
      <c r="P2" s="153"/>
      <c r="Q2" s="153"/>
      <c r="R2" s="153"/>
      <c r="S2" s="154" t="s">
        <v>448</v>
      </c>
      <c r="T2" s="154"/>
      <c r="U2" s="154"/>
    </row>
    <row r="3" customFormat="false" ht="42.75" hidden="false" customHeight="true" outlineLevel="0" collapsed="false">
      <c r="A3" s="107" t="s">
        <v>76</v>
      </c>
      <c r="B3" s="107" t="s">
        <v>247</v>
      </c>
      <c r="C3" s="107" t="s">
        <v>449</v>
      </c>
      <c r="D3" s="107" t="s">
        <v>450</v>
      </c>
      <c r="E3" s="107" t="s">
        <v>451</v>
      </c>
      <c r="F3" s="107" t="s">
        <v>452</v>
      </c>
      <c r="G3" s="107" t="s">
        <v>453</v>
      </c>
      <c r="H3" s="107" t="s">
        <v>454</v>
      </c>
      <c r="I3" s="107" t="s">
        <v>450</v>
      </c>
      <c r="J3" s="107" t="s">
        <v>451</v>
      </c>
      <c r="K3" s="107" t="s">
        <v>452</v>
      </c>
      <c r="L3" s="107" t="s">
        <v>453</v>
      </c>
      <c r="M3" s="107" t="s">
        <v>454</v>
      </c>
      <c r="N3" s="107" t="s">
        <v>450</v>
      </c>
      <c r="O3" s="107" t="s">
        <v>451</v>
      </c>
      <c r="P3" s="107" t="s">
        <v>452</v>
      </c>
      <c r="Q3" s="107" t="s">
        <v>453</v>
      </c>
      <c r="R3" s="107" t="s">
        <v>454</v>
      </c>
      <c r="S3" s="107" t="s">
        <v>455</v>
      </c>
      <c r="T3" s="107" t="s">
        <v>456</v>
      </c>
      <c r="U3" s="107" t="s">
        <v>457</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203</v>
      </c>
      <c r="B20" s="27" t="s">
        <v>458</v>
      </c>
      <c r="C20" s="30" t="n">
        <v>967.17</v>
      </c>
      <c r="D20" s="30" t="n">
        <v>23.11</v>
      </c>
      <c r="E20" s="123" t="n">
        <v>61.48</v>
      </c>
      <c r="F20" s="30" t="n">
        <v>32</v>
      </c>
      <c r="G20" s="75" t="n">
        <f aca="false">IF(OR(C20="",D20="",E20="",F20=""),"",IFERROR(((D20*E20+F20)/C20)^(1/5)-1,"n/a"))</f>
        <v>0.0847777537329333</v>
      </c>
      <c r="H20" s="27" t="s">
        <v>459</v>
      </c>
      <c r="I20" s="30" t="n">
        <v>19.14</v>
      </c>
      <c r="J20" s="123" t="n">
        <v>50</v>
      </c>
      <c r="K20" s="30" t="n">
        <v>28</v>
      </c>
      <c r="L20" s="75" t="n">
        <f aca="false">IF(OR(C20="",I20="",J20="",K20=""),"",IFERROR(((I20*J20+K20)/C20)^(1/5)-1,"n/a"))</f>
        <v>0.00366015400817998</v>
      </c>
      <c r="M20" s="27" t="s">
        <v>459</v>
      </c>
      <c r="N20" s="30" t="n">
        <v>26.51</v>
      </c>
      <c r="O20" s="123" t="n">
        <v>61.48</v>
      </c>
      <c r="P20" s="30" t="n">
        <v>35</v>
      </c>
      <c r="Q20" s="75" t="n">
        <f aca="false">IF(OR(C20="",N20="",O20="",P20=""),"",IFERROR(((N20*O20+P20)/C20)^(1/5)-1,"n/a"))</f>
        <v>0.114740206784953</v>
      </c>
      <c r="R20" s="27" t="s">
        <v>460</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239</v>
      </c>
      <c r="B21" s="27" t="s">
        <v>320</v>
      </c>
      <c r="C21" s="30" t="n">
        <v>380.63</v>
      </c>
      <c r="D21" s="30" t="n">
        <v>17.84</v>
      </c>
      <c r="E21" s="123" t="n">
        <v>34.36</v>
      </c>
      <c r="F21" s="30" t="n">
        <v>16</v>
      </c>
      <c r="G21" s="75" t="n">
        <f aca="false">IF(OR(C21="",D21="",E21="",F21=""),"",IFERROR(((D21*E21+F21)/C21)^(1/5)-1,"n/a"))</f>
        <v>0.105673995986338</v>
      </c>
      <c r="H21" s="27" t="s">
        <v>460</v>
      </c>
      <c r="I21" s="30" t="n">
        <v>14.14</v>
      </c>
      <c r="J21" s="123" t="n">
        <v>28</v>
      </c>
      <c r="K21" s="30" t="n">
        <v>14</v>
      </c>
      <c r="L21" s="75" t="n">
        <f aca="false">IF(OR(C21="",I21="",J21="",K21=""),"",IFERROR(((I21*J21+K21)/C21)^(1/5)-1,"n/a"))</f>
        <v>0.0149373117952127</v>
      </c>
      <c r="M21" s="27" t="s">
        <v>459</v>
      </c>
      <c r="N21" s="30" t="n">
        <v>21.33</v>
      </c>
      <c r="O21" s="123" t="n">
        <v>38</v>
      </c>
      <c r="P21" s="30" t="n">
        <v>18</v>
      </c>
      <c r="Q21" s="75" t="n">
        <f aca="false">IF(OR(C21="",N21="",O21="",P21=""),"",IFERROR(((N21*O21+P21)/C21)^(1/5)-1,"n/a"))</f>
        <v>0.168320757920451</v>
      </c>
      <c r="R21" s="27" t="s">
        <v>459</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461</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462</v>
      </c>
      <c r="F2" s="159"/>
      <c r="G2" s="159"/>
      <c r="H2" s="159"/>
      <c r="I2" s="159"/>
      <c r="J2" s="159"/>
      <c r="K2" s="159"/>
      <c r="L2" s="159"/>
      <c r="M2" s="159"/>
      <c r="N2" s="159"/>
      <c r="O2" s="159"/>
      <c r="P2" s="159"/>
      <c r="Q2" s="159"/>
      <c r="R2" s="159"/>
      <c r="S2" s="159"/>
      <c r="T2" s="160" t="s">
        <v>463</v>
      </c>
      <c r="U2" s="160"/>
      <c r="V2" s="160"/>
      <c r="W2" s="160"/>
      <c r="X2" s="160"/>
      <c r="Y2" s="160"/>
      <c r="Z2" s="160"/>
    </row>
    <row r="3" customFormat="false" ht="54" hidden="false" customHeight="true" outlineLevel="0" collapsed="false">
      <c r="A3" s="121" t="s">
        <v>76</v>
      </c>
      <c r="B3" s="121" t="s">
        <v>247</v>
      </c>
      <c r="C3" s="121" t="s">
        <v>464</v>
      </c>
      <c r="D3" s="121" t="s">
        <v>465</v>
      </c>
      <c r="E3" s="121" t="s">
        <v>466</v>
      </c>
      <c r="F3" s="121" t="s">
        <v>467</v>
      </c>
      <c r="G3" s="121" t="s">
        <v>468</v>
      </c>
      <c r="H3" s="121" t="s">
        <v>469</v>
      </c>
      <c r="I3" s="121" t="s">
        <v>470</v>
      </c>
      <c r="J3" s="121" t="s">
        <v>468</v>
      </c>
      <c r="K3" s="121" t="s">
        <v>471</v>
      </c>
      <c r="L3" s="121" t="s">
        <v>472</v>
      </c>
      <c r="M3" s="121" t="s">
        <v>468</v>
      </c>
      <c r="N3" s="121" t="s">
        <v>473</v>
      </c>
      <c r="O3" s="121" t="s">
        <v>474</v>
      </c>
      <c r="P3" s="121" t="s">
        <v>468</v>
      </c>
      <c r="Q3" s="121" t="s">
        <v>475</v>
      </c>
      <c r="R3" s="121" t="s">
        <v>476</v>
      </c>
      <c r="S3" s="121" t="s">
        <v>468</v>
      </c>
      <c r="T3" s="121" t="s">
        <v>477</v>
      </c>
      <c r="U3" s="121" t="s">
        <v>478</v>
      </c>
      <c r="V3" s="121" t="s">
        <v>479</v>
      </c>
      <c r="W3" s="121" t="s">
        <v>480</v>
      </c>
      <c r="X3" s="121" t="s">
        <v>481</v>
      </c>
      <c r="Y3" s="121" t="s">
        <v>482</v>
      </c>
      <c r="Z3" s="121" t="s">
        <v>483</v>
      </c>
      <c r="AA3" s="121" t="s">
        <v>484</v>
      </c>
      <c r="AB3" s="121" t="s">
        <v>442</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485</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76</v>
      </c>
      <c r="B2" s="20" t="s">
        <v>247</v>
      </c>
      <c r="C2" s="20" t="s">
        <v>486</v>
      </c>
      <c r="D2" s="20" t="s">
        <v>487</v>
      </c>
      <c r="E2" s="20" t="s">
        <v>436</v>
      </c>
      <c r="F2" s="20" t="s">
        <v>488</v>
      </c>
      <c r="G2" s="20" t="s">
        <v>489</v>
      </c>
      <c r="H2" s="20" t="s">
        <v>490</v>
      </c>
      <c r="I2" s="20" t="s">
        <v>491</v>
      </c>
      <c r="J2" s="20" t="s">
        <v>492</v>
      </c>
      <c r="K2" s="20" t="s">
        <v>493</v>
      </c>
      <c r="L2" s="20" t="s">
        <v>494</v>
      </c>
      <c r="M2" s="20" t="s">
        <v>495</v>
      </c>
      <c r="N2" s="20" t="s">
        <v>496</v>
      </c>
      <c r="O2" s="20" t="s">
        <v>497</v>
      </c>
      <c r="P2" s="20" t="s">
        <v>498</v>
      </c>
      <c r="Q2" s="20" t="s">
        <v>499</v>
      </c>
    </row>
    <row r="3" customFormat="false" ht="15" hidden="false" customHeight="true" outlineLevel="0" collapsed="false">
      <c r="A3" s="164" t="s">
        <v>90</v>
      </c>
      <c r="B3" s="114" t="s">
        <v>91</v>
      </c>
      <c r="C3" s="165" t="n">
        <v>46241</v>
      </c>
      <c r="D3" s="166" t="n">
        <v>266.38</v>
      </c>
      <c r="E3" s="114" t="n">
        <v>85.8</v>
      </c>
      <c r="F3" s="114" t="s">
        <v>296</v>
      </c>
      <c r="G3" s="114" t="s">
        <v>500</v>
      </c>
      <c r="H3" s="166" t="n">
        <v>773.26</v>
      </c>
      <c r="I3" s="114" t="s">
        <v>501</v>
      </c>
      <c r="J3" s="165"/>
      <c r="K3" s="166"/>
      <c r="L3" s="114"/>
      <c r="M3" s="166" t="n">
        <v>259.32</v>
      </c>
      <c r="N3" s="166" t="n">
        <v>765.04</v>
      </c>
      <c r="O3" s="167" t="n">
        <f aca="false">IF(OR(D3="",M3=""),"",M3/D3-1)</f>
        <v>-0.026503491253097</v>
      </c>
      <c r="P3" s="168" t="n">
        <f aca="false">IF(OR(H3="",N3=""),"",N3/H3-1)</f>
        <v>-0.0106303183922614</v>
      </c>
      <c r="Q3" s="167" t="n">
        <f aca="false">IF(OR(O3="",P3=""),"",O3-P3)</f>
        <v>-0.0158731728608357</v>
      </c>
    </row>
    <row r="4" customFormat="false" ht="15" hidden="false" customHeight="true" outlineLevel="0" collapsed="false">
      <c r="A4" s="164" t="s">
        <v>137</v>
      </c>
      <c r="B4" s="114" t="s">
        <v>138</v>
      </c>
      <c r="C4" s="165" t="n">
        <v>46241</v>
      </c>
      <c r="D4" s="166" t="n">
        <v>488.77</v>
      </c>
      <c r="E4" s="114" t="n">
        <v>75.6</v>
      </c>
      <c r="F4" s="114" t="s">
        <v>296</v>
      </c>
      <c r="G4" s="114" t="s">
        <v>502</v>
      </c>
      <c r="H4" s="166" t="n">
        <v>773.26</v>
      </c>
      <c r="I4" s="114" t="s">
        <v>501</v>
      </c>
      <c r="J4" s="165"/>
      <c r="K4" s="166"/>
      <c r="L4" s="114"/>
      <c r="M4" s="166" t="n">
        <v>478.7</v>
      </c>
      <c r="N4" s="166" t="n">
        <v>765.04</v>
      </c>
      <c r="O4" s="167" t="n">
        <f aca="false">IF(OR(D4="",M4=""),"",M4/D4-1)</f>
        <v>-0.0206027374838881</v>
      </c>
      <c r="P4" s="168" t="n">
        <f aca="false">IF(OR(H4="",N4=""),"",N4/H4-1)</f>
        <v>-0.0106303183922614</v>
      </c>
      <c r="Q4" s="167" t="n">
        <f aca="false">IF(OR(O4="",P4=""),"",O4-P4)</f>
        <v>-0.00997241909162672</v>
      </c>
    </row>
    <row r="5" customFormat="false" ht="15" hidden="false" customHeight="true" outlineLevel="0" collapsed="false">
      <c r="A5" s="164" t="s">
        <v>144</v>
      </c>
      <c r="B5" s="114" t="s">
        <v>304</v>
      </c>
      <c r="C5" s="165" t="n">
        <v>46241</v>
      </c>
      <c r="D5" s="166" t="n">
        <v>139.92</v>
      </c>
      <c r="E5" s="114" t="n">
        <v>82</v>
      </c>
      <c r="F5" s="114" t="s">
        <v>296</v>
      </c>
      <c r="G5" s="114" t="s">
        <v>500</v>
      </c>
      <c r="H5" s="166" t="n">
        <v>773.26</v>
      </c>
      <c r="I5" s="114" t="s">
        <v>501</v>
      </c>
      <c r="J5" s="165"/>
      <c r="K5" s="166"/>
      <c r="L5" s="114"/>
      <c r="M5" s="166" t="n">
        <v>139.06</v>
      </c>
      <c r="N5" s="166" t="n">
        <v>765.04</v>
      </c>
      <c r="O5" s="167" t="n">
        <f aca="false">IF(OR(D5="",M5=""),"",M5/D5-1)</f>
        <v>-0.00614636935391644</v>
      </c>
      <c r="P5" s="168" t="n">
        <f aca="false">IF(OR(H5="",N5=""),"",N5/H5-1)</f>
        <v>-0.0106303183922614</v>
      </c>
      <c r="Q5" s="167" t="n">
        <f aca="false">IF(OR(O5="",P5=""),"",O5-P5)</f>
        <v>0.00448394903834493</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503</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504</v>
      </c>
      <c r="B1" s="126"/>
      <c r="C1" s="126"/>
    </row>
    <row r="2" customFormat="false" ht="18" hidden="false" customHeight="true" outlineLevel="0" collapsed="false">
      <c r="A2" s="134" t="s">
        <v>426</v>
      </c>
      <c r="B2" s="134" t="s">
        <v>76</v>
      </c>
      <c r="C2" s="134" t="s">
        <v>181</v>
      </c>
    </row>
    <row r="3" customFormat="false" ht="15" hidden="false" customHeight="true" outlineLevel="0" collapsed="false">
      <c r="A3" s="111" t="n">
        <v>46241</v>
      </c>
      <c r="B3" s="110" t="s">
        <v>147</v>
      </c>
      <c r="C3" s="171" t="s">
        <v>505</v>
      </c>
    </row>
    <row r="4" customFormat="false" ht="15" hidden="false" customHeight="true" outlineLevel="0" collapsed="false">
      <c r="A4" s="111" t="n">
        <v>46241</v>
      </c>
      <c r="B4" s="110" t="s">
        <v>150</v>
      </c>
      <c r="C4" s="171" t="s">
        <v>506</v>
      </c>
    </row>
    <row r="5" customFormat="false" ht="15" hidden="false" customHeight="true" outlineLevel="0" collapsed="false">
      <c r="A5" s="111" t="n">
        <v>46241</v>
      </c>
      <c r="B5" s="110" t="s">
        <v>158</v>
      </c>
      <c r="C5" s="171" t="s">
        <v>507</v>
      </c>
    </row>
    <row r="6" customFormat="false" ht="27.75" hidden="false" customHeight="true" outlineLevel="0" collapsed="false">
      <c r="A6" s="111" t="n">
        <v>46241</v>
      </c>
      <c r="B6" s="110" t="s">
        <v>137</v>
      </c>
      <c r="C6" s="171" t="s">
        <v>508</v>
      </c>
    </row>
    <row r="7" customFormat="false" ht="30" hidden="false" customHeight="true" outlineLevel="0" collapsed="false">
      <c r="A7" s="111" t="n">
        <v>46241</v>
      </c>
      <c r="B7" s="110" t="s">
        <v>509</v>
      </c>
      <c r="C7" s="171" t="s">
        <v>510</v>
      </c>
    </row>
    <row r="8" customFormat="false" ht="28.5" hidden="false" customHeight="true" outlineLevel="0" collapsed="false">
      <c r="A8" s="111" t="n">
        <v>46241</v>
      </c>
      <c r="B8" s="110" t="s">
        <v>509</v>
      </c>
      <c r="C8" s="171" t="s">
        <v>511</v>
      </c>
    </row>
    <row r="9" customFormat="false" ht="30" hidden="false" customHeight="true" outlineLevel="0" collapsed="false">
      <c r="A9" s="111" t="n">
        <v>46241</v>
      </c>
      <c r="B9" s="110" t="s">
        <v>512</v>
      </c>
      <c r="C9" s="171" t="s">
        <v>513</v>
      </c>
    </row>
    <row r="10" customFormat="false" ht="28.5" hidden="false" customHeight="true" outlineLevel="0" collapsed="false">
      <c r="A10" s="111" t="n">
        <v>46241</v>
      </c>
      <c r="B10" s="110" t="s">
        <v>514</v>
      </c>
      <c r="C10" s="171" t="s">
        <v>515</v>
      </c>
    </row>
    <row r="11" customFormat="false" ht="28.5" hidden="false" customHeight="true" outlineLevel="0" collapsed="false">
      <c r="A11" s="111" t="n">
        <v>46241</v>
      </c>
      <c r="B11" s="110" t="s">
        <v>142</v>
      </c>
      <c r="C11" s="171" t="s">
        <v>516</v>
      </c>
    </row>
    <row r="12" customFormat="false" ht="75" hidden="false" customHeight="true" outlineLevel="0" collapsed="false">
      <c r="A12" s="111" t="n">
        <v>46273</v>
      </c>
      <c r="B12" s="110" t="s">
        <v>517</v>
      </c>
      <c r="C12" s="171" t="s">
        <v>518</v>
      </c>
    </row>
    <row r="13" customFormat="false" ht="60" hidden="false" customHeight="true" outlineLevel="0" collapsed="false">
      <c r="A13" s="111" t="n">
        <v>46295</v>
      </c>
      <c r="B13" s="110" t="s">
        <v>519</v>
      </c>
      <c r="C13" s="171" t="s">
        <v>520</v>
      </c>
    </row>
    <row r="14" customFormat="false" ht="57.75" hidden="false" customHeight="true" outlineLevel="0" collapsed="false">
      <c r="A14" s="111" t="n">
        <v>46302</v>
      </c>
      <c r="B14" s="110" t="s">
        <v>521</v>
      </c>
      <c r="C14" s="171" t="s">
        <v>522</v>
      </c>
    </row>
    <row r="15" customFormat="false" ht="61.5" hidden="false" customHeight="true" outlineLevel="0" collapsed="false">
      <c r="A15" s="111" t="n">
        <v>46320</v>
      </c>
      <c r="B15" s="110" t="s">
        <v>523</v>
      </c>
      <c r="C15" s="171" t="s">
        <v>524</v>
      </c>
    </row>
    <row r="16" customFormat="false" ht="30.75" hidden="false" customHeight="true" outlineLevel="0" collapsed="false">
      <c r="A16" s="111" t="n">
        <v>46335</v>
      </c>
      <c r="B16" s="110" t="s">
        <v>525</v>
      </c>
      <c r="C16" s="171" t="s">
        <v>526</v>
      </c>
    </row>
    <row r="17" customFormat="false" ht="30.75" hidden="false" customHeight="true" outlineLevel="0" collapsed="false">
      <c r="A17" s="111" t="n">
        <v>46387</v>
      </c>
      <c r="B17" s="110" t="s">
        <v>527</v>
      </c>
      <c r="C17" s="171" t="s">
        <v>528</v>
      </c>
    </row>
    <row r="18" customFormat="false" ht="43.5" hidden="false" customHeight="true" outlineLevel="0" collapsed="false">
      <c r="A18" s="111" t="n">
        <v>46412</v>
      </c>
      <c r="B18" s="110" t="s">
        <v>529</v>
      </c>
      <c r="C18" s="171" t="s">
        <v>530</v>
      </c>
    </row>
    <row r="19" customFormat="false" ht="100.5" hidden="false" customHeight="true" outlineLevel="0" collapsed="false">
      <c r="A19" s="111" t="n">
        <v>46252</v>
      </c>
      <c r="B19" s="172" t="s">
        <v>531</v>
      </c>
      <c r="C19" s="171" t="s">
        <v>532</v>
      </c>
    </row>
    <row r="20" customFormat="false" ht="75.75" hidden="false" customHeight="true" outlineLevel="0" collapsed="false">
      <c r="A20" s="111" t="n">
        <v>46258</v>
      </c>
      <c r="B20" s="172" t="s">
        <v>533</v>
      </c>
      <c r="C20" s="171" t="s">
        <v>534</v>
      </c>
    </row>
    <row r="21" customFormat="false" ht="15" hidden="false" customHeight="true" outlineLevel="0" collapsed="false">
      <c r="A21" s="111" t="n">
        <v>46260</v>
      </c>
      <c r="B21" s="110" t="s">
        <v>535</v>
      </c>
      <c r="C21" s="171" t="s">
        <v>536</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537</v>
      </c>
      <c r="B1" s="8"/>
      <c r="C1" s="8"/>
      <c r="D1" s="8"/>
      <c r="E1" s="8"/>
      <c r="F1" s="8"/>
    </row>
    <row r="2" customFormat="false" ht="39.75" hidden="false" customHeight="true" outlineLevel="0" collapsed="false">
      <c r="A2" s="173" t="s">
        <v>538</v>
      </c>
      <c r="B2" s="173"/>
      <c r="C2" s="173"/>
      <c r="D2" s="173"/>
      <c r="E2" s="173"/>
      <c r="F2" s="173"/>
    </row>
    <row r="4" customFormat="false" ht="15" hidden="false" customHeight="true" outlineLevel="0" collapsed="false">
      <c r="A4" s="174" t="s">
        <v>539</v>
      </c>
      <c r="B4" s="174"/>
      <c r="C4" s="174"/>
      <c r="D4" s="174"/>
      <c r="E4" s="174"/>
      <c r="F4" s="174"/>
    </row>
    <row r="5" customFormat="false" ht="15" hidden="false" customHeight="true" outlineLevel="0" collapsed="false">
      <c r="A5" s="175" t="s">
        <v>540</v>
      </c>
      <c r="B5" s="175" t="s">
        <v>541</v>
      </c>
      <c r="C5" s="175" t="s">
        <v>542</v>
      </c>
      <c r="D5" s="175" t="s">
        <v>543</v>
      </c>
    </row>
    <row r="6" customFormat="false" ht="15" hidden="false" customHeight="true" outlineLevel="0" collapsed="false">
      <c r="A6" s="176" t="s">
        <v>544</v>
      </c>
      <c r="B6" s="176" t="s">
        <v>545</v>
      </c>
      <c r="C6" s="176" t="s">
        <v>545</v>
      </c>
      <c r="D6" s="176" t="s">
        <v>546</v>
      </c>
      <c r="E6" s="176"/>
      <c r="F6" s="176"/>
    </row>
    <row r="8" customFormat="false" ht="15" hidden="false" customHeight="true" outlineLevel="0" collapsed="false">
      <c r="A8" s="174" t="s">
        <v>547</v>
      </c>
      <c r="B8" s="174"/>
      <c r="C8" s="174"/>
      <c r="D8" s="174"/>
      <c r="E8" s="174"/>
      <c r="F8" s="174"/>
    </row>
    <row r="9" customFormat="false" ht="15" hidden="false" customHeight="true" outlineLevel="0" collapsed="false">
      <c r="A9" s="175" t="s">
        <v>540</v>
      </c>
      <c r="B9" s="175" t="s">
        <v>541</v>
      </c>
      <c r="C9" s="175" t="s">
        <v>542</v>
      </c>
      <c r="D9" s="175" t="s">
        <v>543</v>
      </c>
    </row>
    <row r="10" customFormat="false" ht="27.75" hidden="false" customHeight="true" outlineLevel="0" collapsed="false">
      <c r="A10" s="176" t="s">
        <v>548</v>
      </c>
      <c r="B10" s="176" t="s">
        <v>545</v>
      </c>
      <c r="C10" s="176" t="s">
        <v>549</v>
      </c>
      <c r="D10" s="176" t="s">
        <v>550</v>
      </c>
      <c r="E10" s="176"/>
      <c r="F10" s="176"/>
    </row>
    <row r="12" customFormat="false" ht="15" hidden="false" customHeight="true" outlineLevel="0" collapsed="false">
      <c r="A12" s="174" t="s">
        <v>551</v>
      </c>
      <c r="B12" s="174"/>
      <c r="C12" s="174"/>
      <c r="D12" s="174"/>
      <c r="E12" s="174"/>
      <c r="F12" s="174"/>
    </row>
    <row r="13" customFormat="false" ht="15" hidden="false" customHeight="true" outlineLevel="0" collapsed="false">
      <c r="A13" s="175" t="s">
        <v>540</v>
      </c>
      <c r="B13" s="175" t="s">
        <v>541</v>
      </c>
      <c r="C13" s="175" t="s">
        <v>542</v>
      </c>
      <c r="D13" s="175" t="s">
        <v>543</v>
      </c>
    </row>
    <row r="14" customFormat="false" ht="36.75" hidden="false" customHeight="true" outlineLevel="0" collapsed="false">
      <c r="A14" s="176" t="s">
        <v>552</v>
      </c>
      <c r="B14" s="176" t="s">
        <v>553</v>
      </c>
      <c r="C14" s="176" t="s">
        <v>554</v>
      </c>
      <c r="D14" s="176" t="s">
        <v>555</v>
      </c>
      <c r="E14" s="176"/>
      <c r="F14" s="176"/>
    </row>
    <row r="16" customFormat="false" ht="15" hidden="false" customHeight="true" outlineLevel="0" collapsed="false">
      <c r="A16" s="174" t="s">
        <v>556</v>
      </c>
      <c r="B16" s="174"/>
      <c r="C16" s="174"/>
      <c r="D16" s="174"/>
      <c r="E16" s="174"/>
      <c r="F16" s="174"/>
    </row>
    <row r="17" customFormat="false" ht="15" hidden="false" customHeight="true" outlineLevel="0" collapsed="false">
      <c r="A17" s="175" t="s">
        <v>540</v>
      </c>
      <c r="B17" s="175" t="s">
        <v>541</v>
      </c>
      <c r="C17" s="175" t="s">
        <v>542</v>
      </c>
      <c r="D17" s="175" t="s">
        <v>543</v>
      </c>
    </row>
    <row r="18" customFormat="false" ht="18.75" hidden="false" customHeight="true" outlineLevel="0" collapsed="false">
      <c r="A18" s="176" t="s">
        <v>557</v>
      </c>
      <c r="B18" s="176" t="s">
        <v>545</v>
      </c>
      <c r="C18" s="176" t="s">
        <v>558</v>
      </c>
      <c r="D18" s="176" t="s">
        <v>559</v>
      </c>
      <c r="E18" s="176"/>
      <c r="F18" s="176"/>
    </row>
    <row r="20" customFormat="false" ht="15" hidden="false" customHeight="true" outlineLevel="0" collapsed="false">
      <c r="A20" s="174" t="s">
        <v>560</v>
      </c>
      <c r="B20" s="174"/>
      <c r="C20" s="174"/>
      <c r="D20" s="174"/>
      <c r="E20" s="174"/>
      <c r="F20" s="174"/>
    </row>
    <row r="21" customFormat="false" ht="15" hidden="false" customHeight="true" outlineLevel="0" collapsed="false">
      <c r="A21" s="175" t="s">
        <v>540</v>
      </c>
      <c r="B21" s="175" t="s">
        <v>541</v>
      </c>
      <c r="C21" s="175" t="s">
        <v>542</v>
      </c>
      <c r="D21" s="175" t="s">
        <v>543</v>
      </c>
    </row>
    <row r="22" customFormat="false" ht="63.75" hidden="false" customHeight="true" outlineLevel="0" collapsed="false">
      <c r="A22" s="176" t="s">
        <v>561</v>
      </c>
      <c r="B22" s="176" t="s">
        <v>562</v>
      </c>
      <c r="C22" s="176" t="s">
        <v>563</v>
      </c>
      <c r="D22" s="176" t="s">
        <v>564</v>
      </c>
      <c r="E22" s="176"/>
      <c r="F22" s="176"/>
    </row>
    <row r="24" customFormat="false" ht="15" hidden="false" customHeight="true" outlineLevel="0" collapsed="false">
      <c r="A24" s="174" t="s">
        <v>565</v>
      </c>
      <c r="B24" s="174"/>
      <c r="C24" s="174"/>
      <c r="D24" s="174"/>
      <c r="E24" s="174"/>
      <c r="F24" s="174"/>
    </row>
    <row r="25" customFormat="false" ht="15" hidden="false" customHeight="true" outlineLevel="0" collapsed="false">
      <c r="A25" s="175" t="s">
        <v>540</v>
      </c>
      <c r="B25" s="175" t="s">
        <v>541</v>
      </c>
      <c r="C25" s="175" t="s">
        <v>542</v>
      </c>
      <c r="D25" s="175" t="s">
        <v>543</v>
      </c>
    </row>
    <row r="26" customFormat="false" ht="45.75" hidden="false" customHeight="true" outlineLevel="0" collapsed="false">
      <c r="A26" s="176" t="s">
        <v>561</v>
      </c>
      <c r="B26" s="176" t="s">
        <v>566</v>
      </c>
      <c r="C26" s="176" t="s">
        <v>567</v>
      </c>
      <c r="D26" s="176" t="s">
        <v>568</v>
      </c>
      <c r="E26" s="176"/>
      <c r="F26" s="176"/>
    </row>
    <row r="28" customFormat="false" ht="15" hidden="false" customHeight="true" outlineLevel="0" collapsed="false">
      <c r="A28" s="174" t="s">
        <v>569</v>
      </c>
      <c r="B28" s="174"/>
      <c r="C28" s="174"/>
      <c r="D28" s="174"/>
      <c r="E28" s="174"/>
      <c r="F28" s="174"/>
    </row>
    <row r="29" customFormat="false" ht="15" hidden="false" customHeight="true" outlineLevel="0" collapsed="false">
      <c r="A29" s="175" t="s">
        <v>540</v>
      </c>
      <c r="B29" s="175" t="s">
        <v>541</v>
      </c>
      <c r="C29" s="175" t="s">
        <v>542</v>
      </c>
      <c r="D29" s="175" t="s">
        <v>543</v>
      </c>
    </row>
    <row r="30" customFormat="false" ht="27.75" hidden="false" customHeight="true" outlineLevel="0" collapsed="false">
      <c r="A30" s="176" t="s">
        <v>561</v>
      </c>
      <c r="B30" s="176" t="s">
        <v>570</v>
      </c>
      <c r="C30" s="176" t="s">
        <v>571</v>
      </c>
      <c r="D30" s="176" t="s">
        <v>572</v>
      </c>
      <c r="E30" s="176"/>
      <c r="F30" s="176"/>
    </row>
    <row r="32" customFormat="false" ht="15" hidden="false" customHeight="true" outlineLevel="0" collapsed="false">
      <c r="A32" s="174" t="s">
        <v>573</v>
      </c>
      <c r="B32" s="174"/>
      <c r="C32" s="174"/>
      <c r="D32" s="174"/>
      <c r="E32" s="174"/>
      <c r="F32" s="174"/>
    </row>
    <row r="33" customFormat="false" ht="15" hidden="false" customHeight="true" outlineLevel="0" collapsed="false">
      <c r="A33" s="175" t="s">
        <v>540</v>
      </c>
      <c r="B33" s="175" t="s">
        <v>541</v>
      </c>
      <c r="C33" s="175" t="s">
        <v>542</v>
      </c>
      <c r="D33" s="175" t="s">
        <v>543</v>
      </c>
    </row>
    <row r="34" customFormat="false" ht="45.75" hidden="false" customHeight="true" outlineLevel="0" collapsed="false">
      <c r="A34" s="176" t="s">
        <v>552</v>
      </c>
      <c r="B34" s="176" t="s">
        <v>574</v>
      </c>
      <c r="C34" s="176" t="s">
        <v>575</v>
      </c>
      <c r="D34" s="176" t="s">
        <v>576</v>
      </c>
      <c r="E34" s="176"/>
      <c r="F34" s="176"/>
    </row>
    <row r="36" customFormat="false" ht="15" hidden="false" customHeight="true" outlineLevel="0" collapsed="false">
      <c r="A36" s="174" t="s">
        <v>577</v>
      </c>
      <c r="B36" s="174"/>
      <c r="C36" s="174"/>
      <c r="D36" s="174"/>
      <c r="E36" s="174"/>
      <c r="F36" s="174"/>
    </row>
    <row r="37" customFormat="false" ht="15" hidden="false" customHeight="true" outlineLevel="0" collapsed="false">
      <c r="A37" s="175" t="s">
        <v>540</v>
      </c>
      <c r="B37" s="175" t="s">
        <v>541</v>
      </c>
      <c r="C37" s="175" t="s">
        <v>542</v>
      </c>
      <c r="D37" s="175" t="s">
        <v>543</v>
      </c>
    </row>
    <row r="38" customFormat="false" ht="36.75" hidden="false" customHeight="true" outlineLevel="0" collapsed="false">
      <c r="A38" s="176" t="s">
        <v>552</v>
      </c>
      <c r="B38" s="176" t="s">
        <v>578</v>
      </c>
      <c r="C38" s="176" t="s">
        <v>579</v>
      </c>
      <c r="D38" s="176" t="s">
        <v>580</v>
      </c>
      <c r="E38" s="176"/>
      <c r="F38" s="176"/>
    </row>
    <row r="40" customFormat="false" ht="15" hidden="false" customHeight="true" outlineLevel="0" collapsed="false">
      <c r="A40" s="174" t="s">
        <v>581</v>
      </c>
      <c r="B40" s="174"/>
      <c r="C40" s="174"/>
      <c r="D40" s="174"/>
      <c r="E40" s="174"/>
      <c r="F40" s="174"/>
    </row>
    <row r="41" customFormat="false" ht="15" hidden="false" customHeight="true" outlineLevel="0" collapsed="false">
      <c r="A41" s="175" t="s">
        <v>540</v>
      </c>
      <c r="B41" s="175" t="s">
        <v>541</v>
      </c>
      <c r="C41" s="175" t="s">
        <v>542</v>
      </c>
      <c r="D41" s="175" t="s">
        <v>543</v>
      </c>
    </row>
    <row r="42" customFormat="false" ht="36.75" hidden="false" customHeight="true" outlineLevel="0" collapsed="false">
      <c r="A42" s="176" t="s">
        <v>561</v>
      </c>
      <c r="B42" s="176" t="s">
        <v>582</v>
      </c>
      <c r="C42" s="176" t="s">
        <v>583</v>
      </c>
      <c r="D42" s="176" t="s">
        <v>584</v>
      </c>
      <c r="E42" s="176"/>
      <c r="F42" s="176"/>
    </row>
    <row r="44" customFormat="false" ht="15" hidden="false" customHeight="true" outlineLevel="0" collapsed="false">
      <c r="A44" s="174" t="s">
        <v>585</v>
      </c>
      <c r="B44" s="174"/>
      <c r="C44" s="174"/>
      <c r="D44" s="174"/>
      <c r="E44" s="174"/>
      <c r="F44" s="174"/>
    </row>
    <row r="45" customFormat="false" ht="15" hidden="false" customHeight="true" outlineLevel="0" collapsed="false">
      <c r="A45" s="175" t="s">
        <v>540</v>
      </c>
      <c r="B45" s="175" t="s">
        <v>541</v>
      </c>
      <c r="C45" s="175" t="s">
        <v>542</v>
      </c>
      <c r="D45" s="175" t="s">
        <v>543</v>
      </c>
    </row>
    <row r="46" customFormat="false" ht="18.75" hidden="false" customHeight="true" outlineLevel="0" collapsed="false">
      <c r="A46" s="176" t="s">
        <v>557</v>
      </c>
      <c r="B46" s="176" t="s">
        <v>545</v>
      </c>
      <c r="C46" s="176" t="s">
        <v>586</v>
      </c>
      <c r="D46" s="176" t="s">
        <v>587</v>
      </c>
      <c r="E46" s="176"/>
      <c r="F46" s="176"/>
    </row>
    <row r="48" customFormat="false" ht="15" hidden="false" customHeight="true" outlineLevel="0" collapsed="false">
      <c r="A48" s="174" t="s">
        <v>588</v>
      </c>
      <c r="B48" s="174"/>
      <c r="C48" s="174"/>
      <c r="D48" s="174"/>
      <c r="E48" s="174"/>
      <c r="F48" s="174"/>
    </row>
    <row r="49" customFormat="false" ht="15" hidden="false" customHeight="true" outlineLevel="0" collapsed="false">
      <c r="A49" s="175" t="s">
        <v>540</v>
      </c>
      <c r="B49" s="175" t="s">
        <v>541</v>
      </c>
      <c r="C49" s="175" t="s">
        <v>542</v>
      </c>
      <c r="D49" s="175" t="s">
        <v>543</v>
      </c>
    </row>
    <row r="50" customFormat="false" ht="18.75" hidden="false" customHeight="true" outlineLevel="0" collapsed="false">
      <c r="A50" s="176" t="s">
        <v>589</v>
      </c>
      <c r="B50" s="176" t="s">
        <v>545</v>
      </c>
      <c r="C50" s="176" t="s">
        <v>590</v>
      </c>
      <c r="D50" s="176" t="s">
        <v>591</v>
      </c>
      <c r="E50" s="176"/>
      <c r="F50" s="176"/>
    </row>
    <row r="52" customFormat="false" ht="15" hidden="false" customHeight="true" outlineLevel="0" collapsed="false">
      <c r="A52" s="174" t="s">
        <v>592</v>
      </c>
      <c r="B52" s="174"/>
      <c r="C52" s="174"/>
      <c r="D52" s="174"/>
      <c r="E52" s="174"/>
      <c r="F52" s="174"/>
    </row>
    <row r="53" customFormat="false" ht="15" hidden="false" customHeight="true" outlineLevel="0" collapsed="false">
      <c r="A53" s="175" t="s">
        <v>540</v>
      </c>
      <c r="B53" s="175" t="s">
        <v>541</v>
      </c>
      <c r="C53" s="175" t="s">
        <v>542</v>
      </c>
      <c r="D53" s="175" t="s">
        <v>543</v>
      </c>
    </row>
    <row r="54" customFormat="false" ht="36.75" hidden="false" customHeight="true" outlineLevel="0" collapsed="false">
      <c r="A54" s="176" t="s">
        <v>593</v>
      </c>
      <c r="B54" s="176" t="s">
        <v>545</v>
      </c>
      <c r="C54" s="176" t="s">
        <v>594</v>
      </c>
      <c r="D54" s="176" t="s">
        <v>595</v>
      </c>
      <c r="E54" s="176"/>
      <c r="F54" s="176"/>
    </row>
    <row r="56" customFormat="false" ht="15" hidden="false" customHeight="true" outlineLevel="0" collapsed="false">
      <c r="A56" s="174" t="s">
        <v>596</v>
      </c>
      <c r="B56" s="174"/>
      <c r="C56" s="174"/>
      <c r="D56" s="174"/>
      <c r="E56" s="174"/>
      <c r="F56" s="174"/>
    </row>
    <row r="57" customFormat="false" ht="15" hidden="false" customHeight="true" outlineLevel="0" collapsed="false">
      <c r="A57" s="175" t="s">
        <v>540</v>
      </c>
      <c r="B57" s="175" t="s">
        <v>541</v>
      </c>
      <c r="C57" s="175" t="s">
        <v>542</v>
      </c>
      <c r="D57" s="175" t="s">
        <v>543</v>
      </c>
    </row>
    <row r="58" customFormat="false" ht="18.75" hidden="false" customHeight="true" outlineLevel="0" collapsed="false">
      <c r="A58" s="176" t="s">
        <v>561</v>
      </c>
      <c r="B58" s="176" t="s">
        <v>597</v>
      </c>
      <c r="C58" s="176" t="s">
        <v>598</v>
      </c>
      <c r="D58" s="176" t="s">
        <v>599</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2026-08-26T12:37:16Z</dcterms:modified>
  <cp:revision>43</cp:revision>
  <dc:subject/>
  <dc:title/>
</cp:coreProperties>
</file>

<file path=docProps/custom.xml><?xml version="1.0" encoding="utf-8"?>
<Properties xmlns="http://schemas.openxmlformats.org/officeDocument/2006/custom-properties" xmlns:vt="http://schemas.openxmlformats.org/officeDocument/2006/docPropsVTypes"/>
</file>